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VAFI\Salida Cierre\"/>
    </mc:Choice>
  </mc:AlternateContent>
  <xr:revisionPtr revIDLastSave="0" documentId="8_{0E8AE9C9-8543-4536-AEF3-5C0E3168B2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TI 2026-09-04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<sst xmlns="http://schemas.openxmlformats.org/spreadsheetml/2006/main" count="32" uniqueCount="32">
  <si>
    <t>Ticker ARS</t>
  </si>
  <si>
    <t>Factor de conversión</t>
  </si>
  <si>
    <t>Precio ARS</t>
  </si>
  <si>
    <t>Monto ARS</t>
  </si>
  <si>
    <t>Ticker USD</t>
  </si>
  <si>
    <t>Monto USD</t>
  </si>
  <si>
    <t>Tipo de cambio</t>
  </si>
  <si>
    <t>Precio USD</t>
  </si>
  <si>
    <t>Dólar MAE</t>
  </si>
  <si>
    <t>Dólar DTI</t>
  </si>
  <si>
    <t>Dólar Valuación</t>
  </si>
  <si>
    <t>Diferencia [%] con MAE</t>
  </si>
  <si>
    <t>YPFD</t>
  </si>
  <si>
    <t>YPF US EQUITY</t>
  </si>
  <si>
    <t>BBAR</t>
  </si>
  <si>
    <t>BBAR US Equity</t>
  </si>
  <si>
    <t>GGAL</t>
  </si>
  <si>
    <t>GGAL US EQUITY</t>
  </si>
  <si>
    <t>TECO2</t>
  </si>
  <si>
    <t>TEO US EQUITY</t>
  </si>
  <si>
    <t>BMA</t>
  </si>
  <si>
    <t>BMA US EQUITY</t>
  </si>
  <si>
    <t>SUPV</t>
  </si>
  <si>
    <t>SUPV US EQUITY</t>
  </si>
  <si>
    <t>CRES</t>
  </si>
  <si>
    <t>CRESY US EQUITY</t>
  </si>
  <si>
    <t>LOMA</t>
  </si>
  <si>
    <t>LOMA US EQUITY</t>
  </si>
  <si>
    <t>GD35</t>
  </si>
  <si>
    <t>GD35D</t>
  </si>
  <si>
    <t>GD30</t>
  </si>
  <si>
    <t>GD30D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</si>
</sst>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/>
  </sheetViews>
  <sheetFormatPr defaultColWidth="11.44140625" defaultRowHeight="14.4" x14ac:dyDescent="0.3"/>
  <cols>
    <col min="1" max="1" width="22" style="4" customWidth="1"/>
    <col min="2" max="2" width="19.44140625" style="1" bestFit="1" customWidth="1"/>
    <col min="3" max="3" width="15" style="1" customWidth="1"/>
    <col min="4" max="4" width="31.88671875" style="1" customWidth="1"/>
    <col min="5" max="5" width="26.6640625" style="1" customWidth="1"/>
    <col min="6" max="6" width="15.33203125" style="1" customWidth="1"/>
    <col min="7" max="7" width="25.5546875" style="1" customWidth="1"/>
    <col min="8" max="8" width="17.5546875" style="1" customWidth="1"/>
    <col min="11" max="11" width="22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  <c r="K1" s="5" t="s">
        <v>9</v>
      </c>
      <c r="L1">
        <v>1556.4264198435999</v>
      </c>
    </row>
    <row r="2" spans="1:12" x14ac:dyDescent="0.3">
      <c r="A2" s="4" t="s">
        <v>12</v>
      </c>
      <c r="B2" s="1">
        <v>10</v>
      </c>
      <c r="C2" s="1">
        <v>8355</v>
      </c>
      <c r="D2" s="1">
        <v>13197582380</v>
      </c>
      <c r="E2" s="3" t="s">
        <v>13</v>
      </c>
      <c r="F2" s="3">
        <v>52.64</v>
      </c>
      <c r="G2" s="1">
        <v>673090</v>
      </c>
      <c r="H2" s="1">
        <v>1587.2</v>
      </c>
      <c r="K2" s="5" t="s">
        <v>8</v>
      </c>
      <c r="L2">
        <v>1508</v>
      </c>
    </row>
    <row r="3" spans="1:12" x14ac:dyDescent="0.3">
      <c r="A3" s="4" t="s">
        <v>14</v>
      </c>
      <c r="B3" s="1">
        <v>3</v>
      </c>
      <c r="C3" s="1">
        <v>7835</v>
      </c>
      <c r="D3" s="1">
        <v>1025716720</v>
      </c>
      <c r="E3" s="3" t="s">
        <v>15</v>
      </c>
      <c r="F3" s="3">
        <v>14.81</v>
      </c>
      <c r="G3" s="1">
        <v>639346</v>
      </c>
      <c r="H3" s="1">
        <v>1587.1</v>
      </c>
      <c r="K3" s="5" t="s">
        <v>11</v>
      </c>
      <c r="L3">
        <f>((L1-L2)/L2)*100</f>
        <v>3.2113010506365973</v>
      </c>
    </row>
    <row r="4" spans="1:12" x14ac:dyDescent="0.3">
      <c r="A4" s="4" t="s">
        <v>16</v>
      </c>
      <c r="B4" s="1">
        <v>10</v>
      </c>
      <c r="C4" s="1">
        <v>7005</v>
      </c>
      <c r="D4" s="1">
        <v>5255578645</v>
      </c>
      <c r="E4" s="3" t="s">
        <v>17</v>
      </c>
      <c r="F4" s="3">
        <v>44.36</v>
      </c>
      <c r="G4" s="1">
        <v>430370</v>
      </c>
      <c r="H4" s="1">
        <v>1579.13</v>
      </c>
      <c r="K4" s="5" t="s">
        <v>10</v>
      </c>
      <c r="L4">
        <v>1556.4264198435999</v>
      </c>
    </row>
    <row r="5" spans="1:12" x14ac:dyDescent="0.3">
      <c r="A5" s="4" t="s">
        <v>18</v>
      </c>
      <c r="B5" s="1">
        <v>5</v>
      </c>
      <c r="C5" s="1">
        <v>4112.5</v>
      </c>
      <c r="D5" s="1">
        <v>303826942.5</v>
      </c>
      <c r="E5" s="3" t="s">
        <v>19</v>
      </c>
      <c r="F5" s="3">
        <v>13.03</v>
      </c>
      <c r="G5" s="1">
        <v>365122</v>
      </c>
      <c r="H5" s="1">
        <v>1578.09</v>
      </c>
    </row>
    <row r="6" spans="1:12" x14ac:dyDescent="0.3">
      <c r="A6" s="4" t="s">
        <v>20</v>
      </c>
      <c r="B6" s="1">
        <v>10</v>
      </c>
      <c r="C6" s="1">
        <v>12480</v>
      </c>
      <c r="D6" s="1">
        <v>2285023280</v>
      </c>
      <c r="E6" s="3" t="s">
        <v>21</v>
      </c>
      <c r="F6" s="3">
        <v>78.7</v>
      </c>
      <c r="G6" s="1">
        <v>267497</v>
      </c>
      <c r="H6" s="1">
        <v>1585.77</v>
      </c>
    </row>
    <row r="7" spans="1:12" x14ac:dyDescent="0.3">
      <c r="A7" s="4" t="s">
        <v>22</v>
      </c>
      <c r="B7" s="1">
        <v>5</v>
      </c>
      <c r="C7" s="1">
        <v>2762.5</v>
      </c>
      <c r="D7" s="1">
        <v>942028055</v>
      </c>
      <c r="E7" s="3" t="s">
        <v>23</v>
      </c>
      <c r="F7" s="3">
        <v>8.7899999999999991</v>
      </c>
      <c r="G7" s="1">
        <v>234344</v>
      </c>
      <c r="H7" s="1">
        <v>1571.39</v>
      </c>
    </row>
    <row r="8" spans="1:12" x14ac:dyDescent="0.3">
      <c r="A8" s="4" t="s">
        <v>24</v>
      </c>
      <c r="B8" s="1">
        <v>10</v>
      </c>
      <c r="C8" s="1">
        <v>1905</v>
      </c>
      <c r="D8" s="1">
        <v>343190362</v>
      </c>
      <c r="E8" s="3" t="s">
        <v>25</v>
      </c>
      <c r="F8" s="3">
        <v>12.07</v>
      </c>
      <c r="G8" s="1">
        <v>199925</v>
      </c>
      <c r="H8" s="1">
        <v>1578.29</v>
      </c>
    </row>
    <row r="9" spans="1:12" x14ac:dyDescent="0.3">
      <c r="A9" s="4" t="s">
        <v>26</v>
      </c>
      <c r="B9" s="1">
        <v>5</v>
      </c>
      <c r="C9" s="1">
        <v>3255</v>
      </c>
      <c r="D9" s="1">
        <v>462822720</v>
      </c>
      <c r="E9" s="3" t="s">
        <v>27</v>
      </c>
      <c r="F9" s="3">
        <v>10.26</v>
      </c>
      <c r="G9" s="1">
        <v>168207</v>
      </c>
      <c r="H9" s="1">
        <v>1586.26</v>
      </c>
    </row>
    <row r="10" spans="1:12" x14ac:dyDescent="0.3">
      <c r="A10" s="4" t="s">
        <v>28</v>
      </c>
      <c r="B10" s="1">
        <v>1</v>
      </c>
      <c r="C10" s="1">
        <v>1219</v>
      </c>
      <c r="D10" s="1">
        <v>11040068301.299999</v>
      </c>
      <c r="E10" s="3" t="s">
        <v>29</v>
      </c>
      <c r="F10" s="3">
        <v>0.80110000000000003</v>
      </c>
      <c r="G10" s="1">
        <v>1665976.74</v>
      </c>
      <c r="H10" s="1">
        <v>1521.66</v>
      </c>
    </row>
    <row r="11" spans="1:12" x14ac:dyDescent="0.3">
      <c r="A11" s="4" t="s">
        <v>30</v>
      </c>
      <c r="B11" s="1">
        <v>1</v>
      </c>
      <c r="C11" s="1">
        <v>885.1</v>
      </c>
      <c r="D11" s="1">
        <v>8541644266.8999996</v>
      </c>
      <c r="E11" s="3" t="s">
        <v>31</v>
      </c>
      <c r="F11" s="3">
        <v>0.58099999999999996</v>
      </c>
      <c r="G11" s="1">
        <v>890254.12</v>
      </c>
      <c r="H11" s="1">
        <v>1523.41</v>
      </c>
    </row>
    <row r="12" spans="1:12" x14ac:dyDescent="0.3">
      <c r="E12" s="3"/>
      <c r="F12" s="3"/>
    </row>
    <row r="13" spans="1:12" x14ac:dyDescent="0.3">
      <c r="E13" s="3"/>
      <c r="F13" s="3"/>
    </row>
    <row r="14" spans="1:12" x14ac:dyDescent="0.3">
      <c r="E14" s="3"/>
      <c r="F14" s="3"/>
    </row>
    <row r="15" spans="1:12" x14ac:dyDescent="0.3">
      <c r="E15" s="3"/>
      <c r="F15" s="3"/>
    </row>
    <row r="16" spans="1:12" x14ac:dyDescent="0.3">
      <c r="E16" s="3"/>
      <c r="F16" s="3"/>
    </row>
    <row r="17" spans="5:6" x14ac:dyDescent="0.3">
      <c r="E17" s="3"/>
      <c r="F17" s="3"/>
    </row>
    <row r="18" spans="5:6" x14ac:dyDescent="0.3">
      <c r="E18" s="3"/>
      <c r="F18" s="3"/>
    </row>
    <row r="19" spans="5:6" x14ac:dyDescent="0.3">
      <c r="E19" s="3"/>
      <c r="F19" s="3"/>
    </row>
    <row r="20" spans="5:6" x14ac:dyDescent="0.3">
      <c r="E20" s="3"/>
      <c r="F20" s="3"/>
    </row>
    <row r="21" spans="5:6" x14ac:dyDescent="0.3">
      <c r="E21" s="3"/>
      <c r="F21" s="3"/>
    </row>
    <row r="22" spans="5:6" x14ac:dyDescent="0.3">
      <c r="E22" s="3"/>
      <c r="F2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DTI 2026-09-04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</dc:creator>
  <cp:lastModifiedBy>I Pinto</cp:lastModifiedBy>
  <dcterms:created xsi:type="dcterms:W3CDTF">2015-05-27T22:08:16Z</dcterms:created>
  <dcterms:modified xsi:type="dcterms:W3CDTF">2026-09-04T20:43:39Z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d46237d6-153f-495b-ba14-3ab26884f328</vt:lpwstr>
  </property>
</Properties>
</file>