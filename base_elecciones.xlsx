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r110574\PycharmProjects\Estrategias\Elecciones\"/>
    </mc:Choice>
  </mc:AlternateContent>
  <xr:revisionPtr revIDLastSave="0" documentId="13_ncr:1_{9939A713-374C-4C65-97C9-EC5E5607869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ase" sheetId="1" r:id="rId1"/>
    <sheet name="elecciones" sheetId="2" r:id="rId2"/>
  </sheets>
  <externalReferences>
    <externalReference r:id="rId3"/>
    <externalReference r:id="rId4"/>
  </externalReferences>
  <definedNames>
    <definedName name="_xlnm._FilterDatabase" localSheetId="0" hidden="1">base!$A$1:$K$282</definedName>
    <definedName name="SpreadsheetBuilder_1" hidden="1">base!$A$1:$G$2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1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2" i="1"/>
  <c r="I2" i="1"/>
  <c r="E282" i="1"/>
  <c r="G2" i="1"/>
  <c r="D2" i="1"/>
  <c r="C57" i="1"/>
  <c r="A2" i="1"/>
  <c r="K282" i="1" l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tc={0CD95A7D-0B51-4D8D-8772-86D4155A9C30}</author>
  </authors>
  <commentList>
    <comment ref="H1" authorId="0" shapeId="0" xr:uid="{0CD95A7D-0B51-4D8D-8772-86D4155A9C30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sector registrado (Indec)</t>
      </text>
    </comment>
  </commentList>
</comments>
</file>

<file path=xl/sharedStrings.xml><?xml version="1.0" encoding="utf-8"?>
<sst xmlns="http://schemas.openxmlformats.org/spreadsheetml/2006/main" count="14" uniqueCount="14">
  <si>
    <t>Dates</t>
  </si>
  <si>
    <t>ipc_yoy</t>
  </si>
  <si>
    <t>indice_lider</t>
  </si>
  <si>
    <t>icc</t>
  </si>
  <si>
    <t>icg</t>
  </si>
  <si>
    <t>tc_real</t>
  </si>
  <si>
    <t>EMAE_yoy</t>
  </si>
  <si>
    <t>brecha_cambiaria</t>
  </si>
  <si>
    <t>salario_mom</t>
  </si>
  <si>
    <t>ipc_mom</t>
  </si>
  <si>
    <t>salario_real_mom</t>
  </si>
  <si>
    <t>año</t>
  </si>
  <si>
    <t>Oficialismo</t>
  </si>
  <si>
    <t>Oposición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</si>
</sst>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9" fontId="0" fillId="0" borderId="0" xfId="0" applyNumberFormat="1"/>
    <xf numFmtId="10" fontId="0" fillId="0" borderId="0" xfId="2" applyNumberFormat="1" applyFont="1"/>
    <xf numFmtId="43" fontId="0" fillId="0" borderId="0" xfId="1" applyFont="1"/>
    <xf numFmtId="43" fontId="0" fillId="2" borderId="0" xfId="1" applyFont="1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10" fontId="0" fillId="3" borderId="0" xfId="2" applyNumberFormat="1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10" fontId="0" fillId="4" borderId="0" xfId="2" applyNumberFormat="1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BDH|15070210950524864061</stp>
        <tr r="A2" s="1"/>
      </tp>
      <tp t="e">
        <v>#N/A</v>
        <stp/>
        <stp>BDH|11168424220138129879</stp>
        <tr r="D2" s="1"/>
      </tp>
    </main>
    <main first="bofaddin.rtdserver">
      <tp t="e">
        <v>#N/A</v>
        <stp/>
        <stp>BDH|9512332167119882405</stp>
        <tr r="C57" s="1"/>
      </tp>
      <tp t="e">
        <v>#N/A</v>
        <stp/>
        <stp>BDH|1107348101819832970</stp>
        <tr r="G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volatileDependencies" Target="volatileDependencies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Files\User\PORTFOLI\PORFOLIO\BaseDatos\ARG\DOLMES.xlsx" TargetMode="External"/><Relationship Id="rId1" Type="http://schemas.openxmlformats.org/officeDocument/2006/relationships/externalLinkPath" Target="file:///R:\Files\User\PORTFOLI\PORFOLIO\BaseDatos\ARG\DOLM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Files\User\PORTFOLI\PORFOLIO\BaseDatos\ARG\Inflacion.xlsx" TargetMode="External"/><Relationship Id="rId1" Type="http://schemas.openxmlformats.org/officeDocument/2006/relationships/externalLinkPath" Target="file:///R:\Files\User\PORTFOLI\PORFOLIO\BaseDatos\ARG\Inflac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awdowns"/>
      <sheetName val="Crisis cambiarias"/>
      <sheetName val="Chart1"/>
      <sheetName val="Histograma Brecha"/>
      <sheetName val="Histograma Brecha con Brecha"/>
      <sheetName val="Histograma TCL"/>
      <sheetName val="Salida para Resumen Valuación"/>
      <sheetName val="Analisis Cierre de Brecha"/>
      <sheetName val="Brecha"/>
      <sheetName val="TCR 2"/>
      <sheetName val="DOLMES"/>
      <sheetName val="Dinam Unificación"/>
      <sheetName val="histograma"/>
      <sheetName val="TCR Anual"/>
      <sheetName val="Chart6"/>
      <sheetName val="Regimenes Brecha"/>
      <sheetName val="Chart7"/>
      <sheetName val="Chart8"/>
      <sheetName val="Sheet1"/>
      <sheetName val="Elecciones2"/>
      <sheetName val="Elecciones"/>
      <sheetName val="TC Electoral graph (2)"/>
      <sheetName val="TC Electoral graph"/>
      <sheetName val="Estacionalidad Dolar"/>
      <sheetName val="GraficoTCRM"/>
      <sheetName val="Chart10"/>
      <sheetName val="EMAE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>
        <row r="790">
          <cell r="J790">
            <v>3199.6331802043323</v>
          </cell>
        </row>
        <row r="791">
          <cell r="J791">
            <v>2924.5294833626963</v>
          </cell>
        </row>
        <row r="792">
          <cell r="J792">
            <v>2863.7127574698802</v>
          </cell>
        </row>
        <row r="793">
          <cell r="J793">
            <v>2785.0465409483563</v>
          </cell>
        </row>
        <row r="794">
          <cell r="J794">
            <v>2579.6002025513562</v>
          </cell>
        </row>
        <row r="795">
          <cell r="J795">
            <v>2520.4602937612453</v>
          </cell>
        </row>
        <row r="796">
          <cell r="J796">
            <v>2512.789378479009</v>
          </cell>
        </row>
        <row r="797">
          <cell r="J797">
            <v>2497.3355716653082</v>
          </cell>
        </row>
        <row r="798">
          <cell r="J798">
            <v>2619.4344873089644</v>
          </cell>
        </row>
        <row r="799">
          <cell r="J799">
            <v>2625.1726121984748</v>
          </cell>
        </row>
        <row r="800">
          <cell r="J800">
            <v>2538.0636110112732</v>
          </cell>
        </row>
        <row r="801">
          <cell r="J801">
            <v>2552.6880953229902</v>
          </cell>
        </row>
        <row r="802">
          <cell r="J802">
            <v>2584.5500690820668</v>
          </cell>
        </row>
        <row r="803">
          <cell r="J803">
            <v>2564.4112469651332</v>
          </cell>
        </row>
        <row r="804">
          <cell r="J804">
            <v>2591.6556438940452</v>
          </cell>
        </row>
        <row r="805">
          <cell r="J805">
            <v>2567.4136273642521</v>
          </cell>
        </row>
        <row r="806">
          <cell r="J806">
            <v>2492.313985130012</v>
          </cell>
        </row>
        <row r="807">
          <cell r="J807">
            <v>2555.6095094965945</v>
          </cell>
        </row>
        <row r="808">
          <cell r="J808">
            <v>2594.3115084656079</v>
          </cell>
        </row>
        <row r="809">
          <cell r="J809">
            <v>2570.6063756701856</v>
          </cell>
        </row>
        <row r="810">
          <cell r="J810">
            <v>2605.3246023182064</v>
          </cell>
        </row>
        <row r="811">
          <cell r="J811">
            <v>2582.831865195928</v>
          </cell>
        </row>
        <row r="812">
          <cell r="J812">
            <v>2538.0329486745582</v>
          </cell>
        </row>
        <row r="813">
          <cell r="J813">
            <v>2539.3525004006215</v>
          </cell>
        </row>
        <row r="814">
          <cell r="J814">
            <v>2531.6186832761646</v>
          </cell>
        </row>
        <row r="815">
          <cell r="J815">
            <v>2488.4968742572582</v>
          </cell>
        </row>
        <row r="816">
          <cell r="J816">
            <v>2440.4381746802028</v>
          </cell>
        </row>
        <row r="817">
          <cell r="J817">
            <v>2435.2611934664155</v>
          </cell>
        </row>
        <row r="818">
          <cell r="J818">
            <v>2419.3055754171382</v>
          </cell>
        </row>
        <row r="819">
          <cell r="J819">
            <v>2405.3350468627887</v>
          </cell>
        </row>
        <row r="820">
          <cell r="J820">
            <v>2354.0441928953896</v>
          </cell>
        </row>
        <row r="821">
          <cell r="J821">
            <v>2321.7716675399511</v>
          </cell>
        </row>
        <row r="822">
          <cell r="J822">
            <v>2339.1101895904267</v>
          </cell>
        </row>
        <row r="823">
          <cell r="J823">
            <v>2362.4458993474736</v>
          </cell>
        </row>
        <row r="824">
          <cell r="J824">
            <v>2401.8568790538898</v>
          </cell>
        </row>
        <row r="825">
          <cell r="J825">
            <v>2369.3586321098051</v>
          </cell>
        </row>
        <row r="826">
          <cell r="J826">
            <v>2385.6557263073787</v>
          </cell>
        </row>
        <row r="827">
          <cell r="J827">
            <v>2402.7443986857252</v>
          </cell>
        </row>
        <row r="828">
          <cell r="J828">
            <v>2395.4692295087862</v>
          </cell>
        </row>
        <row r="829">
          <cell r="J829">
            <v>2363.7117895263555</v>
          </cell>
        </row>
        <row r="830">
          <cell r="J830">
            <v>2342.2507543239476</v>
          </cell>
        </row>
        <row r="831">
          <cell r="J831">
            <v>2348.5910962709868</v>
          </cell>
        </row>
        <row r="832">
          <cell r="J832">
            <v>2361.5313194180749</v>
          </cell>
        </row>
        <row r="833">
          <cell r="J833">
            <v>2355.2383747100748</v>
          </cell>
        </row>
        <row r="834">
          <cell r="J834">
            <v>2331.9784265860126</v>
          </cell>
        </row>
        <row r="835">
          <cell r="J835">
            <v>2315.2019302623958</v>
          </cell>
        </row>
        <row r="836">
          <cell r="J836">
            <v>2295.9875033295416</v>
          </cell>
        </row>
        <row r="837">
          <cell r="J837">
            <v>2256.0532695793336</v>
          </cell>
        </row>
        <row r="838">
          <cell r="J838">
            <v>2189.7328225855845</v>
          </cell>
        </row>
        <row r="839">
          <cell r="J839">
            <v>2195.7206614107113</v>
          </cell>
        </row>
        <row r="840">
          <cell r="J840">
            <v>2219.1323025143261</v>
          </cell>
        </row>
        <row r="841">
          <cell r="J841">
            <v>2219.0005178508404</v>
          </cell>
        </row>
        <row r="842">
          <cell r="J842">
            <v>2164.6399347312718</v>
          </cell>
        </row>
        <row r="843">
          <cell r="J843">
            <v>2143.3446868763676</v>
          </cell>
        </row>
        <row r="844">
          <cell r="J844">
            <v>2105.5265748659085</v>
          </cell>
        </row>
        <row r="845">
          <cell r="J845">
            <v>2095.3841256249016</v>
          </cell>
        </row>
        <row r="846">
          <cell r="J846">
            <v>2058.3545124498055</v>
          </cell>
        </row>
        <row r="847">
          <cell r="J847">
            <v>2009.9788950101295</v>
          </cell>
        </row>
        <row r="848">
          <cell r="J848">
            <v>1993.7567663669008</v>
          </cell>
        </row>
        <row r="849">
          <cell r="J849">
            <v>2000.9224815905277</v>
          </cell>
        </row>
        <row r="850">
          <cell r="J850">
            <v>1931.2830663566776</v>
          </cell>
        </row>
        <row r="851">
          <cell r="J851">
            <v>1963.7166221933408</v>
          </cell>
        </row>
        <row r="852">
          <cell r="J852">
            <v>1943.0474290877544</v>
          </cell>
        </row>
        <row r="853">
          <cell r="J853">
            <v>1883.1670065432349</v>
          </cell>
        </row>
        <row r="854">
          <cell r="J854">
            <v>1845.9534975341621</v>
          </cell>
        </row>
        <row r="855">
          <cell r="J855">
            <v>1877.8596331797596</v>
          </cell>
        </row>
        <row r="856">
          <cell r="J856">
            <v>1821.9905935449051</v>
          </cell>
        </row>
        <row r="857">
          <cell r="J857">
            <v>1747.2565644559024</v>
          </cell>
        </row>
        <row r="858">
          <cell r="J858">
            <v>1702.3473905369599</v>
          </cell>
        </row>
        <row r="859">
          <cell r="J859">
            <v>1722.4107695788964</v>
          </cell>
        </row>
        <row r="860">
          <cell r="J860">
            <v>1835.4829643617343</v>
          </cell>
        </row>
        <row r="861">
          <cell r="J861">
            <v>1938.76177543627</v>
          </cell>
        </row>
        <row r="862">
          <cell r="J862">
            <v>1833.1430435386721</v>
          </cell>
        </row>
        <row r="863">
          <cell r="J863">
            <v>1833.5034599975008</v>
          </cell>
        </row>
        <row r="864">
          <cell r="J864">
            <v>1870.691152299459</v>
          </cell>
        </row>
        <row r="865">
          <cell r="J865">
            <v>1893.724776018119</v>
          </cell>
        </row>
        <row r="866">
          <cell r="J866">
            <v>1879.1571861718933</v>
          </cell>
        </row>
        <row r="867">
          <cell r="J867">
            <v>1879.8969945689437</v>
          </cell>
        </row>
        <row r="868">
          <cell r="J868">
            <v>1942.6796042556584</v>
          </cell>
        </row>
        <row r="869">
          <cell r="J869">
            <v>1910.2874244768557</v>
          </cell>
        </row>
        <row r="870">
          <cell r="J870">
            <v>1865.2118567655302</v>
          </cell>
        </row>
        <row r="871">
          <cell r="J871">
            <v>1825.3028744051269</v>
          </cell>
        </row>
        <row r="872">
          <cell r="J872">
            <v>1775.3154546983512</v>
          </cell>
        </row>
        <row r="873">
          <cell r="J873">
            <v>1746.1694982839385</v>
          </cell>
        </row>
        <row r="874">
          <cell r="J874">
            <v>1699.587227701378</v>
          </cell>
        </row>
        <row r="875">
          <cell r="J875">
            <v>1677.7137900255655</v>
          </cell>
        </row>
        <row r="876">
          <cell r="J876">
            <v>1643.9354478022738</v>
          </cell>
        </row>
        <row r="877">
          <cell r="J877">
            <v>1604.714994571053</v>
          </cell>
        </row>
        <row r="878">
          <cell r="J878">
            <v>1581.6317824162343</v>
          </cell>
        </row>
        <row r="879">
          <cell r="J879">
            <v>1576.3634467683221</v>
          </cell>
        </row>
        <row r="880">
          <cell r="J880">
            <v>1585.9178521008641</v>
          </cell>
        </row>
        <row r="881">
          <cell r="J881">
            <v>1546.5494177976282</v>
          </cell>
        </row>
        <row r="882">
          <cell r="J882">
            <v>1532.0261706919091</v>
          </cell>
        </row>
        <row r="883">
          <cell r="J883">
            <v>1507.5321576953763</v>
          </cell>
        </row>
        <row r="884">
          <cell r="J884">
            <v>1460.6427744256825</v>
          </cell>
        </row>
        <row r="885">
          <cell r="J885">
            <v>1445.1000575501869</v>
          </cell>
        </row>
        <row r="886">
          <cell r="J886">
            <v>1438.4475192555144</v>
          </cell>
        </row>
        <row r="887">
          <cell r="J887">
            <v>1447.7491652515075</v>
          </cell>
        </row>
        <row r="888">
          <cell r="J888">
            <v>1469.579300870734</v>
          </cell>
        </row>
        <row r="889">
          <cell r="J889">
            <v>1465.8698044350572</v>
          </cell>
        </row>
        <row r="890">
          <cell r="J890">
            <v>1444.7447268862145</v>
          </cell>
        </row>
        <row r="891">
          <cell r="J891">
            <v>1472.8260021478061</v>
          </cell>
        </row>
        <row r="892">
          <cell r="J892">
            <v>1438.4002022086656</v>
          </cell>
        </row>
        <row r="893">
          <cell r="J893">
            <v>1384.1069468855478</v>
          </cell>
        </row>
        <row r="894">
          <cell r="J894">
            <v>1392.3918477609361</v>
          </cell>
        </row>
        <row r="895">
          <cell r="J895">
            <v>1439.8478974842169</v>
          </cell>
        </row>
        <row r="896">
          <cell r="J896">
            <v>1460.0446756625647</v>
          </cell>
        </row>
        <row r="897">
          <cell r="J897">
            <v>1443.7120059525903</v>
          </cell>
        </row>
        <row r="898">
          <cell r="J898">
            <v>1402.7395960898082</v>
          </cell>
        </row>
        <row r="899">
          <cell r="J899">
            <v>1389.7566450672748</v>
          </cell>
        </row>
        <row r="900">
          <cell r="J900">
            <v>1395.0889398856061</v>
          </cell>
        </row>
        <row r="901">
          <cell r="J901">
            <v>1432.0622198018675</v>
          </cell>
        </row>
        <row r="902">
          <cell r="J902">
            <v>1531.3408626956659</v>
          </cell>
        </row>
        <row r="903">
          <cell r="J903">
            <v>1614.9279131341525</v>
          </cell>
        </row>
        <row r="904">
          <cell r="J904">
            <v>1765.5864860235079</v>
          </cell>
        </row>
        <row r="905">
          <cell r="J905">
            <v>1791.4904314184612</v>
          </cell>
        </row>
        <row r="906">
          <cell r="J906">
            <v>1717.3227205257285</v>
          </cell>
        </row>
        <row r="907">
          <cell r="J907">
            <v>1664.3028303967524</v>
          </cell>
        </row>
        <row r="908">
          <cell r="J908">
            <v>1633.9067144156995</v>
          </cell>
        </row>
        <row r="909">
          <cell r="J909">
            <v>1722.3044777434784</v>
          </cell>
        </row>
        <row r="910">
          <cell r="J910">
            <v>1648.4220356726771</v>
          </cell>
        </row>
        <row r="911">
          <cell r="J911">
            <v>1763.6429544136049</v>
          </cell>
        </row>
        <row r="912">
          <cell r="J912">
            <v>1863.7934769014601</v>
          </cell>
        </row>
        <row r="913">
          <cell r="J913">
            <v>1942.8640259631748</v>
          </cell>
        </row>
        <row r="914">
          <cell r="J914">
            <v>2026.2538686215</v>
          </cell>
        </row>
        <row r="915">
          <cell r="J915">
            <v>2012.2199934222708</v>
          </cell>
        </row>
        <row r="916">
          <cell r="J916">
            <v>1793.4099180510227</v>
          </cell>
        </row>
        <row r="917">
          <cell r="J917">
            <v>1779.0169280528542</v>
          </cell>
        </row>
        <row r="918">
          <cell r="J918">
            <v>1824.5061872868951</v>
          </cell>
        </row>
        <row r="919">
          <cell r="J919">
            <v>1904.0305656687381</v>
          </cell>
        </row>
        <row r="920">
          <cell r="J920">
            <v>1861.8597498521535</v>
          </cell>
        </row>
        <row r="921">
          <cell r="J921">
            <v>1781.6054609422486</v>
          </cell>
        </row>
        <row r="922">
          <cell r="J922">
            <v>1627.3802519887925</v>
          </cell>
        </row>
        <row r="923">
          <cell r="J923">
            <v>1851.9640754010768</v>
          </cell>
        </row>
        <row r="924">
          <cell r="J924">
            <v>1873.6462689062203</v>
          </cell>
        </row>
        <row r="925">
          <cell r="J925">
            <v>1692.8563465663804</v>
          </cell>
        </row>
        <row r="926">
          <cell r="J926">
            <v>1591.0454741938545</v>
          </cell>
        </row>
        <row r="927">
          <cell r="J927">
            <v>1663.5151924164516</v>
          </cell>
        </row>
        <row r="928">
          <cell r="J928">
            <v>1640.4897254015707</v>
          </cell>
        </row>
        <row r="929">
          <cell r="J929">
            <v>1541.1100284123168</v>
          </cell>
        </row>
        <row r="930">
          <cell r="J930">
            <v>1730.5345435398763</v>
          </cell>
        </row>
        <row r="931">
          <cell r="J931">
            <v>2020.1296431004216</v>
          </cell>
        </row>
        <row r="932">
          <cell r="J932">
            <v>1954.9297080728893</v>
          </cell>
        </row>
        <row r="933">
          <cell r="J933">
            <v>1732.369868148776</v>
          </cell>
        </row>
        <row r="934">
          <cell r="J934">
            <v>1594.2217343052005</v>
          </cell>
        </row>
        <row r="935">
          <cell r="J935">
            <v>1651.4789684894918</v>
          </cell>
        </row>
        <row r="936">
          <cell r="J936">
            <v>1616.1131414445642</v>
          </cell>
        </row>
        <row r="937">
          <cell r="J937">
            <v>1563.6485722929533</v>
          </cell>
        </row>
        <row r="938">
          <cell r="J938">
            <v>1541.5780688069876</v>
          </cell>
        </row>
        <row r="939">
          <cell r="J939">
            <v>1509.1344264083432</v>
          </cell>
        </row>
        <row r="940">
          <cell r="J940">
            <v>1523.4800826462304</v>
          </cell>
        </row>
        <row r="941">
          <cell r="J941">
            <v>1640.7583970660166</v>
          </cell>
        </row>
        <row r="942">
          <cell r="J942">
            <v>1635.7031184453658</v>
          </cell>
        </row>
        <row r="943">
          <cell r="J943">
            <v>1639.937627089623</v>
          </cell>
        </row>
        <row r="944">
          <cell r="J944">
            <v>1606.5410206045919</v>
          </cell>
        </row>
        <row r="945">
          <cell r="J945">
            <v>1618.86113816119</v>
          </cell>
        </row>
        <row r="946">
          <cell r="J946">
            <v>1527.0669554824794</v>
          </cell>
        </row>
        <row r="947">
          <cell r="J947">
            <v>1429.5422320802672</v>
          </cell>
        </row>
        <row r="948">
          <cell r="J948">
            <v>1493.8788977792051</v>
          </cell>
        </row>
        <row r="949">
          <cell r="J949">
            <v>1444.0271581413026</v>
          </cell>
        </row>
        <row r="950">
          <cell r="J950">
            <v>1350.8497523903629</v>
          </cell>
        </row>
        <row r="951">
          <cell r="J951">
            <v>1271.0213233918655</v>
          </cell>
        </row>
        <row r="952">
          <cell r="J952">
            <v>1252.576416400173</v>
          </cell>
        </row>
        <row r="953">
          <cell r="J953">
            <v>1292.2773773262493</v>
          </cell>
        </row>
        <row r="954">
          <cell r="J954">
            <v>1282.0478251823474</v>
          </cell>
        </row>
        <row r="955">
          <cell r="J955">
            <v>1290.0499501202091</v>
          </cell>
        </row>
        <row r="956">
          <cell r="J956">
            <v>1268.8728803787346</v>
          </cell>
        </row>
        <row r="957">
          <cell r="J957">
            <v>1264.0117411636279</v>
          </cell>
        </row>
        <row r="958">
          <cell r="J958">
            <v>1288.0714440632537</v>
          </cell>
        </row>
        <row r="959">
          <cell r="J959">
            <v>1272.8584495050752</v>
          </cell>
        </row>
        <row r="960">
          <cell r="J960">
            <v>1233.2627880106111</v>
          </cell>
        </row>
        <row r="961">
          <cell r="J961">
            <v>1198.3121983904211</v>
          </cell>
        </row>
        <row r="962">
          <cell r="J962">
            <v>1159.5026036729378</v>
          </cell>
        </row>
        <row r="963">
          <cell r="J963">
            <v>1169.8815628725436</v>
          </cell>
        </row>
        <row r="964">
          <cell r="J964">
            <v>1186.3550840807527</v>
          </cell>
        </row>
        <row r="965">
          <cell r="J965">
            <v>1235.9690533976438</v>
          </cell>
        </row>
        <row r="966">
          <cell r="J966">
            <v>1245.3928550231587</v>
          </cell>
        </row>
        <row r="967">
          <cell r="J967">
            <v>1215.6612104654166</v>
          </cell>
        </row>
        <row r="968">
          <cell r="J968">
            <v>1211.1455966368721</v>
          </cell>
        </row>
        <row r="969">
          <cell r="J969">
            <v>1196.4580978915037</v>
          </cell>
        </row>
        <row r="970">
          <cell r="J970">
            <v>1169.953439118299</v>
          </cell>
        </row>
        <row r="971">
          <cell r="J971">
            <v>1250.3605820603896</v>
          </cell>
        </row>
        <row r="972">
          <cell r="J972">
            <v>1277.53898965759</v>
          </cell>
        </row>
        <row r="973">
          <cell r="J973">
            <v>1273.0018606755086</v>
          </cell>
        </row>
        <row r="974">
          <cell r="J974">
            <v>1244.2180000257524</v>
          </cell>
        </row>
        <row r="975">
          <cell r="J975">
            <v>1439.5400190066666</v>
          </cell>
        </row>
        <row r="976">
          <cell r="J976">
            <v>1567.3835117092581</v>
          </cell>
        </row>
        <row r="977">
          <cell r="J977">
            <v>1561.5407743544185</v>
          </cell>
        </row>
        <row r="978">
          <cell r="J978">
            <v>1651.2079823539232</v>
          </cell>
        </row>
        <row r="979">
          <cell r="J979">
            <v>1985.8683761942864</v>
          </cell>
        </row>
        <row r="980">
          <cell r="J980">
            <v>1809.9478266151632</v>
          </cell>
        </row>
        <row r="981">
          <cell r="J981">
            <v>1718.9432911703366</v>
          </cell>
        </row>
        <row r="982">
          <cell r="J982">
            <v>1737.4850181421971</v>
          </cell>
        </row>
        <row r="983">
          <cell r="J983">
            <v>1672.2219611620005</v>
          </cell>
        </row>
        <row r="984">
          <cell r="J984">
            <v>1660.2145361293074</v>
          </cell>
        </row>
        <row r="985">
          <cell r="J985">
            <v>1722.9160064148982</v>
          </cell>
        </row>
        <row r="986">
          <cell r="J986">
            <v>1751.7870570816349</v>
          </cell>
        </row>
        <row r="987">
          <cell r="J987">
            <v>1767.4426068782043</v>
          </cell>
        </row>
        <row r="988">
          <cell r="J988">
            <v>1672.2744922313127</v>
          </cell>
        </row>
        <row r="989">
          <cell r="J989">
            <v>1594.6516688644094</v>
          </cell>
        </row>
        <row r="990">
          <cell r="J990">
            <v>1919.65865949466</v>
          </cell>
        </row>
        <row r="991">
          <cell r="J991">
            <v>2172.1148111497432</v>
          </cell>
        </row>
        <row r="992">
          <cell r="J992">
            <v>2306.6822461465999</v>
          </cell>
        </row>
        <row r="993">
          <cell r="J993">
            <v>2309.2510429513122</v>
          </cell>
        </row>
        <row r="994">
          <cell r="J994">
            <v>2223.075699990949</v>
          </cell>
        </row>
        <row r="995">
          <cell r="J995">
            <v>2378.6716128825315</v>
          </cell>
        </row>
        <row r="996">
          <cell r="J996">
            <v>2402.2030718541414</v>
          </cell>
        </row>
        <row r="997">
          <cell r="J997">
            <v>2434.6277160073523</v>
          </cell>
        </row>
        <row r="998">
          <cell r="J998">
            <v>2871.2144382191987</v>
          </cell>
        </row>
        <row r="999">
          <cell r="J999">
            <v>3150.9544038317767</v>
          </cell>
        </row>
        <row r="1000">
          <cell r="J1000">
            <v>2925.5623439717938</v>
          </cell>
        </row>
        <row r="1001">
          <cell r="J1001">
            <v>3002.74490329733</v>
          </cell>
        </row>
        <row r="1002">
          <cell r="J1002">
            <v>3256.277238079203</v>
          </cell>
        </row>
        <row r="1003">
          <cell r="J1003">
            <v>3284.9895364672925</v>
          </cell>
        </row>
        <row r="1004">
          <cell r="J1004">
            <v>3659.5823669112433</v>
          </cell>
        </row>
        <row r="1005">
          <cell r="J1005">
            <v>3407.0796672163015</v>
          </cell>
        </row>
        <row r="1006">
          <cell r="J1006">
            <v>3197.6739072291293</v>
          </cell>
        </row>
        <row r="1007">
          <cell r="J1007">
            <v>3202.5309488846792</v>
          </cell>
        </row>
        <row r="1008">
          <cell r="J1008">
            <v>3110.9566927081678</v>
          </cell>
        </row>
        <row r="1009">
          <cell r="J1009">
            <v>2950.6770611745683</v>
          </cell>
        </row>
        <row r="1010">
          <cell r="J1010">
            <v>2911.0065208437736</v>
          </cell>
        </row>
        <row r="1011">
          <cell r="J1011">
            <v>3025.6774413970861</v>
          </cell>
        </row>
        <row r="1012">
          <cell r="J1012">
            <v>3070.8826385025732</v>
          </cell>
        </row>
        <row r="1013">
          <cell r="J1013">
            <v>3126.1001501777223</v>
          </cell>
        </row>
        <row r="1014">
          <cell r="J1014">
            <v>3120.3113464729504</v>
          </cell>
        </row>
        <row r="1015">
          <cell r="J1015">
            <v>3103.1540266909092</v>
          </cell>
        </row>
        <row r="1016">
          <cell r="J1016">
            <v>3227.0848204649283</v>
          </cell>
        </row>
        <row r="1017">
          <cell r="J1017">
            <v>3445.249305145629</v>
          </cell>
        </row>
        <row r="1018">
          <cell r="J1018">
            <v>3247.7993819302915</v>
          </cell>
        </row>
        <row r="1019">
          <cell r="J1019">
            <v>3265.7937934734987</v>
          </cell>
        </row>
        <row r="1020">
          <cell r="J1020">
            <v>3112.9404569440962</v>
          </cell>
        </row>
        <row r="1021">
          <cell r="J1021">
            <v>2777.0216200855452</v>
          </cell>
        </row>
        <row r="1022">
          <cell r="J1022">
            <v>2665.2603669599589</v>
          </cell>
        </row>
        <row r="1023">
          <cell r="J1023">
            <v>2716.1983482823057</v>
          </cell>
        </row>
        <row r="1024">
          <cell r="J1024">
            <v>2845.2389203351518</v>
          </cell>
        </row>
        <row r="1025">
          <cell r="J1025">
            <v>3431.4781769219958</v>
          </cell>
        </row>
        <row r="1026">
          <cell r="J1026">
            <v>3102.410281961716</v>
          </cell>
        </row>
        <row r="1027">
          <cell r="J1027">
            <v>2978.3956611784206</v>
          </cell>
        </row>
        <row r="1028">
          <cell r="J1028">
            <v>2893.3400044922332</v>
          </cell>
        </row>
        <row r="1029">
          <cell r="J1029">
            <v>2838.7727626976853</v>
          </cell>
        </row>
        <row r="1030">
          <cell r="J1030">
            <v>2869.8362335050329</v>
          </cell>
        </row>
        <row r="1031">
          <cell r="J1031">
            <v>2868.2348387408879</v>
          </cell>
        </row>
        <row r="1032">
          <cell r="J1032">
            <v>2817.2888047192728</v>
          </cell>
        </row>
        <row r="1033">
          <cell r="J1033">
            <v>2801.7052354409366</v>
          </cell>
        </row>
        <row r="1034">
          <cell r="J1034">
            <v>2830.8177399435622</v>
          </cell>
        </row>
        <row r="1035">
          <cell r="J1035">
            <v>2856.0699995187597</v>
          </cell>
        </row>
        <row r="1036">
          <cell r="J1036">
            <v>2910.7723692487257</v>
          </cell>
        </row>
        <row r="1037">
          <cell r="J1037">
            <v>2841.0187640380445</v>
          </cell>
        </row>
        <row r="1038">
          <cell r="J1038">
            <v>3148.3871153243763</v>
          </cell>
        </row>
        <row r="1039">
          <cell r="J1039">
            <v>3140.5369675718807</v>
          </cell>
        </row>
        <row r="1040">
          <cell r="J1040">
            <v>3563.1310195486963</v>
          </cell>
        </row>
        <row r="1041">
          <cell r="J1041">
            <v>3249.0352908276718</v>
          </cell>
        </row>
        <row r="1042">
          <cell r="J1042">
            <v>2808.9741337677583</v>
          </cell>
        </row>
        <row r="1043">
          <cell r="J1043">
            <v>2858.5189233890123</v>
          </cell>
        </row>
        <row r="1044">
          <cell r="J1044">
            <v>2449.4517057787762</v>
          </cell>
        </row>
        <row r="1045">
          <cell r="J1045">
            <v>2029.5418967417468</v>
          </cell>
        </row>
        <row r="1046">
          <cell r="J1046">
            <v>1861.4863517772465</v>
          </cell>
        </row>
        <row r="1047">
          <cell r="J1047">
            <v>1963.8676540906802</v>
          </cell>
        </row>
        <row r="1048">
          <cell r="J1048">
            <v>2140.830689853346</v>
          </cell>
        </row>
        <row r="1049">
          <cell r="J1049">
            <v>2144.8131121110587</v>
          </cell>
        </row>
        <row r="1050">
          <cell r="J1050">
            <v>1979.580807774448</v>
          </cell>
        </row>
        <row r="1051">
          <cell r="J1051">
            <v>1837.8519309838355</v>
          </cell>
        </row>
        <row r="1052">
          <cell r="J1052">
            <v>1699.5861406010677</v>
          </cell>
        </row>
        <row r="1053">
          <cell r="J1053">
            <v>1585.6214551664457</v>
          </cell>
        </row>
        <row r="1054">
          <cell r="J1054">
            <v>1533.2848274031289</v>
          </cell>
        </row>
        <row r="1055">
          <cell r="J1055">
            <v>1592.8809157661574</v>
          </cell>
        </row>
        <row r="1056">
          <cell r="J1056">
            <v>1589.0893730660912</v>
          </cell>
        </row>
        <row r="1057">
          <cell r="J1057">
            <v>1623.311581901592</v>
          </cell>
        </row>
        <row r="1058">
          <cell r="J1058">
            <v>1568.0546199728626</v>
          </cell>
        </row>
        <row r="1059">
          <cell r="J1059">
            <v>1445.3723762571929</v>
          </cell>
        </row>
        <row r="1060">
          <cell r="J1060">
            <v>1455.6674394284585</v>
          </cell>
        </row>
        <row r="1061">
          <cell r="J1061">
            <v>1531.7507312885029</v>
          </cell>
        </row>
        <row r="1062">
          <cell r="J1062">
            <v>1576.0607832507244</v>
          </cell>
        </row>
        <row r="1063">
          <cell r="J1063">
            <v>1675.1208613587435</v>
          </cell>
        </row>
        <row r="1064">
          <cell r="J1064">
            <v>1713.4904970908574</v>
          </cell>
        </row>
        <row r="1065">
          <cell r="J1065">
            <v>1642.7765309599358</v>
          </cell>
        </row>
        <row r="1066">
          <cell r="J1066">
            <v>1630.4128283930106</v>
          </cell>
        </row>
        <row r="1067">
          <cell r="J1067">
            <v>1584.7143762729052</v>
          </cell>
        </row>
        <row r="1068">
          <cell r="J1068">
            <v>1494.9947495425185</v>
          </cell>
        </row>
        <row r="1069">
          <cell r="J1069">
            <v>1453.9192720198951</v>
          </cell>
        </row>
        <row r="1070">
          <cell r="J1070">
            <v>1431.6799213722268</v>
          </cell>
          <cell r="AF1070">
            <v>5.5250094197148325E-2</v>
          </cell>
        </row>
      </sheetData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/>
      <sheetData sheetId="24"/>
      <sheetData sheetId="25" refreshError="1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nks"/>
      <sheetName val="Chart1"/>
      <sheetName val="INFLACIO"/>
      <sheetName val="CPI arg-usa"/>
      <sheetName val="Chart2"/>
      <sheetName val="Chart3"/>
      <sheetName val="Chart4"/>
      <sheetName val="Chart5"/>
      <sheetName val="Chart6"/>
      <sheetName val="Chart7"/>
      <sheetName val="Chart8"/>
      <sheetName val="Chart9"/>
    </sheetNames>
    <sheetDataSet>
      <sheetData sheetId="0"/>
      <sheetData sheetId="1" refreshError="1"/>
      <sheetData sheetId="2">
        <row r="519">
          <cell r="D519">
            <v>0.32502458842809001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lambi, Ruben Orlando" id="{31A78F2A-4427-429A-84B6-A64D9BAD4619}" userId="S::ruben.llambi@icbc.com.ar::401ebe16-d378-477c-80b5-4335b70cfd5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6-05-11T18:33:25.38" personId="{31A78F2A-4427-429A-84B6-A64D9BAD4619}" id="{0CD95A7D-0B51-4D8D-8772-86D4155A9C30}">
    <text>Total sector registrado (Indec)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7"/>
  <sheetViews>
    <sheetView workbookViewId="0">
      <selection activeCell="B2" sqref="B2"/>
    </sheetView>
  </sheetViews>
  <sheetFormatPr defaultRowHeight="14.5" x14ac:dyDescent="0.35"/>
  <cols>
    <col min="1" max="1" width="10.453125" bestFit="1" customWidth="1"/>
    <col min="2" max="2" width="13.54296875" bestFit="1" customWidth="1"/>
    <col min="4" max="4" width="10.453125" bestFit="1" customWidth="1"/>
    <col min="5" max="5" width="14.453125" bestFit="1" customWidth="1"/>
    <col min="6" max="6" width="14.453125" customWidth="1"/>
    <col min="7" max="7" width="16.54296875" bestFit="1" customWidth="1"/>
    <col min="8" max="9" width="14.1796875" customWidth="1"/>
    <col min="10" max="10" width="11.81640625" bestFit="1" customWidth="1"/>
    <col min="11" max="11" width="15.81640625" bestFit="1" customWidth="1"/>
  </cols>
  <sheetData>
    <row r="1" spans="1:11" x14ac:dyDescent="0.35">
      <c r="A1" t="s">
        <v>0</v>
      </c>
      <c r="B1" t="s">
        <v>3</v>
      </c>
      <c r="C1" t="s">
        <v>4</v>
      </c>
      <c r="D1" t="s">
        <v>2</v>
      </c>
      <c r="E1" t="s">
        <v>1</v>
      </c>
      <c r="F1" t="s">
        <v>9</v>
      </c>
      <c r="G1" t="s">
        <v>6</v>
      </c>
      <c r="H1" t="s">
        <v>8</v>
      </c>
      <c r="I1" t="s">
        <v>10</v>
      </c>
      <c r="J1" t="s">
        <v>5</v>
      </c>
      <c r="K1" t="s">
        <v>7</v>
      </c>
    </row>
    <row r="2" spans="1:11" x14ac:dyDescent="0.35">
      <c r="A2" s="1">
        <f>_xll.BDH("ARCCIND Index","PX_LAST",37591,0,"Dir=V","Per=M","Days=A","Dts=S","cols=2;rows=281")</f>
        <v>37621</v>
      </c>
      <c r="B2">
        <v>37.06</v>
      </c>
      <c r="C2" s="4">
        <v>0.70299999999999996</v>
      </c>
      <c r="D2">
        <f>_xll.BDH("ARLTLEAY Index","PX_LAST",37591,0,"Dir=V","Per=M","Days=A","Dts=H","cols=1;rows=281")</f>
        <v>11.65</v>
      </c>
      <c r="E2" s="3">
        <v>0.40952868852459012</v>
      </c>
      <c r="F2" s="3">
        <v>1.8935255990095712E-3</v>
      </c>
      <c r="G2">
        <f>_xll.BDH("AREMORMO Index","PX_LAST",37591,0,"Dir=V","Per=M","Days=A","Dts=H","cols=1;rows=281")</f>
        <v>1</v>
      </c>
      <c r="H2" s="3">
        <v>2.8860320845167653E-3</v>
      </c>
      <c r="I2" s="3">
        <f>+(1+H2)/(1+F2)-1</f>
        <v>9.9063070091576222E-4</v>
      </c>
      <c r="J2">
        <f>+[1]DOLMES!J790</f>
        <v>3199.6331802043323</v>
      </c>
      <c r="K2" s="2">
        <v>2.5645183083366607E-2</v>
      </c>
    </row>
    <row r="3" spans="1:11" x14ac:dyDescent="0.35">
      <c r="A3" s="1">
        <v>37652</v>
      </c>
      <c r="B3">
        <v>41.51</v>
      </c>
      <c r="C3" s="4">
        <v>0.90700000000000003</v>
      </c>
      <c r="D3">
        <v>11.84</v>
      </c>
      <c r="E3" s="3">
        <v>0.39603365384615374</v>
      </c>
      <c r="F3" s="3">
        <v>1.3156938285963538E-2</v>
      </c>
      <c r="G3">
        <v>4.9000000000000004</v>
      </c>
      <c r="H3" s="3">
        <v>3.2389615408797701E-2</v>
      </c>
      <c r="I3" s="3">
        <f t="shared" ref="I3:I66" si="0">+(1+H3)/(1+F3)-1</f>
        <v>1.8982920015700122E-2</v>
      </c>
      <c r="J3">
        <f>+[1]DOLMES!J791</f>
        <v>2924.5294833626963</v>
      </c>
      <c r="K3" s="2">
        <v>1.2707182320441879E-2</v>
      </c>
    </row>
    <row r="4" spans="1:11" x14ac:dyDescent="0.35">
      <c r="A4" s="1">
        <v>37680</v>
      </c>
      <c r="B4">
        <v>39.5</v>
      </c>
      <c r="C4" s="4">
        <v>0.82900000000000007</v>
      </c>
      <c r="D4">
        <v>7.14</v>
      </c>
      <c r="E4" s="3">
        <v>0.3612702728950179</v>
      </c>
      <c r="F4" s="3">
        <v>5.6679581001577439E-3</v>
      </c>
      <c r="G4">
        <v>5.5</v>
      </c>
      <c r="H4" s="3">
        <v>3.0437038103814373E-3</v>
      </c>
      <c r="I4" s="3">
        <f t="shared" si="0"/>
        <v>-2.6094639574019141E-3</v>
      </c>
      <c r="J4">
        <f>+[1]DOLMES!J792</f>
        <v>2863.7127574698802</v>
      </c>
      <c r="K4" s="2">
        <v>2.0460598464671742E-2</v>
      </c>
    </row>
    <row r="5" spans="1:11" x14ac:dyDescent="0.35">
      <c r="A5" s="1">
        <v>37711</v>
      </c>
      <c r="B5">
        <v>38.36</v>
      </c>
      <c r="C5" s="4">
        <v>0.8859999999999999</v>
      </c>
      <c r="D5">
        <v>6.02</v>
      </c>
      <c r="E5" s="3">
        <v>0.31704810836057939</v>
      </c>
      <c r="F5" s="3">
        <v>5.8500392380682609E-3</v>
      </c>
      <c r="G5">
        <v>5.8</v>
      </c>
      <c r="H5" s="3">
        <v>8.6100923907261873E-4</v>
      </c>
      <c r="I5" s="3">
        <f t="shared" si="0"/>
        <v>-4.9600137240883857E-3</v>
      </c>
      <c r="J5">
        <f>+[1]DOLMES!J793</f>
        <v>2785.0465409483563</v>
      </c>
      <c r="K5" s="2">
        <v>2.1713179545088002E-2</v>
      </c>
    </row>
    <row r="6" spans="1:11" x14ac:dyDescent="0.35">
      <c r="A6" s="1">
        <v>37741</v>
      </c>
      <c r="B6">
        <v>40.130000000000003</v>
      </c>
      <c r="C6" s="4">
        <v>0.84299999999999997</v>
      </c>
      <c r="D6">
        <v>14.48</v>
      </c>
      <c r="E6" s="3">
        <v>0.19378860963019373</v>
      </c>
      <c r="F6" s="3">
        <v>5.6741612880339964E-4</v>
      </c>
      <c r="G6">
        <v>7</v>
      </c>
      <c r="H6" s="3">
        <v>3.7714880364079217E-3</v>
      </c>
      <c r="I6" s="3">
        <f t="shared" si="0"/>
        <v>3.2022548965275899E-3</v>
      </c>
      <c r="J6">
        <f>+[1]DOLMES!J794</f>
        <v>2579.6002025513562</v>
      </c>
      <c r="K6" s="2">
        <v>7.4327795855453349E-3</v>
      </c>
    </row>
    <row r="7" spans="1:11" x14ac:dyDescent="0.35">
      <c r="A7" s="1">
        <v>37772</v>
      </c>
      <c r="B7">
        <v>44.52</v>
      </c>
      <c r="C7" s="4">
        <v>1.2189999999999999</v>
      </c>
      <c r="D7">
        <v>18.149999999999999</v>
      </c>
      <c r="E7" s="3">
        <v>0.14327556748840631</v>
      </c>
      <c r="F7" s="3">
        <v>-3.8987736584673582E-3</v>
      </c>
      <c r="G7">
        <v>7.3</v>
      </c>
      <c r="H7" s="3">
        <v>2.9335442389797128E-2</v>
      </c>
      <c r="I7" s="3">
        <f t="shared" si="0"/>
        <v>3.3364295886198825E-2</v>
      </c>
      <c r="J7">
        <f>+[1]DOLMES!J795</f>
        <v>2520.4602937612453</v>
      </c>
      <c r="K7" s="2">
        <v>3.9346448816270918E-3</v>
      </c>
    </row>
    <row r="8" spans="1:11" x14ac:dyDescent="0.35">
      <c r="A8" s="1">
        <v>37802</v>
      </c>
      <c r="B8">
        <v>54.42</v>
      </c>
      <c r="C8" s="4">
        <v>3.1419999999999999</v>
      </c>
      <c r="D8">
        <v>23.49</v>
      </c>
      <c r="E8" s="3">
        <v>0.10238693467336679</v>
      </c>
      <c r="F8" s="3">
        <v>-8.5397096498718295E-4</v>
      </c>
      <c r="G8">
        <v>9</v>
      </c>
      <c r="H8" s="3">
        <v>5.505605556568316E-3</v>
      </c>
      <c r="I8" s="3">
        <f t="shared" si="0"/>
        <v>6.3650120570439839E-3</v>
      </c>
      <c r="J8">
        <f>+[1]DOLMES!J796</f>
        <v>2512.789378479009</v>
      </c>
      <c r="K8" s="2">
        <v>7.8385197645085558E-3</v>
      </c>
    </row>
    <row r="9" spans="1:11" x14ac:dyDescent="0.35">
      <c r="A9" s="1">
        <v>37833</v>
      </c>
      <c r="B9">
        <v>53.87</v>
      </c>
      <c r="C9" s="4">
        <v>3.2625852930881405</v>
      </c>
      <c r="D9">
        <v>25.61</v>
      </c>
      <c r="E9" s="3">
        <v>7.3124334195708629E-2</v>
      </c>
      <c r="F9" s="3">
        <v>4.4871794871794712E-3</v>
      </c>
      <c r="G9">
        <v>9.5</v>
      </c>
      <c r="H9" s="3">
        <v>6.0597613840751574E-3</v>
      </c>
      <c r="I9" s="3">
        <f t="shared" si="0"/>
        <v>1.5655569618107101E-3</v>
      </c>
      <c r="J9">
        <f>+[1]DOLMES!J797</f>
        <v>2497.3355716653082</v>
      </c>
      <c r="K9" s="2">
        <v>8.5723493393488059E-3</v>
      </c>
    </row>
    <row r="10" spans="1:11" x14ac:dyDescent="0.35">
      <c r="A10" s="1">
        <v>37864</v>
      </c>
      <c r="B10">
        <v>54.8</v>
      </c>
      <c r="C10" s="4">
        <v>3.1952935873751951</v>
      </c>
      <c r="D10">
        <v>23.83</v>
      </c>
      <c r="E10" s="3">
        <v>4.8773234200743421E-2</v>
      </c>
      <c r="F10" s="3">
        <v>2.1272069772382274E-4</v>
      </c>
      <c r="G10">
        <v>8.8000000000000007</v>
      </c>
      <c r="H10" s="3">
        <v>7.9777467827433224E-3</v>
      </c>
      <c r="I10" s="3">
        <f t="shared" si="0"/>
        <v>7.7633746545462401E-3</v>
      </c>
      <c r="J10">
        <f>+[1]DOLMES!J798</f>
        <v>2619.4344873089644</v>
      </c>
      <c r="K10" s="2">
        <v>8.1708764197323536E-3</v>
      </c>
    </row>
    <row r="11" spans="1:11" x14ac:dyDescent="0.35">
      <c r="A11" s="1">
        <v>37894</v>
      </c>
      <c r="B11">
        <v>50.33</v>
      </c>
      <c r="C11" s="4">
        <v>2.8727293059654073</v>
      </c>
      <c r="D11">
        <v>28.09</v>
      </c>
      <c r="E11" s="3">
        <v>3.5287212970435133E-2</v>
      </c>
      <c r="F11" s="3">
        <v>4.2535091450446316E-4</v>
      </c>
      <c r="G11">
        <v>12.1</v>
      </c>
      <c r="H11" s="3">
        <v>8.3531055940617716E-3</v>
      </c>
      <c r="I11" s="3">
        <f t="shared" si="0"/>
        <v>7.9243840355609496E-3</v>
      </c>
      <c r="J11">
        <f>+[1]DOLMES!J799</f>
        <v>2625.1726121984748</v>
      </c>
      <c r="K11" s="2">
        <v>1.0916963043141825E-2</v>
      </c>
    </row>
    <row r="12" spans="1:11" x14ac:dyDescent="0.35">
      <c r="A12" s="1">
        <v>37925</v>
      </c>
      <c r="B12">
        <v>50.37</v>
      </c>
      <c r="C12" s="4">
        <v>2.9209892417491061</v>
      </c>
      <c r="D12">
        <v>34.01</v>
      </c>
      <c r="E12" s="3">
        <v>3.9089378522801921E-2</v>
      </c>
      <c r="F12" s="3">
        <v>5.8815192743764122E-3</v>
      </c>
      <c r="G12">
        <v>12.7</v>
      </c>
      <c r="H12" s="3">
        <v>8.1265754613184527E-3</v>
      </c>
      <c r="I12" s="3">
        <f t="shared" si="0"/>
        <v>2.2319290531966907E-3</v>
      </c>
      <c r="J12">
        <f>+[1]DOLMES!J800</f>
        <v>2538.0636110112732</v>
      </c>
      <c r="K12" s="2">
        <v>5.8154235145388977E-3</v>
      </c>
    </row>
    <row r="13" spans="1:11" x14ac:dyDescent="0.35">
      <c r="A13" s="1">
        <v>37955</v>
      </c>
      <c r="B13">
        <v>49.32</v>
      </c>
      <c r="C13" s="4">
        <v>2.7847367790472424</v>
      </c>
      <c r="D13">
        <v>30.92</v>
      </c>
      <c r="E13" s="3">
        <v>3.6341125919452377E-2</v>
      </c>
      <c r="F13" s="3">
        <v>2.4656569214513979E-3</v>
      </c>
      <c r="G13">
        <v>10.7</v>
      </c>
      <c r="H13" s="3">
        <v>3.4906216707755178E-3</v>
      </c>
      <c r="I13" s="3">
        <f t="shared" si="0"/>
        <v>1.0224437538057796E-3</v>
      </c>
      <c r="J13">
        <f>+[1]DOLMES!J801</f>
        <v>2552.6880953229902</v>
      </c>
      <c r="K13" s="2">
        <v>9.298946603704783E-3</v>
      </c>
    </row>
    <row r="14" spans="1:11" x14ac:dyDescent="0.35">
      <c r="A14" s="1">
        <v>37986</v>
      </c>
      <c r="B14">
        <v>50.18</v>
      </c>
      <c r="C14" s="4">
        <v>2.6527578082974657</v>
      </c>
      <c r="D14">
        <v>30.6</v>
      </c>
      <c r="E14" s="3">
        <v>3.6563204186959464E-2</v>
      </c>
      <c r="F14" s="3">
        <v>2.1082220660575413E-3</v>
      </c>
      <c r="G14">
        <v>11.8</v>
      </c>
      <c r="H14" s="3">
        <v>6.1508133400838272E-3</v>
      </c>
      <c r="I14" s="3">
        <f t="shared" si="0"/>
        <v>4.0340865238004397E-3</v>
      </c>
      <c r="J14">
        <f>+[1]DOLMES!J802</f>
        <v>2584.5500690820668</v>
      </c>
      <c r="K14" s="2">
        <v>0</v>
      </c>
    </row>
    <row r="15" spans="1:11" x14ac:dyDescent="0.35">
      <c r="A15" s="1">
        <v>38017</v>
      </c>
      <c r="B15">
        <v>57.73</v>
      </c>
      <c r="C15" s="4">
        <v>2.9854936588559502</v>
      </c>
      <c r="D15">
        <v>33.65</v>
      </c>
      <c r="E15" s="3">
        <v>2.7407088534940449E-2</v>
      </c>
      <c r="F15" s="3">
        <v>4.2075736325384305E-3</v>
      </c>
      <c r="G15">
        <v>10.199999999999999</v>
      </c>
      <c r="H15" s="3">
        <v>2.6094387793741403E-2</v>
      </c>
      <c r="I15" s="3">
        <f t="shared" si="0"/>
        <v>2.1795109632594567E-2</v>
      </c>
      <c r="J15">
        <f>+[1]DOLMES!J803</f>
        <v>2564.4112469651332</v>
      </c>
      <c r="K15" s="2">
        <v>1.1776251226692347E-2</v>
      </c>
    </row>
    <row r="16" spans="1:11" x14ac:dyDescent="0.35">
      <c r="A16" s="1">
        <v>38046</v>
      </c>
      <c r="B16">
        <v>59.83</v>
      </c>
      <c r="C16" s="4">
        <v>3.3164323188860512</v>
      </c>
      <c r="D16">
        <v>31.76</v>
      </c>
      <c r="E16" s="3">
        <v>2.2615395591068177E-2</v>
      </c>
      <c r="F16" s="3">
        <v>9.7765363128510252E-4</v>
      </c>
      <c r="G16">
        <v>10.199999999999999</v>
      </c>
      <c r="H16" s="3">
        <v>1.7080481983506646E-2</v>
      </c>
      <c r="I16" s="3">
        <f t="shared" si="0"/>
        <v>1.6087100739766491E-2</v>
      </c>
      <c r="J16">
        <f>+[1]DOLMES!J804</f>
        <v>2591.6556438940452</v>
      </c>
      <c r="K16" s="2">
        <v>8.3347508079603116E-3</v>
      </c>
    </row>
    <row r="17" spans="1:11" x14ac:dyDescent="0.35">
      <c r="A17" s="1">
        <v>38077</v>
      </c>
      <c r="B17">
        <v>56.72</v>
      </c>
      <c r="C17" s="4">
        <v>3.1415969245586659</v>
      </c>
      <c r="D17">
        <v>37.42</v>
      </c>
      <c r="E17" s="3">
        <v>2.276757216823877E-2</v>
      </c>
      <c r="F17" s="3">
        <v>5.9997209432118837E-3</v>
      </c>
      <c r="G17">
        <v>13.2</v>
      </c>
      <c r="H17" s="3">
        <v>8.8694995384237529E-3</v>
      </c>
      <c r="I17" s="3">
        <f t="shared" si="0"/>
        <v>2.8526634108021476E-3</v>
      </c>
      <c r="J17">
        <f>+[1]DOLMES!J805</f>
        <v>2567.4136273642521</v>
      </c>
      <c r="K17" s="2">
        <v>8.2903876316373637E-3</v>
      </c>
    </row>
    <row r="18" spans="1:11" x14ac:dyDescent="0.35">
      <c r="A18" s="1">
        <v>38107</v>
      </c>
      <c r="B18">
        <v>49.96</v>
      </c>
      <c r="C18" s="4">
        <v>2.6781454433606946</v>
      </c>
      <c r="D18">
        <v>27.86</v>
      </c>
      <c r="E18" s="3">
        <v>3.0906642092578318E-2</v>
      </c>
      <c r="F18" s="3">
        <v>8.5298196948684346E-3</v>
      </c>
      <c r="G18">
        <v>6.8</v>
      </c>
      <c r="H18" s="3">
        <v>4.6709398139341829E-3</v>
      </c>
      <c r="I18" s="3">
        <f t="shared" si="0"/>
        <v>-3.8262427204203142E-3</v>
      </c>
      <c r="J18">
        <f>+[1]DOLMES!J806</f>
        <v>2492.313985130012</v>
      </c>
      <c r="K18" s="2">
        <v>5.3574727507850195E-3</v>
      </c>
    </row>
    <row r="19" spans="1:11" x14ac:dyDescent="0.35">
      <c r="A19" s="1">
        <v>38138</v>
      </c>
      <c r="B19">
        <v>51.02</v>
      </c>
      <c r="C19" s="4">
        <v>2.6352839117291604</v>
      </c>
      <c r="D19">
        <v>25.99</v>
      </c>
      <c r="E19" s="3">
        <v>4.1132934813549626E-2</v>
      </c>
      <c r="F19" s="3">
        <v>5.9822595062917205E-3</v>
      </c>
      <c r="G19">
        <v>5.9</v>
      </c>
      <c r="H19" s="3">
        <v>2.9125287936300204E-3</v>
      </c>
      <c r="I19" s="3">
        <f t="shared" si="0"/>
        <v>-3.0514759914038736E-3</v>
      </c>
      <c r="J19">
        <f>+[1]DOLMES!J807</f>
        <v>2555.6095094965945</v>
      </c>
      <c r="K19" s="2">
        <v>3.3088862357155691E-3</v>
      </c>
    </row>
    <row r="20" spans="1:11" x14ac:dyDescent="0.35">
      <c r="A20" s="1">
        <v>38168</v>
      </c>
      <c r="B20">
        <v>50.82</v>
      </c>
      <c r="C20" s="4">
        <v>2.6849645271466103</v>
      </c>
      <c r="D20">
        <v>21.49</v>
      </c>
      <c r="E20" s="3">
        <v>4.9287749287749261E-2</v>
      </c>
      <c r="F20" s="3">
        <v>6.9719753930279627E-3</v>
      </c>
      <c r="G20">
        <v>8.8000000000000007</v>
      </c>
      <c r="H20" s="3">
        <v>1.6927561619490827E-3</v>
      </c>
      <c r="I20" s="3">
        <f t="shared" si="0"/>
        <v>-5.242667482397767E-3</v>
      </c>
      <c r="J20">
        <f>+[1]DOLMES!J808</f>
        <v>2594.3115084656079</v>
      </c>
      <c r="K20" s="2">
        <v>6.9042851421705631E-3</v>
      </c>
    </row>
    <row r="21" spans="1:11" x14ac:dyDescent="0.35">
      <c r="A21" s="1">
        <v>38199</v>
      </c>
      <c r="B21">
        <v>49.09</v>
      </c>
      <c r="C21" s="4">
        <v>2.4880408770383409</v>
      </c>
      <c r="D21">
        <v>18.12</v>
      </c>
      <c r="E21" s="3">
        <v>4.9422108771183471E-2</v>
      </c>
      <c r="F21" s="3">
        <v>4.6158023350530986E-3</v>
      </c>
      <c r="G21">
        <v>7.3</v>
      </c>
      <c r="H21" s="3">
        <v>6.4844632341549691E-3</v>
      </c>
      <c r="I21" s="3">
        <f t="shared" si="0"/>
        <v>1.8600751598356613E-3</v>
      </c>
      <c r="J21">
        <f>+[1]DOLMES!J809</f>
        <v>2570.6063756701856</v>
      </c>
      <c r="K21" s="2">
        <v>5.1596111153637825E-3</v>
      </c>
    </row>
    <row r="22" spans="1:11" x14ac:dyDescent="0.35">
      <c r="A22" s="1">
        <v>38230</v>
      </c>
      <c r="B22">
        <v>46.68</v>
      </c>
      <c r="C22" s="4">
        <v>2.071303433159601</v>
      </c>
      <c r="D22">
        <v>17.32</v>
      </c>
      <c r="E22" s="3">
        <v>5.2814405217637805E-2</v>
      </c>
      <c r="F22" s="3">
        <v>3.4459459459459385E-3</v>
      </c>
      <c r="G22">
        <v>10.1</v>
      </c>
      <c r="H22" s="3">
        <v>8.7780301365871782E-3</v>
      </c>
      <c r="I22" s="3">
        <f t="shared" si="0"/>
        <v>5.3137732153720751E-3</v>
      </c>
      <c r="J22">
        <f>+[1]DOLMES!J810</f>
        <v>2605.3246023182064</v>
      </c>
      <c r="K22" s="2">
        <v>2.4335286164938186E-3</v>
      </c>
    </row>
    <row r="23" spans="1:11" x14ac:dyDescent="0.35">
      <c r="A23" s="1">
        <v>38260</v>
      </c>
      <c r="B23">
        <v>47.34</v>
      </c>
      <c r="C23" s="4">
        <v>2.1305403455089844</v>
      </c>
      <c r="D23">
        <v>14.59</v>
      </c>
      <c r="E23" s="3">
        <v>5.9027777777777679E-2</v>
      </c>
      <c r="F23" s="3">
        <v>6.3295400983098826E-3</v>
      </c>
      <c r="G23">
        <v>8.9</v>
      </c>
      <c r="H23" s="3">
        <v>3.2552797106555342E-3</v>
      </c>
      <c r="I23" s="3">
        <f t="shared" si="0"/>
        <v>-3.0549241229210766E-3</v>
      </c>
      <c r="J23">
        <f>+[1]DOLMES!J811</f>
        <v>2582.831865195928</v>
      </c>
      <c r="K23" s="2">
        <v>3.3529678296333465E-3</v>
      </c>
    </row>
    <row r="24" spans="1:11" x14ac:dyDescent="0.35">
      <c r="A24" s="1">
        <v>38291</v>
      </c>
      <c r="B24">
        <v>49.45</v>
      </c>
      <c r="C24" s="4">
        <v>2.2672912787472517</v>
      </c>
      <c r="D24">
        <v>8.2100000000000009</v>
      </c>
      <c r="E24" s="3">
        <v>5.6991898555829534E-2</v>
      </c>
      <c r="F24" s="3">
        <v>3.947808631649341E-3</v>
      </c>
      <c r="G24">
        <v>7.3</v>
      </c>
      <c r="H24" s="3">
        <v>1.1840809120911011E-3</v>
      </c>
      <c r="I24" s="3">
        <f t="shared" si="0"/>
        <v>-2.7528599552650856E-3</v>
      </c>
      <c r="J24">
        <f>+[1]DOLMES!J812</f>
        <v>2538.0329486745582</v>
      </c>
      <c r="K24" s="2">
        <v>0</v>
      </c>
    </row>
    <row r="25" spans="1:11" x14ac:dyDescent="0.35">
      <c r="A25" s="1">
        <v>38321</v>
      </c>
      <c r="B25">
        <v>54.13</v>
      </c>
      <c r="C25" s="4">
        <v>2.4600884543518129</v>
      </c>
      <c r="D25">
        <v>7.66</v>
      </c>
      <c r="E25" s="3">
        <v>5.4392129304286607E-2</v>
      </c>
      <c r="F25" s="3">
        <v>0</v>
      </c>
      <c r="G25">
        <v>10.9</v>
      </c>
      <c r="H25" s="3">
        <v>4.0331544392619989E-3</v>
      </c>
      <c r="I25" s="3">
        <f t="shared" si="0"/>
        <v>4.0331544392619989E-3</v>
      </c>
      <c r="J25">
        <f>+[1]DOLMES!J813</f>
        <v>2539.3525004006215</v>
      </c>
      <c r="K25" s="2">
        <v>2.8071092926849062E-3</v>
      </c>
    </row>
    <row r="26" spans="1:11" x14ac:dyDescent="0.35">
      <c r="A26" s="1">
        <v>38352</v>
      </c>
      <c r="B26">
        <v>52.03</v>
      </c>
      <c r="C26" s="4">
        <v>2.4292693952569668</v>
      </c>
      <c r="D26">
        <v>8.8699999999999992</v>
      </c>
      <c r="E26" s="3">
        <v>6.1009817671809463E-2</v>
      </c>
      <c r="F26" s="3">
        <v>8.3977605971741198E-3</v>
      </c>
      <c r="G26">
        <v>9.6</v>
      </c>
      <c r="H26" s="3">
        <v>4.6867865646913476E-3</v>
      </c>
      <c r="I26" s="3">
        <f t="shared" si="0"/>
        <v>-3.680069688259846E-3</v>
      </c>
      <c r="J26">
        <f>+[1]DOLMES!J814</f>
        <v>2531.6186832761646</v>
      </c>
      <c r="K26" s="2">
        <v>4.3373493975902289E-3</v>
      </c>
    </row>
    <row r="27" spans="1:11" x14ac:dyDescent="0.35">
      <c r="A27" s="1">
        <v>38383</v>
      </c>
      <c r="B27">
        <v>56.81</v>
      </c>
      <c r="C27" s="4">
        <v>2.3512516603051212</v>
      </c>
      <c r="D27">
        <v>5.05</v>
      </c>
      <c r="E27" s="3">
        <v>7.2206703910614456E-2</v>
      </c>
      <c r="F27" s="3">
        <v>1.4805023132848483E-2</v>
      </c>
      <c r="G27">
        <v>6.3</v>
      </c>
      <c r="H27" s="3">
        <v>3.6685863046620248E-2</v>
      </c>
      <c r="I27" s="3">
        <f t="shared" si="0"/>
        <v>2.156161963627512E-2</v>
      </c>
      <c r="J27">
        <f>+[1]DOLMES!J815</f>
        <v>2488.4968742572582</v>
      </c>
      <c r="K27" s="2">
        <v>6.4079858315890803E-3</v>
      </c>
    </row>
    <row r="28" spans="1:11" x14ac:dyDescent="0.35">
      <c r="A28" s="1">
        <v>38411</v>
      </c>
      <c r="B28">
        <v>55.97</v>
      </c>
      <c r="C28" s="4">
        <v>2.3866276984890917</v>
      </c>
      <c r="D28">
        <v>5.08</v>
      </c>
      <c r="E28" s="3">
        <v>8.1345053718431704E-2</v>
      </c>
      <c r="F28" s="3">
        <v>9.5089227562850098E-3</v>
      </c>
      <c r="G28">
        <v>6.6</v>
      </c>
      <c r="H28" s="3">
        <v>2.0549944174473422E-2</v>
      </c>
      <c r="I28" s="3">
        <f t="shared" si="0"/>
        <v>1.0937022119668738E-2</v>
      </c>
      <c r="J28">
        <f>+[1]DOLMES!J816</f>
        <v>2440.4381746802028</v>
      </c>
      <c r="K28" s="2">
        <v>0</v>
      </c>
    </row>
    <row r="29" spans="1:11" x14ac:dyDescent="0.35">
      <c r="A29" s="1">
        <v>38442</v>
      </c>
      <c r="B29">
        <v>58.41</v>
      </c>
      <c r="C29" s="4">
        <v>2.7996467153515994</v>
      </c>
      <c r="D29">
        <v>2.63</v>
      </c>
      <c r="E29" s="3">
        <v>9.1470180305131654E-2</v>
      </c>
      <c r="F29" s="3">
        <v>1.5419354838709598E-2</v>
      </c>
      <c r="G29">
        <v>8.6</v>
      </c>
      <c r="H29" s="3">
        <v>6.6887224642189214E-3</v>
      </c>
      <c r="I29" s="3">
        <f t="shared" si="0"/>
        <v>-8.5980558996509027E-3</v>
      </c>
      <c r="J29">
        <f>+[1]DOLMES!J817</f>
        <v>2435.2611934664155</v>
      </c>
      <c r="K29" s="2">
        <v>4.0153252919794546E-3</v>
      </c>
    </row>
    <row r="30" spans="1:11" x14ac:dyDescent="0.35">
      <c r="A30" s="1">
        <v>38472</v>
      </c>
      <c r="B30">
        <v>52.27</v>
      </c>
      <c r="C30" s="4">
        <v>2.4890714829707101</v>
      </c>
      <c r="D30">
        <v>8.24</v>
      </c>
      <c r="E30" s="3">
        <v>8.753352128171632E-2</v>
      </c>
      <c r="F30" s="3">
        <v>4.8923057373404522E-3</v>
      </c>
      <c r="G30">
        <v>13.6</v>
      </c>
      <c r="H30" s="3">
        <v>1.2958673121974407E-2</v>
      </c>
      <c r="I30" s="3">
        <f t="shared" si="0"/>
        <v>8.0270963749844437E-3</v>
      </c>
      <c r="J30">
        <f>+[1]DOLMES!J818</f>
        <v>2419.3055754171382</v>
      </c>
      <c r="K30" s="2">
        <v>3.3366045142295686E-3</v>
      </c>
    </row>
    <row r="31" spans="1:11" x14ac:dyDescent="0.35">
      <c r="A31" s="1">
        <v>38503</v>
      </c>
      <c r="B31">
        <v>51.41</v>
      </c>
      <c r="C31" s="4">
        <v>2.3706273904455779</v>
      </c>
      <c r="D31">
        <v>8.36</v>
      </c>
      <c r="E31" s="3">
        <v>8.7559808612440282E-2</v>
      </c>
      <c r="F31" s="3">
        <v>6.0065756196256981E-3</v>
      </c>
      <c r="G31">
        <v>15.3</v>
      </c>
      <c r="H31" s="3">
        <v>1.5308068451171053E-2</v>
      </c>
      <c r="I31" s="3">
        <f t="shared" si="0"/>
        <v>9.2459562958784325E-3</v>
      </c>
      <c r="J31">
        <f>+[1]DOLMES!J819</f>
        <v>2405.3350468627887</v>
      </c>
      <c r="K31" s="2">
        <v>7.6579750998351237E-3</v>
      </c>
    </row>
    <row r="32" spans="1:11" x14ac:dyDescent="0.35">
      <c r="A32" s="1">
        <v>38533</v>
      </c>
      <c r="B32">
        <v>50.63</v>
      </c>
      <c r="C32" s="4">
        <v>2.3111465971028951</v>
      </c>
      <c r="D32">
        <v>5.39</v>
      </c>
      <c r="E32" s="3">
        <v>8.9940266087428666E-2</v>
      </c>
      <c r="F32" s="3">
        <v>9.1760417321349319E-3</v>
      </c>
      <c r="G32">
        <v>10.3</v>
      </c>
      <c r="H32" s="3">
        <v>8.7813533389733411E-3</v>
      </c>
      <c r="I32" s="3">
        <f t="shared" si="0"/>
        <v>-3.9109964648398332E-4</v>
      </c>
      <c r="J32">
        <f>+[1]DOLMES!J820</f>
        <v>2354.0441928953896</v>
      </c>
      <c r="K32" s="2">
        <v>0</v>
      </c>
    </row>
    <row r="33" spans="1:11" x14ac:dyDescent="0.35">
      <c r="A33" s="1">
        <v>38564</v>
      </c>
      <c r="B33">
        <v>50.51</v>
      </c>
      <c r="C33" s="4">
        <v>2.0699693084041613</v>
      </c>
      <c r="D33">
        <v>8.98</v>
      </c>
      <c r="E33" s="3">
        <v>9.5810810810810887E-2</v>
      </c>
      <c r="F33" s="3">
        <v>1.0026779597683388E-2</v>
      </c>
      <c r="G33">
        <v>6.4</v>
      </c>
      <c r="H33" s="3">
        <v>1.6397421427527092E-2</v>
      </c>
      <c r="I33" s="3">
        <f t="shared" si="0"/>
        <v>6.3073989309285761E-3</v>
      </c>
      <c r="J33">
        <f>+[1]DOLMES!J821</f>
        <v>2321.7716675399511</v>
      </c>
      <c r="K33" s="2">
        <v>0</v>
      </c>
    </row>
    <row r="34" spans="1:11" x14ac:dyDescent="0.35">
      <c r="A34" s="1">
        <v>38595</v>
      </c>
      <c r="B34">
        <v>52.06</v>
      </c>
      <c r="C34" s="4">
        <v>2.4200813233871936</v>
      </c>
      <c r="D34">
        <v>10.99</v>
      </c>
      <c r="E34" s="3">
        <v>9.682849639754898E-2</v>
      </c>
      <c r="F34" s="3">
        <v>4.3778517696384522E-3</v>
      </c>
      <c r="G34">
        <v>7.6</v>
      </c>
      <c r="H34" s="3">
        <v>1.5255529340363561E-2</v>
      </c>
      <c r="I34" s="3">
        <f t="shared" si="0"/>
        <v>1.0830264279085178E-2</v>
      </c>
      <c r="J34">
        <f>+[1]DOLMES!J822</f>
        <v>2339.1101895904267</v>
      </c>
      <c r="K34" s="2">
        <v>0</v>
      </c>
    </row>
    <row r="35" spans="1:11" x14ac:dyDescent="0.35">
      <c r="A35" s="1">
        <v>38625</v>
      </c>
      <c r="B35">
        <v>49.93</v>
      </c>
      <c r="C35" s="4">
        <v>2.1137509317507535</v>
      </c>
      <c r="D35">
        <v>8.23</v>
      </c>
      <c r="E35" s="3">
        <v>0.10264302442288398</v>
      </c>
      <c r="F35" s="3">
        <v>1.1664313340290944E-2</v>
      </c>
      <c r="G35">
        <v>6.9</v>
      </c>
      <c r="H35" s="3">
        <v>1.8618750651594018E-2</v>
      </c>
      <c r="I35" s="3">
        <f t="shared" si="0"/>
        <v>6.8742538602959424E-3</v>
      </c>
      <c r="J35">
        <f>+[1]DOLMES!J823</f>
        <v>2362.4458993474736</v>
      </c>
      <c r="K35" s="2">
        <v>0</v>
      </c>
    </row>
    <row r="36" spans="1:11" x14ac:dyDescent="0.35">
      <c r="A36" s="1">
        <v>38656</v>
      </c>
      <c r="B36">
        <v>50.12</v>
      </c>
      <c r="C36" s="4">
        <v>2.1915637920782984</v>
      </c>
      <c r="D36">
        <v>7.86</v>
      </c>
      <c r="E36" s="3">
        <v>0.10683817648627025</v>
      </c>
      <c r="F36" s="3">
        <v>7.7674616178167177E-3</v>
      </c>
      <c r="G36">
        <v>6.8</v>
      </c>
      <c r="H36" s="3">
        <v>1.404279160559474E-2</v>
      </c>
      <c r="I36" s="3">
        <f t="shared" si="0"/>
        <v>6.2269622971393712E-3</v>
      </c>
      <c r="J36">
        <f>+[1]DOLMES!J824</f>
        <v>2401.8568790538898</v>
      </c>
      <c r="K36" s="2">
        <v>0</v>
      </c>
    </row>
    <row r="37" spans="1:11" x14ac:dyDescent="0.35">
      <c r="A37" s="1">
        <v>38686</v>
      </c>
      <c r="B37">
        <v>53.37</v>
      </c>
      <c r="C37" s="4">
        <v>2.4215291155600758</v>
      </c>
      <c r="D37">
        <v>7.68</v>
      </c>
      <c r="E37" s="3">
        <v>0.12023460410557196</v>
      </c>
      <c r="F37" s="3">
        <v>1.2103329921117734E-2</v>
      </c>
      <c r="G37">
        <v>7.9</v>
      </c>
      <c r="H37" s="3">
        <v>9.8058358189974104E-3</v>
      </c>
      <c r="I37" s="3">
        <f t="shared" si="0"/>
        <v>-2.2700193094902232E-3</v>
      </c>
      <c r="J37">
        <f>+[1]DOLMES!J825</f>
        <v>2369.3586321098051</v>
      </c>
      <c r="K37" s="2">
        <v>9.6569484043040887E-3</v>
      </c>
    </row>
    <row r="38" spans="1:11" x14ac:dyDescent="0.35">
      <c r="A38" s="1">
        <v>38717</v>
      </c>
      <c r="B38">
        <v>51.01</v>
      </c>
      <c r="C38" s="4">
        <v>2.2612140122966986</v>
      </c>
      <c r="D38">
        <v>7</v>
      </c>
      <c r="E38" s="3">
        <v>0.12326503635161923</v>
      </c>
      <c r="F38" s="3">
        <v>1.1125654450261591E-2</v>
      </c>
      <c r="G38">
        <v>8.6999999999999993</v>
      </c>
      <c r="H38" s="3">
        <v>1.1606553324318147E-2</v>
      </c>
      <c r="I38" s="3">
        <f t="shared" si="0"/>
        <v>4.7560743013486118E-4</v>
      </c>
      <c r="J38">
        <f>+[1]DOLMES!J826</f>
        <v>2385.6557263073787</v>
      </c>
      <c r="K38" s="2">
        <v>1.4036144578313703E-2</v>
      </c>
    </row>
    <row r="39" spans="1:11" x14ac:dyDescent="0.35">
      <c r="A39" s="1">
        <v>38748</v>
      </c>
      <c r="B39">
        <v>57.07</v>
      </c>
      <c r="C39" s="4">
        <v>2.6321446432988891</v>
      </c>
      <c r="D39">
        <v>9.25</v>
      </c>
      <c r="E39" s="3">
        <v>0.12101081151491466</v>
      </c>
      <c r="F39" s="3">
        <v>1.2768461312150814E-2</v>
      </c>
      <c r="G39">
        <v>8.1999999999999993</v>
      </c>
      <c r="H39" s="3">
        <v>1.6850849361286224E-2</v>
      </c>
      <c r="I39" s="3">
        <f t="shared" si="0"/>
        <v>4.0309194105889734E-3</v>
      </c>
      <c r="J39">
        <f>+[1]DOLMES!J827</f>
        <v>2402.7443986857252</v>
      </c>
      <c r="K39" s="2">
        <v>1.1726287665132729E-2</v>
      </c>
    </row>
    <row r="40" spans="1:11" x14ac:dyDescent="0.35">
      <c r="A40" s="1">
        <v>38776</v>
      </c>
      <c r="B40">
        <v>56.22</v>
      </c>
      <c r="C40" s="4">
        <v>2.622162211540461</v>
      </c>
      <c r="D40">
        <v>9.44</v>
      </c>
      <c r="E40" s="3">
        <v>0.11483870967741949</v>
      </c>
      <c r="F40" s="3">
        <v>3.9507320474088115E-3</v>
      </c>
      <c r="G40">
        <v>8.3000000000000007</v>
      </c>
      <c r="H40" s="3">
        <v>9.4831791655067832E-3</v>
      </c>
      <c r="I40" s="3">
        <f t="shared" si="0"/>
        <v>5.5106759141609896E-3</v>
      </c>
      <c r="J40">
        <f>+[1]DOLMES!J828</f>
        <v>2395.4692295087862</v>
      </c>
      <c r="K40" s="2">
        <v>3.9902676399035109E-3</v>
      </c>
    </row>
    <row r="41" spans="1:11" x14ac:dyDescent="0.35">
      <c r="A41" s="1">
        <v>38807</v>
      </c>
      <c r="B41">
        <v>59.86</v>
      </c>
      <c r="C41" s="4">
        <v>2.7017259656304948</v>
      </c>
      <c r="D41">
        <v>7.48</v>
      </c>
      <c r="E41" s="3">
        <v>0.11112523031958843</v>
      </c>
      <c r="F41" s="3">
        <v>1.2037037037036846E-2</v>
      </c>
      <c r="G41">
        <v>7.2</v>
      </c>
      <c r="H41" s="3">
        <v>8.5484209492063812E-3</v>
      </c>
      <c r="I41" s="3">
        <f t="shared" si="0"/>
        <v>-3.447122941314662E-3</v>
      </c>
      <c r="J41">
        <f>+[1]DOLMES!J829</f>
        <v>2363.7117895263555</v>
      </c>
      <c r="K41" s="2">
        <v>0</v>
      </c>
    </row>
    <row r="42" spans="1:11" x14ac:dyDescent="0.35">
      <c r="A42" s="1">
        <v>38837</v>
      </c>
      <c r="B42">
        <v>54.02</v>
      </c>
      <c r="C42" s="4">
        <v>2.5368543586485237</v>
      </c>
      <c r="D42">
        <v>7.58</v>
      </c>
      <c r="E42" s="3">
        <v>0.11646433990895311</v>
      </c>
      <c r="F42" s="3">
        <v>9.7209515096066124E-3</v>
      </c>
      <c r="G42">
        <v>4.8</v>
      </c>
      <c r="H42" s="3">
        <v>1.6232940620502179E-2</v>
      </c>
      <c r="I42" s="3">
        <f t="shared" si="0"/>
        <v>6.4492958189683591E-3</v>
      </c>
      <c r="J42">
        <f>+[1]DOLMES!J830</f>
        <v>2342.2507543239476</v>
      </c>
      <c r="K42" s="2">
        <v>0</v>
      </c>
    </row>
    <row r="43" spans="1:11" x14ac:dyDescent="0.35">
      <c r="A43" s="1">
        <v>38868</v>
      </c>
      <c r="B43">
        <v>56.76</v>
      </c>
      <c r="C43" s="4">
        <v>2.4963121705323559</v>
      </c>
      <c r="D43">
        <v>5.09</v>
      </c>
      <c r="E43" s="3">
        <v>0.11501476965621249</v>
      </c>
      <c r="F43" s="3">
        <v>4.7004190735076001E-3</v>
      </c>
      <c r="G43">
        <v>5.3</v>
      </c>
      <c r="H43" s="3">
        <v>1.5315410946423524E-2</v>
      </c>
      <c r="I43" s="3">
        <f t="shared" si="0"/>
        <v>1.0565330392421579E-2</v>
      </c>
      <c r="J43">
        <f>+[1]DOLMES!J831</f>
        <v>2348.5910962709868</v>
      </c>
      <c r="K43" s="2">
        <v>0</v>
      </c>
    </row>
    <row r="44" spans="1:11" x14ac:dyDescent="0.35">
      <c r="A44" s="1">
        <v>38898</v>
      </c>
      <c r="B44">
        <v>58.53</v>
      </c>
      <c r="C44" s="4">
        <v>2.6912730369253168</v>
      </c>
      <c r="D44">
        <v>9.14</v>
      </c>
      <c r="E44" s="3">
        <v>0.11023229744036889</v>
      </c>
      <c r="F44" s="3">
        <v>4.8475283242208622E-3</v>
      </c>
      <c r="G44">
        <v>6.7</v>
      </c>
      <c r="H44" s="3">
        <v>1.2259539236886496E-2</v>
      </c>
      <c r="I44" s="3">
        <f t="shared" si="0"/>
        <v>7.3762543109665568E-3</v>
      </c>
      <c r="J44">
        <f>+[1]DOLMES!J832</f>
        <v>2361.5313194180749</v>
      </c>
      <c r="K44" s="2">
        <v>0</v>
      </c>
    </row>
    <row r="45" spans="1:11" x14ac:dyDescent="0.35">
      <c r="A45" s="1">
        <v>38929</v>
      </c>
      <c r="B45">
        <v>57.74</v>
      </c>
      <c r="C45" s="4">
        <v>2.5338432929652557</v>
      </c>
      <c r="D45">
        <v>5.76</v>
      </c>
      <c r="E45" s="3">
        <v>0.10599334073251931</v>
      </c>
      <c r="F45" s="3">
        <v>6.1704156616368966E-3</v>
      </c>
      <c r="G45">
        <v>8.8000000000000007</v>
      </c>
      <c r="H45" s="3">
        <v>1.8954702889750541E-2</v>
      </c>
      <c r="I45" s="3">
        <f t="shared" si="0"/>
        <v>1.2705886626279916E-2</v>
      </c>
      <c r="J45">
        <f>+[1]DOLMES!J833</f>
        <v>2355.2383747100748</v>
      </c>
      <c r="K45" s="2">
        <v>0</v>
      </c>
    </row>
    <row r="46" spans="1:11" x14ac:dyDescent="0.35">
      <c r="A46" s="1">
        <v>38960</v>
      </c>
      <c r="B46">
        <v>55.86</v>
      </c>
      <c r="C46" s="4">
        <v>2.4119589557587204</v>
      </c>
      <c r="D46">
        <v>4.7699999999999996</v>
      </c>
      <c r="E46" s="3">
        <v>0.1073730738535208</v>
      </c>
      <c r="F46" s="3">
        <v>5.6308189775324813E-3</v>
      </c>
      <c r="G46">
        <v>9.9</v>
      </c>
      <c r="H46" s="3">
        <v>1.4947193633718436E-2</v>
      </c>
      <c r="I46" s="3">
        <f t="shared" si="0"/>
        <v>9.2642095691322091E-3</v>
      </c>
      <c r="J46">
        <f>+[1]DOLMES!J834</f>
        <v>2331.9784265860126</v>
      </c>
      <c r="K46" s="2">
        <v>0</v>
      </c>
    </row>
    <row r="47" spans="1:11" x14ac:dyDescent="0.35">
      <c r="A47" s="1">
        <v>38990</v>
      </c>
      <c r="B47">
        <v>58.95</v>
      </c>
      <c r="C47" s="4">
        <v>2.4806856042279355</v>
      </c>
      <c r="D47">
        <v>5.79</v>
      </c>
      <c r="E47" s="3">
        <v>0.10443594878329998</v>
      </c>
      <c r="F47" s="3">
        <v>8.9810400266105983E-3</v>
      </c>
      <c r="G47">
        <v>9.4</v>
      </c>
      <c r="H47" s="3">
        <v>1.963192425754845E-2</v>
      </c>
      <c r="I47" s="3">
        <f t="shared" si="0"/>
        <v>1.0556079657014106E-2</v>
      </c>
      <c r="J47">
        <f>+[1]DOLMES!J835</f>
        <v>2315.2019302623958</v>
      </c>
      <c r="K47" s="2">
        <v>0</v>
      </c>
    </row>
    <row r="48" spans="1:11" x14ac:dyDescent="0.35">
      <c r="A48" s="1">
        <v>39021</v>
      </c>
      <c r="B48">
        <v>59.73</v>
      </c>
      <c r="C48" s="4">
        <v>2.5439811971884012</v>
      </c>
      <c r="D48">
        <v>7.72</v>
      </c>
      <c r="E48" s="3">
        <v>6.7407024793388448E-2</v>
      </c>
      <c r="F48" s="3">
        <v>8.5714285714286742E-3</v>
      </c>
      <c r="G48">
        <v>11.5</v>
      </c>
      <c r="H48" s="3">
        <v>1.8061612446720332E-2</v>
      </c>
      <c r="I48" s="3">
        <f t="shared" si="0"/>
        <v>9.409530754538542E-3</v>
      </c>
      <c r="J48">
        <f>+[1]DOLMES!J836</f>
        <v>2295.9875033295416</v>
      </c>
      <c r="K48" s="2">
        <v>0</v>
      </c>
    </row>
    <row r="49" spans="1:11" x14ac:dyDescent="0.35">
      <c r="A49" s="1">
        <v>39051</v>
      </c>
      <c r="B49">
        <v>57.59</v>
      </c>
      <c r="C49" s="4">
        <v>2.438329163123218</v>
      </c>
      <c r="D49">
        <v>9.81</v>
      </c>
      <c r="E49" s="3">
        <v>6.6666666666666652E-2</v>
      </c>
      <c r="F49" s="3">
        <v>7.0821529745042078E-3</v>
      </c>
      <c r="G49">
        <v>9.4</v>
      </c>
      <c r="H49" s="3">
        <v>1.3762750320119421E-2</v>
      </c>
      <c r="I49" s="3">
        <f t="shared" si="0"/>
        <v>6.6336170548584317E-3</v>
      </c>
      <c r="J49">
        <f>+[1]DOLMES!J837</f>
        <v>2256.0532695793336</v>
      </c>
      <c r="K49" s="2">
        <v>0</v>
      </c>
    </row>
    <row r="50" spans="1:11" x14ac:dyDescent="0.35">
      <c r="A50" s="1">
        <v>39082</v>
      </c>
      <c r="B50">
        <v>57.11</v>
      </c>
      <c r="C50" s="4">
        <v>2.3340716182285712</v>
      </c>
      <c r="D50">
        <v>8.3800000000000008</v>
      </c>
      <c r="E50" s="3">
        <v>7.9715061058344583E-2</v>
      </c>
      <c r="F50" s="3">
        <v>9.7911933354970504E-3</v>
      </c>
      <c r="G50">
        <v>8.1999999999999993</v>
      </c>
      <c r="H50" s="3">
        <v>1.0347279562699319E-2</v>
      </c>
      <c r="I50" s="3">
        <f t="shared" si="0"/>
        <v>5.506942731055009E-4</v>
      </c>
      <c r="J50">
        <f>+[1]DOLMES!J838</f>
        <v>2189.7328225855845</v>
      </c>
      <c r="K50" s="2">
        <v>0</v>
      </c>
    </row>
    <row r="51" spans="1:11" x14ac:dyDescent="0.35">
      <c r="A51" s="1">
        <v>39113</v>
      </c>
      <c r="B51">
        <v>60.97</v>
      </c>
      <c r="C51" s="4">
        <v>2.6876780398608138</v>
      </c>
      <c r="D51">
        <v>6.01</v>
      </c>
      <c r="E51" s="3">
        <v>7.8947368421052877E-2</v>
      </c>
      <c r="F51" s="3">
        <v>1.7654087457797951E-2</v>
      </c>
      <c r="G51">
        <v>7.7</v>
      </c>
      <c r="H51" s="3">
        <v>1.2976380981941649E-2</v>
      </c>
      <c r="I51" s="3">
        <f t="shared" si="0"/>
        <v>-4.5965584313051311E-3</v>
      </c>
      <c r="J51">
        <f>+[1]DOLMES!J839</f>
        <v>2195.7206614107113</v>
      </c>
      <c r="K51" s="2">
        <v>0</v>
      </c>
    </row>
    <row r="52" spans="1:11" x14ac:dyDescent="0.35">
      <c r="A52" s="1">
        <v>39141</v>
      </c>
      <c r="B52">
        <v>59.54</v>
      </c>
      <c r="C52" s="4">
        <v>2.5835721472725588</v>
      </c>
      <c r="D52">
        <v>9.59</v>
      </c>
      <c r="E52" s="3">
        <v>8.3981597657883711E-2</v>
      </c>
      <c r="F52" s="3">
        <v>6.6024545595773088E-3</v>
      </c>
      <c r="G52">
        <v>8.3000000000000007</v>
      </c>
      <c r="H52" s="3">
        <v>1.1795300035415845E-2</v>
      </c>
      <c r="I52" s="3">
        <f t="shared" si="0"/>
        <v>5.1587848333933817E-3</v>
      </c>
      <c r="J52">
        <f>+[1]DOLMES!J840</f>
        <v>2219.1323025143261</v>
      </c>
      <c r="K52" s="2">
        <v>0</v>
      </c>
    </row>
    <row r="53" spans="1:11" x14ac:dyDescent="0.35">
      <c r="A53" s="1">
        <v>39172</v>
      </c>
      <c r="B53">
        <v>58.84</v>
      </c>
      <c r="C53" s="4">
        <v>2.5944942976963312</v>
      </c>
      <c r="D53">
        <v>8.61</v>
      </c>
      <c r="E53" s="3">
        <v>8.6368538952957818E-2</v>
      </c>
      <c r="F53" s="3">
        <v>1.0417470483833569E-2</v>
      </c>
      <c r="G53">
        <v>9</v>
      </c>
      <c r="H53" s="3">
        <v>1.0009121430562873E-2</v>
      </c>
      <c r="I53" s="3">
        <f t="shared" si="0"/>
        <v>-4.041389477115187E-4</v>
      </c>
      <c r="J53">
        <f>+[1]DOLMES!J841</f>
        <v>2219.0005178508404</v>
      </c>
      <c r="K53" s="2">
        <v>0</v>
      </c>
    </row>
    <row r="54" spans="1:11" x14ac:dyDescent="0.35">
      <c r="A54" s="1">
        <v>39202</v>
      </c>
      <c r="B54">
        <v>52.8</v>
      </c>
      <c r="C54" s="4">
        <v>2.142996509328595</v>
      </c>
      <c r="D54">
        <v>6.42</v>
      </c>
      <c r="E54" s="3">
        <v>0.104776833594588</v>
      </c>
      <c r="F54" s="3">
        <v>2.2682144493661127E-2</v>
      </c>
      <c r="G54">
        <v>9.3000000000000007</v>
      </c>
      <c r="H54" s="3">
        <v>1.5395573534489282E-2</v>
      </c>
      <c r="I54" s="3">
        <f t="shared" si="0"/>
        <v>-7.1249615517434695E-3</v>
      </c>
      <c r="J54">
        <f>+[1]DOLMES!J842</f>
        <v>2164.6399347312718</v>
      </c>
      <c r="K54" s="2">
        <v>0</v>
      </c>
    </row>
    <row r="55" spans="1:11" x14ac:dyDescent="0.35">
      <c r="A55" s="1">
        <v>39233</v>
      </c>
      <c r="B55">
        <v>52.92</v>
      </c>
      <c r="C55" s="4">
        <v>2.2292883554293095</v>
      </c>
      <c r="D55">
        <v>9.69</v>
      </c>
      <c r="E55" s="3">
        <v>0.12399276434796902</v>
      </c>
      <c r="F55" s="3">
        <v>2.0834889104622389E-2</v>
      </c>
      <c r="G55">
        <v>10.7</v>
      </c>
      <c r="H55" s="3">
        <v>1.3928892264514214E-2</v>
      </c>
      <c r="I55" s="3">
        <f t="shared" si="0"/>
        <v>-6.7650478190115493E-3</v>
      </c>
      <c r="J55">
        <f>+[1]DOLMES!J843</f>
        <v>2143.3446868763676</v>
      </c>
      <c r="K55" s="2">
        <v>0</v>
      </c>
    </row>
    <row r="56" spans="1:11" x14ac:dyDescent="0.35">
      <c r="A56" s="1">
        <v>39263</v>
      </c>
      <c r="B56">
        <v>51.32</v>
      </c>
      <c r="C56" s="4">
        <v>2.0747117687037209</v>
      </c>
      <c r="D56">
        <v>7.49</v>
      </c>
      <c r="E56" s="3">
        <v>0.14789366053169739</v>
      </c>
      <c r="F56" s="3">
        <v>2.6554498902706891E-2</v>
      </c>
      <c r="G56">
        <v>9.5</v>
      </c>
      <c r="H56" s="3">
        <v>2.5387379584148606E-2</v>
      </c>
      <c r="I56" s="3">
        <f t="shared" si="0"/>
        <v>-1.1369287454351396E-3</v>
      </c>
      <c r="J56">
        <f>+[1]DOLMES!J844</f>
        <v>2105.5265748659085</v>
      </c>
      <c r="K56" s="2">
        <v>0</v>
      </c>
    </row>
    <row r="57" spans="1:11" x14ac:dyDescent="0.35">
      <c r="A57" s="1">
        <v>39294</v>
      </c>
      <c r="B57">
        <v>50.18</v>
      </c>
      <c r="C57" s="5">
        <f>_xll.BDH("ARGFICG Index","PX_LAST",39294,0,"Dir=V","Per=M","Days=A","Dts=H","cols=1;rows=226")</f>
        <v>2</v>
      </c>
      <c r="D57">
        <v>6.03</v>
      </c>
      <c r="E57" s="3">
        <v>0.17362583591583758</v>
      </c>
      <c r="F57" s="3">
        <v>2.5511294805102169E-2</v>
      </c>
      <c r="G57">
        <v>8.8000000000000007</v>
      </c>
      <c r="H57" s="3">
        <v>2.2760564692099861E-2</v>
      </c>
      <c r="I57" s="3">
        <f t="shared" si="0"/>
        <v>-2.6823011379168982E-3</v>
      </c>
      <c r="J57">
        <f>+[1]DOLMES!J845</f>
        <v>2095.3841256249016</v>
      </c>
      <c r="K57" s="2">
        <v>1.005617270532766E-2</v>
      </c>
    </row>
    <row r="58" spans="1:11" x14ac:dyDescent="0.35">
      <c r="A58" s="1">
        <v>39325</v>
      </c>
      <c r="B58">
        <v>46.61</v>
      </c>
      <c r="C58" s="4">
        <v>1.86</v>
      </c>
      <c r="D58">
        <v>6.75</v>
      </c>
      <c r="E58" s="3">
        <v>0.21023929676054043</v>
      </c>
      <c r="F58" s="3">
        <v>3.3215203946911354E-2</v>
      </c>
      <c r="G58">
        <v>8.8000000000000007</v>
      </c>
      <c r="H58" s="3">
        <v>3.5388867967515614E-2</v>
      </c>
      <c r="I58" s="3">
        <f t="shared" si="0"/>
        <v>2.1037863286377245E-3</v>
      </c>
      <c r="J58">
        <f>+[1]DOLMES!J846</f>
        <v>2058.3545124498055</v>
      </c>
      <c r="K58" s="2">
        <v>1.1337862287918776E-2</v>
      </c>
    </row>
    <row r="59" spans="1:11" x14ac:dyDescent="0.35">
      <c r="A59" s="1">
        <v>39355</v>
      </c>
      <c r="B59">
        <v>49.21</v>
      </c>
      <c r="C59" s="4">
        <v>1.89</v>
      </c>
      <c r="D59">
        <v>6.97</v>
      </c>
      <c r="E59" s="3">
        <v>0.22929161938725873</v>
      </c>
      <c r="F59" s="3">
        <v>2.0041697491425037E-2</v>
      </c>
      <c r="G59">
        <v>7.6</v>
      </c>
      <c r="H59" s="3">
        <v>1.3351153519323811E-2</v>
      </c>
      <c r="I59" s="3">
        <f t="shared" si="0"/>
        <v>-6.5590887005454457E-3</v>
      </c>
      <c r="J59">
        <f>+[1]DOLMES!J847</f>
        <v>2009.9788950101295</v>
      </c>
      <c r="K59" s="2">
        <v>0</v>
      </c>
    </row>
    <row r="60" spans="1:11" x14ac:dyDescent="0.35">
      <c r="A60" s="1">
        <v>39386</v>
      </c>
      <c r="B60">
        <v>47.9</v>
      </c>
      <c r="C60" s="4">
        <v>1.68</v>
      </c>
      <c r="D60">
        <v>8.48</v>
      </c>
      <c r="E60" s="3">
        <v>0.24074522138882171</v>
      </c>
      <c r="F60" s="3">
        <v>1.4307377859827497E-2</v>
      </c>
      <c r="G60">
        <v>10.199999999999999</v>
      </c>
      <c r="H60" s="3">
        <v>1.7202557253053419E-2</v>
      </c>
      <c r="I60" s="3">
        <f t="shared" si="0"/>
        <v>2.8543412543589053E-3</v>
      </c>
      <c r="J60">
        <f>+[1]DOLMES!J848</f>
        <v>1993.7567663669008</v>
      </c>
      <c r="K60" s="2">
        <v>5.5607176041745365E-3</v>
      </c>
    </row>
    <row r="61" spans="1:11" x14ac:dyDescent="0.35">
      <c r="A61" s="1">
        <v>39416</v>
      </c>
      <c r="B61">
        <v>51.45</v>
      </c>
      <c r="C61" s="4">
        <v>1.98</v>
      </c>
      <c r="D61">
        <v>9.08</v>
      </c>
      <c r="E61" s="3">
        <v>0.22302043422733075</v>
      </c>
      <c r="F61" s="3">
        <v>-4.0301612064481684E-3</v>
      </c>
      <c r="G61">
        <v>9.8000000000000007</v>
      </c>
      <c r="H61" s="3">
        <v>1.4263554898583664E-2</v>
      </c>
      <c r="I61" s="3">
        <f t="shared" si="0"/>
        <v>1.8367741062512044E-2</v>
      </c>
      <c r="J61">
        <f>+[1]DOLMES!J849</f>
        <v>2000.9224815905277</v>
      </c>
      <c r="K61" s="2">
        <v>5.8796924468567102E-3</v>
      </c>
    </row>
    <row r="62" spans="1:11" x14ac:dyDescent="0.35">
      <c r="A62" s="1">
        <v>39447</v>
      </c>
      <c r="B62">
        <v>51.51</v>
      </c>
      <c r="C62" s="4">
        <v>2.04</v>
      </c>
      <c r="D62">
        <v>10.64</v>
      </c>
      <c r="E62" s="3">
        <v>0.21520578071002205</v>
      </c>
      <c r="F62" s="3">
        <v>9.7898446677979756E-3</v>
      </c>
      <c r="G62">
        <v>7.8</v>
      </c>
      <c r="H62" s="3">
        <v>1.3848132838847116E-2</v>
      </c>
      <c r="I62" s="3">
        <f t="shared" si="0"/>
        <v>4.01894334002173E-3</v>
      </c>
      <c r="J62">
        <f>+[1]DOLMES!J850</f>
        <v>1931.2830663566776</v>
      </c>
      <c r="K62" s="2">
        <v>0</v>
      </c>
    </row>
    <row r="63" spans="1:11" x14ac:dyDescent="0.35">
      <c r="A63" s="1">
        <v>39478</v>
      </c>
      <c r="B63">
        <v>55.04</v>
      </c>
      <c r="C63" s="4">
        <v>2.37</v>
      </c>
      <c r="D63">
        <v>11.01</v>
      </c>
      <c r="E63" s="3">
        <v>0.2261146496815285</v>
      </c>
      <c r="F63" s="3">
        <v>2.0230093071354593E-2</v>
      </c>
      <c r="G63">
        <v>10</v>
      </c>
      <c r="H63" s="3">
        <v>-1.3412718182784333E-2</v>
      </c>
      <c r="I63" s="3">
        <f t="shared" si="0"/>
        <v>-3.2975709580236767E-2</v>
      </c>
      <c r="J63">
        <f>+[1]DOLMES!J851</f>
        <v>1963.7166221933408</v>
      </c>
      <c r="K63" s="2">
        <v>1.2052351502948699E-2</v>
      </c>
    </row>
    <row r="64" spans="1:11" x14ac:dyDescent="0.35">
      <c r="A64" s="1">
        <v>39507</v>
      </c>
      <c r="B64">
        <v>52.03</v>
      </c>
      <c r="C64" s="4">
        <v>1.98</v>
      </c>
      <c r="D64">
        <v>4.8</v>
      </c>
      <c r="E64" s="3">
        <v>0.24531213828227494</v>
      </c>
      <c r="F64" s="3">
        <v>2.2363002850807723E-2</v>
      </c>
      <c r="G64">
        <v>8.9</v>
      </c>
      <c r="H64" s="3">
        <v>2.0487357296646413E-2</v>
      </c>
      <c r="I64" s="3">
        <f t="shared" si="0"/>
        <v>-1.8346179868903301E-3</v>
      </c>
      <c r="J64">
        <f>+[1]DOLMES!J852</f>
        <v>1943.0474290877544</v>
      </c>
      <c r="K64" s="2">
        <v>1.6915572232645282E-2</v>
      </c>
    </row>
    <row r="65" spans="1:11" x14ac:dyDescent="0.35">
      <c r="A65" s="1">
        <v>39538</v>
      </c>
      <c r="B65">
        <v>45.51</v>
      </c>
      <c r="C65" s="4">
        <v>1.86</v>
      </c>
      <c r="D65">
        <v>7.11</v>
      </c>
      <c r="E65" s="3">
        <v>0.28257217045975302</v>
      </c>
      <c r="F65" s="3">
        <v>4.0649398934192726E-2</v>
      </c>
      <c r="G65">
        <v>2.4</v>
      </c>
      <c r="H65" s="3">
        <v>1.2345647321576836E-2</v>
      </c>
      <c r="I65" s="3">
        <f t="shared" si="0"/>
        <v>-2.7198162648826685E-2</v>
      </c>
      <c r="J65">
        <f>+[1]DOLMES!J853</f>
        <v>1883.1670065432349</v>
      </c>
      <c r="K65" s="2">
        <v>1.7843996494303571E-2</v>
      </c>
    </row>
    <row r="66" spans="1:11" x14ac:dyDescent="0.35">
      <c r="A66" s="1">
        <v>39568</v>
      </c>
      <c r="B66">
        <v>45.62</v>
      </c>
      <c r="C66" s="4">
        <v>1.74</v>
      </c>
      <c r="D66">
        <v>9.3800000000000008</v>
      </c>
      <c r="E66" s="3">
        <v>0.29161377044283543</v>
      </c>
      <c r="F66" s="3">
        <v>2.9891627962367551E-2</v>
      </c>
      <c r="G66">
        <v>8.9</v>
      </c>
      <c r="H66" s="3">
        <v>2.5269096287259485E-2</v>
      </c>
      <c r="I66" s="3">
        <f t="shared" si="0"/>
        <v>-4.4883670763046224E-3</v>
      </c>
      <c r="J66">
        <f>+[1]DOLMES!J854</f>
        <v>1845.9534975341621</v>
      </c>
      <c r="K66" s="2">
        <v>1.6562886930931553E-2</v>
      </c>
    </row>
    <row r="67" spans="1:11" x14ac:dyDescent="0.35">
      <c r="A67" s="1">
        <v>39599</v>
      </c>
      <c r="B67">
        <v>40.31</v>
      </c>
      <c r="C67" s="4">
        <v>1.33</v>
      </c>
      <c r="D67">
        <v>3.69</v>
      </c>
      <c r="E67" s="3">
        <v>0.26839795171909353</v>
      </c>
      <c r="F67" s="3">
        <v>2.4861239592968154E-3</v>
      </c>
      <c r="G67">
        <v>4.4000000000000004</v>
      </c>
      <c r="H67" s="3">
        <v>2.4610940714135277E-2</v>
      </c>
      <c r="I67" s="3">
        <f t="shared" ref="I67:I130" si="1">+(1+H67)/(1+F67)-1</f>
        <v>2.2069948128016881E-2</v>
      </c>
      <c r="J67">
        <f>+[1]DOLMES!J855</f>
        <v>1877.8596331797596</v>
      </c>
      <c r="K67" s="2">
        <v>2.8161220369400608E-2</v>
      </c>
    </row>
    <row r="68" spans="1:11" x14ac:dyDescent="0.35">
      <c r="A68" s="1">
        <v>39629</v>
      </c>
      <c r="B68">
        <v>39.6</v>
      </c>
      <c r="C68" s="4">
        <v>1.21</v>
      </c>
      <c r="D68">
        <v>2.5</v>
      </c>
      <c r="E68" s="3">
        <v>0.26551699565310383</v>
      </c>
      <c r="F68" s="3">
        <v>2.4222850222042958E-2</v>
      </c>
      <c r="G68">
        <v>3.2</v>
      </c>
      <c r="H68" s="3">
        <v>2.0889304077088333E-2</v>
      </c>
      <c r="I68" s="3">
        <f t="shared" si="1"/>
        <v>-3.2547078443250221E-3</v>
      </c>
      <c r="J68">
        <f>+[1]DOLMES!J856</f>
        <v>1821.9905935449051</v>
      </c>
      <c r="K68" s="2">
        <v>4.6308779338910311E-2</v>
      </c>
    </row>
    <row r="69" spans="1:11" x14ac:dyDescent="0.35">
      <c r="A69" s="1">
        <v>39660</v>
      </c>
      <c r="B69">
        <v>40.47</v>
      </c>
      <c r="C69" s="4">
        <v>1.27</v>
      </c>
      <c r="D69">
        <v>6.08</v>
      </c>
      <c r="E69" s="3">
        <v>0.2513376415815447</v>
      </c>
      <c r="F69" s="3">
        <v>1.402105974435508E-2</v>
      </c>
      <c r="G69">
        <v>7.3</v>
      </c>
      <c r="H69" s="3">
        <v>2.3226978091459127E-2</v>
      </c>
      <c r="I69" s="3">
        <f t="shared" si="1"/>
        <v>9.0786263841748926E-3</v>
      </c>
      <c r="J69">
        <f>+[1]DOLMES!J857</f>
        <v>1747.2565644559024</v>
      </c>
      <c r="K69" s="2">
        <v>2.3350253807105981E-2</v>
      </c>
    </row>
    <row r="70" spans="1:11" x14ac:dyDescent="0.35">
      <c r="A70" s="1">
        <v>39691</v>
      </c>
      <c r="B70">
        <v>41.38</v>
      </c>
      <c r="C70" s="4">
        <v>1.39</v>
      </c>
      <c r="D70">
        <v>2.17</v>
      </c>
      <c r="E70" s="3">
        <v>0.22099670455309761</v>
      </c>
      <c r="F70" s="3">
        <v>8.163038649489085E-3</v>
      </c>
      <c r="G70">
        <v>3.7</v>
      </c>
      <c r="H70" s="3">
        <v>4.0486799841177978E-2</v>
      </c>
      <c r="I70" s="3">
        <f t="shared" si="1"/>
        <v>3.2062037540067978E-2</v>
      </c>
      <c r="J70">
        <f>+[1]DOLMES!J858</f>
        <v>1702.3473905369599</v>
      </c>
      <c r="K70" s="2">
        <v>6.8321454902926515E-3</v>
      </c>
    </row>
    <row r="71" spans="1:11" x14ac:dyDescent="0.35">
      <c r="A71" s="1">
        <v>39721</v>
      </c>
      <c r="B71">
        <v>44.41</v>
      </c>
      <c r="C71" s="4">
        <v>1.44</v>
      </c>
      <c r="D71">
        <v>0.83</v>
      </c>
      <c r="E71" s="3">
        <v>0.20992945209995417</v>
      </c>
      <c r="F71" s="3">
        <v>1.0795923987881872E-2</v>
      </c>
      <c r="G71">
        <v>7</v>
      </c>
      <c r="H71" s="3">
        <v>1.795631941878062E-2</v>
      </c>
      <c r="I71" s="3">
        <f t="shared" si="1"/>
        <v>7.0839179907344896E-3</v>
      </c>
      <c r="J71">
        <f>+[1]DOLMES!J859</f>
        <v>1722.4107695788964</v>
      </c>
      <c r="K71" s="2">
        <v>1.5818048422597153E-2</v>
      </c>
    </row>
    <row r="72" spans="1:11" x14ac:dyDescent="0.35">
      <c r="A72" s="1">
        <v>39752</v>
      </c>
      <c r="B72">
        <v>40.11</v>
      </c>
      <c r="C72" s="4">
        <v>1.38</v>
      </c>
      <c r="D72">
        <v>-11.36</v>
      </c>
      <c r="E72" s="3">
        <v>0.19981799271970901</v>
      </c>
      <c r="F72" s="3">
        <v>5.8307449185330817E-3</v>
      </c>
      <c r="G72">
        <v>1.5</v>
      </c>
      <c r="H72" s="3">
        <v>1.5749468662680233E-2</v>
      </c>
      <c r="I72" s="3">
        <f t="shared" si="1"/>
        <v>9.8612254539409694E-3</v>
      </c>
      <c r="J72">
        <f>+[1]DOLMES!J860</f>
        <v>1835.4829643617343</v>
      </c>
      <c r="K72" s="2">
        <v>4.9786429521741837E-2</v>
      </c>
    </row>
    <row r="73" spans="1:11" x14ac:dyDescent="0.35">
      <c r="A73" s="1">
        <v>39782</v>
      </c>
      <c r="B73">
        <v>39.119999999999997</v>
      </c>
      <c r="C73" s="4">
        <v>1.43</v>
      </c>
      <c r="D73">
        <v>-15.71</v>
      </c>
      <c r="E73" s="3">
        <v>0.21237436366009654</v>
      </c>
      <c r="F73" s="3">
        <v>6.3928919709610454E-3</v>
      </c>
      <c r="G73">
        <v>-3.2</v>
      </c>
      <c r="H73" s="3">
        <v>7.267994183446369E-3</v>
      </c>
      <c r="I73" s="3">
        <f t="shared" si="1"/>
        <v>8.6954331600197499E-4</v>
      </c>
      <c r="J73">
        <f>+[1]DOLMES!J861</f>
        <v>1938.76177543627</v>
      </c>
      <c r="K73" s="2">
        <v>0.10638469208669554</v>
      </c>
    </row>
    <row r="74" spans="1:11" x14ac:dyDescent="0.35">
      <c r="A74" s="1">
        <v>39813</v>
      </c>
      <c r="B74">
        <v>37.04</v>
      </c>
      <c r="C74" s="4">
        <v>1.37</v>
      </c>
      <c r="D74">
        <v>-20.059999999999999</v>
      </c>
      <c r="E74" s="3">
        <v>0.2059850051706309</v>
      </c>
      <c r="F74" s="3">
        <v>4.468130921619462E-3</v>
      </c>
      <c r="G74">
        <v>-4.2</v>
      </c>
      <c r="H74" s="3">
        <v>9.8297048032287559E-3</v>
      </c>
      <c r="I74" s="3">
        <f t="shared" si="1"/>
        <v>5.3377242309220474E-3</v>
      </c>
      <c r="J74">
        <f>+[1]DOLMES!J862</f>
        <v>1833.1430435386721</v>
      </c>
      <c r="K74" s="2">
        <v>3.5404373964352365E-2</v>
      </c>
    </row>
    <row r="75" spans="1:11" x14ac:dyDescent="0.35">
      <c r="A75" s="1">
        <v>39844</v>
      </c>
      <c r="B75">
        <v>41.19</v>
      </c>
      <c r="C75" s="4">
        <v>1.5</v>
      </c>
      <c r="D75">
        <v>-17.7</v>
      </c>
      <c r="E75" s="3">
        <v>0.19575546404814714</v>
      </c>
      <c r="F75" s="3">
        <v>1.1576183075191704E-2</v>
      </c>
      <c r="G75">
        <v>-7.5</v>
      </c>
      <c r="H75" s="3">
        <v>1.1371136278193861E-2</v>
      </c>
      <c r="I75" s="3">
        <f t="shared" si="1"/>
        <v>-2.0270030120173033E-4</v>
      </c>
      <c r="J75">
        <f>+[1]DOLMES!J863</f>
        <v>1833.5034599975008</v>
      </c>
      <c r="K75" s="2">
        <v>3.0735714848158846E-2</v>
      </c>
    </row>
    <row r="76" spans="1:11" x14ac:dyDescent="0.35">
      <c r="A76" s="1">
        <v>39872</v>
      </c>
      <c r="B76">
        <v>39.44</v>
      </c>
      <c r="C76" s="4">
        <v>1.38</v>
      </c>
      <c r="D76">
        <v>-16.97</v>
      </c>
      <c r="E76" s="3">
        <v>0.16947577147106196</v>
      </c>
      <c r="F76" s="3">
        <v>-1.0596026490083954E-4</v>
      </c>
      <c r="G76">
        <v>-6.5</v>
      </c>
      <c r="H76" s="3">
        <v>1.0315764550669293E-2</v>
      </c>
      <c r="I76" s="3">
        <f t="shared" si="1"/>
        <v>1.0422829221315544E-2</v>
      </c>
      <c r="J76">
        <f>+[1]DOLMES!J864</f>
        <v>1870.691152299459</v>
      </c>
      <c r="K76" s="2">
        <v>3.2033182258939696E-2</v>
      </c>
    </row>
    <row r="77" spans="1:11" x14ac:dyDescent="0.35">
      <c r="A77" s="1">
        <v>39903</v>
      </c>
      <c r="B77">
        <v>37.450000000000003</v>
      </c>
      <c r="C77" s="4">
        <v>1.36</v>
      </c>
      <c r="D77">
        <v>-18.920000000000002</v>
      </c>
      <c r="E77" s="3">
        <v>0.15005359056805978</v>
      </c>
      <c r="F77" s="3">
        <v>2.3366714353838747E-2</v>
      </c>
      <c r="G77">
        <v>-4.7</v>
      </c>
      <c r="H77" s="3">
        <v>5.9000694883872828E-3</v>
      </c>
      <c r="I77" s="3">
        <f t="shared" si="1"/>
        <v>-1.7067825854078178E-2</v>
      </c>
      <c r="J77">
        <f>+[1]DOLMES!J865</f>
        <v>1893.724776018119</v>
      </c>
      <c r="K77" s="2">
        <v>2.4977389246403581E-2</v>
      </c>
    </row>
    <row r="78" spans="1:11" x14ac:dyDescent="0.35">
      <c r="A78" s="1">
        <v>39933</v>
      </c>
      <c r="B78">
        <v>37.54</v>
      </c>
      <c r="C78" s="4">
        <v>1.35</v>
      </c>
      <c r="D78">
        <v>-18.55</v>
      </c>
      <c r="E78" s="3">
        <v>0.13702590194264541</v>
      </c>
      <c r="F78" s="3">
        <v>1.8225121673397515E-2</v>
      </c>
      <c r="G78">
        <v>-11.9</v>
      </c>
      <c r="H78" s="3">
        <v>1.3621555628856807E-2</v>
      </c>
      <c r="I78" s="3">
        <f t="shared" si="1"/>
        <v>-4.5211672218172794E-3</v>
      </c>
      <c r="J78">
        <f>+[1]DOLMES!J866</f>
        <v>1879.1571861718933</v>
      </c>
      <c r="K78" s="2">
        <v>2.2029495212621208E-2</v>
      </c>
    </row>
    <row r="79" spans="1:11" x14ac:dyDescent="0.35">
      <c r="A79" s="1">
        <v>39964</v>
      </c>
      <c r="B79">
        <v>39.090000000000003</v>
      </c>
      <c r="C79" s="4">
        <v>1.32</v>
      </c>
      <c r="D79">
        <v>-13.54</v>
      </c>
      <c r="E79" s="3">
        <v>0.14401061191533548</v>
      </c>
      <c r="F79" s="3">
        <v>8.6443608257908977E-3</v>
      </c>
      <c r="G79">
        <v>-13.7</v>
      </c>
      <c r="H79" s="3">
        <v>8.64370854962071E-3</v>
      </c>
      <c r="I79" s="3">
        <f t="shared" si="1"/>
        <v>-6.4668598320771764E-7</v>
      </c>
      <c r="J79">
        <f>+[1]DOLMES!J867</f>
        <v>1879.8969945689437</v>
      </c>
      <c r="K79" s="2">
        <v>1.9713135024376438E-2</v>
      </c>
    </row>
    <row r="80" spans="1:11" x14ac:dyDescent="0.35">
      <c r="A80" s="1">
        <v>39994</v>
      </c>
      <c r="B80">
        <v>40.21</v>
      </c>
      <c r="C80" s="4">
        <v>1.34</v>
      </c>
      <c r="D80">
        <v>-10.15</v>
      </c>
      <c r="E80" s="3">
        <v>0.12286727856298207</v>
      </c>
      <c r="F80" s="3">
        <v>5.2934059286144919E-3</v>
      </c>
      <c r="G80">
        <v>-8</v>
      </c>
      <c r="H80" s="3">
        <v>1.5023329942950969E-2</v>
      </c>
      <c r="I80" s="3">
        <f t="shared" si="1"/>
        <v>9.6786907752057783E-3</v>
      </c>
      <c r="J80">
        <f>+[1]DOLMES!J868</f>
        <v>1942.6796042556584</v>
      </c>
      <c r="K80" s="2">
        <v>3.8154549176806496E-2</v>
      </c>
    </row>
    <row r="81" spans="1:11" x14ac:dyDescent="0.35">
      <c r="A81" s="1">
        <v>40025</v>
      </c>
      <c r="B81">
        <v>42.35</v>
      </c>
      <c r="C81" s="4">
        <v>1.23</v>
      </c>
      <c r="D81">
        <v>-11.56</v>
      </c>
      <c r="E81" s="3">
        <v>0.1184473567303419</v>
      </c>
      <c r="F81" s="3">
        <v>1.0029587282483376E-2</v>
      </c>
      <c r="G81">
        <v>-6.8</v>
      </c>
      <c r="H81" s="3">
        <v>2.2072130970718806E-2</v>
      </c>
      <c r="I81" s="3">
        <f t="shared" si="1"/>
        <v>1.1922961307139879E-2</v>
      </c>
      <c r="J81">
        <f>+[1]DOLMES!J869</f>
        <v>1910.2874244768557</v>
      </c>
      <c r="K81" s="2">
        <v>2.1443820589867713E-2</v>
      </c>
    </row>
    <row r="82" spans="1:11" x14ac:dyDescent="0.35">
      <c r="A82" s="1">
        <v>40056</v>
      </c>
      <c r="B82">
        <v>40.69</v>
      </c>
      <c r="C82" s="4">
        <v>1.1100000000000001</v>
      </c>
      <c r="D82">
        <v>-8.39</v>
      </c>
      <c r="E82" s="3">
        <v>0.12999173781327444</v>
      </c>
      <c r="F82" s="3">
        <v>1.856908793009282E-2</v>
      </c>
      <c r="G82">
        <v>-5.6</v>
      </c>
      <c r="H82" s="3">
        <v>1.4750059307561569E-2</v>
      </c>
      <c r="I82" s="3">
        <f t="shared" si="1"/>
        <v>-3.7494055806192028E-3</v>
      </c>
      <c r="J82">
        <f>+[1]DOLMES!J870</f>
        <v>1865.2118567655302</v>
      </c>
      <c r="K82" s="2">
        <v>5.8150514107850881E-3</v>
      </c>
    </row>
    <row r="83" spans="1:11" x14ac:dyDescent="0.35">
      <c r="A83" s="1">
        <v>40086</v>
      </c>
      <c r="B83">
        <v>40.03</v>
      </c>
      <c r="C83" s="4">
        <v>1.22</v>
      </c>
      <c r="D83">
        <v>-6.46</v>
      </c>
      <c r="E83" s="3">
        <v>0.13514249904637365</v>
      </c>
      <c r="F83" s="3">
        <v>1.5403363392639591E-2</v>
      </c>
      <c r="G83">
        <v>-4.5</v>
      </c>
      <c r="H83" s="3">
        <v>1.7657086612489215E-2</v>
      </c>
      <c r="I83" s="3">
        <f t="shared" si="1"/>
        <v>2.2195349169609191E-3</v>
      </c>
      <c r="J83">
        <f>+[1]DOLMES!J871</f>
        <v>1825.3028744051269</v>
      </c>
      <c r="K83" s="2">
        <v>0</v>
      </c>
    </row>
    <row r="84" spans="1:11" x14ac:dyDescent="0.35">
      <c r="A84" s="1">
        <v>40117</v>
      </c>
      <c r="B84">
        <v>39.03</v>
      </c>
      <c r="C84" s="4">
        <v>1.1499999999999999</v>
      </c>
      <c r="D84">
        <v>4.66</v>
      </c>
      <c r="E84" s="3">
        <v>0.14730740058511227</v>
      </c>
      <c r="F84" s="3">
        <v>1.6609860304354074E-2</v>
      </c>
      <c r="G84">
        <v>-2.5</v>
      </c>
      <c r="H84" s="3">
        <v>1.6017512773272902E-2</v>
      </c>
      <c r="I84" s="3">
        <f t="shared" si="1"/>
        <v>-5.8266947253871049E-4</v>
      </c>
      <c r="J84">
        <f>+[1]DOLMES!J872</f>
        <v>1775.3154546983512</v>
      </c>
      <c r="K84" s="2">
        <v>0</v>
      </c>
    </row>
    <row r="85" spans="1:11" x14ac:dyDescent="0.35">
      <c r="A85" s="1">
        <v>40147</v>
      </c>
      <c r="B85">
        <v>40.49</v>
      </c>
      <c r="C85" s="4">
        <v>1.1599999999999999</v>
      </c>
      <c r="D85">
        <v>7.1</v>
      </c>
      <c r="E85" s="3">
        <v>0.1531007751937985</v>
      </c>
      <c r="F85" s="3">
        <v>1.1474713132171521E-2</v>
      </c>
      <c r="G85">
        <v>1.2</v>
      </c>
      <c r="H85" s="3">
        <v>1.0008958909872634E-2</v>
      </c>
      <c r="I85" s="3">
        <f t="shared" si="1"/>
        <v>-1.4491259180963167E-3</v>
      </c>
      <c r="J85">
        <f>+[1]DOLMES!J873</f>
        <v>1746.1694982839385</v>
      </c>
      <c r="K85" s="2">
        <v>0</v>
      </c>
    </row>
    <row r="86" spans="1:11" x14ac:dyDescent="0.35">
      <c r="A86" s="1">
        <v>40178</v>
      </c>
      <c r="B86">
        <v>40.22</v>
      </c>
      <c r="C86" s="4">
        <v>1.04</v>
      </c>
      <c r="D86">
        <v>13.93</v>
      </c>
      <c r="E86" s="3">
        <v>0.18473658824159922</v>
      </c>
      <c r="F86" s="3">
        <v>3.2026143790849559E-2</v>
      </c>
      <c r="G86">
        <v>2.2999999999999998</v>
      </c>
      <c r="H86" s="3">
        <v>1.0121564123446669E-2</v>
      </c>
      <c r="I86" s="3">
        <f t="shared" si="1"/>
        <v>-2.1224830203373291E-2</v>
      </c>
      <c r="J86">
        <f>+[1]DOLMES!J874</f>
        <v>1699.587227701378</v>
      </c>
      <c r="K86" s="2">
        <v>0</v>
      </c>
    </row>
    <row r="87" spans="1:11" x14ac:dyDescent="0.35">
      <c r="A87" s="1">
        <v>40209</v>
      </c>
      <c r="B87">
        <v>45.56</v>
      </c>
      <c r="C87" s="4">
        <v>1.26</v>
      </c>
      <c r="D87">
        <v>11.2</v>
      </c>
      <c r="E87" s="3">
        <v>0.19713907284768206</v>
      </c>
      <c r="F87" s="3">
        <v>2.2165927802406671E-2</v>
      </c>
      <c r="G87">
        <v>4.0999999999999996</v>
      </c>
      <c r="H87" s="3">
        <v>1.4265602297409252E-2</v>
      </c>
      <c r="I87" s="3">
        <f t="shared" si="1"/>
        <v>-7.7290049395234428E-3</v>
      </c>
      <c r="J87">
        <f>+[1]DOLMES!J875</f>
        <v>1677.7137900255655</v>
      </c>
      <c r="K87" s="2">
        <v>0</v>
      </c>
    </row>
    <row r="88" spans="1:11" x14ac:dyDescent="0.35">
      <c r="A88" s="1">
        <v>40237</v>
      </c>
      <c r="B88">
        <v>43.54</v>
      </c>
      <c r="C88" s="4">
        <v>1.19</v>
      </c>
      <c r="D88">
        <v>14.73</v>
      </c>
      <c r="E88" s="3">
        <v>0.24956286758861901</v>
      </c>
      <c r="F88" s="3">
        <v>4.3680297397769685E-2</v>
      </c>
      <c r="G88">
        <v>4.3</v>
      </c>
      <c r="H88" s="3">
        <v>1.2101525040201233E-2</v>
      </c>
      <c r="I88" s="3">
        <f t="shared" si="1"/>
        <v>-3.025713184037726E-2</v>
      </c>
      <c r="J88">
        <f>+[1]DOLMES!J876</f>
        <v>1643.9354478022738</v>
      </c>
      <c r="K88" s="2">
        <v>1.1444121110851579E-2</v>
      </c>
    </row>
    <row r="89" spans="1:11" x14ac:dyDescent="0.35">
      <c r="A89" s="1">
        <v>40268</v>
      </c>
      <c r="B89">
        <v>41.38</v>
      </c>
      <c r="C89" s="4">
        <v>1.34</v>
      </c>
      <c r="D89">
        <v>17.22</v>
      </c>
      <c r="E89" s="3">
        <v>0.25297711504608067</v>
      </c>
      <c r="F89" s="3">
        <v>2.6162913963448275E-2</v>
      </c>
      <c r="G89">
        <v>8.5</v>
      </c>
      <c r="H89" s="3">
        <v>1.9969973787841599E-2</v>
      </c>
      <c r="I89" s="3">
        <f t="shared" si="1"/>
        <v>-6.0350457917905942E-3</v>
      </c>
      <c r="J89">
        <f>+[1]DOLMES!J877</f>
        <v>1604.714994571053</v>
      </c>
      <c r="K89" s="2">
        <v>6.0701916057919192E-3</v>
      </c>
    </row>
    <row r="90" spans="1:11" x14ac:dyDescent="0.35">
      <c r="A90" s="1">
        <v>40298</v>
      </c>
      <c r="B90">
        <v>43.48</v>
      </c>
      <c r="C90" s="4">
        <v>1.39</v>
      </c>
      <c r="D90">
        <v>16.12</v>
      </c>
      <c r="E90" s="3">
        <v>0.24738126716159892</v>
      </c>
      <c r="F90" s="3">
        <v>1.3677685950413299E-2</v>
      </c>
      <c r="G90">
        <v>13.9</v>
      </c>
      <c r="H90" s="3">
        <v>1.4786159775082242E-2</v>
      </c>
      <c r="I90" s="3">
        <f t="shared" si="1"/>
        <v>1.0935170419872353E-3</v>
      </c>
      <c r="J90">
        <f>+[1]DOLMES!J878</f>
        <v>1581.6317824162343</v>
      </c>
      <c r="K90" s="2">
        <v>0</v>
      </c>
    </row>
    <row r="91" spans="1:11" x14ac:dyDescent="0.35">
      <c r="A91" s="1">
        <v>40329</v>
      </c>
      <c r="B91">
        <v>48.61</v>
      </c>
      <c r="C91" s="4">
        <v>1.59</v>
      </c>
      <c r="D91">
        <v>12.18</v>
      </c>
      <c r="E91" s="3">
        <v>0.2562512603347451</v>
      </c>
      <c r="F91" s="3">
        <v>1.5816721699074776E-2</v>
      </c>
      <c r="G91">
        <v>18.8</v>
      </c>
      <c r="H91" s="3">
        <v>1.9838386424097854E-2</v>
      </c>
      <c r="I91" s="3">
        <f t="shared" si="1"/>
        <v>3.959045602533795E-3</v>
      </c>
      <c r="J91">
        <f>+[1]DOLMES!J879</f>
        <v>1576.3634467683221</v>
      </c>
      <c r="K91" s="2">
        <v>5.0042151407854174E-3</v>
      </c>
    </row>
    <row r="92" spans="1:11" x14ac:dyDescent="0.35">
      <c r="A92" s="1">
        <v>40359</v>
      </c>
      <c r="B92">
        <v>47.63</v>
      </c>
      <c r="C92" s="4">
        <v>1.61</v>
      </c>
      <c r="D92">
        <v>11.51</v>
      </c>
      <c r="E92" s="3">
        <v>0.26322651822877541</v>
      </c>
      <c r="F92" s="3">
        <v>1.0875235763875057E-2</v>
      </c>
      <c r="G92">
        <v>15.9</v>
      </c>
      <c r="H92" s="3">
        <v>3.7313034741176976E-2</v>
      </c>
      <c r="I92" s="3">
        <f t="shared" si="1"/>
        <v>2.6153374859681833E-2</v>
      </c>
      <c r="J92">
        <f>+[1]DOLMES!J880</f>
        <v>1585.9178521008641</v>
      </c>
      <c r="K92" s="2">
        <v>1.6693549365123683E-2</v>
      </c>
    </row>
    <row r="93" spans="1:11" x14ac:dyDescent="0.35">
      <c r="A93" s="1">
        <v>40390</v>
      </c>
      <c r="B93">
        <v>48.1</v>
      </c>
      <c r="C93" s="4">
        <v>1.69</v>
      </c>
      <c r="D93">
        <v>11.81</v>
      </c>
      <c r="E93" s="3">
        <v>0.26900352514770898</v>
      </c>
      <c r="F93" s="3">
        <v>1.4648670107185513E-2</v>
      </c>
      <c r="G93">
        <v>9.5</v>
      </c>
      <c r="H93" s="3">
        <v>2.8761342157904934E-2</v>
      </c>
      <c r="I93" s="3">
        <f t="shared" si="1"/>
        <v>1.3908924799781675E-2</v>
      </c>
      <c r="J93">
        <f>+[1]DOLMES!J881</f>
        <v>1546.5494177976282</v>
      </c>
      <c r="K93" s="2">
        <v>1.243428093452148E-2</v>
      </c>
    </row>
    <row r="94" spans="1:11" x14ac:dyDescent="0.35">
      <c r="A94" s="1">
        <v>40421</v>
      </c>
      <c r="B94">
        <v>50.37</v>
      </c>
      <c r="C94" s="4">
        <v>1.8</v>
      </c>
      <c r="D94">
        <v>13.21</v>
      </c>
      <c r="E94" s="3">
        <v>0.25907872288569389</v>
      </c>
      <c r="F94" s="3">
        <v>1.0602918737039779E-2</v>
      </c>
      <c r="G94">
        <v>10.7</v>
      </c>
      <c r="H94" s="3">
        <v>2.4599185421586123E-2</v>
      </c>
      <c r="I94" s="3">
        <f t="shared" si="1"/>
        <v>1.3849422384449195E-2</v>
      </c>
      <c r="J94">
        <f>+[1]DOLMES!J882</f>
        <v>1532.0261706919091</v>
      </c>
      <c r="K94" s="2">
        <v>2.6665924938749086E-3</v>
      </c>
    </row>
    <row r="95" spans="1:11" x14ac:dyDescent="0.35">
      <c r="A95" s="1">
        <v>40451</v>
      </c>
      <c r="B95">
        <v>48.83</v>
      </c>
      <c r="C95" s="4">
        <v>1.77</v>
      </c>
      <c r="D95">
        <v>14.34</v>
      </c>
      <c r="E95" s="3">
        <v>0.25966108204118887</v>
      </c>
      <c r="F95" s="3">
        <v>1.5873015873015817E-2</v>
      </c>
      <c r="G95">
        <v>8.3000000000000007</v>
      </c>
      <c r="H95" s="3">
        <v>2.1691443490705398E-2</v>
      </c>
      <c r="I95" s="3">
        <f t="shared" si="1"/>
        <v>5.727514686163282E-3</v>
      </c>
      <c r="J95">
        <f>+[1]DOLMES!J883</f>
        <v>1507.5321576953763</v>
      </c>
      <c r="K95" s="2">
        <v>0</v>
      </c>
    </row>
    <row r="96" spans="1:11" x14ac:dyDescent="0.35">
      <c r="A96" s="1">
        <v>40482</v>
      </c>
      <c r="B96">
        <v>50.05</v>
      </c>
      <c r="C96" s="4">
        <v>1.7</v>
      </c>
      <c r="D96">
        <v>15.48</v>
      </c>
      <c r="E96" s="3">
        <v>0.27954856684138485</v>
      </c>
      <c r="F96" s="3">
        <v>3.2660060975609806E-2</v>
      </c>
      <c r="G96">
        <v>6.3</v>
      </c>
      <c r="H96" s="3">
        <v>1.9267885666005791E-2</v>
      </c>
      <c r="I96" s="3">
        <f t="shared" si="1"/>
        <v>-1.2968619408938564E-2</v>
      </c>
      <c r="J96">
        <f>+[1]DOLMES!J884</f>
        <v>1460.6427744256825</v>
      </c>
      <c r="K96" s="2">
        <v>0</v>
      </c>
    </row>
    <row r="97" spans="1:11" x14ac:dyDescent="0.35">
      <c r="A97" s="1">
        <v>40512</v>
      </c>
      <c r="B97">
        <v>55.36</v>
      </c>
      <c r="C97" s="4">
        <v>2.5299999999999998</v>
      </c>
      <c r="D97">
        <v>21.7</v>
      </c>
      <c r="E97" s="3">
        <v>0.28902894491129838</v>
      </c>
      <c r="F97" s="3">
        <v>1.8968889544968004E-2</v>
      </c>
      <c r="G97">
        <v>9.8000000000000007</v>
      </c>
      <c r="H97" s="3">
        <v>1.1147194082094636E-2</v>
      </c>
      <c r="I97" s="3">
        <f t="shared" si="1"/>
        <v>-7.6760885863416117E-3</v>
      </c>
      <c r="J97">
        <f>+[1]DOLMES!J885</f>
        <v>1445.1000575501869</v>
      </c>
      <c r="K97" s="2">
        <v>0</v>
      </c>
    </row>
    <row r="98" spans="1:11" x14ac:dyDescent="0.35">
      <c r="A98" s="1">
        <v>40543</v>
      </c>
      <c r="B98">
        <v>53.21</v>
      </c>
      <c r="C98" s="4">
        <v>2.5499999999999998</v>
      </c>
      <c r="D98">
        <v>20.99</v>
      </c>
      <c r="E98" s="3">
        <v>0.27028860942730537</v>
      </c>
      <c r="F98" s="3">
        <v>1.7022201296584605E-2</v>
      </c>
      <c r="G98">
        <v>9.6999999999999993</v>
      </c>
      <c r="H98" s="3">
        <v>1.2748561057851493E-2</v>
      </c>
      <c r="I98" s="3">
        <f t="shared" si="1"/>
        <v>-4.2021110584259391E-3</v>
      </c>
      <c r="J98">
        <f>+[1]DOLMES!J886</f>
        <v>1438.4475192555144</v>
      </c>
      <c r="K98" s="2">
        <v>9.0829757052310889E-3</v>
      </c>
    </row>
    <row r="99" spans="1:11" x14ac:dyDescent="0.35">
      <c r="A99" s="1">
        <v>40574</v>
      </c>
      <c r="B99">
        <v>55.69</v>
      </c>
      <c r="C99" s="4">
        <v>2.2599999999999998</v>
      </c>
      <c r="D99">
        <v>21.06</v>
      </c>
      <c r="E99" s="3">
        <v>0.25641706496725125</v>
      </c>
      <c r="F99" s="3">
        <v>1.1003881628147028E-2</v>
      </c>
      <c r="G99">
        <v>9.5</v>
      </c>
      <c r="H99" s="3">
        <v>1.824031592999753E-2</v>
      </c>
      <c r="I99" s="3">
        <f t="shared" si="1"/>
        <v>7.1576721250532493E-3</v>
      </c>
      <c r="J99">
        <f>+[1]DOLMES!J887</f>
        <v>1447.7491652515075</v>
      </c>
      <c r="K99" s="2">
        <v>2.1112581094906213E-2</v>
      </c>
    </row>
    <row r="100" spans="1:11" x14ac:dyDescent="0.35">
      <c r="A100" s="1">
        <v>40602</v>
      </c>
      <c r="B100">
        <v>53.96</v>
      </c>
      <c r="C100" s="4">
        <v>2.36</v>
      </c>
      <c r="D100">
        <v>20.239999999999998</v>
      </c>
      <c r="E100" s="3">
        <v>0.21680871814442626</v>
      </c>
      <c r="F100" s="3">
        <v>1.0778443113772296E-2</v>
      </c>
      <c r="G100">
        <v>8.1</v>
      </c>
      <c r="H100" s="3">
        <v>1.1353275555601172E-2</v>
      </c>
      <c r="I100" s="3">
        <f t="shared" si="1"/>
        <v>5.6870271199893629E-4</v>
      </c>
      <c r="J100">
        <f>+[1]DOLMES!J888</f>
        <v>1469.579300870734</v>
      </c>
      <c r="K100" s="2">
        <v>3.1938408139315255E-2</v>
      </c>
    </row>
    <row r="101" spans="1:11" x14ac:dyDescent="0.35">
      <c r="A101" s="1">
        <v>40633</v>
      </c>
      <c r="B101">
        <v>57.38</v>
      </c>
      <c r="C101" s="4">
        <v>2.57</v>
      </c>
      <c r="D101">
        <v>18.16</v>
      </c>
      <c r="E101" s="3">
        <v>0.21731404958677714</v>
      </c>
      <c r="F101" s="3">
        <v>2.658907164761648E-2</v>
      </c>
      <c r="G101">
        <v>7.4</v>
      </c>
      <c r="H101" s="3">
        <v>1.4293426091487982E-2</v>
      </c>
      <c r="I101" s="3">
        <f t="shared" si="1"/>
        <v>-1.197718336938336E-2</v>
      </c>
      <c r="J101">
        <f>+[1]DOLMES!J889</f>
        <v>1465.8698044350572</v>
      </c>
      <c r="K101" s="2">
        <v>4.2539572453244689E-2</v>
      </c>
    </row>
    <row r="102" spans="1:11" x14ac:dyDescent="0.35">
      <c r="A102" s="1">
        <v>40663</v>
      </c>
      <c r="B102">
        <v>54.42</v>
      </c>
      <c r="C102" s="4">
        <v>2.3199999999999998</v>
      </c>
      <c r="D102">
        <v>16.510000000000002</v>
      </c>
      <c r="E102" s="3">
        <v>0.23207370266193816</v>
      </c>
      <c r="F102" s="3">
        <v>2.5968294918361279E-2</v>
      </c>
      <c r="G102">
        <v>3.6</v>
      </c>
      <c r="H102" s="3">
        <v>1.8345711631254202E-2</v>
      </c>
      <c r="I102" s="3">
        <f t="shared" si="1"/>
        <v>-7.4296479967869145E-3</v>
      </c>
      <c r="J102">
        <f>+[1]DOLMES!J890</f>
        <v>1444.7447268862145</v>
      </c>
      <c r="K102" s="2">
        <v>4.0175236684743432E-2</v>
      </c>
    </row>
    <row r="103" spans="1:11" x14ac:dyDescent="0.35">
      <c r="A103" s="1">
        <v>40694</v>
      </c>
      <c r="B103">
        <v>55.55</v>
      </c>
      <c r="C103" s="4">
        <v>2.62</v>
      </c>
      <c r="D103">
        <v>19.260000000000002</v>
      </c>
      <c r="E103" s="3">
        <v>0.23399815401902191</v>
      </c>
      <c r="F103" s="3">
        <v>1.7403388035997835E-2</v>
      </c>
      <c r="G103">
        <v>5.0999999999999996</v>
      </c>
      <c r="H103" s="3">
        <v>2.9459238978604363E-2</v>
      </c>
      <c r="I103" s="3">
        <f t="shared" si="1"/>
        <v>1.1849627280954067E-2</v>
      </c>
      <c r="J103">
        <f>+[1]DOLMES!J891</f>
        <v>1472.8260021478061</v>
      </c>
      <c r="K103" s="2">
        <v>6.8956269472584264E-2</v>
      </c>
    </row>
    <row r="104" spans="1:11" x14ac:dyDescent="0.35">
      <c r="A104" s="1">
        <v>40724</v>
      </c>
      <c r="B104">
        <v>55.71</v>
      </c>
      <c r="C104" s="4">
        <v>2.5099999999999998</v>
      </c>
      <c r="D104">
        <v>15.61</v>
      </c>
      <c r="E104" s="3">
        <v>0.23910281857880111</v>
      </c>
      <c r="F104" s="3">
        <v>1.505691056910563E-2</v>
      </c>
      <c r="G104">
        <v>4.5999999999999996</v>
      </c>
      <c r="H104" s="3">
        <v>3.7330131271495537E-2</v>
      </c>
      <c r="I104" s="3">
        <f t="shared" si="1"/>
        <v>2.1942829481257586E-2</v>
      </c>
      <c r="J104">
        <f>+[1]DOLMES!J892</f>
        <v>1438.4002022086656</v>
      </c>
      <c r="K104" s="2">
        <v>5.7688104538690554E-2</v>
      </c>
    </row>
    <row r="105" spans="1:11" x14ac:dyDescent="0.35">
      <c r="A105" s="1">
        <v>40755</v>
      </c>
      <c r="B105">
        <v>58.07</v>
      </c>
      <c r="C105" s="4">
        <v>2.76</v>
      </c>
      <c r="D105">
        <v>14.65</v>
      </c>
      <c r="E105" s="3">
        <v>0.24245862514182859</v>
      </c>
      <c r="F105" s="3">
        <v>1.7396597571524675E-2</v>
      </c>
      <c r="G105">
        <v>4.9000000000000004</v>
      </c>
      <c r="H105" s="3">
        <v>4.0119381358110218E-2</v>
      </c>
      <c r="I105" s="3">
        <f t="shared" si="1"/>
        <v>2.2334243932822018E-2</v>
      </c>
      <c r="J105">
        <f>+[1]DOLMES!J893</f>
        <v>1384.1069468855478</v>
      </c>
      <c r="K105" s="2">
        <v>2.6627795768578988E-2</v>
      </c>
    </row>
    <row r="106" spans="1:11" x14ac:dyDescent="0.35">
      <c r="A106" s="1">
        <v>40786</v>
      </c>
      <c r="B106">
        <v>57.46</v>
      </c>
      <c r="C106" s="4">
        <v>2.25</v>
      </c>
      <c r="D106">
        <v>10.87</v>
      </c>
      <c r="E106" s="3">
        <v>0.2593108788230738</v>
      </c>
      <c r="F106" s="3">
        <v>2.4310366544904927E-2</v>
      </c>
      <c r="G106">
        <v>6.7</v>
      </c>
      <c r="H106" s="3">
        <v>2.0968820161827217E-2</v>
      </c>
      <c r="I106" s="3">
        <f t="shared" si="1"/>
        <v>-3.2622401297656145E-3</v>
      </c>
      <c r="J106">
        <f>+[1]DOLMES!J894</f>
        <v>1392.3918477609361</v>
      </c>
      <c r="K106" s="2">
        <v>4.4759109790795781E-2</v>
      </c>
    </row>
    <row r="107" spans="1:11" x14ac:dyDescent="0.35">
      <c r="A107" s="1">
        <v>40816</v>
      </c>
      <c r="B107">
        <v>59.31</v>
      </c>
      <c r="C107" s="4">
        <v>2.64</v>
      </c>
      <c r="D107">
        <v>6.53</v>
      </c>
      <c r="E107" s="3">
        <v>0.26341463414634125</v>
      </c>
      <c r="F107" s="3">
        <v>1.9183472700442739E-2</v>
      </c>
      <c r="G107">
        <v>7.7</v>
      </c>
      <c r="H107" s="3">
        <v>1.8556557197084045E-2</v>
      </c>
      <c r="I107" s="3">
        <f t="shared" si="1"/>
        <v>-6.1511545286108138E-4</v>
      </c>
      <c r="J107">
        <f>+[1]DOLMES!J895</f>
        <v>1439.8478974842169</v>
      </c>
      <c r="K107" s="2">
        <v>8.9945574024300479E-2</v>
      </c>
    </row>
    <row r="108" spans="1:11" x14ac:dyDescent="0.35">
      <c r="A108" s="1">
        <v>40847</v>
      </c>
      <c r="B108">
        <v>57.68</v>
      </c>
      <c r="C108" s="4">
        <v>2.62</v>
      </c>
      <c r="D108">
        <v>3.35</v>
      </c>
      <c r="E108" s="3">
        <v>0.23692659704026253</v>
      </c>
      <c r="F108" s="3">
        <v>1.1009893822393924E-2</v>
      </c>
      <c r="G108">
        <v>7.3</v>
      </c>
      <c r="H108" s="3">
        <v>1.2129257438254326E-2</v>
      </c>
      <c r="I108" s="3">
        <f t="shared" si="1"/>
        <v>1.1071737504253498E-3</v>
      </c>
      <c r="J108">
        <f>+[1]DOLMES!J896</f>
        <v>1460.0446756625647</v>
      </c>
      <c r="K108" s="2">
        <v>0.11496106818249108</v>
      </c>
    </row>
    <row r="109" spans="1:11" x14ac:dyDescent="0.35">
      <c r="A109" s="1">
        <v>40877</v>
      </c>
      <c r="B109">
        <v>56.69</v>
      </c>
      <c r="C109" s="4">
        <v>2.62</v>
      </c>
      <c r="D109">
        <v>-2.98</v>
      </c>
      <c r="E109" s="3">
        <v>0.23077758864220765</v>
      </c>
      <c r="F109" s="3">
        <v>1.3903392308380891E-2</v>
      </c>
      <c r="G109">
        <v>4.8</v>
      </c>
      <c r="H109" s="3">
        <v>1.6871145588321923E-2</v>
      </c>
      <c r="I109" s="3">
        <f t="shared" si="1"/>
        <v>2.9270572546209461E-3</v>
      </c>
      <c r="J109">
        <f>+[1]DOLMES!J897</f>
        <v>1443.7120059525903</v>
      </c>
      <c r="K109" s="2">
        <v>0.10878424902528883</v>
      </c>
    </row>
    <row r="110" spans="1:11" x14ac:dyDescent="0.35">
      <c r="A110" s="1">
        <v>40908</v>
      </c>
      <c r="B110">
        <v>52.57</v>
      </c>
      <c r="C110" s="4">
        <v>2.71</v>
      </c>
      <c r="D110">
        <v>-5.85</v>
      </c>
      <c r="E110" s="3">
        <v>0.23275524375912537</v>
      </c>
      <c r="F110" s="3">
        <v>1.8656387017037979E-2</v>
      </c>
      <c r="G110">
        <v>3.5</v>
      </c>
      <c r="H110" s="3">
        <v>2.3715501637609382E-2</v>
      </c>
      <c r="I110" s="3">
        <f t="shared" si="1"/>
        <v>4.9664584496309505E-3</v>
      </c>
      <c r="J110">
        <f>+[1]DOLMES!J898</f>
        <v>1402.7395960898082</v>
      </c>
      <c r="K110" s="2">
        <v>9.2773835562255824E-2</v>
      </c>
    </row>
    <row r="111" spans="1:11" x14ac:dyDescent="0.35">
      <c r="A111" s="1">
        <v>40939</v>
      </c>
      <c r="B111">
        <v>57.35</v>
      </c>
      <c r="C111" s="4">
        <v>2.75</v>
      </c>
      <c r="D111">
        <v>-6.23</v>
      </c>
      <c r="E111" s="3">
        <v>0.23342726312081719</v>
      </c>
      <c r="F111" s="3">
        <v>1.1555016321460609E-2</v>
      </c>
      <c r="G111">
        <v>2.2999999999999998</v>
      </c>
      <c r="H111" s="3">
        <v>1.0274615992190483E-2</v>
      </c>
      <c r="I111" s="3">
        <f t="shared" si="1"/>
        <v>-1.2657742867276944E-3</v>
      </c>
      <c r="J111">
        <f>+[1]DOLMES!J899</f>
        <v>1389.7566450672748</v>
      </c>
      <c r="K111" s="2">
        <v>8.2338198518511652E-2</v>
      </c>
    </row>
    <row r="112" spans="1:11" x14ac:dyDescent="0.35">
      <c r="A112" s="1">
        <v>40968</v>
      </c>
      <c r="B112">
        <v>52.63</v>
      </c>
      <c r="C112" s="4">
        <v>2.56</v>
      </c>
      <c r="D112">
        <v>-9</v>
      </c>
      <c r="E112" s="3">
        <v>0.23822135489266816</v>
      </c>
      <c r="F112" s="3">
        <v>1.4707142245195204E-2</v>
      </c>
      <c r="G112">
        <v>2.2000000000000002</v>
      </c>
      <c r="H112" s="3">
        <v>1.2646725951186655E-2</v>
      </c>
      <c r="I112" s="3">
        <f t="shared" si="1"/>
        <v>-2.0305526670971741E-3</v>
      </c>
      <c r="J112">
        <f>+[1]DOLMES!J900</f>
        <v>1395.0889398856061</v>
      </c>
      <c r="K112" s="2">
        <v>9.1154278293258839E-2</v>
      </c>
    </row>
    <row r="113" spans="1:11" x14ac:dyDescent="0.35">
      <c r="A113" s="1">
        <v>40999</v>
      </c>
      <c r="B113">
        <v>50.22</v>
      </c>
      <c r="C113" s="4">
        <v>2.56</v>
      </c>
      <c r="D113">
        <v>-5.99</v>
      </c>
      <c r="E113" s="3">
        <v>0.24702128381818822</v>
      </c>
      <c r="F113" s="3">
        <v>3.3884948778565738E-2</v>
      </c>
      <c r="G113">
        <v>0.3</v>
      </c>
      <c r="H113" s="3">
        <v>1.6066895208787235E-2</v>
      </c>
      <c r="I113" s="3">
        <f t="shared" si="1"/>
        <v>-1.7234077728695785E-2</v>
      </c>
      <c r="J113">
        <f>+[1]DOLMES!J901</f>
        <v>1432.0622198018675</v>
      </c>
      <c r="K113" s="2">
        <v>0.14665443781178622</v>
      </c>
    </row>
    <row r="114" spans="1:11" x14ac:dyDescent="0.35">
      <c r="A114" s="1">
        <v>41029</v>
      </c>
      <c r="B114">
        <v>43.83</v>
      </c>
      <c r="C114" s="4">
        <v>1.9</v>
      </c>
      <c r="D114">
        <v>-9.7799999999999994</v>
      </c>
      <c r="E114" s="3">
        <v>0.23977633668607723</v>
      </c>
      <c r="F114" s="3">
        <v>2.0007621951219301E-2</v>
      </c>
      <c r="G114">
        <v>-3.7</v>
      </c>
      <c r="H114" s="3">
        <v>2.8107938254337439E-2</v>
      </c>
      <c r="I114" s="3">
        <f t="shared" si="1"/>
        <v>7.9414272293600874E-3</v>
      </c>
      <c r="J114">
        <f>+[1]DOLMES!J902</f>
        <v>1531.3408626956659</v>
      </c>
      <c r="K114" s="2">
        <v>0.23515626880963914</v>
      </c>
    </row>
    <row r="115" spans="1:11" x14ac:dyDescent="0.35">
      <c r="A115" s="1">
        <v>41060</v>
      </c>
      <c r="B115">
        <v>46.43</v>
      </c>
      <c r="C115" s="4">
        <v>2.14</v>
      </c>
      <c r="D115">
        <v>-9.9700000000000006</v>
      </c>
      <c r="E115" s="3">
        <v>0.24182113821138218</v>
      </c>
      <c r="F115" s="3">
        <v>1.9081422967094808E-2</v>
      </c>
      <c r="G115">
        <v>-5.3</v>
      </c>
      <c r="H115" s="3">
        <v>2.3451050000000029E-2</v>
      </c>
      <c r="I115" s="3">
        <f t="shared" si="1"/>
        <v>4.2878095257421478E-3</v>
      </c>
      <c r="J115">
        <f>+[1]DOLMES!J903</f>
        <v>1614.9279131341525</v>
      </c>
      <c r="K115" s="2">
        <v>0.31328330724315445</v>
      </c>
    </row>
    <row r="116" spans="1:11" x14ac:dyDescent="0.35">
      <c r="A116" s="1">
        <v>41090</v>
      </c>
      <c r="B116">
        <v>44.38</v>
      </c>
      <c r="C116" s="4">
        <v>1.99</v>
      </c>
      <c r="D116">
        <v>-7.73</v>
      </c>
      <c r="E116" s="3">
        <v>0.23973985198475001</v>
      </c>
      <c r="F116" s="3">
        <v>1.3355680092180355E-2</v>
      </c>
      <c r="G116">
        <v>-4.9000000000000004</v>
      </c>
      <c r="H116" s="3">
        <v>1.9675967893139523E-2</v>
      </c>
      <c r="I116" s="3">
        <f t="shared" si="1"/>
        <v>6.2369885767890043E-3</v>
      </c>
      <c r="J116">
        <f>+[1]DOLMES!J904</f>
        <v>1765.5864860235079</v>
      </c>
      <c r="K116" s="2">
        <v>0.44176483601263294</v>
      </c>
    </row>
    <row r="117" spans="1:11" x14ac:dyDescent="0.35">
      <c r="A117" s="1">
        <v>41121</v>
      </c>
      <c r="B117">
        <v>43.59</v>
      </c>
      <c r="C117" s="4">
        <v>1.84</v>
      </c>
      <c r="D117">
        <v>-8.11</v>
      </c>
      <c r="E117" s="3">
        <v>0.23935634210857804</v>
      </c>
      <c r="F117" s="3">
        <v>1.7081868927020905E-2</v>
      </c>
      <c r="G117">
        <v>0.3</v>
      </c>
      <c r="H117" s="3">
        <v>2.5534999218657539E-2</v>
      </c>
      <c r="I117" s="3">
        <f t="shared" si="1"/>
        <v>8.3111601434349147E-3</v>
      </c>
      <c r="J117">
        <f>+[1]DOLMES!J905</f>
        <v>1791.4904314184612</v>
      </c>
      <c r="K117" s="2">
        <v>0.47231432187346378</v>
      </c>
    </row>
    <row r="118" spans="1:11" x14ac:dyDescent="0.35">
      <c r="A118" s="1">
        <v>41152</v>
      </c>
      <c r="B118">
        <v>42.74</v>
      </c>
      <c r="C118" s="4">
        <v>1.8</v>
      </c>
      <c r="D118">
        <v>-8.73</v>
      </c>
      <c r="E118" s="3">
        <v>0.23161583866207591</v>
      </c>
      <c r="F118" s="3">
        <v>1.7912950682216655E-2</v>
      </c>
      <c r="G118">
        <v>-0.5</v>
      </c>
      <c r="H118" s="3">
        <v>2.1444055256311545E-2</v>
      </c>
      <c r="I118" s="3">
        <f t="shared" si="1"/>
        <v>3.4689651720496428E-3</v>
      </c>
      <c r="J118">
        <f>+[1]DOLMES!J906</f>
        <v>1717.3227205257285</v>
      </c>
      <c r="K118" s="2">
        <v>0.41102013287817907</v>
      </c>
    </row>
    <row r="119" spans="1:11" x14ac:dyDescent="0.35">
      <c r="A119" s="1">
        <v>41182</v>
      </c>
      <c r="B119">
        <v>42.27</v>
      </c>
      <c r="C119" s="4">
        <v>1.69</v>
      </c>
      <c r="D119">
        <v>-6.78</v>
      </c>
      <c r="E119" s="3">
        <v>0.22743725868725861</v>
      </c>
      <c r="F119" s="3">
        <v>1.572562528081467E-2</v>
      </c>
      <c r="G119">
        <v>-3.2</v>
      </c>
      <c r="H119" s="3">
        <v>1.3499231439592752E-2</v>
      </c>
      <c r="I119" s="3">
        <f t="shared" si="1"/>
        <v>-2.1919244585429931E-3</v>
      </c>
      <c r="J119">
        <f>+[1]DOLMES!J907</f>
        <v>1664.3028303967524</v>
      </c>
      <c r="K119" s="2">
        <v>0.36500428275178121</v>
      </c>
    </row>
    <row r="120" spans="1:11" x14ac:dyDescent="0.35">
      <c r="A120" s="1">
        <v>41213</v>
      </c>
      <c r="B120">
        <v>43.44</v>
      </c>
      <c r="C120" s="4">
        <v>1.67</v>
      </c>
      <c r="D120">
        <v>-6.7</v>
      </c>
      <c r="E120" s="3">
        <v>0.23221052003460918</v>
      </c>
      <c r="F120" s="3">
        <v>1.4941511845079969E-2</v>
      </c>
      <c r="G120">
        <v>1.5</v>
      </c>
      <c r="H120" s="3">
        <v>1.3500268867413512E-2</v>
      </c>
      <c r="I120" s="3">
        <f t="shared" si="1"/>
        <v>-1.420025647631995E-3</v>
      </c>
      <c r="J120">
        <f>+[1]DOLMES!J908</f>
        <v>1633.9067144156995</v>
      </c>
      <c r="K120" s="2">
        <v>0.34337913848891999</v>
      </c>
    </row>
    <row r="121" spans="1:11" x14ac:dyDescent="0.35">
      <c r="A121" s="1">
        <v>41243</v>
      </c>
      <c r="B121">
        <v>42.71</v>
      </c>
      <c r="C121" s="4">
        <v>1.69</v>
      </c>
      <c r="D121">
        <v>-4.8499999999999996</v>
      </c>
      <c r="E121" s="3">
        <v>0.23838389783126845</v>
      </c>
      <c r="F121" s="3">
        <v>1.898305084745755E-2</v>
      </c>
      <c r="G121">
        <v>0</v>
      </c>
      <c r="H121" s="3">
        <v>2.3183247587680755E-2</v>
      </c>
      <c r="I121" s="3">
        <f t="shared" si="1"/>
        <v>4.1219495620952173E-3</v>
      </c>
      <c r="J121">
        <f>+[1]DOLMES!J909</f>
        <v>1722.3044777434784</v>
      </c>
      <c r="K121" s="2">
        <v>0.42939806853309803</v>
      </c>
    </row>
    <row r="122" spans="1:11" x14ac:dyDescent="0.35">
      <c r="A122" s="1">
        <v>41274</v>
      </c>
      <c r="B122">
        <v>46.43</v>
      </c>
      <c r="C122" s="4">
        <v>1.84</v>
      </c>
      <c r="D122">
        <v>-1.28</v>
      </c>
      <c r="E122" s="3">
        <v>0.23006037496027942</v>
      </c>
      <c r="F122" s="3">
        <v>1.1809713905522212E-2</v>
      </c>
      <c r="G122">
        <v>0.2</v>
      </c>
      <c r="H122" s="3">
        <v>1.3853344390833078E-2</v>
      </c>
      <c r="I122" s="3">
        <f t="shared" si="1"/>
        <v>2.0197774909893607E-3</v>
      </c>
      <c r="J122">
        <f>+[1]DOLMES!J910</f>
        <v>1648.4220356726771</v>
      </c>
      <c r="K122" s="2">
        <v>0.36447319036587422</v>
      </c>
    </row>
    <row r="123" spans="1:11" x14ac:dyDescent="0.35">
      <c r="A123" s="1">
        <v>41305</v>
      </c>
      <c r="B123">
        <v>46.86</v>
      </c>
      <c r="C123" s="4">
        <v>1.76</v>
      </c>
      <c r="D123">
        <v>0.16</v>
      </c>
      <c r="E123" s="3">
        <v>0.23628523288688341</v>
      </c>
      <c r="F123" s="3">
        <v>1.6674103473380164E-2</v>
      </c>
      <c r="G123">
        <v>0.2</v>
      </c>
      <c r="H123" s="3">
        <v>6.2078693087952441E-3</v>
      </c>
      <c r="I123" s="3">
        <f t="shared" si="1"/>
        <v>-1.0294581251580892E-2</v>
      </c>
      <c r="J123">
        <f>+[1]DOLMES!J911</f>
        <v>1763.6429544136049</v>
      </c>
      <c r="K123" s="2">
        <v>0.4593016989861507</v>
      </c>
    </row>
    <row r="124" spans="1:11" x14ac:dyDescent="0.35">
      <c r="A124" s="1">
        <v>41333</v>
      </c>
      <c r="B124">
        <v>47.62</v>
      </c>
      <c r="C124" s="4">
        <v>1.83</v>
      </c>
      <c r="D124">
        <v>4.38</v>
      </c>
      <c r="E124" s="3">
        <v>0.24890239783856782</v>
      </c>
      <c r="F124" s="3">
        <v>2.5062946108890927E-2</v>
      </c>
      <c r="G124">
        <v>0.3</v>
      </c>
      <c r="H124" s="3">
        <v>7.0181224939134257E-3</v>
      </c>
      <c r="I124" s="3">
        <f t="shared" si="1"/>
        <v>-1.7603624912475024E-2</v>
      </c>
      <c r="J124">
        <f>+[1]DOLMES!J912</f>
        <v>1863.7934769014601</v>
      </c>
      <c r="K124" s="2">
        <v>0.5484314765860141</v>
      </c>
    </row>
    <row r="125" spans="1:11" x14ac:dyDescent="0.35">
      <c r="A125" s="1">
        <v>41364</v>
      </c>
      <c r="B125">
        <v>46.91</v>
      </c>
      <c r="C125" s="4">
        <v>1.91</v>
      </c>
      <c r="D125">
        <v>2</v>
      </c>
      <c r="E125" s="3">
        <v>0.23788654181184632</v>
      </c>
      <c r="F125" s="3">
        <v>2.4765639084189495E-2</v>
      </c>
      <c r="G125">
        <v>1.3</v>
      </c>
      <c r="H125" s="3">
        <v>2.5796870594224863E-2</v>
      </c>
      <c r="I125" s="3">
        <f t="shared" si="1"/>
        <v>1.0063096094410362E-3</v>
      </c>
      <c r="J125">
        <f>+[1]DOLMES!J913</f>
        <v>1942.8640259631748</v>
      </c>
      <c r="K125" s="2">
        <v>0.62613398374455054</v>
      </c>
    </row>
    <row r="126" spans="1:11" x14ac:dyDescent="0.35">
      <c r="A126" s="1">
        <v>41394</v>
      </c>
      <c r="B126">
        <v>44.06</v>
      </c>
      <c r="C126" s="4">
        <v>1.76</v>
      </c>
      <c r="D126">
        <v>7.32</v>
      </c>
      <c r="E126" s="3">
        <v>0.23343385551493134</v>
      </c>
      <c r="F126" s="3">
        <v>1.6338647608576062E-2</v>
      </c>
      <c r="G126">
        <v>7.2</v>
      </c>
      <c r="H126" s="3">
        <v>2.1455596643284558E-2</v>
      </c>
      <c r="I126" s="3">
        <f t="shared" si="1"/>
        <v>5.0346890249117759E-3</v>
      </c>
      <c r="J126">
        <f>+[1]DOLMES!J914</f>
        <v>2026.2538686215</v>
      </c>
      <c r="K126" s="2">
        <v>0.70148899089419947</v>
      </c>
    </row>
    <row r="127" spans="1:11" x14ac:dyDescent="0.35">
      <c r="A127" s="1">
        <v>41425</v>
      </c>
      <c r="B127">
        <v>41.65</v>
      </c>
      <c r="C127" s="4">
        <v>1.42</v>
      </c>
      <c r="D127">
        <v>6.71</v>
      </c>
      <c r="E127" s="3">
        <v>0.23346252553291724</v>
      </c>
      <c r="F127" s="3">
        <v>1.9105110562984029E-2</v>
      </c>
      <c r="G127">
        <v>6.7</v>
      </c>
      <c r="H127" s="3">
        <v>3.693951928050887E-2</v>
      </c>
      <c r="I127" s="3">
        <f t="shared" si="1"/>
        <v>1.7500067983833967E-2</v>
      </c>
      <c r="J127">
        <f>+[1]DOLMES!J915</f>
        <v>2012.2199934222708</v>
      </c>
      <c r="K127" s="2">
        <v>0.69125530896069298</v>
      </c>
    </row>
    <row r="128" spans="1:11" x14ac:dyDescent="0.35">
      <c r="A128" s="1">
        <v>41455</v>
      </c>
      <c r="B128">
        <v>44.49</v>
      </c>
      <c r="C128" s="4">
        <v>1.74</v>
      </c>
      <c r="D128">
        <v>3.55</v>
      </c>
      <c r="E128" s="3">
        <v>0.24576183584866595</v>
      </c>
      <c r="F128" s="3">
        <v>2.3460223774442124E-2</v>
      </c>
      <c r="G128">
        <v>4.9000000000000004</v>
      </c>
      <c r="H128" s="3">
        <v>2.0830151316334922E-2</v>
      </c>
      <c r="I128" s="3">
        <f t="shared" si="1"/>
        <v>-2.5697847332138979E-3</v>
      </c>
      <c r="J128">
        <f>+[1]DOLMES!J916</f>
        <v>1793.4099180510227</v>
      </c>
      <c r="K128" s="2">
        <v>0.51613646409300462</v>
      </c>
    </row>
    <row r="129" spans="1:11" x14ac:dyDescent="0.35">
      <c r="A129" s="1">
        <v>41486</v>
      </c>
      <c r="B129">
        <v>47.48</v>
      </c>
      <c r="C129" s="4">
        <v>1.68</v>
      </c>
      <c r="D129">
        <v>5.25</v>
      </c>
      <c r="E129" s="3">
        <v>0.25255990039891185</v>
      </c>
      <c r="F129" s="3">
        <v>2.263203750570475E-2</v>
      </c>
      <c r="G129">
        <v>2.6</v>
      </c>
      <c r="H129" s="3">
        <v>2.3054415684960805E-2</v>
      </c>
      <c r="I129" s="3">
        <f t="shared" si="1"/>
        <v>4.1303045842977504E-4</v>
      </c>
      <c r="J129">
        <f>+[1]DOLMES!J917</f>
        <v>1779.0169280528542</v>
      </c>
      <c r="K129" s="2">
        <v>0.5029427908099704</v>
      </c>
    </row>
    <row r="130" spans="1:11" x14ac:dyDescent="0.35">
      <c r="A130" s="1">
        <v>41517</v>
      </c>
      <c r="B130">
        <v>50.03</v>
      </c>
      <c r="C130" s="4">
        <v>1.87</v>
      </c>
      <c r="D130">
        <v>9.65</v>
      </c>
      <c r="E130" s="3">
        <v>0.25388148370026387</v>
      </c>
      <c r="F130" s="3">
        <v>1.8986956609935435E-2</v>
      </c>
      <c r="G130">
        <v>1.9</v>
      </c>
      <c r="H130" s="3">
        <v>1.8980102661460441E-2</v>
      </c>
      <c r="I130" s="3">
        <f t="shared" si="1"/>
        <v>-6.7262376918231226E-6</v>
      </c>
      <c r="J130">
        <f>+[1]DOLMES!J918</f>
        <v>1824.5061872868951</v>
      </c>
      <c r="K130" s="2">
        <v>0.52926446586302878</v>
      </c>
    </row>
    <row r="131" spans="1:11" x14ac:dyDescent="0.35">
      <c r="A131" s="1">
        <v>41547</v>
      </c>
      <c r="B131">
        <v>48.65</v>
      </c>
      <c r="C131" s="4">
        <v>1.77</v>
      </c>
      <c r="D131">
        <v>9.2100000000000009</v>
      </c>
      <c r="E131" s="3">
        <v>0.25793767816769808</v>
      </c>
      <c r="F131" s="3">
        <v>1.9011406844106515E-2</v>
      </c>
      <c r="G131">
        <v>3.2</v>
      </c>
      <c r="H131" s="3">
        <v>2.3513365561169453E-2</v>
      </c>
      <c r="I131" s="3">
        <f t="shared" ref="I131:I194" si="2">+(1+H131)/(1+F131)-1</f>
        <v>4.4179669499535557E-3</v>
      </c>
      <c r="J131">
        <f>+[1]DOLMES!J919</f>
        <v>1904.0305656687381</v>
      </c>
      <c r="K131" s="2">
        <v>0.58027168084887437</v>
      </c>
    </row>
    <row r="132" spans="1:11" x14ac:dyDescent="0.35">
      <c r="A132" s="1">
        <v>41578</v>
      </c>
      <c r="B132">
        <v>51.85</v>
      </c>
      <c r="C132" s="4">
        <v>1.98</v>
      </c>
      <c r="D132">
        <v>11.74</v>
      </c>
      <c r="E132" s="3">
        <v>0.28089588377723906</v>
      </c>
      <c r="F132" s="3">
        <v>3.3464874579979709E-2</v>
      </c>
      <c r="G132">
        <v>1</v>
      </c>
      <c r="H132" s="3">
        <v>1.3183461593164081E-2</v>
      </c>
      <c r="I132" s="3">
        <f t="shared" si="2"/>
        <v>-1.9624675676624626E-2</v>
      </c>
      <c r="J132">
        <f>+[1]DOLMES!J920</f>
        <v>1861.8597498521535</v>
      </c>
      <c r="K132" s="2">
        <v>0.57069818739735556</v>
      </c>
    </row>
    <row r="133" spans="1:11" x14ac:dyDescent="0.35">
      <c r="A133" s="1">
        <v>41608</v>
      </c>
      <c r="B133">
        <v>49.89</v>
      </c>
      <c r="C133" s="4">
        <v>1.85</v>
      </c>
      <c r="D133">
        <v>10.76</v>
      </c>
      <c r="E133" s="3">
        <v>0.29293793365649612</v>
      </c>
      <c r="F133" s="3">
        <v>2.8562787092871744E-2</v>
      </c>
      <c r="G133">
        <v>-0.5</v>
      </c>
      <c r="H133" s="3">
        <v>2.3949805552904824E-2</v>
      </c>
      <c r="I133" s="3">
        <f t="shared" si="2"/>
        <v>-4.4848808433027854E-3</v>
      </c>
      <c r="J133">
        <f>+[1]DOLMES!J921</f>
        <v>1781.6054609422486</v>
      </c>
      <c r="K133" s="2">
        <v>0.506145227932568</v>
      </c>
    </row>
    <row r="134" spans="1:11" x14ac:dyDescent="0.35">
      <c r="A134" s="1">
        <v>41639</v>
      </c>
      <c r="B134">
        <v>46.15</v>
      </c>
      <c r="C134" s="4">
        <v>1.68</v>
      </c>
      <c r="D134">
        <v>7.11</v>
      </c>
      <c r="E134" s="3">
        <v>0.31943824710551638</v>
      </c>
      <c r="F134" s="3">
        <v>3.2547967360141206E-2</v>
      </c>
      <c r="G134">
        <v>-0.7</v>
      </c>
      <c r="H134" s="3">
        <v>1.1850609014181224E-2</v>
      </c>
      <c r="I134" s="3">
        <f t="shared" si="2"/>
        <v>-2.0044936409952752E-2</v>
      </c>
      <c r="J134">
        <f>+[1]DOLMES!J922</f>
        <v>1627.3802519887925</v>
      </c>
      <c r="K134" s="2">
        <v>0.35226646865624645</v>
      </c>
    </row>
    <row r="135" spans="1:11" x14ac:dyDescent="0.35">
      <c r="A135" s="1">
        <v>41670</v>
      </c>
      <c r="B135">
        <v>43.67</v>
      </c>
      <c r="C135" s="4">
        <v>1.46</v>
      </c>
      <c r="D135">
        <v>3.54</v>
      </c>
      <c r="E135" s="3">
        <v>0.3521055184680415</v>
      </c>
      <c r="F135" s="3">
        <v>3.6485697606538192E-2</v>
      </c>
      <c r="G135">
        <v>1.1000000000000001</v>
      </c>
      <c r="H135" s="3">
        <v>1.7343576707336883E-2</v>
      </c>
      <c r="I135" s="3">
        <f t="shared" si="2"/>
        <v>-1.8468292368533867E-2</v>
      </c>
      <c r="J135">
        <f>+[1]DOLMES!J923</f>
        <v>1851.9640754010768</v>
      </c>
      <c r="K135" s="2">
        <v>0.42232527157204358</v>
      </c>
    </row>
    <row r="136" spans="1:11" x14ac:dyDescent="0.35">
      <c r="A136" s="1">
        <v>41698</v>
      </c>
      <c r="B136">
        <v>33.46</v>
      </c>
      <c r="C136" s="4">
        <v>1.38</v>
      </c>
      <c r="D136">
        <v>-0.79</v>
      </c>
      <c r="E136" s="3">
        <v>0.41364701640526391</v>
      </c>
      <c r="F136" s="3">
        <v>3.4168778747770689E-2</v>
      </c>
      <c r="G136">
        <v>-0.2</v>
      </c>
      <c r="H136" s="3">
        <v>2.1215007059557367E-2</v>
      </c>
      <c r="I136" s="3">
        <f t="shared" si="2"/>
        <v>-1.2525781046976214E-2</v>
      </c>
      <c r="J136">
        <f>+[1]DOLMES!J924</f>
        <v>1873.6462689062203</v>
      </c>
      <c r="K136" s="2">
        <v>0.38788561871462357</v>
      </c>
    </row>
    <row r="137" spans="1:11" x14ac:dyDescent="0.35">
      <c r="A137" s="1">
        <v>41729</v>
      </c>
      <c r="B137">
        <v>36.21</v>
      </c>
      <c r="C137" s="4">
        <v>1.53</v>
      </c>
      <c r="D137">
        <v>-2.34</v>
      </c>
      <c r="E137" s="3">
        <v>0.43461242440901593</v>
      </c>
      <c r="F137" s="3">
        <v>2.5959880185168371E-2</v>
      </c>
      <c r="G137">
        <v>-3.3</v>
      </c>
      <c r="H137" s="3">
        <v>2.9054910555396329E-2</v>
      </c>
      <c r="I137" s="3">
        <f t="shared" si="2"/>
        <v>3.0167167644696846E-3</v>
      </c>
      <c r="J137">
        <f>+[1]DOLMES!J925</f>
        <v>1692.8563465663804</v>
      </c>
      <c r="K137" s="2">
        <v>0.283536956951151</v>
      </c>
    </row>
    <row r="138" spans="1:11" x14ac:dyDescent="0.35">
      <c r="A138" s="1">
        <v>41759</v>
      </c>
      <c r="B138">
        <v>36.69</v>
      </c>
      <c r="C138" s="4">
        <v>1.4</v>
      </c>
      <c r="D138">
        <v>-1.4</v>
      </c>
      <c r="E138" s="3">
        <v>0.44067246527327009</v>
      </c>
      <c r="F138" s="3">
        <v>1.7871361585419798E-2</v>
      </c>
      <c r="G138">
        <v>-2.2999999999999998</v>
      </c>
      <c r="H138" s="3">
        <v>4.9490264680846607E-2</v>
      </c>
      <c r="I138" s="3">
        <f t="shared" si="2"/>
        <v>3.1063751559114339E-2</v>
      </c>
      <c r="J138">
        <f>+[1]DOLMES!J926</f>
        <v>1591.0454741938545</v>
      </c>
      <c r="K138" s="2">
        <v>0.21645755467236127</v>
      </c>
    </row>
    <row r="139" spans="1:11" x14ac:dyDescent="0.35">
      <c r="A139" s="1">
        <v>41790</v>
      </c>
      <c r="B139">
        <v>38.1</v>
      </c>
      <c r="C139" s="4">
        <v>1.51</v>
      </c>
      <c r="D139">
        <v>-2.4500000000000002</v>
      </c>
      <c r="E139" s="3">
        <v>0.4497356744018175</v>
      </c>
      <c r="F139" s="3">
        <v>1.4341590612777066E-2</v>
      </c>
      <c r="G139">
        <v>-2.2000000000000002</v>
      </c>
      <c r="H139" s="3">
        <v>3.1369345451568664E-2</v>
      </c>
      <c r="I139" s="3">
        <f t="shared" si="2"/>
        <v>1.6787002521019501E-2</v>
      </c>
      <c r="J139">
        <f>+[1]DOLMES!J927</f>
        <v>1663.5151924164516</v>
      </c>
      <c r="K139" s="2">
        <v>0.29308630907789923</v>
      </c>
    </row>
    <row r="140" spans="1:11" x14ac:dyDescent="0.35">
      <c r="A140" s="1">
        <v>41820</v>
      </c>
      <c r="B140">
        <v>41.92</v>
      </c>
      <c r="C140" s="4">
        <v>1.7</v>
      </c>
      <c r="D140">
        <v>0.98</v>
      </c>
      <c r="E140" s="3">
        <v>0.44199892129610441</v>
      </c>
      <c r="F140" s="3">
        <v>1.2939160239931358E-2</v>
      </c>
      <c r="G140">
        <v>-1.6</v>
      </c>
      <c r="H140" s="3">
        <v>3.0007064458158039E-2</v>
      </c>
      <c r="I140" s="3">
        <f t="shared" si="2"/>
        <v>1.6849880909119763E-2</v>
      </c>
      <c r="J140">
        <f>+[1]DOLMES!J928</f>
        <v>1640.4897254015707</v>
      </c>
      <c r="K140" s="2">
        <v>0.28251501597129569</v>
      </c>
    </row>
    <row r="141" spans="1:11" x14ac:dyDescent="0.35">
      <c r="A141" s="1">
        <v>41851</v>
      </c>
      <c r="B141">
        <v>42.75</v>
      </c>
      <c r="C141" s="4">
        <v>1.87</v>
      </c>
      <c r="D141">
        <v>-0.65</v>
      </c>
      <c r="E141" s="3">
        <v>0.43783597379150874</v>
      </c>
      <c r="F141" s="3">
        <v>1.4296590812960197E-2</v>
      </c>
      <c r="G141">
        <v>-3.5</v>
      </c>
      <c r="H141" s="3">
        <v>3.4271597549649924E-2</v>
      </c>
      <c r="I141" s="3">
        <f t="shared" si="2"/>
        <v>1.9693457434062589E-2</v>
      </c>
      <c r="J141">
        <f>+[1]DOLMES!J929</f>
        <v>1541.1100284123168</v>
      </c>
      <c r="K141" s="2">
        <v>0.2237294668553782</v>
      </c>
    </row>
    <row r="142" spans="1:11" x14ac:dyDescent="0.35">
      <c r="A142" s="1">
        <v>41882</v>
      </c>
      <c r="B142">
        <v>43.89</v>
      </c>
      <c r="C142" s="4">
        <v>1.82</v>
      </c>
      <c r="D142">
        <v>-2.13</v>
      </c>
      <c r="E142" s="3">
        <v>0.44651922043278347</v>
      </c>
      <c r="F142" s="3">
        <v>1.334445371142623E-2</v>
      </c>
      <c r="G142">
        <v>-5.6</v>
      </c>
      <c r="H142" s="3">
        <v>2.2818097871279974E-2</v>
      </c>
      <c r="I142" s="3">
        <f t="shared" si="2"/>
        <v>9.3488883519874388E-3</v>
      </c>
      <c r="J142">
        <f>+[1]DOLMES!J930</f>
        <v>1730.5345435398763</v>
      </c>
      <c r="K142" s="2">
        <v>0.3846171882891074</v>
      </c>
    </row>
    <row r="143" spans="1:11" x14ac:dyDescent="0.35">
      <c r="A143" s="1">
        <v>41912</v>
      </c>
      <c r="B143">
        <v>41.5</v>
      </c>
      <c r="C143" s="4">
        <v>1.71</v>
      </c>
      <c r="D143">
        <v>-1.53</v>
      </c>
      <c r="E143" s="3">
        <v>0.4634484644838639</v>
      </c>
      <c r="F143" s="3">
        <v>1.3744855967078307E-2</v>
      </c>
      <c r="G143">
        <v>-3.6</v>
      </c>
      <c r="H143" s="3">
        <v>1.6749087109740213E-2</v>
      </c>
      <c r="I143" s="3">
        <f t="shared" si="2"/>
        <v>2.9634982855681891E-3</v>
      </c>
      <c r="J143">
        <f>+[1]DOLMES!J931</f>
        <v>2020.1296431004216</v>
      </c>
      <c r="K143" s="2">
        <v>0.64472279795123888</v>
      </c>
    </row>
    <row r="144" spans="1:11" x14ac:dyDescent="0.35">
      <c r="A144" s="1">
        <v>41943</v>
      </c>
      <c r="B144">
        <v>43.94</v>
      </c>
      <c r="C144" s="4">
        <v>1.65</v>
      </c>
      <c r="D144">
        <v>-5.16</v>
      </c>
      <c r="E144" s="3">
        <v>0.43382922818094194</v>
      </c>
      <c r="F144" s="3">
        <v>1.2340667370301261E-2</v>
      </c>
      <c r="G144">
        <v>-3.6</v>
      </c>
      <c r="H144" s="3">
        <v>1.5592561084803336E-2</v>
      </c>
      <c r="I144" s="3">
        <f t="shared" si="2"/>
        <v>3.2122523764153144E-3</v>
      </c>
      <c r="J144">
        <f>+[1]DOLMES!J932</f>
        <v>1954.9297080728893</v>
      </c>
      <c r="K144" s="2">
        <v>0.60404176732314219</v>
      </c>
    </row>
    <row r="145" spans="1:11" x14ac:dyDescent="0.35">
      <c r="A145" s="1">
        <v>41973</v>
      </c>
      <c r="B145">
        <v>43.66</v>
      </c>
      <c r="C145" s="4">
        <v>1.6</v>
      </c>
      <c r="D145">
        <v>-4.21</v>
      </c>
      <c r="E145" s="3">
        <v>0.41446739689774326</v>
      </c>
      <c r="F145" s="3">
        <v>1.1308043948993429E-2</v>
      </c>
      <c r="G145">
        <v>-3.3</v>
      </c>
      <c r="H145" s="3">
        <v>1.6352289913295959E-2</v>
      </c>
      <c r="I145" s="3">
        <f t="shared" si="2"/>
        <v>4.9878432140275653E-3</v>
      </c>
      <c r="J145">
        <f>+[1]DOLMES!J933</f>
        <v>1732.369868148776</v>
      </c>
      <c r="K145" s="2">
        <v>0.44437476998728931</v>
      </c>
    </row>
    <row r="146" spans="1:11" x14ac:dyDescent="0.35">
      <c r="A146" s="1">
        <v>42004</v>
      </c>
      <c r="B146">
        <v>44.22</v>
      </c>
      <c r="C146" s="4">
        <v>1.64</v>
      </c>
      <c r="D146">
        <v>-3.38</v>
      </c>
      <c r="E146" s="3">
        <v>0.39008240926970772</v>
      </c>
      <c r="F146" s="3">
        <v>9.9920697858841834E-3</v>
      </c>
      <c r="G146">
        <v>-1.5</v>
      </c>
      <c r="H146" s="3">
        <v>1.0080195356430011E-2</v>
      </c>
      <c r="I146" s="3">
        <f t="shared" si="2"/>
        <v>8.7253725234104351E-5</v>
      </c>
      <c r="J146">
        <f>+[1]DOLMES!J934</f>
        <v>1594.2217343052005</v>
      </c>
      <c r="K146" s="2">
        <v>0.35085625145437804</v>
      </c>
    </row>
    <row r="147" spans="1:11" x14ac:dyDescent="0.35">
      <c r="A147" s="1">
        <v>42035</v>
      </c>
      <c r="B147">
        <v>49.95</v>
      </c>
      <c r="C147" s="4">
        <v>1.83</v>
      </c>
      <c r="D147">
        <v>-2.64</v>
      </c>
      <c r="E147" s="3">
        <v>0.35432398264256637</v>
      </c>
      <c r="F147" s="3">
        <v>1.0992462311557816E-2</v>
      </c>
      <c r="G147">
        <v>-2.9</v>
      </c>
      <c r="H147" s="3">
        <v>1.9552645489143483E-2</v>
      </c>
      <c r="I147" s="3">
        <f t="shared" si="2"/>
        <v>8.4671088031789132E-3</v>
      </c>
      <c r="J147">
        <f>+[1]DOLMES!J935</f>
        <v>1651.4789684894918</v>
      </c>
      <c r="K147" s="2">
        <v>0.41837032936617757</v>
      </c>
    </row>
    <row r="148" spans="1:11" x14ac:dyDescent="0.35">
      <c r="A148" s="1">
        <v>42063</v>
      </c>
      <c r="B148">
        <v>50.47</v>
      </c>
      <c r="C148" s="4">
        <v>1.65</v>
      </c>
      <c r="D148">
        <v>3.77</v>
      </c>
      <c r="E148" s="3">
        <v>0.28899126442644874</v>
      </c>
      <c r="F148" s="3">
        <v>9.3319379033665051E-3</v>
      </c>
      <c r="G148">
        <v>0.1</v>
      </c>
      <c r="H148" s="3">
        <v>9.2074836095812351E-3</v>
      </c>
      <c r="I148" s="3">
        <f t="shared" si="2"/>
        <v>-1.233036319486791E-4</v>
      </c>
      <c r="J148">
        <f>+[1]DOLMES!J936</f>
        <v>1616.1131414445642</v>
      </c>
      <c r="K148" s="2">
        <v>0.39611334903361439</v>
      </c>
    </row>
    <row r="149" spans="1:11" x14ac:dyDescent="0.35">
      <c r="A149" s="1">
        <v>42094</v>
      </c>
      <c r="B149">
        <v>52.6</v>
      </c>
      <c r="C149" s="4">
        <v>1.86</v>
      </c>
      <c r="D149">
        <v>5.54</v>
      </c>
      <c r="E149" s="3">
        <v>0.26494888027100338</v>
      </c>
      <c r="F149" s="3">
        <v>1.32204268556122E-2</v>
      </c>
      <c r="G149">
        <v>3.4</v>
      </c>
      <c r="H149" s="3">
        <v>3.1609187047395348E-2</v>
      </c>
      <c r="I149" s="3">
        <f t="shared" si="2"/>
        <v>1.8148824978637679E-2</v>
      </c>
      <c r="J149">
        <f>+[1]DOLMES!J937</f>
        <v>1563.6485722929533</v>
      </c>
      <c r="K149" s="2">
        <v>0.35587961913527466</v>
      </c>
    </row>
    <row r="150" spans="1:11" x14ac:dyDescent="0.35">
      <c r="A150" s="1">
        <v>42124</v>
      </c>
      <c r="B150">
        <v>52.85</v>
      </c>
      <c r="C150" s="4">
        <v>1.9</v>
      </c>
      <c r="D150">
        <v>2.7</v>
      </c>
      <c r="E150" s="3">
        <v>0.26198092663512784</v>
      </c>
      <c r="F150" s="3">
        <v>1.142759679345029E-2</v>
      </c>
      <c r="G150">
        <v>3.4</v>
      </c>
      <c r="H150" s="3">
        <v>1.3865220583058502E-2</v>
      </c>
      <c r="I150" s="3">
        <f t="shared" si="2"/>
        <v>2.4100823403832017E-3</v>
      </c>
      <c r="J150">
        <f>+[1]DOLMES!J938</f>
        <v>1541.5780688069876</v>
      </c>
      <c r="K150" s="2">
        <v>0.34506425859544709</v>
      </c>
    </row>
    <row r="151" spans="1:11" x14ac:dyDescent="0.35">
      <c r="A151" s="1">
        <v>42155</v>
      </c>
      <c r="B151">
        <v>54.99</v>
      </c>
      <c r="C151" s="4">
        <v>2.09</v>
      </c>
      <c r="D151">
        <v>0</v>
      </c>
      <c r="E151" s="3">
        <v>0.25467166539745723</v>
      </c>
      <c r="F151" s="3">
        <v>1.0286677908937669E-2</v>
      </c>
      <c r="G151">
        <v>2.9</v>
      </c>
      <c r="H151" s="3">
        <v>2.9040848724729784E-2</v>
      </c>
      <c r="I151" s="3">
        <f t="shared" si="2"/>
        <v>1.8563216981747122E-2</v>
      </c>
      <c r="J151">
        <f>+[1]DOLMES!J939</f>
        <v>1509.1344264083432</v>
      </c>
      <c r="K151" s="2">
        <v>0.32334402391176353</v>
      </c>
    </row>
    <row r="152" spans="1:11" x14ac:dyDescent="0.35">
      <c r="A152" s="1">
        <v>42185</v>
      </c>
      <c r="B152">
        <v>54.88</v>
      </c>
      <c r="C152" s="4">
        <v>1.94</v>
      </c>
      <c r="D152">
        <v>1.47</v>
      </c>
      <c r="E152" s="3">
        <v>0.24616978119200694</v>
      </c>
      <c r="F152" s="3">
        <v>9.6811884493408495E-3</v>
      </c>
      <c r="G152">
        <v>5.9</v>
      </c>
      <c r="H152" s="3">
        <v>3.9163323538248251E-2</v>
      </c>
      <c r="I152" s="3">
        <f t="shared" si="2"/>
        <v>2.9199449713612768E-2</v>
      </c>
      <c r="J152">
        <f>+[1]DOLMES!J940</f>
        <v>1523.4800826462304</v>
      </c>
      <c r="K152" s="2">
        <v>0.33207462947659261</v>
      </c>
    </row>
    <row r="153" spans="1:11" x14ac:dyDescent="0.35">
      <c r="A153" s="1">
        <v>42216</v>
      </c>
      <c r="B153">
        <v>56.09</v>
      </c>
      <c r="C153" s="4">
        <v>2.04</v>
      </c>
      <c r="D153">
        <v>1.8</v>
      </c>
      <c r="E153" s="3">
        <v>0.25027863602375788</v>
      </c>
      <c r="F153" s="3">
        <v>1.3307984790874583E-2</v>
      </c>
      <c r="G153">
        <v>4.4000000000000004</v>
      </c>
      <c r="H153" s="3">
        <v>3.5180710566274254E-2</v>
      </c>
      <c r="I153" s="3">
        <f t="shared" si="2"/>
        <v>2.1585466712683354E-2</v>
      </c>
      <c r="J153">
        <f>+[1]DOLMES!J941</f>
        <v>1640.7583970660166</v>
      </c>
      <c r="K153" s="2">
        <v>0.45152333085904051</v>
      </c>
    </row>
    <row r="154" spans="1:11" x14ac:dyDescent="0.35">
      <c r="A154" s="1">
        <v>42247</v>
      </c>
      <c r="B154">
        <v>56.78</v>
      </c>
      <c r="C154" s="4">
        <v>1.92</v>
      </c>
      <c r="D154">
        <v>-0.18</v>
      </c>
      <c r="E154" s="3">
        <v>0.24297097559968561</v>
      </c>
      <c r="F154" s="3">
        <v>1.1746471979769968E-2</v>
      </c>
      <c r="G154">
        <v>4.5</v>
      </c>
      <c r="H154" s="3">
        <v>2.6411006321177322E-2</v>
      </c>
      <c r="I154" s="3">
        <f t="shared" si="2"/>
        <v>1.449427771436862E-2</v>
      </c>
      <c r="J154">
        <f>+[1]DOLMES!J942</f>
        <v>1635.7031184453658</v>
      </c>
      <c r="K154" s="2">
        <v>0.46075169325990384</v>
      </c>
    </row>
    <row r="155" spans="1:11" x14ac:dyDescent="0.35">
      <c r="A155" s="1">
        <v>42277</v>
      </c>
      <c r="B155">
        <v>54.62</v>
      </c>
      <c r="C155" s="4">
        <v>1.78</v>
      </c>
      <c r="D155">
        <v>-3</v>
      </c>
      <c r="E155" s="3">
        <v>0.23510565871500799</v>
      </c>
      <c r="F155" s="3">
        <v>1.1771345642183295E-2</v>
      </c>
      <c r="G155">
        <v>2.9</v>
      </c>
      <c r="H155" s="3">
        <v>1.8243307447768142E-2</v>
      </c>
      <c r="I155" s="3">
        <f t="shared" si="2"/>
        <v>6.3966644573008047E-3</v>
      </c>
      <c r="J155">
        <f>+[1]DOLMES!J943</f>
        <v>1639.937627089623</v>
      </c>
      <c r="K155" s="2">
        <v>0.48305726400149074</v>
      </c>
    </row>
    <row r="156" spans="1:11" x14ac:dyDescent="0.35">
      <c r="A156" s="1">
        <v>42308</v>
      </c>
      <c r="B156">
        <v>56.96</v>
      </c>
      <c r="C156" s="4">
        <v>1.91</v>
      </c>
      <c r="D156">
        <v>2.5</v>
      </c>
      <c r="E156" s="3">
        <v>0.23667453296594587</v>
      </c>
      <c r="F156" s="3">
        <v>1.1076579807155928E-2</v>
      </c>
      <c r="G156">
        <v>2.6</v>
      </c>
      <c r="H156" s="3">
        <v>1.2191425118712296E-2</v>
      </c>
      <c r="I156" s="3">
        <f t="shared" si="2"/>
        <v>1.102631921084507E-3</v>
      </c>
      <c r="J156">
        <f>+[1]DOLMES!J944</f>
        <v>1606.5410206045919</v>
      </c>
      <c r="K156" s="2">
        <v>0.45431047330677421</v>
      </c>
    </row>
    <row r="157" spans="1:11" x14ac:dyDescent="0.35">
      <c r="A157" s="1">
        <v>42338</v>
      </c>
      <c r="B157">
        <v>60.35</v>
      </c>
      <c r="C157" s="4">
        <v>1.75</v>
      </c>
      <c r="D157">
        <v>1.74</v>
      </c>
      <c r="E157" s="3">
        <v>0.25378098851411024</v>
      </c>
      <c r="F157" s="3">
        <v>1.0000000000000009E-2</v>
      </c>
      <c r="G157">
        <v>3.8</v>
      </c>
      <c r="H157" s="3">
        <v>2.1899999999999999E-2</v>
      </c>
      <c r="I157" s="3">
        <f t="shared" si="2"/>
        <v>1.1782178217821793E-2</v>
      </c>
      <c r="J157">
        <f>+[1]DOLMES!J945</f>
        <v>1618.86113816119</v>
      </c>
      <c r="K157" s="2">
        <v>0.48912213333566612</v>
      </c>
    </row>
    <row r="158" spans="1:11" x14ac:dyDescent="0.35">
      <c r="A158" s="1">
        <v>42369</v>
      </c>
      <c r="B158">
        <v>54.89</v>
      </c>
      <c r="C158" s="4">
        <v>1.8</v>
      </c>
      <c r="D158">
        <v>-2.09</v>
      </c>
      <c r="E158" s="3">
        <v>0.31568906131960683</v>
      </c>
      <c r="F158" s="3">
        <v>0</v>
      </c>
      <c r="G158">
        <v>1.1000000000000001</v>
      </c>
      <c r="H158" s="3">
        <v>1.6E-2</v>
      </c>
      <c r="I158" s="3">
        <f t="shared" si="2"/>
        <v>1.6000000000000014E-2</v>
      </c>
      <c r="J158">
        <f>+[1]DOLMES!J946</f>
        <v>1527.0669554824794</v>
      </c>
      <c r="K158" s="2">
        <v>0.2644285523647425</v>
      </c>
    </row>
    <row r="159" spans="1:11" x14ac:dyDescent="0.35">
      <c r="A159" s="1">
        <v>42400</v>
      </c>
      <c r="B159">
        <v>54.01</v>
      </c>
      <c r="C159" s="4">
        <v>3.14</v>
      </c>
      <c r="D159">
        <v>-1.24</v>
      </c>
      <c r="E159" s="3">
        <v>0.35053106945530654</v>
      </c>
      <c r="F159" s="3">
        <v>0</v>
      </c>
      <c r="G159">
        <v>0.6</v>
      </c>
      <c r="H159" s="3">
        <v>1.41E-2</v>
      </c>
      <c r="I159" s="3">
        <f t="shared" si="2"/>
        <v>1.4100000000000001E-2</v>
      </c>
      <c r="J159">
        <f>+[1]DOLMES!J947</f>
        <v>1429.5422320802672</v>
      </c>
      <c r="K159" s="2">
        <v>3.0451473616680991E-2</v>
      </c>
    </row>
    <row r="160" spans="1:11" x14ac:dyDescent="0.35">
      <c r="A160" s="1">
        <v>42429</v>
      </c>
      <c r="B160">
        <v>45.59</v>
      </c>
      <c r="C160" s="4">
        <v>2.86</v>
      </c>
      <c r="D160">
        <v>-7.82</v>
      </c>
      <c r="E160" s="3">
        <v>0.35993866016992127</v>
      </c>
      <c r="F160" s="3">
        <v>0</v>
      </c>
      <c r="G160">
        <v>1.2</v>
      </c>
      <c r="H160" s="3">
        <v>1.32E-2</v>
      </c>
      <c r="I160" s="3">
        <f t="shared" si="2"/>
        <v>1.3200000000000101E-2</v>
      </c>
      <c r="J160">
        <f>+[1]DOLMES!J948</f>
        <v>1493.8788977792051</v>
      </c>
      <c r="K160" s="2">
        <v>1.8613980700349808E-2</v>
      </c>
    </row>
    <row r="161" spans="1:11" x14ac:dyDescent="0.35">
      <c r="A161" s="1">
        <v>42460</v>
      </c>
      <c r="B161">
        <v>48.16</v>
      </c>
      <c r="C161" s="4">
        <v>3.03</v>
      </c>
      <c r="D161">
        <v>-9.27</v>
      </c>
      <c r="E161" s="3">
        <v>0.37219475546507685</v>
      </c>
      <c r="F161" s="3">
        <v>0</v>
      </c>
      <c r="G161">
        <v>0.5</v>
      </c>
      <c r="H161" s="3">
        <v>3.15E-2</v>
      </c>
      <c r="I161" s="3">
        <f t="shared" si="2"/>
        <v>3.1500000000000083E-2</v>
      </c>
      <c r="J161">
        <f>+[1]DOLMES!J949</f>
        <v>1444.0271581413026</v>
      </c>
      <c r="K161" s="2">
        <v>0</v>
      </c>
    </row>
    <row r="162" spans="1:11" x14ac:dyDescent="0.35">
      <c r="A162" s="1">
        <v>42490</v>
      </c>
      <c r="B162">
        <v>43.19</v>
      </c>
      <c r="C162" s="4">
        <v>2.72</v>
      </c>
      <c r="D162">
        <v>-9.1300000000000008</v>
      </c>
      <c r="E162" s="3">
        <v>0.39336419569434344</v>
      </c>
      <c r="F162" s="3">
        <v>0</v>
      </c>
      <c r="G162">
        <v>-2.7</v>
      </c>
      <c r="H162" s="3">
        <v>4.1200000000000001E-2</v>
      </c>
      <c r="I162" s="3">
        <f t="shared" si="2"/>
        <v>4.1199999999999903E-2</v>
      </c>
      <c r="J162">
        <f>+[1]DOLMES!J950</f>
        <v>1350.8497523903629</v>
      </c>
      <c r="K162" s="2">
        <v>0</v>
      </c>
    </row>
    <row r="163" spans="1:11" x14ac:dyDescent="0.35">
      <c r="A163" s="1">
        <v>42521</v>
      </c>
      <c r="B163">
        <v>42.66</v>
      </c>
      <c r="C163" s="4">
        <v>2.62</v>
      </c>
      <c r="D163">
        <v>-5.79</v>
      </c>
      <c r="E163" s="3">
        <v>0.42391809092606825</v>
      </c>
      <c r="F163" s="3">
        <v>4.1933999999999916E-2</v>
      </c>
      <c r="G163">
        <v>-3.2</v>
      </c>
      <c r="H163" s="3">
        <v>3.32E-2</v>
      </c>
      <c r="I163" s="3">
        <f t="shared" si="2"/>
        <v>-8.3824887180954377E-3</v>
      </c>
      <c r="J163">
        <f>+[1]DOLMES!J951</f>
        <v>1271.0213233918655</v>
      </c>
      <c r="K163" s="2">
        <v>0</v>
      </c>
    </row>
    <row r="164" spans="1:11" x14ac:dyDescent="0.35">
      <c r="A164" s="1">
        <v>42551</v>
      </c>
      <c r="B164">
        <v>42.57</v>
      </c>
      <c r="C164" s="4">
        <v>2.61</v>
      </c>
      <c r="D164">
        <v>-6.99</v>
      </c>
      <c r="E164" s="3">
        <v>0.45160212993939375</v>
      </c>
      <c r="F164" s="3">
        <v>3.0758186219088879E-2</v>
      </c>
      <c r="G164">
        <v>-5.7</v>
      </c>
      <c r="H164" s="3">
        <v>1.9199999999999998E-2</v>
      </c>
      <c r="I164" s="3">
        <f t="shared" si="2"/>
        <v>-1.1213285883748592E-2</v>
      </c>
      <c r="J164">
        <f>+[1]DOLMES!J952</f>
        <v>1252.576416400173</v>
      </c>
      <c r="K164" s="2">
        <v>6.4989480755974771E-3</v>
      </c>
    </row>
    <row r="165" spans="1:11" x14ac:dyDescent="0.35">
      <c r="A165" s="1">
        <v>42582</v>
      </c>
      <c r="B165">
        <v>45.61</v>
      </c>
      <c r="C165" s="4">
        <v>2.71</v>
      </c>
      <c r="D165">
        <v>-7.92</v>
      </c>
      <c r="E165" s="3">
        <v>0.44794972988343584</v>
      </c>
      <c r="F165" s="3">
        <v>2.0467754580616893E-2</v>
      </c>
      <c r="G165">
        <v>-5.3</v>
      </c>
      <c r="H165" s="3">
        <v>4.4699999999999997E-2</v>
      </c>
      <c r="I165" s="3">
        <f t="shared" si="2"/>
        <v>2.3746213744247013E-2</v>
      </c>
      <c r="J165">
        <f>+[1]DOLMES!J953</f>
        <v>1292.2773773262493</v>
      </c>
      <c r="K165" s="2">
        <v>6.6578869618030279E-3</v>
      </c>
    </row>
    <row r="166" spans="1:11" x14ac:dyDescent="0.35">
      <c r="A166" s="1">
        <v>42613</v>
      </c>
      <c r="B166">
        <v>42.6</v>
      </c>
      <c r="C166" s="4">
        <v>2.52</v>
      </c>
      <c r="D166">
        <v>-7.13</v>
      </c>
      <c r="E166" s="3">
        <v>0.42361406113952915</v>
      </c>
      <c r="F166" s="3">
        <v>2.0201393476428908E-3</v>
      </c>
      <c r="G166">
        <v>-1.9</v>
      </c>
      <c r="H166" s="3">
        <v>2.75E-2</v>
      </c>
      <c r="I166" s="3">
        <f t="shared" si="2"/>
        <v>2.5428491556013677E-2</v>
      </c>
      <c r="J166">
        <f>+[1]DOLMES!J954</f>
        <v>1282.0478251823474</v>
      </c>
      <c r="K166" s="2">
        <v>3.8788377444707312E-3</v>
      </c>
    </row>
    <row r="167" spans="1:11" x14ac:dyDescent="0.35">
      <c r="A167" s="1">
        <v>42643</v>
      </c>
      <c r="B167">
        <v>43.29</v>
      </c>
      <c r="C167" s="4">
        <v>2.5299999999999998</v>
      </c>
      <c r="D167">
        <v>-4.8099999999999996</v>
      </c>
      <c r="E167" s="3">
        <v>0.40565529815289181</v>
      </c>
      <c r="F167" s="3">
        <v>1.1490851209913222E-2</v>
      </c>
      <c r="G167">
        <v>-2.7</v>
      </c>
      <c r="H167" s="3">
        <v>1.3100000000000001E-2</v>
      </c>
      <c r="I167" s="3">
        <f t="shared" si="2"/>
        <v>1.590868358484876E-3</v>
      </c>
      <c r="J167">
        <f>+[1]DOLMES!J955</f>
        <v>1290.0499501202091</v>
      </c>
      <c r="K167" s="2">
        <v>2.3641231222313319E-3</v>
      </c>
    </row>
    <row r="168" spans="1:11" x14ac:dyDescent="0.35">
      <c r="A168" s="1">
        <v>42674</v>
      </c>
      <c r="B168">
        <v>46.04</v>
      </c>
      <c r="C168" s="4">
        <v>2.63</v>
      </c>
      <c r="D168">
        <v>-8.85</v>
      </c>
      <c r="E168" s="3">
        <v>0.41918655496092883</v>
      </c>
      <c r="F168" s="3">
        <v>2.3593869987045268E-2</v>
      </c>
      <c r="G168">
        <v>-4</v>
      </c>
      <c r="H168" s="3">
        <v>2.3700000000000002E-2</v>
      </c>
      <c r="I168" s="3">
        <f t="shared" si="2"/>
        <v>1.0368371291247236E-4</v>
      </c>
      <c r="J168">
        <f>+[1]DOLMES!J956</f>
        <v>1268.8728803787346</v>
      </c>
      <c r="K168" s="2">
        <v>2.5857988886761607E-3</v>
      </c>
    </row>
    <row r="169" spans="1:11" x14ac:dyDescent="0.35">
      <c r="A169" s="1">
        <v>42704</v>
      </c>
      <c r="B169">
        <v>43.93</v>
      </c>
      <c r="C169" s="4">
        <v>2.52</v>
      </c>
      <c r="D169">
        <v>-6.7</v>
      </c>
      <c r="E169" s="3">
        <v>0.40190803536934161</v>
      </c>
      <c r="F169" s="3">
        <v>1.61846253974256E-2</v>
      </c>
      <c r="G169">
        <v>-0.8</v>
      </c>
      <c r="H169" s="3">
        <v>1.5800000000000002E-2</v>
      </c>
      <c r="I169" s="3">
        <f t="shared" si="2"/>
        <v>-3.7849952440993651E-4</v>
      </c>
      <c r="J169">
        <f>+[1]DOLMES!J957</f>
        <v>1264.0117411636279</v>
      </c>
      <c r="K169" s="2">
        <v>5.9601785570160271E-3</v>
      </c>
    </row>
    <row r="170" spans="1:11" x14ac:dyDescent="0.35">
      <c r="A170" s="1">
        <v>42735</v>
      </c>
      <c r="B170">
        <v>44.48</v>
      </c>
      <c r="C170" s="4">
        <v>2.4900000000000002</v>
      </c>
      <c r="D170">
        <v>-0.47</v>
      </c>
      <c r="E170" s="3">
        <v>0.3322934208789925</v>
      </c>
      <c r="F170" s="3">
        <v>1.1975001016957698E-2</v>
      </c>
      <c r="G170">
        <v>0.5</v>
      </c>
      <c r="H170" s="3">
        <v>1.09E-2</v>
      </c>
      <c r="I170" s="3">
        <f t="shared" si="2"/>
        <v>-1.0622802103584794E-3</v>
      </c>
      <c r="J170">
        <f>+[1]DOLMES!J958</f>
        <v>1288.0714440632537</v>
      </c>
      <c r="K170" s="2">
        <v>4.9638066948691772E-3</v>
      </c>
    </row>
    <row r="171" spans="1:11" x14ac:dyDescent="0.35">
      <c r="A171" s="1">
        <v>42766</v>
      </c>
      <c r="B171">
        <v>44.47</v>
      </c>
      <c r="C171" s="4">
        <v>2.46</v>
      </c>
      <c r="D171">
        <v>-0.28999999999999998</v>
      </c>
      <c r="E171" s="3">
        <v>0.29896276115038178</v>
      </c>
      <c r="F171" s="3">
        <v>1.5858999999999845E-2</v>
      </c>
      <c r="G171">
        <v>1.5</v>
      </c>
      <c r="H171" s="3">
        <v>2.2200000000000001E-2</v>
      </c>
      <c r="I171" s="3">
        <f t="shared" si="2"/>
        <v>6.2420079952041352E-3</v>
      </c>
      <c r="J171">
        <f>+[1]DOLMES!J959</f>
        <v>1272.8584495050752</v>
      </c>
      <c r="K171" s="2">
        <v>0</v>
      </c>
    </row>
    <row r="172" spans="1:11" x14ac:dyDescent="0.35">
      <c r="A172" s="1">
        <v>42794</v>
      </c>
      <c r="B172">
        <v>40.68</v>
      </c>
      <c r="C172" s="4">
        <v>2.35</v>
      </c>
      <c r="D172">
        <v>2.09</v>
      </c>
      <c r="E172" s="3">
        <v>0.29080278609598564</v>
      </c>
      <c r="F172" s="3">
        <v>2.0672160211210544E-2</v>
      </c>
      <c r="G172">
        <v>-1.2</v>
      </c>
      <c r="H172" s="3">
        <v>9.3999999999999986E-3</v>
      </c>
      <c r="I172" s="3">
        <f t="shared" si="2"/>
        <v>-1.104385977264033E-2</v>
      </c>
      <c r="J172">
        <f>+[1]DOLMES!J960</f>
        <v>1233.2627880106111</v>
      </c>
      <c r="K172" s="2">
        <v>3.4391273392460064E-3</v>
      </c>
    </row>
    <row r="173" spans="1:11" x14ac:dyDescent="0.35">
      <c r="A173" s="1">
        <v>42825</v>
      </c>
      <c r="B173">
        <v>40.950000000000003</v>
      </c>
      <c r="C173" s="4">
        <v>2.3199999999999998</v>
      </c>
      <c r="D173">
        <v>4.25</v>
      </c>
      <c r="E173" s="3">
        <v>0.28325443542346185</v>
      </c>
      <c r="F173" s="3">
        <v>2.3741897403600554E-2</v>
      </c>
      <c r="G173">
        <v>1.3</v>
      </c>
      <c r="H173" s="3">
        <v>2.3900000000000001E-2</v>
      </c>
      <c r="I173" s="3">
        <f t="shared" si="2"/>
        <v>1.544359929006589E-4</v>
      </c>
      <c r="J173">
        <f>+[1]DOLMES!J961</f>
        <v>1198.3121983904211</v>
      </c>
      <c r="K173" s="2">
        <v>2.1322273782446999E-3</v>
      </c>
    </row>
    <row r="174" spans="1:11" x14ac:dyDescent="0.35">
      <c r="A174" s="1">
        <v>42855</v>
      </c>
      <c r="B174">
        <v>46.19</v>
      </c>
      <c r="C174" s="4">
        <v>2.61</v>
      </c>
      <c r="D174">
        <v>6.57</v>
      </c>
      <c r="E174" s="3">
        <v>0.27408551208099974</v>
      </c>
      <c r="F174" s="3">
        <v>2.6558301836310916E-2</v>
      </c>
      <c r="G174">
        <v>-0.7</v>
      </c>
      <c r="H174" s="3">
        <v>3.3500000000000002E-2</v>
      </c>
      <c r="I174" s="3">
        <f t="shared" si="2"/>
        <v>6.7621080568651681E-3</v>
      </c>
      <c r="J174">
        <f>+[1]DOLMES!J962</f>
        <v>1159.5026036729378</v>
      </c>
      <c r="K174" s="2">
        <v>3.0649694678548389E-3</v>
      </c>
    </row>
    <row r="175" spans="1:11" x14ac:dyDescent="0.35">
      <c r="A175" s="1">
        <v>42886</v>
      </c>
      <c r="B175">
        <v>45.76</v>
      </c>
      <c r="C175" s="4">
        <v>2.52</v>
      </c>
      <c r="D175">
        <v>6.67</v>
      </c>
      <c r="E175" s="3">
        <v>0.24035251478788466</v>
      </c>
      <c r="F175" s="3">
        <v>1.4347502493881281E-2</v>
      </c>
      <c r="G175">
        <v>2.4</v>
      </c>
      <c r="H175" s="3">
        <v>1.7399999999999999E-2</v>
      </c>
      <c r="I175" s="3">
        <f t="shared" si="2"/>
        <v>3.0093212618100829E-3</v>
      </c>
      <c r="J175">
        <f>+[1]DOLMES!J963</f>
        <v>1169.8815628725436</v>
      </c>
      <c r="K175" s="2">
        <v>3.5906593714933877E-3</v>
      </c>
    </row>
    <row r="176" spans="1:11" x14ac:dyDescent="0.35">
      <c r="A176" s="1">
        <v>42916</v>
      </c>
      <c r="B176">
        <v>42.04</v>
      </c>
      <c r="C176" s="4">
        <v>2.2799999999999998</v>
      </c>
      <c r="D176">
        <v>5.34</v>
      </c>
      <c r="E176" s="3">
        <v>0.2176846566432209</v>
      </c>
      <c r="F176" s="3">
        <v>1.1920734713892323E-2</v>
      </c>
      <c r="G176">
        <v>5.2</v>
      </c>
      <c r="H176" s="3">
        <v>2.1099999999999997E-2</v>
      </c>
      <c r="I176" s="3">
        <f t="shared" si="2"/>
        <v>9.0711307429656163E-3</v>
      </c>
      <c r="J176">
        <f>+[1]DOLMES!J964</f>
        <v>1186.3550840807527</v>
      </c>
      <c r="K176" s="2">
        <v>2.203283563214864E-3</v>
      </c>
    </row>
    <row r="177" spans="1:11" x14ac:dyDescent="0.35">
      <c r="A177" s="1">
        <v>42947</v>
      </c>
      <c r="B177">
        <v>42.48</v>
      </c>
      <c r="C177" s="4">
        <v>2.2400000000000002</v>
      </c>
      <c r="D177">
        <v>6.75</v>
      </c>
      <c r="E177" s="3">
        <v>0.21393174049147601</v>
      </c>
      <c r="F177" s="3">
        <v>1.7322662871029015E-2</v>
      </c>
      <c r="G177">
        <v>4.2</v>
      </c>
      <c r="H177" s="3">
        <v>4.0199999999999993E-2</v>
      </c>
      <c r="I177" s="3">
        <f t="shared" si="2"/>
        <v>2.2487788745812365E-2</v>
      </c>
      <c r="J177">
        <f>+[1]DOLMES!J965</f>
        <v>1235.9690533976438</v>
      </c>
      <c r="K177" s="2">
        <v>0</v>
      </c>
    </row>
    <row r="178" spans="1:11" x14ac:dyDescent="0.35">
      <c r="A178" s="1">
        <v>42978</v>
      </c>
      <c r="B178">
        <v>47.61</v>
      </c>
      <c r="C178" s="4">
        <v>2.5299999999999998</v>
      </c>
      <c r="D178">
        <v>7.96</v>
      </c>
      <c r="E178" s="3">
        <v>0.22848462545871451</v>
      </c>
      <c r="F178" s="3">
        <v>1.4032580687119323E-2</v>
      </c>
      <c r="G178">
        <v>4</v>
      </c>
      <c r="H178" s="3">
        <v>1.84E-2</v>
      </c>
      <c r="I178" s="3">
        <f t="shared" si="2"/>
        <v>4.3069812509586303E-3</v>
      </c>
      <c r="J178">
        <f>+[1]DOLMES!J966</f>
        <v>1245.3928550231587</v>
      </c>
      <c r="K178" s="2">
        <v>2.0101069073086286E-3</v>
      </c>
    </row>
    <row r="179" spans="1:11" x14ac:dyDescent="0.35">
      <c r="A179" s="1">
        <v>43008</v>
      </c>
      <c r="B179">
        <v>51.04</v>
      </c>
      <c r="C179" s="4">
        <v>2.86</v>
      </c>
      <c r="D179">
        <v>9.01</v>
      </c>
      <c r="E179" s="3">
        <v>0.23758095378093391</v>
      </c>
      <c r="F179" s="3">
        <v>1.8980446673178442E-2</v>
      </c>
      <c r="G179">
        <v>3.3</v>
      </c>
      <c r="H179" s="3">
        <v>1.44E-2</v>
      </c>
      <c r="I179" s="3">
        <f t="shared" si="2"/>
        <v>-4.4951271519811931E-3</v>
      </c>
      <c r="J179">
        <f>+[1]DOLMES!J967</f>
        <v>1215.6612104654166</v>
      </c>
      <c r="K179" s="2">
        <v>0</v>
      </c>
    </row>
    <row r="180" spans="1:11" x14ac:dyDescent="0.35">
      <c r="A180" s="1">
        <v>43039</v>
      </c>
      <c r="B180">
        <v>51.11</v>
      </c>
      <c r="C180" s="4">
        <v>2.83</v>
      </c>
      <c r="D180">
        <v>12.43</v>
      </c>
      <c r="E180" s="3">
        <v>0.22736862133763691</v>
      </c>
      <c r="F180" s="3">
        <v>1.5147326869770827E-2</v>
      </c>
      <c r="G180">
        <v>6</v>
      </c>
      <c r="H180" s="3">
        <v>1.7500000000000002E-2</v>
      </c>
      <c r="I180" s="3">
        <f t="shared" si="2"/>
        <v>2.3175681676508297E-3</v>
      </c>
      <c r="J180">
        <f>+[1]DOLMES!J968</f>
        <v>1211.1455966368721</v>
      </c>
      <c r="K180" s="2">
        <v>0</v>
      </c>
    </row>
    <row r="181" spans="1:11" x14ac:dyDescent="0.35">
      <c r="A181" s="1">
        <v>43069</v>
      </c>
      <c r="B181">
        <v>51.1</v>
      </c>
      <c r="C181" s="4">
        <v>2.97</v>
      </c>
      <c r="D181">
        <v>10.9</v>
      </c>
      <c r="E181" s="3">
        <v>0.22442903273045767</v>
      </c>
      <c r="F181" s="3">
        <v>1.3750829473627713E-2</v>
      </c>
      <c r="G181">
        <v>5.0999999999999996</v>
      </c>
      <c r="H181" s="3">
        <v>1.2699999999999999E-2</v>
      </c>
      <c r="I181" s="3">
        <f t="shared" si="2"/>
        <v>-1.0365756979685559E-3</v>
      </c>
      <c r="J181">
        <f>+[1]DOLMES!J969</f>
        <v>1196.4580978915037</v>
      </c>
      <c r="K181" s="2">
        <v>0</v>
      </c>
    </row>
    <row r="182" spans="1:11" x14ac:dyDescent="0.35">
      <c r="A182" s="1">
        <v>43100</v>
      </c>
      <c r="B182">
        <v>43.18</v>
      </c>
      <c r="C182" s="4">
        <v>2.36</v>
      </c>
      <c r="D182">
        <v>7.06</v>
      </c>
      <c r="E182" s="3">
        <v>0.248</v>
      </c>
      <c r="F182" s="3">
        <v>3.1456105261417955E-2</v>
      </c>
      <c r="G182">
        <v>2.5</v>
      </c>
      <c r="H182" s="3">
        <v>6.4000000000000003E-3</v>
      </c>
      <c r="I182" s="3">
        <f t="shared" si="2"/>
        <v>-2.4291974358974455E-2</v>
      </c>
      <c r="J182">
        <f>+[1]DOLMES!J970</f>
        <v>1169.953439118299</v>
      </c>
      <c r="K182" s="2">
        <v>0</v>
      </c>
    </row>
    <row r="183" spans="1:11" x14ac:dyDescent="0.35">
      <c r="A183" s="1">
        <v>43131</v>
      </c>
      <c r="B183">
        <v>45.19</v>
      </c>
      <c r="C183" s="4">
        <v>2.2799999999999998</v>
      </c>
      <c r="D183">
        <v>8.57</v>
      </c>
      <c r="E183" s="3">
        <v>0.25</v>
      </c>
      <c r="F183" s="3">
        <v>1.7537660256410126E-2</v>
      </c>
      <c r="G183">
        <v>4.5</v>
      </c>
      <c r="H183" s="3">
        <v>1.23E-2</v>
      </c>
      <c r="I183" s="3">
        <f t="shared" si="2"/>
        <v>-5.1473871297208484E-3</v>
      </c>
      <c r="J183">
        <f>+[1]DOLMES!J971</f>
        <v>1250.3605820603896</v>
      </c>
      <c r="K183" s="2">
        <v>3.782627313546616E-3</v>
      </c>
    </row>
    <row r="184" spans="1:11" x14ac:dyDescent="0.35">
      <c r="A184" s="1">
        <v>43159</v>
      </c>
      <c r="B184">
        <v>43.82</v>
      </c>
      <c r="C184" s="4">
        <v>2.3199999999999998</v>
      </c>
      <c r="D184">
        <v>10.63</v>
      </c>
      <c r="E184" s="3">
        <v>0.254</v>
      </c>
      <c r="F184" s="3">
        <v>2.4190341345332378E-2</v>
      </c>
      <c r="G184">
        <v>5</v>
      </c>
      <c r="H184" s="3">
        <v>7.4000000000000003E-3</v>
      </c>
      <c r="I184" s="3">
        <f t="shared" si="2"/>
        <v>-1.6393770442393762E-2</v>
      </c>
      <c r="J184">
        <f>+[1]DOLMES!J972</f>
        <v>1277.53898965759</v>
      </c>
      <c r="K184" s="2">
        <v>2.8803478064109989E-3</v>
      </c>
    </row>
    <row r="185" spans="1:11" x14ac:dyDescent="0.35">
      <c r="A185" s="1">
        <v>43190</v>
      </c>
      <c r="B185">
        <v>43.81</v>
      </c>
      <c r="C185" s="4">
        <v>2.3199999999999998</v>
      </c>
      <c r="D185">
        <v>8.0299999999999994</v>
      </c>
      <c r="E185" s="3">
        <v>0.254</v>
      </c>
      <c r="F185" s="3">
        <v>2.3410625508416993E-2</v>
      </c>
      <c r="G185">
        <v>2.1</v>
      </c>
      <c r="H185" s="3">
        <v>1.9400000000000001E-2</v>
      </c>
      <c r="I185" s="3">
        <f t="shared" si="2"/>
        <v>-3.9188820288283965E-3</v>
      </c>
      <c r="J185">
        <f>+[1]DOLMES!J973</f>
        <v>1273.0018606755086</v>
      </c>
      <c r="K185" s="2">
        <v>0</v>
      </c>
    </row>
    <row r="186" spans="1:11" x14ac:dyDescent="0.35">
      <c r="A186" s="1">
        <v>43220</v>
      </c>
      <c r="B186">
        <v>40.090000000000003</v>
      </c>
      <c r="C186" s="4">
        <v>2.0699999999999998</v>
      </c>
      <c r="D186">
        <v>6.96</v>
      </c>
      <c r="E186" s="3">
        <v>0.255</v>
      </c>
      <c r="F186" s="3">
        <v>2.7390323758465174E-2</v>
      </c>
      <c r="G186">
        <v>-0.3</v>
      </c>
      <c r="H186" s="3">
        <v>2.7799999999999998E-2</v>
      </c>
      <c r="I186" s="3">
        <f t="shared" si="2"/>
        <v>3.9875423396651399E-4</v>
      </c>
      <c r="J186">
        <f>+[1]DOLMES!J974</f>
        <v>1244.2180000257524</v>
      </c>
      <c r="K186" s="2">
        <v>0</v>
      </c>
    </row>
    <row r="187" spans="1:11" x14ac:dyDescent="0.35">
      <c r="A187" s="1">
        <v>43251</v>
      </c>
      <c r="B187">
        <v>36.07</v>
      </c>
      <c r="C187" s="4">
        <v>1.94</v>
      </c>
      <c r="D187">
        <v>1.83</v>
      </c>
      <c r="E187" s="3">
        <v>0.26300000000000001</v>
      </c>
      <c r="F187" s="3">
        <v>2.0753748413176565E-2</v>
      </c>
      <c r="G187">
        <v>-5.2</v>
      </c>
      <c r="H187" s="3">
        <v>2.1400000000000002E-2</v>
      </c>
      <c r="I187" s="3">
        <f t="shared" si="2"/>
        <v>6.3311213681860323E-4</v>
      </c>
      <c r="J187">
        <f>+[1]DOLMES!J975</f>
        <v>1439.5400190066666</v>
      </c>
      <c r="K187" s="2">
        <v>6.2027519636544959E-3</v>
      </c>
    </row>
    <row r="188" spans="1:11" x14ac:dyDescent="0.35">
      <c r="A188" s="1">
        <v>43281</v>
      </c>
      <c r="B188">
        <v>35.97</v>
      </c>
      <c r="C188" s="4">
        <v>2.04</v>
      </c>
      <c r="D188">
        <v>-0.89</v>
      </c>
      <c r="E188" s="3">
        <v>0.29499999999999998</v>
      </c>
      <c r="F188" s="3">
        <v>3.7366760919353981E-2</v>
      </c>
      <c r="G188">
        <v>-6.2</v>
      </c>
      <c r="H188" s="3">
        <v>1.3600000000000001E-2</v>
      </c>
      <c r="I188" s="3">
        <f t="shared" si="2"/>
        <v>-2.2910663629024386E-2</v>
      </c>
      <c r="J188">
        <f>+[1]DOLMES!J976</f>
        <v>1567.3835117092581</v>
      </c>
      <c r="K188" s="2">
        <v>1.2155468514750245E-2</v>
      </c>
    </row>
    <row r="189" spans="1:11" x14ac:dyDescent="0.35">
      <c r="A189" s="1">
        <v>43312</v>
      </c>
      <c r="B189">
        <v>36.25</v>
      </c>
      <c r="C189" s="4">
        <v>2.0099999999999998</v>
      </c>
      <c r="D189">
        <v>-4.07</v>
      </c>
      <c r="E189" s="3">
        <v>0.312</v>
      </c>
      <c r="F189" s="3">
        <v>3.1016129934470893E-2</v>
      </c>
      <c r="G189">
        <v>-2.9</v>
      </c>
      <c r="H189" s="3">
        <v>2.5699999999999997E-2</v>
      </c>
      <c r="I189" s="3">
        <f t="shared" si="2"/>
        <v>-5.1562044279643837E-3</v>
      </c>
      <c r="J189">
        <f>+[1]DOLMES!J977</f>
        <v>1561.5407743544185</v>
      </c>
      <c r="K189" s="2">
        <v>0</v>
      </c>
    </row>
    <row r="190" spans="1:11" x14ac:dyDescent="0.35">
      <c r="A190" s="1">
        <v>43343</v>
      </c>
      <c r="B190">
        <v>36.25</v>
      </c>
      <c r="C190" s="4">
        <v>1.94</v>
      </c>
      <c r="D190">
        <v>-3.83</v>
      </c>
      <c r="E190" s="3">
        <v>0.34399999999999997</v>
      </c>
      <c r="F190" s="3">
        <v>3.8894388753662135E-2</v>
      </c>
      <c r="G190">
        <v>-1.7</v>
      </c>
      <c r="H190" s="3">
        <v>2.8799999999999999E-2</v>
      </c>
      <c r="I190" s="3">
        <f t="shared" si="2"/>
        <v>-9.7164724951226411E-3</v>
      </c>
      <c r="J190">
        <f>+[1]DOLMES!J978</f>
        <v>1651.2079823539232</v>
      </c>
      <c r="K190" s="2">
        <v>5.3698713855938607E-3</v>
      </c>
    </row>
    <row r="191" spans="1:11" x14ac:dyDescent="0.35">
      <c r="A191" s="1">
        <v>43373</v>
      </c>
      <c r="B191">
        <v>33.700000000000003</v>
      </c>
      <c r="C191" s="4">
        <v>1.75</v>
      </c>
      <c r="D191">
        <v>-8.25</v>
      </c>
      <c r="E191" s="3">
        <v>0.40500000000000003</v>
      </c>
      <c r="F191" s="3">
        <v>6.5342861600713009E-2</v>
      </c>
      <c r="G191">
        <v>-5.9</v>
      </c>
      <c r="H191" s="3">
        <v>2.76E-2</v>
      </c>
      <c r="I191" s="3">
        <f t="shared" si="2"/>
        <v>-3.5427901158508801E-2</v>
      </c>
      <c r="J191">
        <f>+[1]DOLMES!J979</f>
        <v>1985.8683761942864</v>
      </c>
      <c r="K191" s="2">
        <v>4.3954170944942028E-3</v>
      </c>
    </row>
    <row r="192" spans="1:11" x14ac:dyDescent="0.35">
      <c r="A192" s="1">
        <v>43404</v>
      </c>
      <c r="B192">
        <v>32.64</v>
      </c>
      <c r="C192" s="4">
        <v>1.76</v>
      </c>
      <c r="D192">
        <v>-14.08</v>
      </c>
      <c r="E192" s="3">
        <v>0.45899999999999996</v>
      </c>
      <c r="F192" s="3">
        <v>5.3916071516107333E-2</v>
      </c>
      <c r="G192">
        <v>-4.4000000000000004</v>
      </c>
      <c r="H192" s="3">
        <v>4.1399999999999999E-2</v>
      </c>
      <c r="I192" s="3">
        <f t="shared" si="2"/>
        <v>-1.1875776311203068E-2</v>
      </c>
      <c r="J192">
        <f>+[1]DOLMES!J980</f>
        <v>1809.9478266151632</v>
      </c>
      <c r="K192" s="2">
        <v>0</v>
      </c>
    </row>
    <row r="193" spans="1:11" x14ac:dyDescent="0.35">
      <c r="A193" s="1">
        <v>43434</v>
      </c>
      <c r="B193">
        <v>32.1</v>
      </c>
      <c r="C193" s="4">
        <v>1.77</v>
      </c>
      <c r="D193">
        <v>-16.02</v>
      </c>
      <c r="E193" s="3">
        <v>0.48499999999999999</v>
      </c>
      <c r="F193" s="3">
        <v>3.1533649961842602E-2</v>
      </c>
      <c r="G193">
        <v>-7.5</v>
      </c>
      <c r="H193" s="3">
        <v>2.35E-2</v>
      </c>
      <c r="I193" s="3">
        <f t="shared" si="2"/>
        <v>-7.7880638815220893E-3</v>
      </c>
      <c r="J193">
        <f>+[1]DOLMES!J981</f>
        <v>1718.9432911703366</v>
      </c>
      <c r="K193" s="2">
        <v>0</v>
      </c>
    </row>
    <row r="194" spans="1:11" x14ac:dyDescent="0.35">
      <c r="A194" s="1">
        <v>43465</v>
      </c>
      <c r="B194">
        <v>35.99</v>
      </c>
      <c r="C194" s="4">
        <v>1.92</v>
      </c>
      <c r="D194">
        <v>-15.11</v>
      </c>
      <c r="E194" s="3">
        <v>0.47600000000000003</v>
      </c>
      <c r="F194" s="3">
        <v>2.569823445714392E-2</v>
      </c>
      <c r="G194">
        <v>-7.2</v>
      </c>
      <c r="H194" s="3">
        <v>1.9400000000000001E-2</v>
      </c>
      <c r="I194" s="3">
        <f t="shared" si="2"/>
        <v>-6.1404360908130506E-3</v>
      </c>
      <c r="J194">
        <f>+[1]DOLMES!J982</f>
        <v>1737.4850181421971</v>
      </c>
      <c r="K194" s="2">
        <v>2.9275799554000503E-3</v>
      </c>
    </row>
    <row r="195" spans="1:11" x14ac:dyDescent="0.35">
      <c r="A195" s="1">
        <v>43496</v>
      </c>
      <c r="B195">
        <v>33.1</v>
      </c>
      <c r="C195" s="4">
        <v>1.63</v>
      </c>
      <c r="D195">
        <v>-17.88</v>
      </c>
      <c r="E195" s="3">
        <v>0.49299999999999999</v>
      </c>
      <c r="F195" s="3">
        <v>2.9062409093474573E-2</v>
      </c>
      <c r="G195">
        <v>-5.7</v>
      </c>
      <c r="H195" s="3">
        <v>3.2000000000000001E-2</v>
      </c>
      <c r="I195" s="3">
        <f t="shared" ref="I195:I258" si="3">+(1+H195)/(1+F195)-1</f>
        <v>2.8546285245354408E-3</v>
      </c>
      <c r="J195">
        <f>+[1]DOLMES!J983</f>
        <v>1672.2219611620005</v>
      </c>
      <c r="K195" s="2">
        <v>4.0947275514138237E-3</v>
      </c>
    </row>
    <row r="196" spans="1:11" x14ac:dyDescent="0.35">
      <c r="A196" s="1">
        <v>43524</v>
      </c>
      <c r="B196">
        <v>36.04</v>
      </c>
      <c r="C196" s="4">
        <v>1.79</v>
      </c>
      <c r="D196">
        <v>-17.04</v>
      </c>
      <c r="E196" s="3">
        <v>0.51300000000000001</v>
      </c>
      <c r="F196" s="3">
        <v>3.7656221899571962E-2</v>
      </c>
      <c r="G196">
        <v>-4.7</v>
      </c>
      <c r="H196" s="3">
        <v>2.6800000000000001E-2</v>
      </c>
      <c r="I196" s="3">
        <f t="shared" si="3"/>
        <v>-1.0462252979795417E-2</v>
      </c>
      <c r="J196">
        <f>+[1]DOLMES!J984</f>
        <v>1660.2145361293074</v>
      </c>
      <c r="K196" s="2">
        <v>3.206309285302078E-3</v>
      </c>
    </row>
    <row r="197" spans="1:11" x14ac:dyDescent="0.35">
      <c r="A197" s="1">
        <v>43555</v>
      </c>
      <c r="B197">
        <v>34.79</v>
      </c>
      <c r="C197" s="4">
        <v>1.6</v>
      </c>
      <c r="D197">
        <v>-19.079999999999998</v>
      </c>
      <c r="E197" s="3">
        <v>0.54700000000000004</v>
      </c>
      <c r="F197" s="3">
        <v>4.6795401882895993E-2</v>
      </c>
      <c r="G197">
        <v>-7</v>
      </c>
      <c r="H197" s="3">
        <v>4.2699999999999995E-2</v>
      </c>
      <c r="I197" s="3">
        <f t="shared" si="3"/>
        <v>-3.9123231488498167E-3</v>
      </c>
      <c r="J197">
        <f>+[1]DOLMES!J985</f>
        <v>1722.9160064148982</v>
      </c>
      <c r="K197" s="2">
        <v>6.3088380222504625E-3</v>
      </c>
    </row>
    <row r="198" spans="1:11" x14ac:dyDescent="0.35">
      <c r="A198" s="1">
        <v>43585</v>
      </c>
      <c r="B198">
        <v>34.409999999999997</v>
      </c>
      <c r="C198" s="4">
        <v>1.53</v>
      </c>
      <c r="D198">
        <v>-19.8</v>
      </c>
      <c r="E198" s="3">
        <v>0.55799999999999994</v>
      </c>
      <c r="F198" s="3">
        <v>3.444697949233122E-2</v>
      </c>
      <c r="G198">
        <v>-1.1000000000000001</v>
      </c>
      <c r="H198" s="3">
        <v>2.4799999999999999E-2</v>
      </c>
      <c r="I198" s="3">
        <f t="shared" si="3"/>
        <v>-9.3257360537373213E-3</v>
      </c>
      <c r="J198">
        <f>+[1]DOLMES!J986</f>
        <v>1751.7870570816349</v>
      </c>
      <c r="K198" s="2">
        <v>7.269233868847369E-3</v>
      </c>
    </row>
    <row r="199" spans="1:11" x14ac:dyDescent="0.35">
      <c r="A199" s="1">
        <v>43616</v>
      </c>
      <c r="B199">
        <v>36.47</v>
      </c>
      <c r="C199" s="4">
        <v>1.61</v>
      </c>
      <c r="D199">
        <v>-15.72</v>
      </c>
      <c r="E199" s="3">
        <v>0.57299999999999995</v>
      </c>
      <c r="F199" s="3">
        <v>3.0590696999836187E-2</v>
      </c>
      <c r="G199">
        <v>2.9</v>
      </c>
      <c r="H199" s="3">
        <v>3.5699999999999996E-2</v>
      </c>
      <c r="I199" s="3">
        <f t="shared" si="3"/>
        <v>4.9576451786703668E-3</v>
      </c>
      <c r="J199">
        <f>+[1]DOLMES!J987</f>
        <v>1767.4426068782043</v>
      </c>
      <c r="K199" s="2">
        <v>5.6060547993093124E-3</v>
      </c>
    </row>
    <row r="200" spans="1:11" x14ac:dyDescent="0.35">
      <c r="A200" s="1">
        <v>43646</v>
      </c>
      <c r="B200">
        <v>40.57</v>
      </c>
      <c r="C200" s="4">
        <v>1.86</v>
      </c>
      <c r="D200">
        <v>-9.8000000000000007</v>
      </c>
      <c r="E200" s="3">
        <v>0.55799999999999994</v>
      </c>
      <c r="F200" s="3">
        <v>2.7180054023995259E-2</v>
      </c>
      <c r="G200">
        <v>-0.2</v>
      </c>
      <c r="H200" s="3">
        <v>2.4300000000000002E-2</v>
      </c>
      <c r="I200" s="3">
        <f t="shared" si="3"/>
        <v>-2.8038453557510667E-3</v>
      </c>
      <c r="J200">
        <f>+[1]DOLMES!J988</f>
        <v>1672.2744922313127</v>
      </c>
      <c r="K200" s="2">
        <v>2.6496451509079311E-3</v>
      </c>
    </row>
    <row r="201" spans="1:11" x14ac:dyDescent="0.35">
      <c r="A201" s="1">
        <v>43677</v>
      </c>
      <c r="B201">
        <v>44.18</v>
      </c>
      <c r="C201" s="4">
        <v>1.97</v>
      </c>
      <c r="D201">
        <v>-7.32</v>
      </c>
      <c r="E201" s="3">
        <v>0.54400000000000004</v>
      </c>
      <c r="F201" s="3">
        <v>2.1978655386921009E-2</v>
      </c>
      <c r="G201">
        <v>0.6</v>
      </c>
      <c r="H201" s="3">
        <v>4.99E-2</v>
      </c>
      <c r="I201" s="3">
        <f t="shared" si="3"/>
        <v>2.7320868656017128E-2</v>
      </c>
      <c r="J201">
        <f>+[1]DOLMES!J989</f>
        <v>1594.6516688644094</v>
      </c>
      <c r="K201" s="2">
        <v>4.0617606735797729E-3</v>
      </c>
    </row>
    <row r="202" spans="1:11" x14ac:dyDescent="0.35">
      <c r="A202" s="1">
        <v>43708</v>
      </c>
      <c r="B202">
        <v>41.86</v>
      </c>
      <c r="C202" s="4">
        <v>2.2000000000000002</v>
      </c>
      <c r="D202">
        <v>-13.46</v>
      </c>
      <c r="E202" s="3">
        <v>0.54500000000000004</v>
      </c>
      <c r="F202" s="3">
        <v>3.9539857870486861E-2</v>
      </c>
      <c r="G202">
        <v>-3.7</v>
      </c>
      <c r="H202" s="3">
        <v>2.41E-2</v>
      </c>
      <c r="I202" s="3">
        <f t="shared" si="3"/>
        <v>-1.4852588627160102E-2</v>
      </c>
      <c r="J202">
        <f>+[1]DOLMES!J990</f>
        <v>1919.65865949466</v>
      </c>
      <c r="K202" s="2">
        <v>1.3865905489473862E-2</v>
      </c>
    </row>
    <row r="203" spans="1:11" x14ac:dyDescent="0.35">
      <c r="A203" s="1">
        <v>43738</v>
      </c>
      <c r="B203">
        <v>42.09</v>
      </c>
      <c r="C203" s="4">
        <v>1.91</v>
      </c>
      <c r="D203">
        <v>-12.7</v>
      </c>
      <c r="E203" s="3">
        <v>0.53500000000000003</v>
      </c>
      <c r="F203" s="3">
        <v>5.8856622721223051E-2</v>
      </c>
      <c r="G203">
        <v>-2.1</v>
      </c>
      <c r="H203" s="3">
        <v>2.9700000000000001E-2</v>
      </c>
      <c r="I203" s="3">
        <f t="shared" si="3"/>
        <v>-2.753594971743345E-2</v>
      </c>
      <c r="J203">
        <f>+[1]DOLMES!J991</f>
        <v>2172.1148111497432</v>
      </c>
      <c r="K203" s="2">
        <v>0.13268853298079808</v>
      </c>
    </row>
    <row r="204" spans="1:11" x14ac:dyDescent="0.35">
      <c r="A204" s="1">
        <v>43769</v>
      </c>
      <c r="B204">
        <v>43.77</v>
      </c>
      <c r="C204" s="4">
        <v>2.0099999999999998</v>
      </c>
      <c r="D204">
        <v>-8.2799999999999994</v>
      </c>
      <c r="E204" s="3">
        <v>0.505</v>
      </c>
      <c r="F204" s="3">
        <v>3.2934820909841234E-2</v>
      </c>
      <c r="G204">
        <v>-0.8</v>
      </c>
      <c r="H204" s="3">
        <v>3.5000000000000003E-2</v>
      </c>
      <c r="I204" s="3">
        <f t="shared" si="3"/>
        <v>1.9993314663742101E-3</v>
      </c>
      <c r="J204">
        <f>+[1]DOLMES!J992</f>
        <v>2306.6822461465999</v>
      </c>
      <c r="K204" s="2">
        <v>0.19666143909973877</v>
      </c>
    </row>
    <row r="205" spans="1:11" x14ac:dyDescent="0.35">
      <c r="A205" s="1">
        <v>43799</v>
      </c>
      <c r="B205">
        <v>41.35</v>
      </c>
      <c r="C205" s="4">
        <v>1.98</v>
      </c>
      <c r="D205">
        <v>-9.0500000000000007</v>
      </c>
      <c r="E205" s="3">
        <v>0.52100000000000002</v>
      </c>
      <c r="F205" s="3">
        <v>4.2485082961893905E-2</v>
      </c>
      <c r="G205">
        <v>-2</v>
      </c>
      <c r="H205" s="3">
        <v>2.3900000000000001E-2</v>
      </c>
      <c r="I205" s="3">
        <f t="shared" si="3"/>
        <v>-1.7827672803806593E-2</v>
      </c>
      <c r="J205">
        <f>+[1]DOLMES!J993</f>
        <v>2309.2510429513122</v>
      </c>
      <c r="K205" s="2">
        <v>0.22430873690218767</v>
      </c>
    </row>
    <row r="206" spans="1:11" x14ac:dyDescent="0.35">
      <c r="A206" s="1">
        <v>43830</v>
      </c>
      <c r="B206">
        <v>42.35</v>
      </c>
      <c r="C206" s="4">
        <v>1.97</v>
      </c>
      <c r="D206">
        <v>-8.31</v>
      </c>
      <c r="E206" s="3">
        <v>0.53799999999999992</v>
      </c>
      <c r="F206" s="3">
        <v>3.7335285505124327E-2</v>
      </c>
      <c r="G206">
        <v>-0.4</v>
      </c>
      <c r="H206" s="3">
        <v>2.0199999999999999E-2</v>
      </c>
      <c r="I206" s="3">
        <f t="shared" si="3"/>
        <v>-1.651856033874366E-2</v>
      </c>
      <c r="J206">
        <f>+[1]DOLMES!J994</f>
        <v>2223.075699990949</v>
      </c>
      <c r="K206" s="2">
        <v>0.22077251562743916</v>
      </c>
    </row>
    <row r="207" spans="1:11" x14ac:dyDescent="0.35">
      <c r="A207" s="1">
        <v>43861</v>
      </c>
      <c r="B207">
        <v>43.03</v>
      </c>
      <c r="C207" s="4">
        <v>2.3199999999999998</v>
      </c>
      <c r="D207">
        <v>-4.3499999999999996</v>
      </c>
      <c r="E207" s="3">
        <v>0.52900000000000003</v>
      </c>
      <c r="F207" s="3">
        <v>2.2582921665490696E-2</v>
      </c>
      <c r="G207">
        <v>-0.5</v>
      </c>
      <c r="H207" s="3">
        <v>6.4100000000000004E-2</v>
      </c>
      <c r="I207" s="3">
        <f t="shared" si="3"/>
        <v>4.0600207039337199E-2</v>
      </c>
      <c r="J207">
        <f>+[1]DOLMES!J995</f>
        <v>2378.6716128825315</v>
      </c>
      <c r="K207" s="2">
        <v>0.32771923236005907</v>
      </c>
    </row>
    <row r="208" spans="1:11" x14ac:dyDescent="0.35">
      <c r="A208" s="1">
        <v>43890</v>
      </c>
      <c r="B208">
        <v>42.73</v>
      </c>
      <c r="C208" s="4">
        <v>2.27</v>
      </c>
      <c r="D208">
        <v>-10.3</v>
      </c>
      <c r="E208" s="3">
        <v>0.503</v>
      </c>
      <c r="F208" s="3">
        <v>2.0358868184955137E-2</v>
      </c>
      <c r="G208">
        <v>-2.5</v>
      </c>
      <c r="H208" s="3">
        <v>0.04</v>
      </c>
      <c r="I208" s="3">
        <f t="shared" si="3"/>
        <v>1.924923909367604E-2</v>
      </c>
      <c r="J208">
        <f>+[1]DOLMES!J996</f>
        <v>2402.2030718541414</v>
      </c>
      <c r="K208" s="2">
        <v>0.33466754011518751</v>
      </c>
    </row>
    <row r="209" spans="1:11" x14ac:dyDescent="0.35">
      <c r="A209" s="1">
        <v>43921</v>
      </c>
      <c r="B209">
        <v>41.23</v>
      </c>
      <c r="C209" s="4">
        <v>2.2200000000000002</v>
      </c>
      <c r="D209">
        <v>-16.59</v>
      </c>
      <c r="E209" s="3">
        <v>0.48399999999999999</v>
      </c>
      <c r="F209" s="3">
        <v>3.3315860669597575E-2</v>
      </c>
      <c r="G209">
        <v>-11.6</v>
      </c>
      <c r="H209" s="3">
        <v>2.9500000000000002E-2</v>
      </c>
      <c r="I209" s="3">
        <f t="shared" si="3"/>
        <v>-3.6928308321182435E-3</v>
      </c>
      <c r="J209">
        <f>+[1]DOLMES!J997</f>
        <v>2434.6277160073523</v>
      </c>
      <c r="K209" s="2">
        <v>0.36142251566476835</v>
      </c>
    </row>
    <row r="210" spans="1:11" x14ac:dyDescent="0.35">
      <c r="A210" s="1">
        <v>43951</v>
      </c>
      <c r="B210">
        <v>39.28</v>
      </c>
      <c r="C210" s="4">
        <v>3.29</v>
      </c>
      <c r="D210">
        <v>-23.13</v>
      </c>
      <c r="E210" s="3">
        <v>0.45600000000000002</v>
      </c>
      <c r="F210" s="3">
        <v>1.4965725908725691E-2</v>
      </c>
      <c r="G210">
        <v>-24.4</v>
      </c>
      <c r="H210" s="3">
        <v>4.0000000000000002E-4</v>
      </c>
      <c r="I210" s="3">
        <f t="shared" si="3"/>
        <v>-1.4350953472527017E-2</v>
      </c>
      <c r="J210">
        <f>+[1]DOLMES!J998</f>
        <v>2871.2144382191987</v>
      </c>
      <c r="K210" s="2">
        <v>0.57309595478544195</v>
      </c>
    </row>
    <row r="211" spans="1:11" x14ac:dyDescent="0.35">
      <c r="A211" s="1">
        <v>43982</v>
      </c>
      <c r="B211">
        <v>38.42</v>
      </c>
      <c r="C211" s="4">
        <v>3</v>
      </c>
      <c r="D211">
        <v>-12.21</v>
      </c>
      <c r="E211" s="3">
        <v>0.434</v>
      </c>
      <c r="F211" s="3">
        <v>1.5427362512386189E-2</v>
      </c>
      <c r="G211">
        <v>-20.2</v>
      </c>
      <c r="H211" s="3">
        <v>2.9999999999999997E-4</v>
      </c>
      <c r="I211" s="3">
        <f t="shared" si="3"/>
        <v>-1.4897532872226171E-2</v>
      </c>
      <c r="J211">
        <f>+[1]DOLMES!J999</f>
        <v>3150.9544038317767</v>
      </c>
      <c r="K211" s="2">
        <v>0.7038892439904878</v>
      </c>
    </row>
    <row r="212" spans="1:11" x14ac:dyDescent="0.35">
      <c r="A212" s="1">
        <v>44012</v>
      </c>
      <c r="B212">
        <v>39.47</v>
      </c>
      <c r="C212" s="4">
        <v>2.77</v>
      </c>
      <c r="D212">
        <v>-8.76</v>
      </c>
      <c r="E212" s="3">
        <v>0.42799999999999999</v>
      </c>
      <c r="F212" s="3">
        <v>2.2435391591276943E-2</v>
      </c>
      <c r="G212">
        <v>-12.2</v>
      </c>
      <c r="H212" s="3">
        <v>3.9000000000000003E-3</v>
      </c>
      <c r="I212" s="3">
        <f t="shared" si="3"/>
        <v>-1.8128667829494072E-2</v>
      </c>
      <c r="J212">
        <f>+[1]DOLMES!J1000</f>
        <v>2925.5623439717938</v>
      </c>
      <c r="K212" s="2">
        <v>0.56670674973619484</v>
      </c>
    </row>
    <row r="213" spans="1:11" x14ac:dyDescent="0.35">
      <c r="A213" s="1">
        <v>44043</v>
      </c>
      <c r="B213">
        <v>38.18</v>
      </c>
      <c r="C213" s="4">
        <v>2.5299999999999998</v>
      </c>
      <c r="D213">
        <v>-5.54</v>
      </c>
      <c r="E213" s="3">
        <v>0.42399999999999999</v>
      </c>
      <c r="F213" s="3">
        <v>1.9341946456512993E-2</v>
      </c>
      <c r="G213">
        <v>-13.2</v>
      </c>
      <c r="H213" s="3">
        <v>1.24E-2</v>
      </c>
      <c r="I213" s="3">
        <f t="shared" si="3"/>
        <v>-6.8102234786324711E-3</v>
      </c>
      <c r="J213">
        <f>+[1]DOLMES!J1001</f>
        <v>3002.74490329733</v>
      </c>
      <c r="K213" s="2">
        <v>0.58675887710074481</v>
      </c>
    </row>
    <row r="214" spans="1:11" x14ac:dyDescent="0.35">
      <c r="A214" s="1">
        <v>44074</v>
      </c>
      <c r="B214">
        <v>41.31</v>
      </c>
      <c r="C214" s="4">
        <v>2.38</v>
      </c>
      <c r="D214">
        <v>1.82</v>
      </c>
      <c r="E214" s="3">
        <v>0.40700000000000003</v>
      </c>
      <c r="F214" s="3">
        <v>2.6999999999999913E-2</v>
      </c>
      <c r="G214">
        <v>-11.4</v>
      </c>
      <c r="H214" s="3">
        <v>1.5900000000000001E-2</v>
      </c>
      <c r="I214" s="3">
        <f t="shared" si="3"/>
        <v>-1.0808179162609455E-2</v>
      </c>
      <c r="J214">
        <f>+[1]DOLMES!J1002</f>
        <v>3256.277238079203</v>
      </c>
      <c r="K214" s="2">
        <v>0.71794090865491911</v>
      </c>
    </row>
    <row r="215" spans="1:11" x14ac:dyDescent="0.35">
      <c r="A215" s="1">
        <v>44104</v>
      </c>
      <c r="B215">
        <v>40.31</v>
      </c>
      <c r="C215" s="4">
        <v>2.27</v>
      </c>
      <c r="D215">
        <v>5.9</v>
      </c>
      <c r="E215" s="3">
        <v>0.36599999999999999</v>
      </c>
      <c r="F215" s="3">
        <v>2.8356321516735505E-2</v>
      </c>
      <c r="G215">
        <v>-5.7</v>
      </c>
      <c r="H215" s="3">
        <v>2.5399999999999999E-2</v>
      </c>
      <c r="I215" s="3">
        <f t="shared" si="3"/>
        <v>-2.8748026874333421E-3</v>
      </c>
      <c r="J215">
        <f>+[1]DOLMES!J1003</f>
        <v>3284.9895364672925</v>
      </c>
      <c r="K215" s="2">
        <v>0.73465276374390265</v>
      </c>
    </row>
    <row r="216" spans="1:11" x14ac:dyDescent="0.35">
      <c r="A216" s="1">
        <v>44135</v>
      </c>
      <c r="B216">
        <v>38.83</v>
      </c>
      <c r="C216" s="4">
        <v>1.99</v>
      </c>
      <c r="D216">
        <v>8.41</v>
      </c>
      <c r="E216" s="3">
        <v>0.37200000000000005</v>
      </c>
      <c r="F216" s="3">
        <v>3.7609698439821981E-2</v>
      </c>
      <c r="G216">
        <v>-7.3</v>
      </c>
      <c r="H216" s="3">
        <v>4.5499999999999999E-2</v>
      </c>
      <c r="I216" s="3">
        <f t="shared" si="3"/>
        <v>7.6043059081292164E-3</v>
      </c>
      <c r="J216">
        <f>+[1]DOLMES!J1004</f>
        <v>3659.5823669112433</v>
      </c>
      <c r="K216" s="2">
        <v>0.9430505043631956</v>
      </c>
    </row>
    <row r="217" spans="1:11" x14ac:dyDescent="0.35">
      <c r="A217" s="1">
        <v>44165</v>
      </c>
      <c r="B217">
        <v>40.869999999999997</v>
      </c>
      <c r="C217" s="4">
        <v>2.02</v>
      </c>
      <c r="D217">
        <v>15.76</v>
      </c>
      <c r="E217" s="3">
        <v>0.35799999999999998</v>
      </c>
      <c r="F217" s="3">
        <v>3.1597049410966527E-2</v>
      </c>
      <c r="G217">
        <v>-4.0999999999999996</v>
      </c>
      <c r="H217" s="3">
        <v>2.3399999999999997E-2</v>
      </c>
      <c r="I217" s="3">
        <f t="shared" si="3"/>
        <v>-7.9459798917095315E-3</v>
      </c>
      <c r="J217">
        <f>+[1]DOLMES!J1005</f>
        <v>3407.0796672163015</v>
      </c>
      <c r="K217" s="2">
        <v>0.81206025553549077</v>
      </c>
    </row>
    <row r="218" spans="1:11" x14ac:dyDescent="0.35">
      <c r="A218" s="1">
        <v>44196</v>
      </c>
      <c r="B218">
        <v>39.32</v>
      </c>
      <c r="C218" s="4">
        <v>1.85</v>
      </c>
      <c r="D218">
        <v>12.91</v>
      </c>
      <c r="E218" s="3">
        <v>0.36099999999999999</v>
      </c>
      <c r="F218" s="3">
        <v>4.0055673383535328E-2</v>
      </c>
      <c r="G218">
        <v>-1.4</v>
      </c>
      <c r="H218" s="3">
        <v>1.8799999999999997E-2</v>
      </c>
      <c r="I218" s="3">
        <f t="shared" si="3"/>
        <v>-2.0437053445789055E-2</v>
      </c>
      <c r="J218">
        <f>+[1]DOLMES!J1006</f>
        <v>3197.6739072291293</v>
      </c>
      <c r="K218" s="2">
        <v>0.70930944990214018</v>
      </c>
    </row>
    <row r="219" spans="1:11" x14ac:dyDescent="0.35">
      <c r="A219" s="1">
        <v>44227</v>
      </c>
      <c r="B219">
        <v>38.200000000000003</v>
      </c>
      <c r="C219" s="4">
        <v>1.88</v>
      </c>
      <c r="D219">
        <v>10.92</v>
      </c>
      <c r="E219" s="3">
        <v>0.38500000000000001</v>
      </c>
      <c r="F219" s="3">
        <v>4.0490294198287202E-2</v>
      </c>
      <c r="G219">
        <v>-1.8</v>
      </c>
      <c r="H219" s="3">
        <v>3.4700000000000002E-2</v>
      </c>
      <c r="I219" s="3">
        <f t="shared" si="3"/>
        <v>-5.5649670454146483E-3</v>
      </c>
      <c r="J219">
        <f>+[1]DOLMES!J1007</f>
        <v>3202.5309488846792</v>
      </c>
      <c r="K219" s="2">
        <v>0.70491367486491208</v>
      </c>
    </row>
    <row r="220" spans="1:11" x14ac:dyDescent="0.35">
      <c r="A220" s="1">
        <v>44255</v>
      </c>
      <c r="B220">
        <v>37.770000000000003</v>
      </c>
      <c r="C220" s="4">
        <v>1.82</v>
      </c>
      <c r="D220">
        <v>14.66</v>
      </c>
      <c r="E220" s="3">
        <v>0.40700000000000003</v>
      </c>
      <c r="F220" s="3">
        <v>3.57463168148211E-2</v>
      </c>
      <c r="G220">
        <v>-2.1</v>
      </c>
      <c r="H220" s="3">
        <v>4.6799999999999994E-2</v>
      </c>
      <c r="I220" s="3">
        <f t="shared" si="3"/>
        <v>1.0672191641648121E-2</v>
      </c>
      <c r="J220">
        <f>+[1]DOLMES!J1008</f>
        <v>3110.9566927081678</v>
      </c>
      <c r="K220" s="2">
        <v>0.65400649063235661</v>
      </c>
    </row>
    <row r="221" spans="1:11" x14ac:dyDescent="0.35">
      <c r="A221" s="1">
        <v>44286</v>
      </c>
      <c r="B221">
        <v>38.19</v>
      </c>
      <c r="C221" s="4">
        <v>1.78</v>
      </c>
      <c r="D221">
        <v>28.55</v>
      </c>
      <c r="E221" s="3">
        <v>0.42599999999999999</v>
      </c>
      <c r="F221" s="3">
        <v>4.8108074962817993E-2</v>
      </c>
      <c r="G221">
        <v>13.8</v>
      </c>
      <c r="H221" s="3">
        <v>5.2000000000000005E-2</v>
      </c>
      <c r="I221" s="3">
        <f t="shared" si="3"/>
        <v>3.7132859961221953E-3</v>
      </c>
      <c r="J221">
        <f>+[1]DOLMES!J1009</f>
        <v>2950.6770611745683</v>
      </c>
      <c r="K221" s="2">
        <v>0.5898162761116128</v>
      </c>
    </row>
    <row r="222" spans="1:11" x14ac:dyDescent="0.35">
      <c r="A222" s="1">
        <v>44316</v>
      </c>
      <c r="B222">
        <v>35.340000000000003</v>
      </c>
      <c r="C222" s="4">
        <v>1.73</v>
      </c>
      <c r="D222">
        <v>41.27</v>
      </c>
      <c r="E222" s="3">
        <v>0.46299999999999997</v>
      </c>
      <c r="F222" s="3">
        <v>4.0802935399596674E-2</v>
      </c>
      <c r="G222">
        <v>30</v>
      </c>
      <c r="H222" s="3">
        <v>3.6200000000000003E-2</v>
      </c>
      <c r="I222" s="3">
        <f t="shared" si="3"/>
        <v>-4.4224850286662676E-3</v>
      </c>
      <c r="J222">
        <f>+[1]DOLMES!J1010</f>
        <v>2911.0065208437736</v>
      </c>
      <c r="K222" s="2">
        <v>0.58779146098080415</v>
      </c>
    </row>
    <row r="223" spans="1:11" x14ac:dyDescent="0.35">
      <c r="A223" s="1">
        <v>44347</v>
      </c>
      <c r="B223">
        <v>35.44</v>
      </c>
      <c r="C223" s="4">
        <v>1.93</v>
      </c>
      <c r="D223">
        <v>22.22</v>
      </c>
      <c r="E223" s="3">
        <v>0.48799999999999999</v>
      </c>
      <c r="F223" s="3">
        <v>3.3229780736395487E-2</v>
      </c>
      <c r="G223">
        <v>15.4</v>
      </c>
      <c r="H223" s="3">
        <v>3.2899999999999999E-2</v>
      </c>
      <c r="I223" s="3">
        <f t="shared" si="3"/>
        <v>-3.1917463331387896E-4</v>
      </c>
      <c r="J223">
        <f>+[1]DOLMES!J1011</f>
        <v>3025.6774413970861</v>
      </c>
      <c r="K223" s="2">
        <v>0.66930882232585365</v>
      </c>
    </row>
    <row r="224" spans="1:11" x14ac:dyDescent="0.35">
      <c r="A224" s="1">
        <v>44377</v>
      </c>
      <c r="B224">
        <v>34.64</v>
      </c>
      <c r="C224" s="4">
        <v>1.7</v>
      </c>
      <c r="D224">
        <v>11.73</v>
      </c>
      <c r="E224" s="3">
        <v>0.502</v>
      </c>
      <c r="F224" s="3">
        <v>3.1745479758920503E-2</v>
      </c>
      <c r="G224">
        <v>12.4</v>
      </c>
      <c r="H224" s="3">
        <v>2.53E-2</v>
      </c>
      <c r="I224" s="3">
        <f t="shared" si="3"/>
        <v>-6.2471606470487773E-3</v>
      </c>
      <c r="J224">
        <f>+[1]DOLMES!J1012</f>
        <v>3070.8826385025732</v>
      </c>
      <c r="K224" s="2">
        <v>0.71104310606856336</v>
      </c>
    </row>
    <row r="225" spans="1:11" x14ac:dyDescent="0.35">
      <c r="A225" s="1">
        <v>44408</v>
      </c>
      <c r="B225">
        <v>37.86</v>
      </c>
      <c r="C225" s="4">
        <v>1.7</v>
      </c>
      <c r="D225">
        <v>8.8800000000000008</v>
      </c>
      <c r="E225" s="3">
        <v>0.51800000000000002</v>
      </c>
      <c r="F225" s="3">
        <v>2.9970333220362466E-2</v>
      </c>
      <c r="G225">
        <v>11.7</v>
      </c>
      <c r="H225" s="3">
        <v>5.4600000000000003E-2</v>
      </c>
      <c r="I225" s="3">
        <f t="shared" si="3"/>
        <v>2.391298660285579E-2</v>
      </c>
      <c r="J225">
        <f>+[1]DOLMES!J1013</f>
        <v>3126.1001501777223</v>
      </c>
      <c r="K225" s="2">
        <v>0.76717722477629091</v>
      </c>
    </row>
    <row r="226" spans="1:11" x14ac:dyDescent="0.35">
      <c r="A226" s="1">
        <v>44439</v>
      </c>
      <c r="B226">
        <v>39.76</v>
      </c>
      <c r="C226" s="4">
        <v>1.85</v>
      </c>
      <c r="D226">
        <v>7.19</v>
      </c>
      <c r="E226" s="3">
        <v>0.51400000000000001</v>
      </c>
      <c r="F226" s="3">
        <v>2.4684866674014705E-2</v>
      </c>
      <c r="G226">
        <v>12.6</v>
      </c>
      <c r="H226" s="3">
        <v>3.3099999999999997E-2</v>
      </c>
      <c r="I226" s="3">
        <f t="shared" si="3"/>
        <v>8.2124110540440221E-3</v>
      </c>
      <c r="J226">
        <f>+[1]DOLMES!J1014</f>
        <v>3120.3113464729504</v>
      </c>
      <c r="K226" s="2">
        <v>0.78561078213262014</v>
      </c>
    </row>
    <row r="227" spans="1:11" x14ac:dyDescent="0.35">
      <c r="A227" s="1">
        <v>44469</v>
      </c>
      <c r="B227">
        <v>40.520000000000003</v>
      </c>
      <c r="C227" s="4">
        <v>1.58</v>
      </c>
      <c r="D227">
        <v>7.09</v>
      </c>
      <c r="E227" s="3">
        <v>0.52500000000000002</v>
      </c>
      <c r="F227" s="3">
        <v>3.5467879533113811E-2</v>
      </c>
      <c r="G227">
        <v>11.1</v>
      </c>
      <c r="H227" s="3">
        <v>4.6699999999999998E-2</v>
      </c>
      <c r="I227" s="3">
        <f t="shared" si="3"/>
        <v>1.0847386663457526E-2</v>
      </c>
      <c r="J227">
        <f>+[1]DOLMES!J1015</f>
        <v>3103.1540266909092</v>
      </c>
      <c r="K227" s="2">
        <v>0.81380946023639322</v>
      </c>
    </row>
    <row r="228" spans="1:11" x14ac:dyDescent="0.35">
      <c r="A228" s="1">
        <v>44500</v>
      </c>
      <c r="B228">
        <v>40.21</v>
      </c>
      <c r="C228" s="4">
        <v>1.52</v>
      </c>
      <c r="D228">
        <v>4.57</v>
      </c>
      <c r="E228" s="3">
        <v>0.52100000000000002</v>
      </c>
      <c r="F228" s="3">
        <v>3.5162748383717801E-2</v>
      </c>
      <c r="G228">
        <v>6.2</v>
      </c>
      <c r="H228" s="3">
        <v>3.7000000000000005E-2</v>
      </c>
      <c r="I228" s="3">
        <f t="shared" si="3"/>
        <v>1.7748432496733635E-3</v>
      </c>
      <c r="J228">
        <f>+[1]DOLMES!J1016</f>
        <v>3227.0848204649283</v>
      </c>
      <c r="K228" s="2">
        <v>0.91767325421101353</v>
      </c>
    </row>
    <row r="229" spans="1:11" x14ac:dyDescent="0.35">
      <c r="A229" s="1">
        <v>44530</v>
      </c>
      <c r="B229">
        <v>39.69</v>
      </c>
      <c r="C229" s="4">
        <v>1.45</v>
      </c>
      <c r="D229">
        <v>1.46</v>
      </c>
      <c r="E229" s="3">
        <v>0.51200000000000001</v>
      </c>
      <c r="F229" s="3">
        <v>2.5294646013509503E-2</v>
      </c>
      <c r="G229">
        <v>8.8000000000000007</v>
      </c>
      <c r="H229" s="3">
        <v>3.85E-2</v>
      </c>
      <c r="I229" s="3">
        <f t="shared" si="3"/>
        <v>1.2879569826912407E-2</v>
      </c>
      <c r="J229">
        <f>+[1]DOLMES!J1017</f>
        <v>3445.249305145629</v>
      </c>
      <c r="K229" s="2">
        <v>1.0667458654167339</v>
      </c>
    </row>
    <row r="230" spans="1:11" x14ac:dyDescent="0.35">
      <c r="A230" s="1">
        <v>44561</v>
      </c>
      <c r="B230">
        <v>37.770000000000003</v>
      </c>
      <c r="C230" s="4">
        <v>1.42</v>
      </c>
      <c r="D230">
        <v>4.1399999999999997</v>
      </c>
      <c r="E230" s="3">
        <v>0.50900000000000001</v>
      </c>
      <c r="F230" s="3">
        <v>3.8399703058412671E-2</v>
      </c>
      <c r="G230">
        <v>10</v>
      </c>
      <c r="H230" s="3">
        <v>1.8799999999999997E-2</v>
      </c>
      <c r="I230" s="3">
        <f t="shared" si="3"/>
        <v>-1.8874912040792613E-2</v>
      </c>
      <c r="J230">
        <f>+[1]DOLMES!J1018</f>
        <v>3247.7993819302915</v>
      </c>
      <c r="K230" s="2">
        <v>0.9856706350984652</v>
      </c>
    </row>
    <row r="231" spans="1:11" x14ac:dyDescent="0.35">
      <c r="A231" s="1">
        <v>44592</v>
      </c>
      <c r="B231">
        <v>40.14</v>
      </c>
      <c r="C231" s="4">
        <v>1.54</v>
      </c>
      <c r="D231">
        <v>2.82</v>
      </c>
      <c r="E231" s="3">
        <v>0.50700000000000001</v>
      </c>
      <c r="F231" s="3">
        <v>3.875681916706375E-2</v>
      </c>
      <c r="G231">
        <v>6.2</v>
      </c>
      <c r="H231" s="3">
        <v>4.0199999999999993E-2</v>
      </c>
      <c r="I231" s="3">
        <f t="shared" si="3"/>
        <v>1.3893346414741714E-3</v>
      </c>
      <c r="J231">
        <f>+[1]DOLMES!J1019</f>
        <v>3265.7937934734987</v>
      </c>
      <c r="K231" s="2">
        <v>1.0152906742297372</v>
      </c>
    </row>
    <row r="232" spans="1:11" x14ac:dyDescent="0.35">
      <c r="A232" s="1">
        <v>44620</v>
      </c>
      <c r="B232">
        <v>39.43</v>
      </c>
      <c r="C232" s="4">
        <v>1.49</v>
      </c>
      <c r="D232">
        <v>6.52</v>
      </c>
      <c r="E232" s="3">
        <v>0.52300000000000002</v>
      </c>
      <c r="F232" s="3">
        <v>4.6887295326839773E-2</v>
      </c>
      <c r="G232">
        <v>9.1999999999999993</v>
      </c>
      <c r="H232" s="3">
        <v>3.3399999999999999E-2</v>
      </c>
      <c r="I232" s="3">
        <f t="shared" si="3"/>
        <v>-1.2883235269971371E-2</v>
      </c>
      <c r="J232">
        <f>+[1]DOLMES!J1020</f>
        <v>3112.9404569440962</v>
      </c>
      <c r="K232" s="2">
        <v>0.94929496354261778</v>
      </c>
    </row>
    <row r="233" spans="1:11" x14ac:dyDescent="0.35">
      <c r="A233" s="1">
        <v>44651</v>
      </c>
      <c r="B233">
        <v>36.909999999999997</v>
      </c>
      <c r="C233" s="4">
        <v>1.51</v>
      </c>
      <c r="D233">
        <v>6.45</v>
      </c>
      <c r="E233" s="3">
        <v>0.55100000000000005</v>
      </c>
      <c r="F233" s="3">
        <v>6.7345437322387181E-2</v>
      </c>
      <c r="G233">
        <v>5.5</v>
      </c>
      <c r="H233" s="3">
        <v>7.7600000000000002E-2</v>
      </c>
      <c r="I233" s="3">
        <f t="shared" si="3"/>
        <v>9.6075387770786502E-3</v>
      </c>
      <c r="J233">
        <f>+[1]DOLMES!J1021</f>
        <v>2777.0216200855452</v>
      </c>
      <c r="K233" s="2">
        <v>0.77886817057179925</v>
      </c>
    </row>
    <row r="234" spans="1:11" x14ac:dyDescent="0.35">
      <c r="A234" s="1">
        <v>44681</v>
      </c>
      <c r="B234">
        <v>35.72</v>
      </c>
      <c r="C234" s="4">
        <v>1.44</v>
      </c>
      <c r="D234">
        <v>5.42</v>
      </c>
      <c r="E234" s="3">
        <v>0.57999999999999996</v>
      </c>
      <c r="F234" s="3">
        <v>6.0414172422841528E-2</v>
      </c>
      <c r="G234">
        <v>7</v>
      </c>
      <c r="H234" s="3">
        <v>4.53E-2</v>
      </c>
      <c r="I234" s="3">
        <f t="shared" si="3"/>
        <v>-1.4253084140047556E-2</v>
      </c>
      <c r="J234">
        <f>+[1]DOLMES!J1022</f>
        <v>2665.2603669599589</v>
      </c>
      <c r="K234" s="2">
        <v>0.7387991058137191</v>
      </c>
    </row>
    <row r="235" spans="1:11" x14ac:dyDescent="0.35">
      <c r="A235" s="1">
        <v>44712</v>
      </c>
      <c r="B235">
        <v>36.299999999999997</v>
      </c>
      <c r="C235" s="4">
        <v>1.3</v>
      </c>
      <c r="D235">
        <v>5.68</v>
      </c>
      <c r="E235" s="3">
        <v>0.60699999999999998</v>
      </c>
      <c r="F235" s="3">
        <v>5.0495187613335268E-2</v>
      </c>
      <c r="G235">
        <v>8.9</v>
      </c>
      <c r="H235" s="3">
        <v>6.8499999999999991E-2</v>
      </c>
      <c r="I235" s="3">
        <f t="shared" si="3"/>
        <v>1.7139357323064708E-2</v>
      </c>
      <c r="J235">
        <f>+[1]DOLMES!J1023</f>
        <v>2716.1983482823057</v>
      </c>
      <c r="K235" s="2">
        <v>0.77181297563177709</v>
      </c>
    </row>
    <row r="236" spans="1:11" x14ac:dyDescent="0.35">
      <c r="A236" s="1">
        <v>44742</v>
      </c>
      <c r="B236">
        <v>39.090000000000003</v>
      </c>
      <c r="C236" s="4">
        <v>1.4</v>
      </c>
      <c r="D236">
        <v>6.03</v>
      </c>
      <c r="E236" s="3">
        <v>0.64</v>
      </c>
      <c r="F236" s="3">
        <v>5.2981011817819557E-2</v>
      </c>
      <c r="G236">
        <v>8.4</v>
      </c>
      <c r="H236" s="3">
        <v>4.9000000000000002E-2</v>
      </c>
      <c r="I236" s="3">
        <f t="shared" si="3"/>
        <v>-3.780706179066784E-3</v>
      </c>
      <c r="J236">
        <f>+[1]DOLMES!J1024</f>
        <v>2845.2389203351518</v>
      </c>
      <c r="K236" s="2">
        <v>0.84989866402781367</v>
      </c>
    </row>
    <row r="237" spans="1:11" x14ac:dyDescent="0.35">
      <c r="A237" s="1">
        <v>44773</v>
      </c>
      <c r="B237">
        <v>34.74</v>
      </c>
      <c r="C237" s="4">
        <v>1.1200000000000001</v>
      </c>
      <c r="D237">
        <v>4.13</v>
      </c>
      <c r="E237" s="3">
        <v>0.71</v>
      </c>
      <c r="F237" s="3">
        <v>7.4099621689785566E-2</v>
      </c>
      <c r="G237">
        <v>7</v>
      </c>
      <c r="H237" s="3">
        <v>6.0700000000000004E-2</v>
      </c>
      <c r="I237" s="3">
        <f t="shared" si="3"/>
        <v>-1.2475213117294603E-2</v>
      </c>
      <c r="J237">
        <f>+[1]DOLMES!J1025</f>
        <v>3431.4781769219958</v>
      </c>
      <c r="K237" s="2">
        <v>1.2901230946107458</v>
      </c>
    </row>
    <row r="238" spans="1:11" x14ac:dyDescent="0.35">
      <c r="A238" s="1">
        <v>44804</v>
      </c>
      <c r="B238">
        <v>37.049999999999997</v>
      </c>
      <c r="C238" s="4">
        <v>1.18</v>
      </c>
      <c r="D238">
        <v>1.95</v>
      </c>
      <c r="E238" s="3">
        <v>0.78500000000000003</v>
      </c>
      <c r="F238" s="3">
        <v>6.9703355753550689E-2</v>
      </c>
      <c r="G238">
        <v>7.4</v>
      </c>
      <c r="H238" s="3">
        <v>6.7400000000000002E-2</v>
      </c>
      <c r="I238" s="3">
        <f t="shared" si="3"/>
        <v>-2.1532658948500982E-3</v>
      </c>
      <c r="J238">
        <f>+[1]DOLMES!J1026</f>
        <v>3102.410281961716</v>
      </c>
      <c r="K238" s="2">
        <v>1.1035168414637013</v>
      </c>
    </row>
    <row r="239" spans="1:11" x14ac:dyDescent="0.35">
      <c r="A239" s="1">
        <v>44834</v>
      </c>
      <c r="B239">
        <v>37.19</v>
      </c>
      <c r="C239" s="4">
        <v>1.23</v>
      </c>
      <c r="D239">
        <v>0.39</v>
      </c>
      <c r="E239" s="3">
        <v>0.83</v>
      </c>
      <c r="F239" s="3">
        <v>6.1655198875771644E-2</v>
      </c>
      <c r="G239">
        <v>5.6</v>
      </c>
      <c r="H239" s="3">
        <v>6.4899999999999999E-2</v>
      </c>
      <c r="I239" s="3">
        <f t="shared" si="3"/>
        <v>3.0563606033902069E-3</v>
      </c>
      <c r="J239">
        <f>+[1]DOLMES!J1027</f>
        <v>2978.3956611784206</v>
      </c>
      <c r="K239" s="2">
        <v>1.0151875479273951</v>
      </c>
    </row>
    <row r="240" spans="1:11" x14ac:dyDescent="0.35">
      <c r="A240" s="1">
        <v>44865</v>
      </c>
      <c r="B240">
        <v>35.65</v>
      </c>
      <c r="C240" s="4">
        <v>1.28</v>
      </c>
      <c r="D240">
        <v>-0.49</v>
      </c>
      <c r="E240" s="3">
        <v>0.88</v>
      </c>
      <c r="F240" s="3">
        <v>6.346729830304243E-2</v>
      </c>
      <c r="G240">
        <v>5</v>
      </c>
      <c r="H240" s="3">
        <v>5.5399999999999998E-2</v>
      </c>
      <c r="I240" s="3">
        <f t="shared" si="3"/>
        <v>-7.585845202683128E-3</v>
      </c>
      <c r="J240">
        <f>+[1]DOLMES!J1028</f>
        <v>2893.3400044922332</v>
      </c>
      <c r="K240" s="2">
        <v>0.95104260845459043</v>
      </c>
    </row>
    <row r="241" spans="1:11" x14ac:dyDescent="0.35">
      <c r="A241" s="1">
        <v>44895</v>
      </c>
      <c r="B241">
        <v>35.15</v>
      </c>
      <c r="C241" s="4">
        <v>1.19</v>
      </c>
      <c r="D241">
        <v>-2.0099999999999998</v>
      </c>
      <c r="E241" s="3">
        <v>0.92400000000000004</v>
      </c>
      <c r="F241" s="3">
        <v>4.9188295907455881E-2</v>
      </c>
      <c r="G241">
        <v>3</v>
      </c>
      <c r="H241" s="3">
        <v>6.7599999999999993E-2</v>
      </c>
      <c r="I241" s="3">
        <f t="shared" si="3"/>
        <v>1.7548522190308669E-2</v>
      </c>
      <c r="J241">
        <f>+[1]DOLMES!J1029</f>
        <v>2838.7727626976853</v>
      </c>
      <c r="K241" s="2">
        <v>0.89287564712686351</v>
      </c>
    </row>
    <row r="242" spans="1:11" x14ac:dyDescent="0.35">
      <c r="A242" s="1">
        <v>44926</v>
      </c>
      <c r="B242">
        <v>35.909999999999997</v>
      </c>
      <c r="C242" s="4">
        <v>1.25</v>
      </c>
      <c r="D242">
        <v>0.45</v>
      </c>
      <c r="E242" s="3">
        <v>0.94799999999999995</v>
      </c>
      <c r="F242" s="3">
        <v>5.123691281386078E-2</v>
      </c>
      <c r="G242">
        <v>-0.7</v>
      </c>
      <c r="H242" s="3">
        <v>6.1799999999999994E-2</v>
      </c>
      <c r="I242" s="3">
        <f t="shared" si="3"/>
        <v>1.0048246077912992E-2</v>
      </c>
      <c r="J242">
        <f>+[1]DOLMES!J1030</f>
        <v>2869.8362335050329</v>
      </c>
      <c r="K242" s="2">
        <v>0.89200608822091532</v>
      </c>
    </row>
    <row r="243" spans="1:11" x14ac:dyDescent="0.35">
      <c r="A243" s="1">
        <v>44957</v>
      </c>
      <c r="B243">
        <v>38.520000000000003</v>
      </c>
      <c r="C243" s="4">
        <v>1.27</v>
      </c>
      <c r="D243">
        <v>3.14</v>
      </c>
      <c r="E243" s="3">
        <v>0.98799999999999999</v>
      </c>
      <c r="F243" s="3">
        <v>6.0000000000000053E-2</v>
      </c>
      <c r="G243">
        <v>2.4</v>
      </c>
      <c r="H243" s="3">
        <v>4.3400000000000001E-2</v>
      </c>
      <c r="I243" s="3">
        <f t="shared" si="3"/>
        <v>-1.5660377358490463E-2</v>
      </c>
      <c r="J243">
        <f>+[1]DOLMES!J1031</f>
        <v>2868.2348387408879</v>
      </c>
      <c r="K243" s="2">
        <v>0.88654289434936162</v>
      </c>
    </row>
    <row r="244" spans="1:11" x14ac:dyDescent="0.35">
      <c r="A244" s="1">
        <v>44985</v>
      </c>
      <c r="B244">
        <v>36.18</v>
      </c>
      <c r="C244" s="4">
        <v>1.17</v>
      </c>
      <c r="D244">
        <v>1</v>
      </c>
      <c r="E244" s="3">
        <v>1.0249999999999999</v>
      </c>
      <c r="F244" s="3">
        <v>6.6000000000000059E-2</v>
      </c>
      <c r="G244">
        <v>-0.4</v>
      </c>
      <c r="H244" s="3">
        <v>5.7999999999999996E-2</v>
      </c>
      <c r="I244" s="3">
        <f t="shared" si="3"/>
        <v>-7.5046904315196894E-3</v>
      </c>
      <c r="J244">
        <f>+[1]DOLMES!J1032</f>
        <v>2817.2888047192728</v>
      </c>
      <c r="K244" s="2">
        <v>0.86560074620886307</v>
      </c>
    </row>
    <row r="245" spans="1:11" x14ac:dyDescent="0.35">
      <c r="A245" s="1">
        <v>45016</v>
      </c>
      <c r="B245">
        <v>38.19</v>
      </c>
      <c r="C245" s="4">
        <v>1.18</v>
      </c>
      <c r="D245">
        <v>1.1000000000000001</v>
      </c>
      <c r="E245" s="3">
        <v>1.0429999999999999</v>
      </c>
      <c r="F245" s="3">
        <v>7.6999999999999957E-2</v>
      </c>
      <c r="G245">
        <v>0.7</v>
      </c>
      <c r="H245" s="3">
        <v>0.10869999999999999</v>
      </c>
      <c r="I245" s="3">
        <f t="shared" si="3"/>
        <v>2.9433611884865485E-2</v>
      </c>
      <c r="J245">
        <f>+[1]DOLMES!J1033</f>
        <v>2801.7052354409366</v>
      </c>
      <c r="K245" s="2">
        <v>0.88159445981856144</v>
      </c>
    </row>
    <row r="246" spans="1:11" x14ac:dyDescent="0.35">
      <c r="A246" s="1">
        <v>45046</v>
      </c>
      <c r="B246">
        <v>37.08</v>
      </c>
      <c r="C246" s="4">
        <v>1.07</v>
      </c>
      <c r="D246">
        <v>1.86</v>
      </c>
      <c r="E246" s="3">
        <v>1.0880000000000001</v>
      </c>
      <c r="F246" s="3">
        <v>8.4000000000000075E-2</v>
      </c>
      <c r="G246">
        <v>-4.8</v>
      </c>
      <c r="H246" s="3">
        <v>5.8200000000000002E-2</v>
      </c>
      <c r="I246" s="3">
        <f t="shared" si="3"/>
        <v>-2.380073800738014E-2</v>
      </c>
      <c r="J246">
        <f>+[1]DOLMES!J1034</f>
        <v>2830.8177399435622</v>
      </c>
      <c r="K246" s="2">
        <v>0.92311346669611782</v>
      </c>
    </row>
    <row r="247" spans="1:11" x14ac:dyDescent="0.35">
      <c r="A247" s="1">
        <v>45077</v>
      </c>
      <c r="B247">
        <v>38.31</v>
      </c>
      <c r="C247" s="4">
        <v>1.1299999999999999</v>
      </c>
      <c r="D247">
        <v>1.63</v>
      </c>
      <c r="E247" s="3">
        <v>1.1420000000000001</v>
      </c>
      <c r="F247" s="3">
        <v>7.8000000000000069E-2</v>
      </c>
      <c r="G247">
        <v>-6.6</v>
      </c>
      <c r="H247" s="3">
        <v>8.2699999999999996E-2</v>
      </c>
      <c r="I247" s="3">
        <f t="shared" si="3"/>
        <v>4.3599257884971987E-3</v>
      </c>
      <c r="J247">
        <f>+[1]DOLMES!J1035</f>
        <v>2856.0699995187597</v>
      </c>
      <c r="K247" s="2">
        <v>0.95428402329028317</v>
      </c>
    </row>
    <row r="248" spans="1:11" x14ac:dyDescent="0.35">
      <c r="A248" s="1">
        <v>45107</v>
      </c>
      <c r="B248">
        <v>41.79</v>
      </c>
      <c r="C248" s="4">
        <v>1.1200000000000001</v>
      </c>
      <c r="D248">
        <v>5.0599999999999996</v>
      </c>
      <c r="E248" s="3">
        <v>1.1559999999999999</v>
      </c>
      <c r="F248" s="3">
        <v>6.0000000000000053E-2</v>
      </c>
      <c r="G248">
        <v>-5.5</v>
      </c>
      <c r="H248" s="3">
        <v>5.8200000000000002E-2</v>
      </c>
      <c r="I248" s="3">
        <f t="shared" si="3"/>
        <v>-1.6981132075472027E-3</v>
      </c>
      <c r="J248">
        <f>+[1]DOLMES!J1036</f>
        <v>2910.7723692487257</v>
      </c>
      <c r="K248" s="2">
        <v>0.95578023330127593</v>
      </c>
    </row>
    <row r="249" spans="1:11" x14ac:dyDescent="0.35">
      <c r="A249" s="1">
        <v>45138</v>
      </c>
      <c r="B249">
        <v>43.56</v>
      </c>
      <c r="C249" s="4">
        <v>1.2</v>
      </c>
      <c r="D249">
        <v>2.86</v>
      </c>
      <c r="E249" s="3">
        <v>1.1340000000000001</v>
      </c>
      <c r="F249" s="3">
        <v>6.2999999999999945E-2</v>
      </c>
      <c r="G249">
        <v>-1.5</v>
      </c>
      <c r="H249" s="3">
        <v>0.11720000000000001</v>
      </c>
      <c r="I249" s="3">
        <f t="shared" si="3"/>
        <v>5.0987770460959592E-2</v>
      </c>
      <c r="J249">
        <f>+[1]DOLMES!J1037</f>
        <v>2841.0187640380445</v>
      </c>
      <c r="K249" s="2">
        <v>0.89075537810531635</v>
      </c>
    </row>
    <row r="250" spans="1:11" x14ac:dyDescent="0.35">
      <c r="A250" s="1">
        <v>45169</v>
      </c>
      <c r="B250">
        <v>44.06</v>
      </c>
      <c r="C250" s="4">
        <v>1.27</v>
      </c>
      <c r="D250">
        <v>7.41</v>
      </c>
      <c r="E250" s="3">
        <v>1.244</v>
      </c>
      <c r="F250" s="3">
        <v>0.12400000000000011</v>
      </c>
      <c r="G250">
        <v>0.3</v>
      </c>
      <c r="H250" s="3">
        <v>7.4499999999999997E-2</v>
      </c>
      <c r="I250" s="3">
        <f t="shared" si="3"/>
        <v>-4.4039145907473376E-2</v>
      </c>
      <c r="J250">
        <f>+[1]DOLMES!J1038</f>
        <v>3148.3871153243763</v>
      </c>
      <c r="K250" s="2">
        <v>0.93966236086093802</v>
      </c>
    </row>
    <row r="251" spans="1:11" x14ac:dyDescent="0.35">
      <c r="A251" s="1">
        <v>45199</v>
      </c>
      <c r="B251">
        <v>43.38</v>
      </c>
      <c r="C251" s="4">
        <v>1.03</v>
      </c>
      <c r="D251">
        <v>4.82</v>
      </c>
      <c r="E251" s="3">
        <v>1.383</v>
      </c>
      <c r="F251" s="3">
        <v>0.127</v>
      </c>
      <c r="G251">
        <v>-0.5</v>
      </c>
      <c r="H251" s="3">
        <v>0.12390000000000001</v>
      </c>
      <c r="I251" s="3">
        <f t="shared" si="3"/>
        <v>-2.7506654835848243E-3</v>
      </c>
      <c r="J251">
        <f>+[1]DOLMES!J1039</f>
        <v>3140.5369675718807</v>
      </c>
      <c r="K251" s="2">
        <v>1.0019766954814568</v>
      </c>
    </row>
    <row r="252" spans="1:11" x14ac:dyDescent="0.35">
      <c r="A252" s="1">
        <v>45230</v>
      </c>
      <c r="B252">
        <v>45.11</v>
      </c>
      <c r="C252" s="4">
        <v>1.22</v>
      </c>
      <c r="D252">
        <v>4.0599999999999996</v>
      </c>
      <c r="E252" s="3">
        <v>1.4269999999999998</v>
      </c>
      <c r="F252" s="3">
        <v>8.390975971497272E-2</v>
      </c>
      <c r="G252">
        <v>0.6</v>
      </c>
      <c r="H252" s="3">
        <v>8.8800000000000004E-2</v>
      </c>
      <c r="I252" s="3">
        <f t="shared" si="3"/>
        <v>4.5116673608633917E-3</v>
      </c>
      <c r="J252">
        <f>+[1]DOLMES!J1040</f>
        <v>3563.1310195486963</v>
      </c>
      <c r="K252" s="2">
        <v>1.4627411274879347</v>
      </c>
    </row>
    <row r="253" spans="1:11" x14ac:dyDescent="0.35">
      <c r="A253" s="1">
        <v>45260</v>
      </c>
      <c r="B253">
        <v>47.51</v>
      </c>
      <c r="C253" s="4">
        <v>1.41</v>
      </c>
      <c r="D253">
        <v>1.94</v>
      </c>
      <c r="E253" s="3">
        <v>1.609</v>
      </c>
      <c r="F253" s="3">
        <v>0.1281069017691574</v>
      </c>
      <c r="G253">
        <v>-1.1000000000000001</v>
      </c>
      <c r="H253" s="3">
        <v>9.1799999999999993E-2</v>
      </c>
      <c r="I253" s="3">
        <f t="shared" si="3"/>
        <v>-3.2183919548953055E-2</v>
      </c>
      <c r="J253">
        <f>+[1]DOLMES!J1041</f>
        <v>3249.0352908276718</v>
      </c>
      <c r="K253" s="2">
        <v>1.5110401029471729</v>
      </c>
    </row>
    <row r="254" spans="1:11" x14ac:dyDescent="0.35">
      <c r="A254" s="1">
        <v>45291</v>
      </c>
      <c r="B254">
        <v>39.81</v>
      </c>
      <c r="C254" s="4">
        <v>2.86</v>
      </c>
      <c r="D254">
        <v>-6.27</v>
      </c>
      <c r="E254" s="3">
        <v>2.1139999999999999</v>
      </c>
      <c r="F254" s="3">
        <v>0.25465674984236841</v>
      </c>
      <c r="G254">
        <v>-4.7</v>
      </c>
      <c r="H254" s="3">
        <v>9.0399999999999994E-2</v>
      </c>
      <c r="I254" s="3">
        <f t="shared" si="3"/>
        <v>-0.13091767916843</v>
      </c>
      <c r="J254">
        <f>+[1]DOLMES!J1042</f>
        <v>2808.9741337677583</v>
      </c>
      <c r="K254" s="2">
        <v>0.50272482467216317</v>
      </c>
    </row>
    <row r="255" spans="1:11" x14ac:dyDescent="0.35">
      <c r="A255" s="1">
        <v>45322</v>
      </c>
      <c r="B255">
        <v>35.6</v>
      </c>
      <c r="C255" s="4">
        <v>2.61</v>
      </c>
      <c r="D255">
        <v>-9.34</v>
      </c>
      <c r="E255" s="3">
        <v>2.5419999999999998</v>
      </c>
      <c r="F255" s="3">
        <v>0.20614225288961063</v>
      </c>
      <c r="G255">
        <v>-3.8</v>
      </c>
      <c r="H255" s="3">
        <v>0.17230000000000001</v>
      </c>
      <c r="I255" s="3">
        <f t="shared" si="3"/>
        <v>-2.8058259967705501E-2</v>
      </c>
      <c r="J255">
        <f>+[1]DOLMES!J1043</f>
        <v>2858.5189233890123</v>
      </c>
      <c r="K255" s="2">
        <v>0.43915215893045856</v>
      </c>
    </row>
    <row r="256" spans="1:11" x14ac:dyDescent="0.35">
      <c r="A256" s="1">
        <v>45351</v>
      </c>
      <c r="B256">
        <v>36.04</v>
      </c>
      <c r="C256" s="4">
        <v>2.57</v>
      </c>
      <c r="D256">
        <v>-16.54</v>
      </c>
      <c r="E256" s="3">
        <v>2.762</v>
      </c>
      <c r="F256" s="3">
        <v>0.13240676053524769</v>
      </c>
      <c r="G256">
        <v>-2.6</v>
      </c>
      <c r="H256" s="3">
        <v>0.14410000000000001</v>
      </c>
      <c r="I256" s="3">
        <f t="shared" si="3"/>
        <v>1.0326006407119337E-2</v>
      </c>
      <c r="J256">
        <f>+[1]DOLMES!J1044</f>
        <v>2449.4517057787762</v>
      </c>
      <c r="K256" s="2">
        <v>0.3603542987874071</v>
      </c>
    </row>
    <row r="257" spans="1:11" x14ac:dyDescent="0.35">
      <c r="A257" s="1">
        <v>45382</v>
      </c>
      <c r="B257">
        <v>36.68</v>
      </c>
      <c r="C257" s="4">
        <v>2.56</v>
      </c>
      <c r="D257">
        <v>-19.350000000000001</v>
      </c>
      <c r="E257" s="3">
        <v>2.8789999999999996</v>
      </c>
      <c r="F257" s="3">
        <v>0.11009700156540236</v>
      </c>
      <c r="G257">
        <v>-8.1</v>
      </c>
      <c r="H257" s="3">
        <v>0.1033</v>
      </c>
      <c r="I257" s="3">
        <f t="shared" si="3"/>
        <v>-6.1228897617213729E-3</v>
      </c>
      <c r="J257">
        <f>+[1]DOLMES!J1045</f>
        <v>2029.5418967417468</v>
      </c>
      <c r="K257" s="2">
        <v>0.22066609811931293</v>
      </c>
    </row>
    <row r="258" spans="1:11" x14ac:dyDescent="0.35">
      <c r="A258" s="1">
        <v>45412</v>
      </c>
      <c r="B258">
        <v>37.17</v>
      </c>
      <c r="C258" s="4">
        <v>2.4500000000000002</v>
      </c>
      <c r="D258">
        <v>-16.43</v>
      </c>
      <c r="E258" s="3">
        <v>2.8939999999999997</v>
      </c>
      <c r="F258" s="3">
        <v>8.8319207606050831E-2</v>
      </c>
      <c r="G258">
        <v>-1.8</v>
      </c>
      <c r="H258" s="3">
        <v>0.1047</v>
      </c>
      <c r="I258" s="3">
        <f t="shared" si="3"/>
        <v>1.5051459424281877E-2</v>
      </c>
      <c r="J258">
        <f>+[1]DOLMES!J1046</f>
        <v>1861.4863517772465</v>
      </c>
      <c r="K258" s="2">
        <v>0.18772847934804049</v>
      </c>
    </row>
    <row r="259" spans="1:11" x14ac:dyDescent="0.35">
      <c r="A259" s="1">
        <v>45443</v>
      </c>
      <c r="B259">
        <v>38.299999999999997</v>
      </c>
      <c r="C259" s="4">
        <v>2.5099999999999998</v>
      </c>
      <c r="D259">
        <v>-11.23</v>
      </c>
      <c r="E259" s="3">
        <v>2.7639999999999998</v>
      </c>
      <c r="F259" s="3">
        <v>4.176327882665154E-2</v>
      </c>
      <c r="G259">
        <v>2</v>
      </c>
      <c r="H259" s="3">
        <v>7.8700000000000006E-2</v>
      </c>
      <c r="I259" s="3">
        <f t="shared" ref="I259:I282" si="4">+(1+H259)/(1+F259)-1</f>
        <v>3.5455963868251006E-2</v>
      </c>
      <c r="J259">
        <f>+[1]DOLMES!J1047</f>
        <v>1963.8676540906802</v>
      </c>
      <c r="K259" s="2">
        <v>0.27690810671072197</v>
      </c>
    </row>
    <row r="260" spans="1:11" x14ac:dyDescent="0.35">
      <c r="A260" s="1">
        <v>45473</v>
      </c>
      <c r="B260">
        <v>37.229999999999997</v>
      </c>
      <c r="C260" s="4">
        <v>2.46</v>
      </c>
      <c r="D260">
        <v>-16.97</v>
      </c>
      <c r="E260" s="3">
        <v>2.7149999999999999</v>
      </c>
      <c r="F260" s="3">
        <v>4.5770657883027477E-2</v>
      </c>
      <c r="G260">
        <v>-3.4</v>
      </c>
      <c r="H260" s="3">
        <v>5.79E-2</v>
      </c>
      <c r="I260" s="3">
        <f t="shared" si="4"/>
        <v>1.1598472404577009E-2</v>
      </c>
      <c r="J260">
        <f>+[1]DOLMES!J1048</f>
        <v>2140.830689853346</v>
      </c>
      <c r="K260" s="2">
        <v>0.4279534521344257</v>
      </c>
    </row>
    <row r="261" spans="1:11" x14ac:dyDescent="0.35">
      <c r="A261" s="1">
        <v>45504</v>
      </c>
      <c r="B261">
        <v>39.1</v>
      </c>
      <c r="C261" s="4">
        <v>2.37</v>
      </c>
      <c r="D261">
        <v>-12.54</v>
      </c>
      <c r="E261" s="3">
        <v>2.6339999999999999</v>
      </c>
      <c r="F261" s="3">
        <v>4.0309336951463992E-2</v>
      </c>
      <c r="G261">
        <v>-0.3</v>
      </c>
      <c r="H261" s="3">
        <v>6.4199999999999993E-2</v>
      </c>
      <c r="I261" s="3">
        <f t="shared" si="4"/>
        <v>2.2964960709230597E-2</v>
      </c>
      <c r="J261">
        <f>+[1]DOLMES!J1049</f>
        <v>2144.8131121110587</v>
      </c>
      <c r="K261" s="2">
        <v>0.45438803464683697</v>
      </c>
    </row>
    <row r="262" spans="1:11" x14ac:dyDescent="0.35">
      <c r="A262" s="1">
        <v>45535</v>
      </c>
      <c r="B262">
        <v>41.46</v>
      </c>
      <c r="C262" s="4">
        <v>2.54</v>
      </c>
      <c r="D262">
        <v>-14.18</v>
      </c>
      <c r="E262" s="3">
        <v>2.367</v>
      </c>
      <c r="F262" s="3">
        <v>4.1722732793725292E-2</v>
      </c>
      <c r="G262">
        <v>-3</v>
      </c>
      <c r="H262" s="3">
        <v>4.9100000000000005E-2</v>
      </c>
      <c r="I262" s="3">
        <f t="shared" si="4"/>
        <v>7.0817953511392862E-3</v>
      </c>
      <c r="J262">
        <f>+[1]DOLMES!J1050</f>
        <v>1979.580807774448</v>
      </c>
      <c r="K262" s="2">
        <v>0.36882968123311977</v>
      </c>
    </row>
    <row r="263" spans="1:11" x14ac:dyDescent="0.35">
      <c r="A263" s="1">
        <v>45565</v>
      </c>
      <c r="B263">
        <v>39</v>
      </c>
      <c r="C263" s="4">
        <v>2.16</v>
      </c>
      <c r="D263">
        <v>-10.75</v>
      </c>
      <c r="E263" s="3">
        <v>2.09</v>
      </c>
      <c r="F263" s="3">
        <v>3.4692081048066425E-2</v>
      </c>
      <c r="G263">
        <v>-2.4</v>
      </c>
      <c r="H263" s="3">
        <v>3.8199999999999998E-2</v>
      </c>
      <c r="I263" s="3">
        <f t="shared" si="4"/>
        <v>3.3903023094370432E-3</v>
      </c>
      <c r="J263">
        <f>+[1]DOLMES!J1051</f>
        <v>1837.8519309838355</v>
      </c>
      <c r="K263" s="2">
        <v>0.28700575585491261</v>
      </c>
    </row>
    <row r="264" spans="1:11" x14ac:dyDescent="0.35">
      <c r="A264" s="1">
        <v>45596</v>
      </c>
      <c r="B264">
        <v>42.42</v>
      </c>
      <c r="C264" s="4">
        <v>2.4300000000000002</v>
      </c>
      <c r="D264">
        <v>-8.74</v>
      </c>
      <c r="E264" s="3">
        <v>1.93</v>
      </c>
      <c r="F264" s="3">
        <v>2.6917380413114644E-2</v>
      </c>
      <c r="G264">
        <v>0.3</v>
      </c>
      <c r="H264" s="3">
        <v>4.0800000000000003E-2</v>
      </c>
      <c r="I264" s="3">
        <f t="shared" si="4"/>
        <v>1.3518730768097953E-2</v>
      </c>
      <c r="J264">
        <f>+[1]DOLMES!J1052</f>
        <v>1699.5861406010677</v>
      </c>
      <c r="K264" s="2">
        <v>0.19625763356415615</v>
      </c>
    </row>
    <row r="265" spans="1:11" x14ac:dyDescent="0.35">
      <c r="A265" s="1">
        <v>45626</v>
      </c>
      <c r="B265">
        <v>45.02</v>
      </c>
      <c r="C265" s="4">
        <v>2.66</v>
      </c>
      <c r="D265">
        <v>-5.39</v>
      </c>
      <c r="E265" s="3">
        <v>1.66</v>
      </c>
      <c r="F265" s="3">
        <v>2.4265560755083682E-2</v>
      </c>
      <c r="G265">
        <v>1.2</v>
      </c>
      <c r="H265" s="3">
        <v>3.1E-2</v>
      </c>
      <c r="I265" s="3">
        <f t="shared" si="4"/>
        <v>6.5748957135214336E-3</v>
      </c>
      <c r="J265">
        <f>+[1]DOLMES!J1053</f>
        <v>1585.6214551664457</v>
      </c>
      <c r="K265" s="2">
        <v>0.12060368144290923</v>
      </c>
    </row>
    <row r="266" spans="1:11" x14ac:dyDescent="0.35">
      <c r="A266" s="1">
        <v>45657</v>
      </c>
      <c r="B266">
        <v>46.03</v>
      </c>
      <c r="C266" s="4">
        <v>2.66</v>
      </c>
      <c r="D266">
        <v>0.6</v>
      </c>
      <c r="E266" s="3">
        <v>1.1779999999999999</v>
      </c>
      <c r="F266" s="3">
        <v>2.7041040514633741E-2</v>
      </c>
      <c r="G266">
        <v>6.6</v>
      </c>
      <c r="H266" s="3">
        <v>2.4399999999999998E-2</v>
      </c>
      <c r="I266" s="3">
        <f t="shared" si="4"/>
        <v>-2.5715043610237132E-3</v>
      </c>
      <c r="J266">
        <f>+[1]DOLMES!J1054</f>
        <v>1533.2848274031289</v>
      </c>
      <c r="K266" s="2">
        <v>9.1957336531896194E-2</v>
      </c>
    </row>
    <row r="267" spans="1:11" x14ac:dyDescent="0.35">
      <c r="A267" s="1">
        <v>45688</v>
      </c>
      <c r="B267">
        <v>47.38</v>
      </c>
      <c r="C267" s="4">
        <v>2.61</v>
      </c>
      <c r="D267">
        <v>4.22</v>
      </c>
      <c r="E267" s="3">
        <v>0.84499999999999997</v>
      </c>
      <c r="F267" s="3">
        <v>2.2110480136651844E-2</v>
      </c>
      <c r="G267">
        <v>6.4</v>
      </c>
      <c r="H267" s="3">
        <v>1.8600000000000002E-2</v>
      </c>
      <c r="I267" s="3">
        <f t="shared" si="4"/>
        <v>-3.434540790720142E-3</v>
      </c>
      <c r="J267">
        <f>+[1]DOLMES!J1055</f>
        <v>1592.8809157661574</v>
      </c>
      <c r="K267" s="2">
        <v>0.12670899725495022</v>
      </c>
    </row>
    <row r="268" spans="1:11" x14ac:dyDescent="0.35">
      <c r="A268" s="1">
        <v>45716</v>
      </c>
      <c r="B268">
        <v>47.26</v>
      </c>
      <c r="C268" s="4">
        <v>2.56</v>
      </c>
      <c r="D268">
        <v>13.84</v>
      </c>
      <c r="E268" s="3">
        <v>0.66900000000000004</v>
      </c>
      <c r="F268" s="3">
        <v>2.4016274307517849E-2</v>
      </c>
      <c r="G268">
        <v>5.7</v>
      </c>
      <c r="H268" s="3">
        <v>0.03</v>
      </c>
      <c r="I268" s="3">
        <f t="shared" si="4"/>
        <v>5.8433892532896436E-3</v>
      </c>
      <c r="J268">
        <f>+[1]DOLMES!J1056</f>
        <v>1589.0893730660912</v>
      </c>
      <c r="K268" s="2">
        <v>0.13126002174864015</v>
      </c>
    </row>
    <row r="269" spans="1:11" x14ac:dyDescent="0.35">
      <c r="A269" s="1">
        <v>45747</v>
      </c>
      <c r="B269">
        <v>44.11</v>
      </c>
      <c r="C269" s="4">
        <v>2.42</v>
      </c>
      <c r="D269">
        <v>15.16</v>
      </c>
      <c r="E269" s="3">
        <v>0.55899999999999994</v>
      </c>
      <c r="F269" s="3">
        <v>3.7293353066121693E-2</v>
      </c>
      <c r="G269">
        <v>5.5</v>
      </c>
      <c r="H269" s="3">
        <v>2.52E-2</v>
      </c>
      <c r="I269" s="3">
        <f t="shared" si="4"/>
        <v>-1.1658566046311991E-2</v>
      </c>
      <c r="J269">
        <f>+[1]DOLMES!J1057</f>
        <v>1623.311581901592</v>
      </c>
      <c r="K269" s="2">
        <v>0.18267850890072945</v>
      </c>
    </row>
    <row r="270" spans="1:11" x14ac:dyDescent="0.35">
      <c r="A270" s="1">
        <v>45777</v>
      </c>
      <c r="B270">
        <v>44.1</v>
      </c>
      <c r="C270" s="4">
        <v>2.33</v>
      </c>
      <c r="D270">
        <v>12.94</v>
      </c>
      <c r="E270" s="3">
        <v>0.47299999999999998</v>
      </c>
      <c r="F270" s="3">
        <v>2.7808358448509596E-2</v>
      </c>
      <c r="G270">
        <v>7.8</v>
      </c>
      <c r="H270" s="3">
        <v>2.4399999999999998E-2</v>
      </c>
      <c r="I270" s="3">
        <f t="shared" si="4"/>
        <v>-3.3161419835645578E-3</v>
      </c>
      <c r="J270">
        <f>+[1]DOLMES!J1058</f>
        <v>1568.0546199728626</v>
      </c>
      <c r="K270" s="2">
        <v>0.11571653098704826</v>
      </c>
    </row>
    <row r="271" spans="1:11" x14ac:dyDescent="0.35">
      <c r="A271" s="1">
        <v>45808</v>
      </c>
      <c r="B271">
        <v>45.49</v>
      </c>
      <c r="C271" s="4">
        <v>2.4500000000000002</v>
      </c>
      <c r="D271">
        <v>6</v>
      </c>
      <c r="E271" s="3">
        <v>0.435</v>
      </c>
      <c r="F271" s="3">
        <v>1.5011086343823088E-2</v>
      </c>
      <c r="G271">
        <v>5.2</v>
      </c>
      <c r="H271" s="3">
        <v>2.4E-2</v>
      </c>
      <c r="I271" s="3">
        <f t="shared" si="4"/>
        <v>8.855975838210739E-3</v>
      </c>
      <c r="J271">
        <f>+[1]DOLMES!J1059</f>
        <v>1445.3723762571929</v>
      </c>
      <c r="K271" s="2">
        <v>1.8120040733217602E-2</v>
      </c>
    </row>
    <row r="272" spans="1:11" x14ac:dyDescent="0.35">
      <c r="A272" s="1">
        <v>45838</v>
      </c>
      <c r="B272">
        <v>45.48</v>
      </c>
      <c r="C272" s="4">
        <v>2.34</v>
      </c>
      <c r="D272">
        <v>7.83</v>
      </c>
      <c r="E272" s="3">
        <v>0.39399999999999996</v>
      </c>
      <c r="F272" s="3">
        <v>1.6189248819933333E-2</v>
      </c>
      <c r="G272">
        <v>6.3</v>
      </c>
      <c r="H272" s="3">
        <v>1.5900000000000001E-2</v>
      </c>
      <c r="I272" s="3">
        <f t="shared" si="4"/>
        <v>-2.8464070080369552E-4</v>
      </c>
      <c r="J272">
        <f>+[1]DOLMES!J1060</f>
        <v>1455.6674394284585</v>
      </c>
      <c r="K272" s="2">
        <v>8.6977399381260589E-3</v>
      </c>
    </row>
    <row r="273" spans="1:11" x14ac:dyDescent="0.35">
      <c r="A273" s="1">
        <v>45869</v>
      </c>
      <c r="B273">
        <v>46.37</v>
      </c>
      <c r="C273" s="4">
        <v>2.4500000000000002</v>
      </c>
      <c r="D273">
        <v>6.37</v>
      </c>
      <c r="E273" s="3">
        <v>0.36599999999999999</v>
      </c>
      <c r="F273" s="3">
        <v>1.9016837553312849E-2</v>
      </c>
      <c r="G273">
        <v>2.8</v>
      </c>
      <c r="H273" s="3">
        <v>2.2099999999999998E-2</v>
      </c>
      <c r="I273" s="3">
        <f t="shared" si="4"/>
        <v>3.0256246345152782E-3</v>
      </c>
      <c r="J273">
        <f>+[1]DOLMES!J1061</f>
        <v>1531.7507312885029</v>
      </c>
      <c r="K273" s="2">
        <v>6.9531165431837572E-3</v>
      </c>
    </row>
    <row r="274" spans="1:11" x14ac:dyDescent="0.35">
      <c r="A274" s="1">
        <v>45900</v>
      </c>
      <c r="B274">
        <v>39.94</v>
      </c>
      <c r="C274" s="4">
        <v>2.12</v>
      </c>
      <c r="D274">
        <v>0.72</v>
      </c>
      <c r="E274" s="3">
        <v>0.33600000000000002</v>
      </c>
      <c r="F274" s="3">
        <v>1.8757935113502766E-2</v>
      </c>
      <c r="G274">
        <v>2.2000000000000002</v>
      </c>
      <c r="H274" s="3">
        <v>2.4199999999999999E-2</v>
      </c>
      <c r="I274" s="3">
        <f t="shared" si="4"/>
        <v>5.3418625749315218E-3</v>
      </c>
      <c r="J274">
        <f>+[1]DOLMES!J1062</f>
        <v>1576.0607832507244</v>
      </c>
      <c r="K274" s="2">
        <v>3.0051338112278003E-3</v>
      </c>
    </row>
    <row r="275" spans="1:11" x14ac:dyDescent="0.35">
      <c r="A275" s="1">
        <v>45930</v>
      </c>
      <c r="B275">
        <v>39.81</v>
      </c>
      <c r="C275" s="4">
        <v>1.94</v>
      </c>
      <c r="D275">
        <v>-1.89</v>
      </c>
      <c r="E275" s="3">
        <v>0.318</v>
      </c>
      <c r="F275" s="3">
        <v>2.0759603239513646E-2</v>
      </c>
      <c r="G275">
        <v>4.8</v>
      </c>
      <c r="H275" s="3">
        <v>1.3000000000000001E-2</v>
      </c>
      <c r="I275" s="3">
        <f t="shared" si="4"/>
        <v>-7.6017930322552774E-3</v>
      </c>
      <c r="J275">
        <f>+[1]DOLMES!J1063</f>
        <v>1675.1208613587435</v>
      </c>
      <c r="K275" s="2">
        <v>3.0862904026375926E-2</v>
      </c>
    </row>
    <row r="276" spans="1:11" x14ac:dyDescent="0.35">
      <c r="A276" s="1">
        <v>45961</v>
      </c>
      <c r="B276">
        <v>42.32</v>
      </c>
      <c r="C276" s="4">
        <v>2.1</v>
      </c>
      <c r="D276">
        <v>3.34</v>
      </c>
      <c r="E276" s="3">
        <v>0.313</v>
      </c>
      <c r="F276" s="3">
        <v>2.3419431023919524E-2</v>
      </c>
      <c r="G276">
        <v>3.1</v>
      </c>
      <c r="H276" s="3">
        <v>2.0199999999999999E-2</v>
      </c>
      <c r="I276" s="3">
        <f t="shared" si="4"/>
        <v>-3.1457591348431624E-3</v>
      </c>
      <c r="J276">
        <f>+[1]DOLMES!J1064</f>
        <v>1713.4904970908574</v>
      </c>
      <c r="K276" s="2">
        <v>5.4312081814874125E-2</v>
      </c>
    </row>
    <row r="277" spans="1:11" x14ac:dyDescent="0.35">
      <c r="A277" s="1">
        <v>45991</v>
      </c>
      <c r="B277">
        <v>46.04</v>
      </c>
      <c r="C277" s="4">
        <v>2.4700000000000002</v>
      </c>
      <c r="D277">
        <v>-0.83</v>
      </c>
      <c r="E277" s="3">
        <v>0.314</v>
      </c>
      <c r="F277" s="3">
        <v>2.4729196710785661E-2</v>
      </c>
      <c r="G277">
        <v>-0.2</v>
      </c>
      <c r="H277" s="3">
        <v>1.8100000000000002E-2</v>
      </c>
      <c r="I277" s="3">
        <f t="shared" si="4"/>
        <v>-6.4692181427681295E-3</v>
      </c>
      <c r="J277">
        <f>+[1]DOLMES!J1065</f>
        <v>1642.7765309599358</v>
      </c>
      <c r="K277" s="2">
        <v>3.8792745430375586E-2</v>
      </c>
    </row>
    <row r="278" spans="1:11" x14ac:dyDescent="0.35">
      <c r="A278" s="1">
        <v>46022</v>
      </c>
      <c r="B278">
        <v>45.55</v>
      </c>
      <c r="C278" s="4">
        <v>2.46</v>
      </c>
      <c r="D278">
        <v>-0.26</v>
      </c>
      <c r="E278" s="3">
        <v>0.315</v>
      </c>
      <c r="F278" s="3">
        <v>2.8452719345717137E-2</v>
      </c>
      <c r="G278">
        <v>3.3</v>
      </c>
      <c r="H278" s="3">
        <v>2.0299999999999999E-2</v>
      </c>
      <c r="I278" s="3">
        <f t="shared" si="4"/>
        <v>-7.9271698079652619E-3</v>
      </c>
      <c r="J278">
        <f>+[1]DOLMES!J1066</f>
        <v>1630.4128283930106</v>
      </c>
      <c r="K278" s="2">
        <v>4.2396624461543686E-2</v>
      </c>
    </row>
    <row r="279" spans="1:11" x14ac:dyDescent="0.35">
      <c r="A279" s="1">
        <v>46053</v>
      </c>
      <c r="B279">
        <v>46.57</v>
      </c>
      <c r="C279" s="4">
        <v>2.4</v>
      </c>
      <c r="D279">
        <v>-4.55</v>
      </c>
      <c r="E279" s="3">
        <v>0.32400000000000001</v>
      </c>
      <c r="F279" s="3">
        <v>2.881619353661713E-2</v>
      </c>
      <c r="G279">
        <v>1.7</v>
      </c>
      <c r="H279" s="3">
        <v>2.0299999999999999E-2</v>
      </c>
      <c r="I279" s="3">
        <f t="shared" si="4"/>
        <v>-8.2776628032479316E-3</v>
      </c>
      <c r="J279">
        <f>+[1]DOLMES!J1067</f>
        <v>1584.7143762729052</v>
      </c>
      <c r="K279" s="2">
        <v>3.9522952962071978E-2</v>
      </c>
    </row>
    <row r="280" spans="1:11" x14ac:dyDescent="0.35">
      <c r="A280" s="1">
        <v>46081</v>
      </c>
      <c r="B280">
        <v>44.38</v>
      </c>
      <c r="C280" s="4">
        <v>2.38</v>
      </c>
      <c r="D280">
        <v>-4.93</v>
      </c>
      <c r="E280" s="3">
        <v>0.33100000000000002</v>
      </c>
      <c r="F280" s="3">
        <v>2.8963190726726928E-2</v>
      </c>
      <c r="G280">
        <v>-2.1</v>
      </c>
      <c r="H280" s="3">
        <v>1.8100000000000002E-2</v>
      </c>
      <c r="I280" s="3">
        <f t="shared" si="4"/>
        <v>-1.0557414322133862E-2</v>
      </c>
      <c r="J280">
        <f>+[1]DOLMES!J1068</f>
        <v>1494.9947495425185</v>
      </c>
      <c r="K280" s="2">
        <v>3.4712636783386763E-2</v>
      </c>
    </row>
    <row r="281" spans="1:11" x14ac:dyDescent="0.35">
      <c r="A281" s="1">
        <v>46112</v>
      </c>
      <c r="B281">
        <v>42.03</v>
      </c>
      <c r="C281" s="4">
        <v>2.2999999999999998</v>
      </c>
      <c r="D281">
        <v>-2.72</v>
      </c>
      <c r="E281" s="3">
        <v>0.32600000000000001</v>
      </c>
      <c r="F281" s="3">
        <v>3.3826221924415201E-2</v>
      </c>
      <c r="G281">
        <v>-2.1</v>
      </c>
      <c r="H281" s="3">
        <v>2.3800000000000002E-2</v>
      </c>
      <c r="I281" s="3">
        <f t="shared" si="4"/>
        <v>-9.6981694909535898E-3</v>
      </c>
      <c r="J281">
        <f>+[1]DOLMES!J1069</f>
        <v>1453.9192720198951</v>
      </c>
      <c r="K281" s="2">
        <v>4.1236811957831243E-2</v>
      </c>
    </row>
    <row r="282" spans="1:11" x14ac:dyDescent="0.35">
      <c r="A282" s="1">
        <v>46142</v>
      </c>
      <c r="B282">
        <v>39.64</v>
      </c>
      <c r="C282" s="4">
        <v>2.02</v>
      </c>
      <c r="D282">
        <v>-2.72</v>
      </c>
      <c r="E282" s="3">
        <f>+[2]INFLACIO!$D$519</f>
        <v>0.32502458842809001</v>
      </c>
      <c r="F282" s="3">
        <v>2.7E-2</v>
      </c>
      <c r="G282">
        <v>-2.1</v>
      </c>
      <c r="H282" s="3">
        <v>1.7000000000000001E-2</v>
      </c>
      <c r="I282" s="3">
        <f t="shared" si="4"/>
        <v>-9.7370983446932735E-3</v>
      </c>
      <c r="J282">
        <f>+[1]DOLMES!J1070</f>
        <v>1431.6799213722268</v>
      </c>
      <c r="K282" s="2">
        <f>+[1]DOLMES!AF1070</f>
        <v>5.5250094197148325E-2</v>
      </c>
    </row>
    <row r="283" spans="1:11" x14ac:dyDescent="0.35">
      <c r="A283" s="1"/>
    </row>
    <row r="284" spans="1:11" x14ac:dyDescent="0.35">
      <c r="A284" s="1"/>
    </row>
    <row r="285" spans="1:11" x14ac:dyDescent="0.35">
      <c r="A285" s="1"/>
    </row>
    <row r="286" spans="1:11" x14ac:dyDescent="0.35">
      <c r="A286" s="1"/>
    </row>
    <row r="287" spans="1:11" x14ac:dyDescent="0.35">
      <c r="A287" s="1"/>
    </row>
    <row r="288" spans="1:1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</sheetData>
  <autoFilter ref="A1:K282" xr:uid="{00000000-0001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95B95-C2AD-406F-83C5-482024ABDE2B}">
  <dimension ref="A1:C21"/>
  <sheetViews>
    <sheetView tabSelected="1" topLeftCell="A3" workbookViewId="0">
      <selection activeCell="A21" sqref="A21"/>
    </sheetView>
  </sheetViews>
  <sheetFormatPr defaultRowHeight="14.5" x14ac:dyDescent="0.35"/>
  <cols>
    <col min="2" max="2" width="11" bestFit="1" customWidth="1"/>
    <col min="3" max="3" width="12" bestFit="1" customWidth="1"/>
  </cols>
  <sheetData>
    <row r="1" spans="1:3" x14ac:dyDescent="0.35">
      <c r="A1" s="6" t="s">
        <v>11</v>
      </c>
      <c r="B1" s="6" t="s">
        <v>12</v>
      </c>
      <c r="C1" s="6" t="s">
        <v>13</v>
      </c>
    </row>
    <row r="2" spans="1:3" x14ac:dyDescent="0.35">
      <c r="A2" s="7">
        <v>2003</v>
      </c>
      <c r="B2" s="8">
        <v>0.22243348233524063</v>
      </c>
      <c r="C2" s="8">
        <v>0.24452922816014838</v>
      </c>
    </row>
    <row r="3" spans="1:3" x14ac:dyDescent="0.35">
      <c r="A3" s="7">
        <v>2007</v>
      </c>
      <c r="B3" s="8">
        <v>0.45283035556341766</v>
      </c>
      <c r="C3" s="8">
        <v>0.23047101764052599</v>
      </c>
    </row>
    <row r="4" spans="1:3" x14ac:dyDescent="0.35">
      <c r="A4" s="7">
        <v>2011</v>
      </c>
      <c r="B4" s="8">
        <v>0.5411092446387108</v>
      </c>
      <c r="C4" s="8">
        <v>0.16805411632869044</v>
      </c>
    </row>
    <row r="5" spans="1:3" x14ac:dyDescent="0.35">
      <c r="A5" s="7">
        <v>2015</v>
      </c>
      <c r="B5" s="8">
        <v>0.3708066511551244</v>
      </c>
      <c r="C5" s="8">
        <v>0.34152808240481347</v>
      </c>
    </row>
    <row r="6" spans="1:3" x14ac:dyDescent="0.35">
      <c r="A6" s="7">
        <v>2015</v>
      </c>
      <c r="B6" s="8">
        <v>0.48658439324902708</v>
      </c>
      <c r="C6" s="8">
        <v>0.51341560675097297</v>
      </c>
    </row>
    <row r="7" spans="1:3" x14ac:dyDescent="0.35">
      <c r="A7" s="7">
        <v>2019</v>
      </c>
      <c r="B7" s="8">
        <v>0.4037784608749399</v>
      </c>
      <c r="C7" s="8">
        <v>0.4810241680756317</v>
      </c>
    </row>
    <row r="8" spans="1:3" x14ac:dyDescent="0.35">
      <c r="A8" s="7">
        <v>2023</v>
      </c>
      <c r="B8" s="8">
        <v>0.36778242043766352</v>
      </c>
      <c r="C8" s="8">
        <v>0.29990667982400776</v>
      </c>
    </row>
    <row r="9" spans="1:3" x14ac:dyDescent="0.35">
      <c r="A9" s="7">
        <v>2023</v>
      </c>
      <c r="B9" s="8">
        <v>0.44349007084388653</v>
      </c>
      <c r="C9" s="8">
        <v>0.55650992915611353</v>
      </c>
    </row>
    <row r="10" spans="1:3" x14ac:dyDescent="0.35">
      <c r="A10" s="9">
        <v>2003</v>
      </c>
      <c r="B10" s="10">
        <v>0.13482200348501169</v>
      </c>
      <c r="C10" s="10">
        <v>0.39740532690040453</v>
      </c>
    </row>
    <row r="11" spans="1:3" x14ac:dyDescent="0.35">
      <c r="A11" s="9">
        <v>2005</v>
      </c>
      <c r="B11" s="10">
        <v>0.39391462015265138</v>
      </c>
      <c r="C11" s="10">
        <v>0.10166723561518795</v>
      </c>
    </row>
    <row r="12" spans="1:3" x14ac:dyDescent="0.35">
      <c r="A12" s="9">
        <v>2007</v>
      </c>
      <c r="B12" s="10">
        <v>0.47826235239843323</v>
      </c>
      <c r="C12" s="10">
        <v>0.2434148013758366</v>
      </c>
    </row>
    <row r="13" spans="1:3" x14ac:dyDescent="0.35">
      <c r="A13" s="9">
        <v>2009</v>
      </c>
      <c r="B13" s="10">
        <v>0.28696102891018743</v>
      </c>
      <c r="C13" s="10">
        <v>0.29529625277763588</v>
      </c>
    </row>
    <row r="14" spans="1:3" x14ac:dyDescent="0.35">
      <c r="A14" s="9">
        <v>2011</v>
      </c>
      <c r="B14" s="10">
        <v>0.52462641284787515</v>
      </c>
      <c r="C14" s="10">
        <v>0.13516951063786767</v>
      </c>
    </row>
    <row r="15" spans="1:3" x14ac:dyDescent="0.35">
      <c r="A15" s="9">
        <v>2013</v>
      </c>
      <c r="B15" s="10">
        <v>0.32821787637807093</v>
      </c>
      <c r="C15" s="10">
        <v>0.24369200653636564</v>
      </c>
    </row>
    <row r="16" spans="1:3" x14ac:dyDescent="0.35">
      <c r="A16" s="9">
        <v>2015</v>
      </c>
      <c r="B16" s="10">
        <v>0.37597272989229746</v>
      </c>
      <c r="C16" s="10">
        <v>0.34753246822320605</v>
      </c>
    </row>
    <row r="17" spans="1:3" x14ac:dyDescent="0.35">
      <c r="A17" s="9">
        <v>2017</v>
      </c>
      <c r="B17" s="10">
        <v>0.41754602928204482</v>
      </c>
      <c r="C17" s="10">
        <v>0.22414875699925557</v>
      </c>
    </row>
    <row r="18" spans="1:3" x14ac:dyDescent="0.35">
      <c r="A18" s="9">
        <v>2019</v>
      </c>
      <c r="B18" s="10">
        <v>0.40357624790779956</v>
      </c>
      <c r="C18" s="10">
        <v>0.46611795638207226</v>
      </c>
    </row>
    <row r="19" spans="1:3" x14ac:dyDescent="0.35">
      <c r="A19" s="9">
        <v>2021</v>
      </c>
      <c r="B19" s="10">
        <v>0.34263422945793559</v>
      </c>
      <c r="C19" s="10">
        <v>0.42498748096971845</v>
      </c>
    </row>
    <row r="20" spans="1:3" x14ac:dyDescent="0.35">
      <c r="A20" s="9">
        <v>2023</v>
      </c>
      <c r="B20" s="10">
        <v>0.37880570554418341</v>
      </c>
      <c r="C20" s="10">
        <v>0.27877491138276295</v>
      </c>
    </row>
    <row r="21" spans="1:3" x14ac:dyDescent="0.35">
      <c r="A21" s="9">
        <v>2025</v>
      </c>
      <c r="B21" s="10">
        <v>0.4065832307131273</v>
      </c>
      <c r="C21" s="10">
        <v>0.33707649913635324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elecciones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Llambi, Ruben Orlando</dc:creator>
  <cp:lastModifiedBy>Llambi, Ruben Orlando</cp:lastModifiedBy>
  <dcterms:created xsi:type="dcterms:W3CDTF">2015-06-05T18:17:20Z</dcterms:created>
  <dcterms:modified xsi:type="dcterms:W3CDTF">2026-05-13T14:12:51Z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eyIwIjoiSGlzdG9yeSIsIjEiOjAsIjIiOjEsIjMiOjAsIjQiOjAsIjUiOjEsIjYiOjEsIjciOjEsIjgiOjAsIjkiOjEsIjEwIjoxLCIxMSI6MCwiMTIiOjB9</vt:lpwstr>
  </property>
</Properties>
</file>