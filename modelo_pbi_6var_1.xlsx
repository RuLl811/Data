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  <sheet name="Modelo_Actual" sheetId="3" state="visible" r:id="rId5"/>
    <sheet name="Modelo_COVID" sheetId="4" state="visible" r:id="rId6"/>
    <sheet name="Modelo_ADL" sheetId="5" state="visible" r:id="rId7"/>
    <sheet name="ADL_COVID" sheetId="6" state="visible" r:id="rId8"/>
    <sheet name="Rezagos_BIC" sheetId="7" state="visible" r:id="rId9"/>
    <sheet name="Diagnostic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<sst xmlns="http://schemas.openxmlformats.org/spreadsheetml/2006/main" count="492" uniqueCount="223">
  <si>
    <t xml:space="preserve">MODELO DE PBI — 6 VARIABLES (EMBI, GPN, VITI, M3R)</t>
  </si>
  <si>
    <t xml:space="preserve">Muestra 2007Q2-2026Q1 (n=76) en los tres modelos.</t>
  </si>
  <si>
    <t xml:space="preserve">Metrica</t>
  </si>
  <si>
    <t xml:space="preserve">ACTUAL  d(PBI)</t>
  </si>
  <si>
    <t xml:space="preserve">ACTUAL + dummies COVID</t>
  </si>
  <si>
    <t xml:space="preserve">REZAGOS BIC  d(PBI)</t>
  </si>
  <si>
    <t xml:space="preserve">ADL  PBI en nivel</t>
  </si>
  <si>
    <t xml:space="preserve">ADL + dummies COVID</t>
  </si>
  <si>
    <t xml:space="preserve">n</t>
  </si>
  <si>
    <t xml:space="preserve">k (parametros)</t>
  </si>
  <si>
    <t xml:space="preserve">R2</t>
  </si>
  <si>
    <t xml:space="preserve">R2 ajustado</t>
  </si>
  <si>
    <t xml:space="preserve">SSR</t>
  </si>
  <si>
    <t xml:space="preserve">AIC</t>
  </si>
  <si>
    <t xml:space="preserve">BIC</t>
  </si>
  <si>
    <t xml:space="preserve">Durbin-Watson</t>
  </si>
  <si>
    <t xml:space="preserve">Autocorrel. residuos rezago 4</t>
  </si>
  <si>
    <t xml:space="preserve">Breusch-Pagan p</t>
  </si>
  <si>
    <t xml:space="preserve">Test F de las dummies COVID (H0: ambas = 0)</t>
  </si>
  <si>
    <t xml:space="preserve">F / p -&gt;</t>
  </si>
  <si>
    <t xml:space="preserve">AIC, BIC y R2 de la columna ADL NO son comparables con las otras dos: la variable dependiente es distinta (PBI en nivel vs. su diferencia). Para compararlas se usa el test F de abajo.</t>
  </si>
  <si>
    <t xml:space="preserve">Contraste decisivo: conviene diferenciar el PBI?</t>
  </si>
  <si>
    <t xml:space="preserve">H0: el coeficiente de PBI(t-1) es igual a 1  (= diferenciar la dependiente)</t>
  </si>
  <si>
    <t xml:space="preserve">sin dummies</t>
  </si>
  <si>
    <t xml:space="preserve">con dummies</t>
  </si>
  <si>
    <t xml:space="preserve">F</t>
  </si>
  <si>
    <t xml:space="preserve">p-valor</t>
  </si>
  <si>
    <t xml:space="preserve">Coeficientes de la especificacion recomendada (ADL + dummies), errores HAC (Newey-West, L=4)</t>
  </si>
  <si>
    <t xml:space="preserve">Regresor</t>
  </si>
  <si>
    <t xml:space="preserve">Coef.</t>
  </si>
  <si>
    <t xml:space="preserve">se HAC</t>
  </si>
  <si>
    <t xml:space="preserve">t HAC</t>
  </si>
  <si>
    <t xml:space="preserve">p HAC</t>
  </si>
  <si>
    <t xml:space="preserve">COMO USAR ESTE ARCHIVO</t>
  </si>
  <si>
    <t xml:space="preserve">1. Editable solo lo azul de la hoja Datos (EMBI, M3R, GPN, VITI, GDP). Todo lo demas es formula.</t>
  </si>
  <si>
    <t xml:space="preserve">2. Para agregar un trimestre: extender las filas de Datos y de cada hoja de modelo, y recalcular.</t>
  </si>
  <si>
    <t xml:space="preserve">3. Las regresiones usan INDEX(LINEST(...)) para devolver escalares, sin formulas matriciales.</t>
  </si>
  <si>
    <t xml:space="preserve">4. AIC y BIC siguen la convencion de statsmodels: -2logL + 2k y -2logL + ln(n)k.</t>
  </si>
  <si>
    <t xml:space="preserve">5. Cita los errores HAC, no los de LINEST: hay autocorrelacion residual en el rezago 4.</t>
  </si>
  <si>
    <t xml:space="preserve">DATOS Y PRIMERAS DIFERENCIAS</t>
  </si>
  <si>
    <t xml:space="preserve">Azul = dato original (editable). Negro = formula. Trimestral 2005Q1-2026Q1.</t>
  </si>
  <si>
    <t xml:space="preserve">EMBI 2005Q1-Q2 venia codificado como 0 en el origen: se trata como faltante. GDP, M3R, GPN y VITI ya vienen como variacion interanual; d(.) las diferencia una vez mas.</t>
  </si>
  <si>
    <t xml:space="preserve">Periodo</t>
  </si>
  <si>
    <t xml:space="preserve">EMBI (pb)</t>
  </si>
  <si>
    <t xml:space="preserve">M3R</t>
  </si>
  <si>
    <t xml:space="preserve">GPN</t>
  </si>
  <si>
    <t xml:space="preserve">VITI</t>
  </si>
  <si>
    <t xml:space="preserve">GDP</t>
  </si>
  <si>
    <t xml:space="preserve">d(EMBI)</t>
  </si>
  <si>
    <t xml:space="preserve">d(M3R)</t>
  </si>
  <si>
    <t xml:space="preserve">d(GPN)</t>
  </si>
  <si>
    <t xml:space="preserve">d(VITI)</t>
  </si>
  <si>
    <t xml:space="preserve">d(GDP)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</si>
  <si>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</si>
  <si>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</si>
  <si>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</si>
  <si>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</si>
  <si>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</si>
  <si>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</si>
  <si>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</si>
  <si>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</si>
  <si>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</si>
  <si>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</si>
  <si>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</si>
  <si>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</si>
  <si>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</si>
  <si>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</si>
  <si>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</si>
  <si>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</si>
  <si>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</si>
  <si>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</si>
  <si>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</si>
  <si>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</si>
  <si>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</si>
  <si>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</si>
  <si>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</si>
  <si>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</si>
  <si>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</si>
  <si>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</si>
  <si>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</si>
  <si>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</si>
  <si>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</si>
  <si>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</si>
  <si>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</si>
  <si>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</si>
  <si>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</si>
  <si>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</si>
  <si>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</si>
  <si>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</si>
  <si>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</si>
  <si>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</si>
  <si>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</si>
  <si>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</si>
  <si>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</si>
  <si>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</si>
  <si>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</si>
  <si>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</si>
  <si>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</si>
  <si>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</si>
  <si>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</si>
  <si>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</si>
  <si>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</si>
  <si>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</si>
  <si>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</si>
  <si>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</si>
  <si>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</si>
  <si>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</si>
  <si>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</si>
  <si>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</si>
  <si>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</si>
  <si>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</si>
  <si>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</si>
  <si>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</si>
  <si>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</si>
  <si>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</si>
  <si>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</si>
  <si>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</si>
  <si>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</si>
  <si>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</si>
  <si>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</si>
  <si>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</si>
  <si>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</si>
  <si>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</si>
  <si>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</si>
  <si>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</si>
  <si>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</si>
  <si>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</si>
  <si>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</si>
  <si>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</si>
  <si>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</si>
  <si>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</si>
  <si>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</si>
  <si>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</si>
  <si>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</si>
  <si>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</si>
  <si>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</si>
  <si>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</si>
  <si>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</si>
  <si>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MODELO ACTUAL  —  d(PBI) ~ d(M3R) + d(EMBI) + d(EMBI t-2) + d(EMBI t-6) + d(GPN t-6) + d(VITI t-7)</t>
  </si>
  <si>
    <t xml:space="preserve">Especificacion tal cual la usas. Muestra 2007Q2-2026Q1 (n=76), la primera con todos los rezagos disponibles.</t>
  </si>
  <si>
    <t xml:space="preserve">y</t>
  </si>
  <si>
    <t xml:space="preserve">d(M3R) t</t>
  </si>
  <si>
    <t xml:space="preserve">d(EMBI) t</t>
  </si>
  <si>
    <t xml:space="preserve">d(EMBI) t-2</t>
  </si>
  <si>
    <t xml:space="preserve">d(EMBI) t-6</t>
  </si>
  <si>
    <t xml:space="preserve">d(GPN) t-6</t>
  </si>
  <si>
    <t xml:space="preserve">d(VITI) t-7</t>
  </si>
  <si>
    <t xml:space="preserve">const=1</t>
  </si>
  <si>
    <t xml:space="preserve">residuo e</t>
  </si>
  <si>
    <t xml:space="preserve">e^2</t>
  </si>
  <si>
    <t xml:space="preserve">h_0</t>
  </si>
  <si>
    <t xml:space="preserve">h_1</t>
  </si>
  <si>
    <t xml:space="preserve">h_2</t>
  </si>
  <si>
    <t xml:space="preserve">h_3</t>
  </si>
  <si>
    <t xml:space="preserve">h_4</t>
  </si>
  <si>
    <t xml:space="preserve">h_5</t>
  </si>
  <si>
    <t xml:space="preserve">h_6</t>
  </si>
  <si>
    <t xml:space="preserve">A. ESTIMACION OLS   (LINEST devuelve los coeficientes en orden inverso; se extraen con INDEX)</t>
  </si>
  <si>
    <t xml:space="preserve">Error est.</t>
  </si>
  <si>
    <t xml:space="preserve">t</t>
  </si>
  <si>
    <t xml:space="preserve">gl residuales</t>
  </si>
  <si>
    <t xml:space="preserve">const</t>
  </si>
  <si>
    <t xml:space="preserve">B. BONDAD DE AJUSTE</t>
  </si>
  <si>
    <t xml:space="preserve">n (observaciones)</t>
  </si>
  <si>
    <t xml:space="preserve">log-verosimilitud</t>
  </si>
  <si>
    <t xml:space="preserve">C. ERRORES ESTANDAR HAC (Newey-West, nucleo de Bartlett, L=4)</t>
  </si>
  <si>
    <t xml:space="preserve">V = (X'X)^-1 S (X'X)^-1 ,  S = G0 + SUM_l w_l (G_l + G_l') ,  w_l = 1 - l/5</t>
  </si>
  <si>
    <t xml:space="preserve">X'X</t>
  </si>
  <si>
    <t xml:space="preserve">(X'X)^-1 = A</t>
  </si>
  <si>
    <t xml:space="preserve">Gamma_0</t>
  </si>
  <si>
    <t xml:space="preserve">Gamma_1  (w=0.8)</t>
  </si>
  <si>
    <t xml:space="preserve">Gamma_2  (w=0.6)</t>
  </si>
  <si>
    <t xml:space="preserve">Gamma_3  (w=0.4)</t>
  </si>
  <si>
    <t xml:space="preserve">Gamma_4  (w=0.2)</t>
  </si>
  <si>
    <t xml:space="preserve">S (meat)</t>
  </si>
  <si>
    <t xml:space="preserve">V = A S A</t>
  </si>
  <si>
    <t xml:space="preserve">MODELO ACTUAL + DUMMIES IMPULSO COVID  (2020Q2 y 2021Q2)</t>
  </si>
  <si>
    <t xml:space="preserve">Los dos trimestres atipicos en d(PBI): el derrumbe (2020Q2) y el rebote por efecto base (2021Q2). Una dummy impulso es equivalente a excluir esa observacion, pero conserva n y no rompe los rezagos.</t>
  </si>
  <si>
    <t xml:space="preserve">D_2020Q2</t>
  </si>
  <si>
    <t xml:space="preserve">D_2021Q2</t>
  </si>
  <si>
    <t xml:space="preserve">h_7</t>
  </si>
  <si>
    <t xml:space="preserve">h_8</t>
  </si>
  <si>
    <t xml:space="preserve">D. TEST F CONJUNTO:  H0 = las dos dummies son cero</t>
  </si>
  <si>
    <t xml:space="preserve">Contrasta este modelo contra Modelo_Actual (misma muestra, sin dummies).</t>
  </si>
  <si>
    <t xml:space="preserve">SSR irrestricto (con dummies)</t>
  </si>
  <si>
    <t xml:space="preserve">SSR restringido (sin dummies)</t>
  </si>
  <si>
    <t xml:space="preserve">q (restricciones)</t>
  </si>
  <si>
    <t xml:space="preserve">ALTERNATIVA ADL  —  PBI ~ (mismos regresores) + PBI(t-1)</t>
  </si>
  <si>
    <t xml:space="preserve">Diferenciar el PBI equivale a imponer coeficiente 1 sobre PBI(t-1). Aca se lo deja libre y se contrasta la restriccion.</t>
  </si>
  <si>
    <t xml:space="preserve">PBI t-1</t>
  </si>
  <si>
    <t xml:space="preserve">C. TEST F:  H0 = coeficiente de PBI(t-1) igual a 1</t>
  </si>
  <si>
    <t xml:space="preserve">Si se rechaza, diferenciar la variable dependiente impone una restriccion que los datos no avalan.</t>
  </si>
  <si>
    <t xml:space="preserve">SSR irrestricto (este modelo)</t>
  </si>
  <si>
    <t xml:space="preserve">SSR restringido (Modelo_Actual)</t>
  </si>
  <si>
    <t xml:space="preserve">ADL + DUMMIES COVID  —  PBI ~ (6 regresores) + PBI(t-1) + D_2020Q2 + D_2021Q2</t>
  </si>
  <si>
    <t xml:space="preserve">Combina las dos correcciones: no diferencia la dependiente (deja PBI(t-1) libre) y neutraliza los dos trimestres atipicos. Es la especificacion con menor BIC de todas las probadas.</t>
  </si>
  <si>
    <t xml:space="preserve">h_9</t>
  </si>
  <si>
    <t xml:space="preserve">D. TEST F:  H0 = coeficiente de PBI(t-1) igual a 1</t>
  </si>
  <si>
    <t xml:space="preserve">Restringido = Modelo_COVID (misma muestra y mismas dummies, pero con el PBI diferenciado).</t>
  </si>
  <si>
    <t xml:space="preserve">SSR restringido (Modelo_COVID)</t>
  </si>
  <si>
    <t xml:space="preserve">REZAGOS OPTIMOS POR BIC  —  d(M3R t-5), d(EMBI t / t-2 / t-6), d(GPN t-6), d(VITI t-1)</t>
  </si>
  <si>
    <t xml:space="preserve">Minimo BIC entre 94.041 combinaciones (subconjuntos de hasta 3 rezagos de EMBI x rezagos 0-8 del resto) sujeto a que todos los p sean menores a 0,05. OJO: d(M3R) t-5 sale con signo NEGATIVO.</t>
  </si>
  <si>
    <t xml:space="preserve">d(M3R) t-5</t>
  </si>
  <si>
    <t xml:space="preserve">d(VITI) t-1</t>
  </si>
  <si>
    <t xml:space="preserve">DIAGNOSTICOS DE RESIDUOS</t>
  </si>
  <si>
    <t xml:space="preserve">Durbin-Watson, autocorrelacion muestral, Breusch-Pagan y Jarque-Bera.</t>
  </si>
  <si>
    <t xml:space="preserve">A. AUTOCORRELACION DE LOS RESIDUOS</t>
  </si>
  <si>
    <t xml:space="preserve">Rezago</t>
  </si>
  <si>
    <t xml:space="preserve">Modelo Actual</t>
  </si>
  <si>
    <t xml:space="preserve">+ dummies COVID</t>
  </si>
  <si>
    <t xml:space="preserve">ADL</t>
  </si>
  <si>
    <t xml:space="preserve">Rezagos BIC</t>
  </si>
  <si>
    <t xml:space="preserve">ADL + dummies</t>
  </si>
  <si>
    <t xml:space="preserve">Mira el rezago 4: es fuertemente negativo en los modelos en diferencias. Es la firma de SOBRE-diferenciar una serie que ya venia como variacion interanual. El Durbin-Watson cercano a 2 lo tapa, porque solo mira el rezago 1.</t>
  </si>
  <si>
    <t xml:space="preserve">B. HETEROCEDASTICIDAD — Breusch-Pagan (LM = n x R2 de e^2 sobre X)</t>
  </si>
  <si>
    <t xml:space="preserve">Modelo</t>
  </si>
  <si>
    <t xml:space="preserve">R2 auxiliar</t>
  </si>
  <si>
    <t xml:space="preserve">LM</t>
  </si>
  <si>
    <t xml:space="preserve">gl</t>
  </si>
  <si>
    <t xml:space="preserve">C. NORMALIDAD — Jarque-Bera</t>
  </si>
  <si>
    <t xml:space="preserve">Asimetria</t>
  </si>
  <si>
    <t xml:space="preserve">Curtosis exc.</t>
  </si>
  <si>
    <t xml:space="preserve">JB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</si>
</sst>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0"/>
    <numFmt numFmtId="167" formatCode="0.0000000"/>
    <numFmt numFmtId="168" formatCode="0.00000"/>
    <numFmt numFmtId="169" formatCode="0.00E+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Modelo_Actual!B97</f>
        <v>76</v>
      </c>
      <c r="C5" s="5" t="n">
        <f aca="false">Modelo_COVID!B99</f>
        <v>76</v>
      </c>
      <c r="D5" s="5" t="n">
        <f aca="false">Rezagos_BIC!B97</f>
        <v>76</v>
      </c>
      <c r="E5" s="5" t="n">
        <f aca="false">Modelo_ADL!B98</f>
        <v>76</v>
      </c>
      <c r="F5" s="5" t="n">
        <f aca="false">ADL_COVID!B100</f>
        <v>76</v>
      </c>
    </row>
    <row r="6" customFormat="false" ht="15" hidden="false" customHeight="false" outlineLevel="0" collapsed="false">
      <c r="A6" s="4" t="s">
        <v>9</v>
      </c>
      <c r="B6" s="5" t="n">
        <f aca="false">Modelo_Actual!B98</f>
        <v>7</v>
      </c>
      <c r="C6" s="5" t="n">
        <f aca="false">Modelo_COVID!B100</f>
        <v>9</v>
      </c>
      <c r="D6" s="5" t="n">
        <f aca="false">Rezagos_BIC!B98</f>
        <v>7</v>
      </c>
      <c r="E6" s="5" t="n">
        <f aca="false">Modelo_ADL!B99</f>
        <v>8</v>
      </c>
      <c r="F6" s="5" t="n">
        <f aca="false">ADL_COVID!B101</f>
        <v>10</v>
      </c>
    </row>
    <row r="7" customFormat="false" ht="15" hidden="false" customHeight="false" outlineLevel="0" collapsed="false">
      <c r="A7" s="4" t="s">
        <v>10</v>
      </c>
      <c r="B7" s="6" t="n">
        <f aca="false">Modelo_Actual!B99</f>
        <v>0.500220645045771</v>
      </c>
      <c r="C7" s="6" t="n">
        <f aca="false">Modelo_COVID!B101</f>
        <v>0.63678404403911</v>
      </c>
      <c r="D7" s="6" t="n">
        <f aca="false">Rezagos_BIC!B99</f>
        <v>0.532863984979241</v>
      </c>
      <c r="E7" s="6" t="n">
        <f aca="false">Modelo_ADL!B100</f>
        <v>0.743314935531447</v>
      </c>
      <c r="F7" s="6" t="n">
        <f aca="false">ADL_COVID!B102</f>
        <v>0.83631974929572</v>
      </c>
    </row>
    <row r="8" customFormat="false" ht="15" hidden="false" customHeight="false" outlineLevel="0" collapsed="false">
      <c r="A8" s="4" t="s">
        <v>11</v>
      </c>
      <c r="B8" s="7" t="n">
        <f aca="false">Modelo_Actual!B100</f>
        <v>0.456761570701924</v>
      </c>
      <c r="C8" s="7" t="n">
        <f aca="false">Modelo_COVID!B102</f>
        <v>0.593414974670645</v>
      </c>
      <c r="D8" s="7" t="n">
        <f aca="false">Rezagos_BIC!B100</f>
        <v>0.492243461933958</v>
      </c>
      <c r="E8" s="7" t="n">
        <f aca="false">Modelo_ADL!B101</f>
        <v>0.716891473012626</v>
      </c>
      <c r="F8" s="7" t="n">
        <f aca="false">ADL_COVID!B103</f>
        <v>0.813999715108772</v>
      </c>
    </row>
    <row r="9" customFormat="false" ht="15" hidden="false" customHeight="false" outlineLevel="0" collapsed="false">
      <c r="A9" s="4" t="s">
        <v>12</v>
      </c>
      <c r="B9" s="8" t="n">
        <f aca="false">Modelo_Actual!B101</f>
        <v>0.0772633950960716</v>
      </c>
      <c r="C9" s="8" t="n">
        <f aca="false">Modelo_COVID!B103</f>
        <v>0.0561513748665623</v>
      </c>
      <c r="D9" s="8" t="n">
        <f aca="false">Rezagos_BIC!B101</f>
        <v>0.072216897585653</v>
      </c>
      <c r="E9" s="8" t="n">
        <f aca="false">Modelo_ADL!B102</f>
        <v>0.0708742906755407</v>
      </c>
      <c r="F9" s="8" t="n">
        <f aca="false">ADL_COVID!B104</f>
        <v>0.0451943773599721</v>
      </c>
    </row>
    <row r="10" customFormat="false" ht="15" hidden="false" customHeight="false" outlineLevel="0" collapsed="false">
      <c r="A10" s="4" t="s">
        <v>13</v>
      </c>
      <c r="B10" s="9" t="n">
        <f aca="false">Modelo_Actual!B103</f>
        <v>-294.057735213658</v>
      </c>
      <c r="C10" s="9" t="n">
        <f aca="false">Modelo_COVID!B105</f>
        <v>-314.314589364292</v>
      </c>
      <c r="D10" s="9" t="n">
        <f aca="false">Rezagos_BIC!B103</f>
        <v>-299.191249677809</v>
      </c>
      <c r="E10" s="9" t="n">
        <f aca="false">Modelo_ADL!B104</f>
        <v>-298.617488721457</v>
      </c>
      <c r="F10" s="9" t="n">
        <f aca="false">ADL_COVID!B106</f>
        <v>-328.812554002161</v>
      </c>
    </row>
    <row r="11" customFormat="false" ht="15" hidden="false" customHeight="false" outlineLevel="0" collapsed="false">
      <c r="A11" s="4" t="s">
        <v>14</v>
      </c>
      <c r="B11" s="9" t="n">
        <f aca="false">Modelo_Actual!B104</f>
        <v>-277.742601831654</v>
      </c>
      <c r="C11" s="9" t="n">
        <f aca="false">Modelo_COVID!B106</f>
        <v>-293.337989301715</v>
      </c>
      <c r="D11" s="9" t="n">
        <f aca="false">Rezagos_BIC!B104</f>
        <v>-282.876116295805</v>
      </c>
      <c r="E11" s="9" t="n">
        <f aca="false">Modelo_ADL!B105</f>
        <v>-279.971621999166</v>
      </c>
      <c r="F11" s="9" t="n">
        <f aca="false">ADL_COVID!B107</f>
        <v>-305.505220599297</v>
      </c>
    </row>
    <row r="12" customFormat="false" ht="15" hidden="false" customHeight="false" outlineLevel="0" collapsed="false">
      <c r="A12" s="10" t="s">
        <v>15</v>
      </c>
      <c r="B12" s="6" t="n">
        <f aca="false">Modelo_Actual!B106</f>
        <v>2.14847309305388</v>
      </c>
      <c r="C12" s="6" t="n">
        <f aca="false">Modelo_COVID!B108</f>
        <v>1.9633108623866</v>
      </c>
      <c r="D12" s="6" t="n">
        <f aca="false">Rezagos_BIC!B106</f>
        <v>2.0279652045438</v>
      </c>
      <c r="E12" s="6" t="n">
        <f aca="false">Modelo_ADL!B107</f>
        <v>2.11601335990161</v>
      </c>
      <c r="F12" s="6" t="n">
        <f aca="false">ADL_COVID!B109</f>
        <v>1.96248587374096</v>
      </c>
    </row>
    <row r="13" customFormat="false" ht="15" hidden="false" customHeight="false" outlineLevel="0" collapsed="false">
      <c r="A13" s="10" t="s">
        <v>16</v>
      </c>
      <c r="B13" s="7" t="n">
        <f aca="false">Diagnosticos!B9</f>
        <v>-0.467960554338262</v>
      </c>
      <c r="C13" s="7" t="n">
        <f aca="false">Diagnosticos!C9</f>
        <v>-0.421312531081631</v>
      </c>
      <c r="D13" s="7" t="n">
        <f aca="false">Diagnosticos!E9</f>
        <v>-0.361845376608536</v>
      </c>
      <c r="E13" s="7" t="n">
        <f aca="false">Diagnosticos!D9</f>
        <v>-0.502571753560539</v>
      </c>
      <c r="F13" s="7" t="n">
        <f aca="false">Diagnosticos!F9</f>
        <v>-0.456439686944647</v>
      </c>
    </row>
    <row r="14" customFormat="false" ht="15" hidden="false" customHeight="false" outlineLevel="0" collapsed="false">
      <c r="A14" s="10" t="s">
        <v>17</v>
      </c>
      <c r="B14" s="6" t="n">
        <f aca="false">Diagnosticos!E19</f>
        <v>0.0431808360897611</v>
      </c>
      <c r="C14" s="6" t="n">
        <f aca="false">Diagnosticos!E20</f>
        <v>0.12373874732032</v>
      </c>
      <c r="D14" s="6" t="n">
        <f aca="false">Diagnosticos!E22</f>
        <v>0.0191935579439752</v>
      </c>
      <c r="E14" s="6" t="n">
        <f aca="false">Diagnosticos!E21</f>
        <v>0.0664922785767362</v>
      </c>
      <c r="F14" s="6" t="n">
        <f aca="false">Diagnosticos!E23</f>
        <v>0.0540742227190637</v>
      </c>
    </row>
    <row r="15" customFormat="false" ht="15" hidden="false" customHeight="false" outlineLevel="0" collapsed="false">
      <c r="A15" s="10" t="s">
        <v>18</v>
      </c>
      <c r="B15" s="11" t="s">
        <v>19</v>
      </c>
      <c r="C15" s="12" t="n">
        <f aca="false">Modelo_COVID!B220</f>
        <v>12.5954650152249</v>
      </c>
      <c r="D15" s="13" t="n">
        <f aca="false">Modelo_COVID!B221</f>
        <v>2.27222491600045E-005</v>
      </c>
    </row>
    <row r="16" customFormat="false" ht="15" hidden="false" customHeight="false" outlineLevel="0" collapsed="false">
      <c r="A16" s="2" t="s">
        <v>20</v>
      </c>
    </row>
    <row r="18" customFormat="false" ht="15" hidden="false" customHeight="false" outlineLevel="0" collapsed="false">
      <c r="A18" s="10" t="s">
        <v>21</v>
      </c>
    </row>
    <row r="19" customFormat="false" ht="15" hidden="false" customHeight="false" outlineLevel="0" collapsed="false">
      <c r="A19" s="11" t="s">
        <v>22</v>
      </c>
      <c r="B19" s="14" t="s">
        <v>23</v>
      </c>
      <c r="C19" s="14" t="s">
        <v>24</v>
      </c>
    </row>
    <row r="20" customFormat="false" ht="15" hidden="false" customHeight="false" outlineLevel="0" collapsed="false">
      <c r="A20" s="11" t="s">
        <v>25</v>
      </c>
      <c r="B20" s="12" t="n">
        <f aca="false">Modelo_ADL!B115</f>
        <v>6.12999574958758</v>
      </c>
      <c r="C20" s="12" t="n">
        <f aca="false">ADL_COVID!B232</f>
        <v>16.0011461088397</v>
      </c>
    </row>
    <row r="21" customFormat="false" ht="15" hidden="false" customHeight="false" outlineLevel="0" collapsed="false">
      <c r="A21" s="11" t="s">
        <v>26</v>
      </c>
      <c r="B21" s="13" t="n">
        <f aca="false">Modelo_ADL!B116</f>
        <v>0.0157858997098416</v>
      </c>
      <c r="C21" s="13" t="n">
        <f aca="false">ADL_COVID!B233</f>
        <v>0.000162544921328522</v>
      </c>
    </row>
    <row r="23" customFormat="false" ht="15" hidden="false" customHeight="false" outlineLevel="0" collapsed="false">
      <c r="A23" s="10" t="s">
        <v>27</v>
      </c>
    </row>
    <row r="24" customFormat="false" ht="15" hidden="false" customHeight="false" outlineLevel="0" collapsed="false">
      <c r="A24" s="15" t="s">
        <v>28</v>
      </c>
      <c r="B24" s="15" t="s">
        <v>29</v>
      </c>
      <c r="C24" s="15" t="s">
        <v>30</v>
      </c>
      <c r="D24" s="15" t="s">
        <v>31</v>
      </c>
      <c r="E24" s="15" t="s">
        <v>32</v>
      </c>
    </row>
    <row r="25" customFormat="false" ht="15" hidden="false" customHeight="false" outlineLevel="0" collapsed="false">
      <c r="A25" s="6" t="str">
        <f aca="false">ADL_COVID!A214</f>
        <v>const</v>
      </c>
      <c r="B25" s="8" t="n">
        <f aca="false">ADL_COVID!B214</f>
        <v>0.00438737791013122</v>
      </c>
      <c r="C25" s="8" t="n">
        <f aca="false">ADL_COVID!C214</f>
        <v>0.00292283303558717</v>
      </c>
      <c r="D25" s="5" t="n">
        <f aca="false">ADL_COVID!D214</f>
        <v>1.50107031661144</v>
      </c>
      <c r="E25" s="6" t="n">
        <f aca="false">ADL_COVID!E214</f>
        <v>0.13810657950178</v>
      </c>
    </row>
    <row r="26" customFormat="false" ht="15" hidden="false" customHeight="false" outlineLevel="0" collapsed="false">
      <c r="A26" s="6" t="str">
        <f aca="false">ADL_COVID!A215</f>
        <v>d(M3R) t</v>
      </c>
      <c r="B26" s="8" t="n">
        <f aca="false">ADL_COVID!B215</f>
        <v>0.197734072595783</v>
      </c>
      <c r="C26" s="8" t="n">
        <f aca="false">ADL_COVID!C215</f>
        <v>0.0514439477576711</v>
      </c>
      <c r="D26" s="5" t="n">
        <f aca="false">ADL_COVID!D215</f>
        <v>3.84367998986427</v>
      </c>
      <c r="E26" s="6" t="n">
        <f aca="false">ADL_COVID!E215</f>
        <v>0.000275061835247849</v>
      </c>
    </row>
    <row r="27" customFormat="false" ht="15" hidden="false" customHeight="false" outlineLevel="0" collapsed="false">
      <c r="A27" s="6" t="str">
        <f aca="false">ADL_COVID!A216</f>
        <v>d(EMBI) t</v>
      </c>
      <c r="B27" s="8" t="n">
        <f aca="false">ADL_COVID!B216</f>
        <v>-2.74880419480457E-005</v>
      </c>
      <c r="C27" s="8" t="n">
        <f aca="false">ADL_COVID!C216</f>
        <v>1.27542278001658E-005</v>
      </c>
      <c r="D27" s="5" t="n">
        <f aca="false">ADL_COVID!D216</f>
        <v>-2.15521020784091</v>
      </c>
      <c r="E27" s="6" t="n">
        <f aca="false">ADL_COVID!E216</f>
        <v>0.0347975172688297</v>
      </c>
    </row>
    <row r="28" customFormat="false" ht="15" hidden="false" customHeight="false" outlineLevel="0" collapsed="false">
      <c r="A28" s="6" t="str">
        <f aca="false">ADL_COVID!A217</f>
        <v>d(EMBI) t-2</v>
      </c>
      <c r="B28" s="8" t="n">
        <f aca="false">ADL_COVID!B217</f>
        <v>-5.01356041510077E-005</v>
      </c>
      <c r="C28" s="8" t="n">
        <f aca="false">ADL_COVID!C217</f>
        <v>1.3636760121893E-005</v>
      </c>
      <c r="D28" s="5" t="n">
        <f aca="false">ADL_COVID!D217</f>
        <v>-3.67650407449186</v>
      </c>
      <c r="E28" s="6" t="n">
        <f aca="false">ADL_COVID!E217</f>
        <v>0.000476553847069104</v>
      </c>
    </row>
    <row r="29" customFormat="false" ht="15" hidden="false" customHeight="false" outlineLevel="0" collapsed="false">
      <c r="A29" s="6" t="str">
        <f aca="false">ADL_COVID!A218</f>
        <v>d(EMBI) t-6</v>
      </c>
      <c r="B29" s="8" t="n">
        <f aca="false">ADL_COVID!B218</f>
        <v>2.21064378224377E-005</v>
      </c>
      <c r="C29" s="8" t="n">
        <f aca="false">ADL_COVID!C218</f>
        <v>1.52975154375334E-005</v>
      </c>
      <c r="D29" s="5" t="n">
        <f aca="false">ADL_COVID!D218</f>
        <v>1.44509988649518</v>
      </c>
      <c r="E29" s="6" t="n">
        <f aca="false">ADL_COVID!E218</f>
        <v>0.15316124724781</v>
      </c>
    </row>
    <row r="30" customFormat="false" ht="15" hidden="false" customHeight="false" outlineLevel="0" collapsed="false">
      <c r="A30" s="6" t="str">
        <f aca="false">ADL_COVID!A219</f>
        <v>d(GPN) t-6</v>
      </c>
      <c r="B30" s="8" t="n">
        <f aca="false">ADL_COVID!B219</f>
        <v>-0.0772116983606726</v>
      </c>
      <c r="C30" s="8" t="n">
        <f aca="false">ADL_COVID!C219</f>
        <v>0.0199678025313503</v>
      </c>
      <c r="D30" s="5" t="n">
        <f aca="false">ADL_COVID!D219</f>
        <v>-3.86680999270937</v>
      </c>
      <c r="E30" s="6" t="n">
        <f aca="false">ADL_COVID!E219</f>
        <v>0.000254659408620099</v>
      </c>
    </row>
    <row r="31" customFormat="false" ht="15" hidden="false" customHeight="false" outlineLevel="0" collapsed="false">
      <c r="A31" s="6" t="str">
        <f aca="false">ADL_COVID!A220</f>
        <v>d(VITI) t-7</v>
      </c>
      <c r="B31" s="8" t="n">
        <f aca="false">ADL_COVID!B220</f>
        <v>0.117503347802478</v>
      </c>
      <c r="C31" s="8" t="n">
        <f aca="false">ADL_COVID!C220</f>
        <v>0.0295798689641761</v>
      </c>
      <c r="D31" s="5" t="n">
        <f aca="false">ADL_COVID!D220</f>
        <v>3.97240934179882</v>
      </c>
      <c r="E31" s="6" t="n">
        <f aca="false">ADL_COVID!E220</f>
        <v>0.000178572362905515</v>
      </c>
    </row>
    <row r="32" customFormat="false" ht="15" hidden="false" customHeight="false" outlineLevel="0" collapsed="false">
      <c r="A32" s="6" t="str">
        <f aca="false">ADL_COVID!A221</f>
        <v>PBI t-1</v>
      </c>
      <c r="B32" s="8" t="n">
        <f aca="false">ADL_COVID!B221</f>
        <v>0.773220568747091</v>
      </c>
      <c r="C32" s="8" t="n">
        <f aca="false">ADL_COVID!C221</f>
        <v>0.0561569879712657</v>
      </c>
      <c r="D32" s="5" t="n">
        <f aca="false">ADL_COVID!D221</f>
        <v>13.7689109882947</v>
      </c>
      <c r="E32" s="6" t="n">
        <f aca="false">ADL_COVID!E221</f>
        <v>4.4626516432685E-021</v>
      </c>
    </row>
    <row r="33" customFormat="false" ht="15" hidden="false" customHeight="false" outlineLevel="0" collapsed="false">
      <c r="A33" s="6" t="str">
        <f aca="false">ADL_COVID!A222</f>
        <v>D_2020Q2</v>
      </c>
      <c r="B33" s="8" t="n">
        <f aca="false">ADL_COVID!B222</f>
        <v>-0.145270096393742</v>
      </c>
      <c r="C33" s="8" t="n">
        <f aca="false">ADL_COVID!C222</f>
        <v>0.0203827525338965</v>
      </c>
      <c r="D33" s="5" t="n">
        <f aca="false">ADL_COVID!D222</f>
        <v>-7.12710887070614</v>
      </c>
      <c r="E33" s="6" t="n">
        <f aca="false">ADL_COVID!E222</f>
        <v>9.62151342273109E-010</v>
      </c>
    </row>
    <row r="34" customFormat="false" ht="15" hidden="false" customHeight="false" outlineLevel="0" collapsed="false">
      <c r="A34" s="6" t="str">
        <f aca="false">ADL_COVID!A223</f>
        <v>D_2021Q2</v>
      </c>
      <c r="B34" s="8" t="n">
        <f aca="false">ADL_COVID!B223</f>
        <v>0.148667733808237</v>
      </c>
      <c r="C34" s="8" t="n">
        <f aca="false">ADL_COVID!C223</f>
        <v>0.015901867278865</v>
      </c>
      <c r="D34" s="5" t="n">
        <f aca="false">ADL_COVID!D223</f>
        <v>9.34907399245059</v>
      </c>
      <c r="E34" s="6" t="n">
        <f aca="false">ADL_COVID!E223</f>
        <v>1.04761965614756E-013</v>
      </c>
    </row>
    <row r="37" customFormat="false" ht="15" hidden="false" customHeight="false" outlineLevel="0" collapsed="false">
      <c r="A37" s="10" t="s">
        <v>33</v>
      </c>
    </row>
    <row r="38" customFormat="false" ht="15" hidden="false" customHeight="false" outlineLevel="0" collapsed="false">
      <c r="A38" s="2" t="s">
        <v>34</v>
      </c>
    </row>
    <row r="39" customFormat="false" ht="15" hidden="false" customHeight="false" outlineLevel="0" collapsed="false">
      <c r="A39" s="2" t="s">
        <v>35</v>
      </c>
    </row>
    <row r="40" customFormat="false" ht="15" hidden="false" customHeight="false" outlineLevel="0" collapsed="false">
      <c r="A40" s="2" t="s">
        <v>36</v>
      </c>
    </row>
    <row r="41" customFormat="false" ht="15" hidden="false" customHeight="false" outlineLevel="0" collapsed="false">
      <c r="A41" s="2" t="s">
        <v>37</v>
      </c>
    </row>
    <row r="42" customFormat="false" ht="15" hidden="false" customHeight="false" outlineLevel="0" collapsed="false">
      <c r="A42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1"/>
    <col collapsed="false" customWidth="true" hidden="false" outlineLevel="0" max="12" min="8" style="0" width="11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A3" s="2" t="s">
        <v>41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</row>
    <row r="5" customFormat="false" ht="15" hidden="false" customHeight="false" outlineLevel="0" collapsed="false">
      <c r="A5" s="11" t="s">
        <v>53</v>
      </c>
      <c r="B5" s="16"/>
      <c r="C5" s="17" t="n">
        <v>0.126266098180599</v>
      </c>
      <c r="D5" s="17" t="n">
        <v>0.196261350737798</v>
      </c>
      <c r="E5" s="17" t="n">
        <v>-0.0910761761646055</v>
      </c>
      <c r="F5" s="17" t="n">
        <v>0.0721878676041452</v>
      </c>
      <c r="H5" s="18"/>
      <c r="I5" s="18"/>
      <c r="J5" s="18"/>
      <c r="K5" s="18"/>
      <c r="L5" s="18"/>
    </row>
    <row r="6" customFormat="false" ht="15" hidden="false" customHeight="false" outlineLevel="0" collapsed="false">
      <c r="A6" s="11" t="s">
        <v>54</v>
      </c>
      <c r="B6" s="16"/>
      <c r="C6" s="17" t="n">
        <v>0.165052590466378</v>
      </c>
      <c r="D6" s="17" t="n">
        <v>0.24378612716763</v>
      </c>
      <c r="E6" s="17" t="n">
        <v>-0.0928735528829945</v>
      </c>
      <c r="F6" s="17" t="n">
        <v>0.130779807239928</v>
      </c>
      <c r="H6" s="19" t="str">
        <f aca="false">IF(AND(ISNUMBER(B6),ISNUMBER(B5)),B6-B5,"")</f>
        <v/>
      </c>
      <c r="I6" s="19" t="n">
        <f aca="false">C6-C5</f>
        <v>0.0387864922857784</v>
      </c>
      <c r="J6" s="19" t="n">
        <f aca="false">D6-D5</f>
        <v>0.0475247764298324</v>
      </c>
      <c r="K6" s="19" t="n">
        <f aca="false">E6-E5</f>
        <v>-0.00179737671838898</v>
      </c>
      <c r="L6" s="19" t="n">
        <f aca="false">F6-F5</f>
        <v>0.0585919396357828</v>
      </c>
    </row>
    <row r="7" customFormat="false" ht="15" hidden="false" customHeight="false" outlineLevel="0" collapsed="false">
      <c r="A7" s="11" t="s">
        <v>55</v>
      </c>
      <c r="B7" s="16" t="n">
        <v>413.72934375</v>
      </c>
      <c r="C7" s="17" t="n">
        <v>0.0831357686549594</v>
      </c>
      <c r="D7" s="17" t="n">
        <v>0.247583575238179</v>
      </c>
      <c r="E7" s="17" t="n">
        <v>0.0223511913659598</v>
      </c>
      <c r="F7" s="17" t="n">
        <v>0.0697197786983204</v>
      </c>
      <c r="H7" s="19" t="str">
        <f aca="false">IF(AND(ISNUMBER(B7),ISNUMBER(B6)),B7-B6,"")</f>
        <v/>
      </c>
      <c r="I7" s="19" t="n">
        <f aca="false">C7-C6</f>
        <v>-0.0819168218114184</v>
      </c>
      <c r="J7" s="19" t="n">
        <f aca="false">D7-D6</f>
        <v>0.00379744807054891</v>
      </c>
      <c r="K7" s="19" t="n">
        <f aca="false">E7-E6</f>
        <v>0.115224744248954</v>
      </c>
      <c r="L7" s="19" t="n">
        <f aca="false">F7-F6</f>
        <v>-0.0610600285416076</v>
      </c>
    </row>
    <row r="8" customFormat="false" ht="15" hidden="false" customHeight="false" outlineLevel="0" collapsed="false">
      <c r="A8" s="11" t="s">
        <v>56</v>
      </c>
      <c r="B8" s="16" t="n">
        <v>423.416245901639</v>
      </c>
      <c r="C8" s="17" t="n">
        <v>0.0668307140193338</v>
      </c>
      <c r="D8" s="17" t="n">
        <v>0.182299457323579</v>
      </c>
      <c r="E8" s="17" t="n">
        <v>0.0417042345084056</v>
      </c>
      <c r="F8" s="17" t="n">
        <v>0.0778289449927467</v>
      </c>
      <c r="H8" s="19" t="n">
        <f aca="false">IF(AND(ISNUMBER(B8),ISNUMBER(B7)),B8-B7,"")</f>
        <v>9.68690215163929</v>
      </c>
      <c r="I8" s="19" t="n">
        <f aca="false">C8-C7</f>
        <v>-0.0163050546356256</v>
      </c>
      <c r="J8" s="19" t="n">
        <f aca="false">D8-D7</f>
        <v>-0.0652841179146</v>
      </c>
      <c r="K8" s="19" t="n">
        <f aca="false">E8-E7</f>
        <v>0.0193530431424458</v>
      </c>
      <c r="L8" s="19" t="n">
        <f aca="false">F8-F7</f>
        <v>0.00810916629442637</v>
      </c>
    </row>
    <row r="9" customFormat="false" ht="15" hidden="false" customHeight="false" outlineLevel="0" collapsed="false">
      <c r="A9" s="11" t="s">
        <v>57</v>
      </c>
      <c r="B9" s="16" t="n">
        <v>394.415177419355</v>
      </c>
      <c r="C9" s="17" t="n">
        <v>0.0249109045549891</v>
      </c>
      <c r="D9" s="17" t="n">
        <v>0.286933135656041</v>
      </c>
      <c r="E9" s="17" t="n">
        <v>0.0669731691850173</v>
      </c>
      <c r="F9" s="17" t="n">
        <v>0.0784957106960194</v>
      </c>
      <c r="H9" s="19" t="n">
        <f aca="false">IF(AND(ISNUMBER(B9),ISNUMBER(B8)),B9-B8,"")</f>
        <v>-29.0010684822845</v>
      </c>
      <c r="I9" s="19" t="n">
        <f aca="false">C9-C8</f>
        <v>-0.0419198094643447</v>
      </c>
      <c r="J9" s="19" t="n">
        <f aca="false">D9-D8</f>
        <v>0.104633678332462</v>
      </c>
      <c r="K9" s="19" t="n">
        <f aca="false">E9-E8</f>
        <v>0.0252689346766117</v>
      </c>
      <c r="L9" s="19" t="n">
        <f aca="false">F9-F8</f>
        <v>0.00066676570327262</v>
      </c>
    </row>
    <row r="10" customFormat="false" ht="15" hidden="false" customHeight="false" outlineLevel="0" collapsed="false">
      <c r="A10" s="11" t="s">
        <v>58</v>
      </c>
      <c r="B10" s="16" t="n">
        <v>353.71380952381</v>
      </c>
      <c r="C10" s="17" t="n">
        <v>0.0485206366195832</v>
      </c>
      <c r="D10" s="17" t="n">
        <v>0.254069098091405</v>
      </c>
      <c r="E10" s="17" t="n">
        <v>0.0677067444386195</v>
      </c>
      <c r="F10" s="17" t="n">
        <v>0.0557158530410582</v>
      </c>
      <c r="H10" s="19" t="n">
        <f aca="false">IF(AND(ISNUMBER(B10),ISNUMBER(B9)),B10-B9,"")</f>
        <v>-40.7013678955453</v>
      </c>
      <c r="I10" s="19" t="n">
        <f aca="false">C10-C9</f>
        <v>0.023609732064594</v>
      </c>
      <c r="J10" s="19" t="n">
        <f aca="false">D10-D9</f>
        <v>-0.0328640375646361</v>
      </c>
      <c r="K10" s="19" t="n">
        <f aca="false">E10-E9</f>
        <v>0.000733575253602181</v>
      </c>
      <c r="L10" s="19" t="n">
        <f aca="false">F10-F9</f>
        <v>-0.0227798576549612</v>
      </c>
    </row>
    <row r="11" customFormat="false" ht="15" hidden="false" customHeight="false" outlineLevel="0" collapsed="false">
      <c r="A11" s="11" t="s">
        <v>59</v>
      </c>
      <c r="B11" s="16" t="n">
        <v>339.045285714286</v>
      </c>
      <c r="C11" s="17" t="n">
        <v>0.0647453101736395</v>
      </c>
      <c r="D11" s="17" t="n">
        <v>0.28130622957439</v>
      </c>
      <c r="E11" s="17" t="n">
        <v>0.01844307882782</v>
      </c>
      <c r="F11" s="17" t="n">
        <v>0.0938049028107186</v>
      </c>
      <c r="H11" s="19" t="n">
        <f aca="false">IF(AND(ISNUMBER(B11),ISNUMBER(B10)),B11-B10,"")</f>
        <v>-14.6685238095238</v>
      </c>
      <c r="I11" s="19" t="n">
        <f aca="false">C11-C10</f>
        <v>0.0162246735540563</v>
      </c>
      <c r="J11" s="19" t="n">
        <f aca="false">D11-D10</f>
        <v>0.0272371314829849</v>
      </c>
      <c r="K11" s="19" t="n">
        <f aca="false">E11-E10</f>
        <v>-0.0492636656107994</v>
      </c>
      <c r="L11" s="19" t="n">
        <f aca="false">F11-F10</f>
        <v>0.0380890497696604</v>
      </c>
    </row>
    <row r="12" customFormat="false" ht="15" hidden="false" customHeight="false" outlineLevel="0" collapsed="false">
      <c r="A12" s="11" t="s">
        <v>60</v>
      </c>
      <c r="B12" s="16" t="n">
        <v>281.705258064516</v>
      </c>
      <c r="C12" s="17" t="n">
        <v>0.0924472490479791</v>
      </c>
      <c r="D12" s="17" t="n">
        <v>0.300146811174921</v>
      </c>
      <c r="E12" s="17" t="n">
        <v>0.0287149004811667</v>
      </c>
      <c r="F12" s="17" t="n">
        <v>0.0967704037698498</v>
      </c>
      <c r="H12" s="19" t="n">
        <f aca="false">IF(AND(ISNUMBER(B12),ISNUMBER(B11)),B12-B11,"")</f>
        <v>-57.3400276497695</v>
      </c>
      <c r="I12" s="19" t="n">
        <f aca="false">C12-C11</f>
        <v>0.0277019388743396</v>
      </c>
      <c r="J12" s="19" t="n">
        <f aca="false">D12-D11</f>
        <v>0.0188405816005308</v>
      </c>
      <c r="K12" s="19" t="n">
        <f aca="false">E12-E11</f>
        <v>0.0102718216533466</v>
      </c>
      <c r="L12" s="19" t="n">
        <f aca="false">F12-F11</f>
        <v>0.00296550095913117</v>
      </c>
    </row>
    <row r="13" customFormat="false" ht="15" hidden="false" customHeight="false" outlineLevel="0" collapsed="false">
      <c r="A13" s="11" t="s">
        <v>61</v>
      </c>
      <c r="B13" s="16" t="n">
        <v>210.279435483871</v>
      </c>
      <c r="C13" s="17" t="n">
        <v>0.126601797624711</v>
      </c>
      <c r="D13" s="17" t="n">
        <v>0.335446301560626</v>
      </c>
      <c r="E13" s="17" t="n">
        <v>0.0681862585477004</v>
      </c>
      <c r="F13" s="17" t="n">
        <v>0.0835894113627564</v>
      </c>
      <c r="H13" s="19" t="n">
        <f aca="false">IF(AND(ISNUMBER(B13),ISNUMBER(B12)),B13-B12,"")</f>
        <v>-71.4258225806452</v>
      </c>
      <c r="I13" s="19" t="n">
        <f aca="false">C13-C12</f>
        <v>0.0341545485767323</v>
      </c>
      <c r="J13" s="19" t="n">
        <f aca="false">D13-D12</f>
        <v>0.0352994903857049</v>
      </c>
      <c r="K13" s="19" t="n">
        <f aca="false">E13-E12</f>
        <v>0.0394713580665338</v>
      </c>
      <c r="L13" s="19" t="n">
        <f aca="false">F13-F12</f>
        <v>-0.0131809924070934</v>
      </c>
    </row>
    <row r="14" customFormat="false" ht="15" hidden="false" customHeight="false" outlineLevel="0" collapsed="false">
      <c r="A14" s="11" t="s">
        <v>62</v>
      </c>
      <c r="B14" s="16" t="n">
        <v>268.385666666667</v>
      </c>
      <c r="C14" s="17" t="n">
        <v>0.113965939523165</v>
      </c>
      <c r="D14" s="17" t="n">
        <v>0.340845521196987</v>
      </c>
      <c r="E14" s="17" t="n">
        <v>0.0265352511799342</v>
      </c>
      <c r="F14" s="17" t="n">
        <v>0.0985938738676382</v>
      </c>
      <c r="H14" s="19" t="n">
        <f aca="false">IF(AND(ISNUMBER(B14),ISNUMBER(B13)),B14-B13,"")</f>
        <v>58.1062311827956</v>
      </c>
      <c r="I14" s="19" t="n">
        <f aca="false">C14-C13</f>
        <v>-0.012635858101546</v>
      </c>
      <c r="J14" s="19" t="n">
        <f aca="false">D14-D13</f>
        <v>0.00539921963636064</v>
      </c>
      <c r="K14" s="19" t="n">
        <f aca="false">E14-E13</f>
        <v>-0.0416510073677663</v>
      </c>
      <c r="L14" s="19" t="n">
        <f aca="false">F14-F13</f>
        <v>0.0150044625048817</v>
      </c>
    </row>
    <row r="15" customFormat="false" ht="15" hidden="false" customHeight="false" outlineLevel="0" collapsed="false">
      <c r="A15" s="11" t="s">
        <v>63</v>
      </c>
      <c r="B15" s="16" t="n">
        <v>415.128063492064</v>
      </c>
      <c r="C15" s="17" t="n">
        <v>0.0893433207444097</v>
      </c>
      <c r="D15" s="17" t="n">
        <v>0.440928535976239</v>
      </c>
      <c r="E15" s="17" t="n">
        <v>0.00814671982681126</v>
      </c>
      <c r="F15" s="17" t="n">
        <v>0.0842779771268098</v>
      </c>
      <c r="H15" s="19" t="n">
        <f aca="false">IF(AND(ISNUMBER(B15),ISNUMBER(B14)),B15-B14,"")</f>
        <v>146.742396825397</v>
      </c>
      <c r="I15" s="19" t="n">
        <f aca="false">C15-C14</f>
        <v>-0.0246226187787558</v>
      </c>
      <c r="J15" s="19" t="n">
        <f aca="false">D15-D14</f>
        <v>0.100083014779252</v>
      </c>
      <c r="K15" s="19" t="n">
        <f aca="false">E15-E14</f>
        <v>-0.0183885313531229</v>
      </c>
      <c r="L15" s="19" t="n">
        <f aca="false">F15-F14</f>
        <v>-0.0143158967408283</v>
      </c>
    </row>
    <row r="16" customFormat="false" ht="15" hidden="false" customHeight="false" outlineLevel="0" collapsed="false">
      <c r="A16" s="11" t="s">
        <v>64</v>
      </c>
      <c r="B16" s="16" t="n">
        <v>386.901387096774</v>
      </c>
      <c r="C16" s="17" t="n">
        <v>0.0379736872499228</v>
      </c>
      <c r="D16" s="17" t="n">
        <v>0.360178146203434</v>
      </c>
      <c r="E16" s="17" t="n">
        <v>0.134553576071674</v>
      </c>
      <c r="F16" s="17" t="n">
        <v>0.092673486299768</v>
      </c>
      <c r="H16" s="19" t="n">
        <f aca="false">IF(AND(ISNUMBER(B16),ISNUMBER(B15)),B16-B15,"")</f>
        <v>-28.2266763952893</v>
      </c>
      <c r="I16" s="19" t="n">
        <f aca="false">C16-C15</f>
        <v>-0.0513696334944869</v>
      </c>
      <c r="J16" s="19" t="n">
        <f aca="false">D16-D15</f>
        <v>-0.0807503897728054</v>
      </c>
      <c r="K16" s="19" t="n">
        <f aca="false">E16-E15</f>
        <v>0.126406856244862</v>
      </c>
      <c r="L16" s="19" t="n">
        <f aca="false">F16-F15</f>
        <v>0.00839550917295817</v>
      </c>
    </row>
    <row r="17" customFormat="false" ht="15" hidden="false" customHeight="false" outlineLevel="0" collapsed="false">
      <c r="A17" s="11" t="s">
        <v>65</v>
      </c>
      <c r="B17" s="16" t="n">
        <v>482.238426229508</v>
      </c>
      <c r="C17" s="17" t="n">
        <v>0.00576829173150295</v>
      </c>
      <c r="D17" s="17" t="n">
        <v>0.34656181419166</v>
      </c>
      <c r="E17" s="17" t="n">
        <v>0.229268031866547</v>
      </c>
      <c r="F17" s="17" t="n">
        <v>0.0691231457663233</v>
      </c>
      <c r="H17" s="19" t="n">
        <f aca="false">IF(AND(ISNUMBER(B17),ISNUMBER(B16)),B17-B16,"")</f>
        <v>95.3370391327341</v>
      </c>
      <c r="I17" s="19" t="n">
        <f aca="false">C17-C16</f>
        <v>-0.0322053955184198</v>
      </c>
      <c r="J17" s="19" t="n">
        <f aca="false">D17-D16</f>
        <v>-0.0136163320117733</v>
      </c>
      <c r="K17" s="19" t="n">
        <f aca="false">E17-E16</f>
        <v>0.0947144557948736</v>
      </c>
      <c r="L17" s="19" t="n">
        <f aca="false">F17-F16</f>
        <v>-0.0235503405334447</v>
      </c>
    </row>
    <row r="18" customFormat="false" ht="15" hidden="false" customHeight="false" outlineLevel="0" collapsed="false">
      <c r="A18" s="11" t="s">
        <v>66</v>
      </c>
      <c r="B18" s="16" t="n">
        <v>556.653203125</v>
      </c>
      <c r="C18" s="17" t="n">
        <v>-0.0414443257073285</v>
      </c>
      <c r="D18" s="17" t="n">
        <v>0.398239076988403</v>
      </c>
      <c r="E18" s="17" t="n">
        <v>0.140320765511738</v>
      </c>
      <c r="F18" s="17" t="n">
        <v>0.0545268547475248</v>
      </c>
      <c r="H18" s="19" t="n">
        <f aca="false">IF(AND(ISNUMBER(B18),ISNUMBER(B17)),B18-B17,"")</f>
        <v>74.4147768954915</v>
      </c>
      <c r="I18" s="19" t="n">
        <f aca="false">C18-C17</f>
        <v>-0.0472126174388314</v>
      </c>
      <c r="J18" s="19" t="n">
        <f aca="false">D18-D17</f>
        <v>0.051677262796743</v>
      </c>
      <c r="K18" s="19" t="n">
        <f aca="false">E18-E17</f>
        <v>-0.088947266354809</v>
      </c>
      <c r="L18" s="19" t="n">
        <f aca="false">F18-F17</f>
        <v>-0.0145962910187984</v>
      </c>
    </row>
    <row r="19" customFormat="false" ht="15" hidden="false" customHeight="false" outlineLevel="0" collapsed="false">
      <c r="A19" s="11" t="s">
        <v>67</v>
      </c>
      <c r="B19" s="16" t="n">
        <v>696.827171875</v>
      </c>
      <c r="C19" s="17" t="n">
        <v>-0.0310561338962782</v>
      </c>
      <c r="D19" s="17" t="n">
        <v>0.30597298501628</v>
      </c>
      <c r="E19" s="17" t="n">
        <v>0.162672837966237</v>
      </c>
      <c r="F19" s="17" t="n">
        <v>0.060060161436698</v>
      </c>
      <c r="H19" s="19" t="n">
        <f aca="false">IF(AND(ISNUMBER(B19),ISNUMBER(B18)),B19-B18,"")</f>
        <v>140.17396875</v>
      </c>
      <c r="I19" s="19" t="n">
        <f aca="false">C19-C18</f>
        <v>0.0103881918110503</v>
      </c>
      <c r="J19" s="19" t="n">
        <f aca="false">D19-D18</f>
        <v>-0.0922660919721236</v>
      </c>
      <c r="K19" s="19" t="n">
        <f aca="false">E19-E18</f>
        <v>0.0223520724544983</v>
      </c>
      <c r="L19" s="19" t="n">
        <f aca="false">F19-F18</f>
        <v>0.00553330668917318</v>
      </c>
    </row>
    <row r="20" customFormat="false" ht="15" hidden="false" customHeight="false" outlineLevel="0" collapsed="false">
      <c r="A20" s="11" t="s">
        <v>68</v>
      </c>
      <c r="B20" s="16" t="n">
        <v>1696.59024193548</v>
      </c>
      <c r="C20" s="17" t="n">
        <v>-0.0433503245183842</v>
      </c>
      <c r="D20" s="17" t="n">
        <v>0.350005249651448</v>
      </c>
      <c r="E20" s="17" t="n">
        <v>-0.0190422123621599</v>
      </c>
      <c r="F20" s="17" t="n">
        <v>-0.019789908841391</v>
      </c>
      <c r="H20" s="19" t="n">
        <f aca="false">IF(AND(ISNUMBER(B20),ISNUMBER(B19)),B20-B19,"")</f>
        <v>999.763070060484</v>
      </c>
      <c r="I20" s="19" t="n">
        <f aca="false">C20-C19</f>
        <v>-0.012294190622106</v>
      </c>
      <c r="J20" s="19" t="n">
        <f aca="false">D20-D19</f>
        <v>0.044032264635168</v>
      </c>
      <c r="K20" s="19" t="n">
        <f aca="false">E20-E19</f>
        <v>-0.181715050328396</v>
      </c>
      <c r="L20" s="19" t="n">
        <f aca="false">F20-F19</f>
        <v>-0.079850070278089</v>
      </c>
    </row>
    <row r="21" customFormat="false" ht="15" hidden="false" customHeight="false" outlineLevel="0" collapsed="false">
      <c r="A21" s="11" t="s">
        <v>69</v>
      </c>
      <c r="B21" s="16" t="n">
        <v>1700.06040983607</v>
      </c>
      <c r="C21" s="17" t="n">
        <v>-0.0939912544057393</v>
      </c>
      <c r="D21" s="17" t="n">
        <v>0.279846965577505</v>
      </c>
      <c r="E21" s="17" t="n">
        <v>-0.12075867108932</v>
      </c>
      <c r="F21" s="17" t="n">
        <v>-0.0618875514402444</v>
      </c>
      <c r="H21" s="19" t="n">
        <f aca="false">IF(AND(ISNUMBER(B21),ISNUMBER(B20)),B21-B20,"")</f>
        <v>3.47016790058183</v>
      </c>
      <c r="I21" s="19" t="n">
        <f aca="false">C21-C20</f>
        <v>-0.0506409298873551</v>
      </c>
      <c r="J21" s="19" t="n">
        <f aca="false">D21-D20</f>
        <v>-0.0701582840739423</v>
      </c>
      <c r="K21" s="19" t="n">
        <f aca="false">E21-E20</f>
        <v>-0.10171645872716</v>
      </c>
      <c r="L21" s="19" t="n">
        <f aca="false">F21-F20</f>
        <v>-0.0420976425988534</v>
      </c>
    </row>
    <row r="22" customFormat="false" ht="15" hidden="false" customHeight="false" outlineLevel="0" collapsed="false">
      <c r="A22" s="11" t="s">
        <v>70</v>
      </c>
      <c r="B22" s="16" t="n">
        <v>1455.65919047619</v>
      </c>
      <c r="C22" s="17" t="n">
        <v>-0.121024937224579</v>
      </c>
      <c r="D22" s="17" t="n">
        <v>0.333970498718556</v>
      </c>
      <c r="E22" s="17" t="n">
        <v>0.00888484227326436</v>
      </c>
      <c r="F22" s="17" t="n">
        <v>-0.112745471526209</v>
      </c>
      <c r="H22" s="19" t="n">
        <f aca="false">IF(AND(ISNUMBER(B22),ISNUMBER(B21)),B22-B21,"")</f>
        <v>-244.401219359875</v>
      </c>
      <c r="I22" s="19" t="n">
        <f aca="false">C22-C21</f>
        <v>-0.0270336828188397</v>
      </c>
      <c r="J22" s="19" t="n">
        <f aca="false">D22-D21</f>
        <v>0.054123533141051</v>
      </c>
      <c r="K22" s="19" t="n">
        <f aca="false">E22-E21</f>
        <v>0.129643513362584</v>
      </c>
      <c r="L22" s="19" t="n">
        <f aca="false">F22-F21</f>
        <v>-0.0508579200859648</v>
      </c>
    </row>
    <row r="23" customFormat="false" ht="15" hidden="false" customHeight="false" outlineLevel="0" collapsed="false">
      <c r="A23" s="11" t="s">
        <v>71</v>
      </c>
      <c r="B23" s="16" t="n">
        <v>921.669609375</v>
      </c>
      <c r="C23" s="17" t="n">
        <v>-0.102129686835791</v>
      </c>
      <c r="D23" s="17" t="n">
        <v>0.284900600978395</v>
      </c>
      <c r="E23" s="17" t="n">
        <v>0.0360512954852061</v>
      </c>
      <c r="F23" s="17" t="n">
        <v>-0.0565117996405296</v>
      </c>
      <c r="H23" s="19" t="n">
        <f aca="false">IF(AND(ISNUMBER(B23),ISNUMBER(B22)),B23-B22,"")</f>
        <v>-533.989581101191</v>
      </c>
      <c r="I23" s="19" t="n">
        <f aca="false">C23-C22</f>
        <v>0.0188952503887881</v>
      </c>
      <c r="J23" s="19" t="n">
        <f aca="false">D23-D22</f>
        <v>-0.0490698977401611</v>
      </c>
      <c r="K23" s="19" t="n">
        <f aca="false">E23-E22</f>
        <v>0.0271664532119418</v>
      </c>
      <c r="L23" s="19" t="n">
        <f aca="false">F23-F22</f>
        <v>0.0562336718856797</v>
      </c>
    </row>
    <row r="24" customFormat="false" ht="15" hidden="false" customHeight="false" outlineLevel="0" collapsed="false">
      <c r="A24" s="11" t="s">
        <v>72</v>
      </c>
      <c r="B24" s="16" t="n">
        <v>717.923774193549</v>
      </c>
      <c r="C24" s="17" t="n">
        <v>-0.0818636052035965</v>
      </c>
      <c r="D24" s="17" t="n">
        <v>0.306088305938187</v>
      </c>
      <c r="E24" s="17" t="n">
        <v>0.117223611926964</v>
      </c>
      <c r="F24" s="17" t="n">
        <v>0.00281998226127467</v>
      </c>
      <c r="H24" s="19" t="n">
        <f aca="false">IF(AND(ISNUMBER(B24),ISNUMBER(B23)),B24-B23,"")</f>
        <v>-203.745835181452</v>
      </c>
      <c r="I24" s="19" t="n">
        <f aca="false">C24-C23</f>
        <v>0.0202660816321944</v>
      </c>
      <c r="J24" s="19" t="n">
        <f aca="false">D24-D23</f>
        <v>0.0211877049597919</v>
      </c>
      <c r="K24" s="19" t="n">
        <f aca="false">E24-E23</f>
        <v>0.081172316441758</v>
      </c>
      <c r="L24" s="19" t="n">
        <f aca="false">F24-F23</f>
        <v>0.0593317819018042</v>
      </c>
    </row>
    <row r="25" customFormat="false" ht="15" hidden="false" customHeight="false" outlineLevel="0" collapsed="false">
      <c r="A25" s="11" t="s">
        <v>73</v>
      </c>
      <c r="B25" s="16" t="n">
        <v>733.365409836066</v>
      </c>
      <c r="C25" s="17" t="n">
        <v>-0.0453784606172778</v>
      </c>
      <c r="D25" s="17" t="n">
        <v>0.328275197608872</v>
      </c>
      <c r="E25" s="17" t="n">
        <v>0.120894772952442</v>
      </c>
      <c r="F25" s="17" t="n">
        <v>0.0571326910752132</v>
      </c>
      <c r="H25" s="19" t="n">
        <f aca="false">IF(AND(ISNUMBER(B25),ISNUMBER(B24)),B25-B24,"")</f>
        <v>15.4416356425168</v>
      </c>
      <c r="I25" s="19" t="n">
        <f aca="false">C25-C24</f>
        <v>0.0364851445863187</v>
      </c>
      <c r="J25" s="19" t="n">
        <f aca="false">D25-D24</f>
        <v>0.0221868916706847</v>
      </c>
      <c r="K25" s="19" t="n">
        <f aca="false">E25-E24</f>
        <v>0.00367116102547781</v>
      </c>
      <c r="L25" s="19" t="n">
        <f aca="false">F25-F24</f>
        <v>0.0543127088139386</v>
      </c>
    </row>
    <row r="26" customFormat="false" ht="15" hidden="false" customHeight="false" outlineLevel="0" collapsed="false">
      <c r="A26" s="11" t="s">
        <v>74</v>
      </c>
      <c r="B26" s="16" t="n">
        <v>733.829920634921</v>
      </c>
      <c r="C26" s="17" t="n">
        <v>0.0701206886265153</v>
      </c>
      <c r="D26" s="17" t="n">
        <v>0.283479124746373</v>
      </c>
      <c r="E26" s="17" t="n">
        <v>-0.0139784011139905</v>
      </c>
      <c r="F26" s="17" t="n">
        <v>0.162441995090574</v>
      </c>
      <c r="H26" s="19" t="n">
        <f aca="false">IF(AND(ISNUMBER(B26),ISNUMBER(B25)),B26-B25,"")</f>
        <v>0.464510798855258</v>
      </c>
      <c r="I26" s="19" t="n">
        <f aca="false">C26-C25</f>
        <v>0.115499149243793</v>
      </c>
      <c r="J26" s="19" t="n">
        <f aca="false">D26-D25</f>
        <v>-0.0447960728624985</v>
      </c>
      <c r="K26" s="19" t="n">
        <f aca="false">E26-E25</f>
        <v>-0.134873174066432</v>
      </c>
      <c r="L26" s="19" t="n">
        <f aca="false">F26-F25</f>
        <v>0.105309304015361</v>
      </c>
    </row>
    <row r="27" customFormat="false" ht="15" hidden="false" customHeight="false" outlineLevel="0" collapsed="false">
      <c r="A27" s="11" t="s">
        <v>75</v>
      </c>
      <c r="B27" s="16" t="n">
        <v>711.107390625</v>
      </c>
      <c r="C27" s="17" t="n">
        <v>0.0832314622130852</v>
      </c>
      <c r="D27" s="17" t="n">
        <v>0.346387563861954</v>
      </c>
      <c r="E27" s="17" t="n">
        <v>-0.0100194436728653</v>
      </c>
      <c r="F27" s="17" t="n">
        <v>0.0950774236722809</v>
      </c>
      <c r="H27" s="19" t="n">
        <f aca="false">IF(AND(ISNUMBER(B27),ISNUMBER(B26)),B27-B26,"")</f>
        <v>-22.7225300099209</v>
      </c>
      <c r="I27" s="19" t="n">
        <f aca="false">C27-C26</f>
        <v>0.0131107735865699</v>
      </c>
      <c r="J27" s="19" t="n">
        <f aca="false">D27-D26</f>
        <v>0.0629084391155807</v>
      </c>
      <c r="K27" s="19" t="n">
        <f aca="false">E27-E26</f>
        <v>0.00395895744112517</v>
      </c>
      <c r="L27" s="19" t="n">
        <f aca="false">F27-F26</f>
        <v>-0.0673645714182929</v>
      </c>
    </row>
    <row r="28" customFormat="false" ht="15" hidden="false" customHeight="false" outlineLevel="0" collapsed="false">
      <c r="A28" s="11" t="s">
        <v>76</v>
      </c>
      <c r="B28" s="16" t="n">
        <v>545.358806451613</v>
      </c>
      <c r="C28" s="17" t="n">
        <v>0.114478472935433</v>
      </c>
      <c r="D28" s="17" t="n">
        <v>0.387076583057645</v>
      </c>
      <c r="E28" s="17" t="n">
        <v>0.0480180420844947</v>
      </c>
      <c r="F28" s="17" t="n">
        <v>0.0860979311042298</v>
      </c>
      <c r="H28" s="19" t="n">
        <f aca="false">IF(AND(ISNUMBER(B28),ISNUMBER(B27)),B28-B27,"")</f>
        <v>-165.748584173387</v>
      </c>
      <c r="I28" s="19" t="n">
        <f aca="false">C28-C27</f>
        <v>0.0312470107223477</v>
      </c>
      <c r="J28" s="19" t="n">
        <f aca="false">D28-D27</f>
        <v>0.0406890191956908</v>
      </c>
      <c r="K28" s="19" t="n">
        <f aca="false">E28-E27</f>
        <v>0.05803748575736</v>
      </c>
      <c r="L28" s="19" t="n">
        <f aca="false">F28-F27</f>
        <v>-0.00897949256805108</v>
      </c>
    </row>
    <row r="29" customFormat="false" ht="15" hidden="false" customHeight="false" outlineLevel="0" collapsed="false">
      <c r="A29" s="11" t="s">
        <v>77</v>
      </c>
      <c r="B29" s="16" t="n">
        <v>532.410096774194</v>
      </c>
      <c r="C29" s="17" t="n">
        <v>0.156755092089227</v>
      </c>
      <c r="D29" s="17" t="n">
        <v>0.312906804622235</v>
      </c>
      <c r="E29" s="17" t="n">
        <v>0.0849584169773465</v>
      </c>
      <c r="F29" s="17" t="n">
        <v>0.0829261625044686</v>
      </c>
      <c r="H29" s="19" t="n">
        <f aca="false">IF(AND(ISNUMBER(B29),ISNUMBER(B28)),B29-B28,"")</f>
        <v>-12.9487096774192</v>
      </c>
      <c r="I29" s="19" t="n">
        <f aca="false">C29-C28</f>
        <v>0.0422766191537938</v>
      </c>
      <c r="J29" s="19" t="n">
        <f aca="false">D29-D28</f>
        <v>-0.0741697784354101</v>
      </c>
      <c r="K29" s="19" t="n">
        <f aca="false">E29-E28</f>
        <v>0.0369403748928518</v>
      </c>
      <c r="L29" s="19" t="n">
        <f aca="false">F29-F28</f>
        <v>-0.0031717685997612</v>
      </c>
    </row>
    <row r="30" customFormat="false" ht="15" hidden="false" customHeight="false" outlineLevel="0" collapsed="false">
      <c r="A30" s="11" t="s">
        <v>78</v>
      </c>
      <c r="B30" s="16" t="n">
        <v>573.933</v>
      </c>
      <c r="C30" s="17" t="n">
        <v>0.118095794149657</v>
      </c>
      <c r="D30" s="17" t="n">
        <v>0.349925679478484</v>
      </c>
      <c r="E30" s="17" t="n">
        <v>0.152480950106153</v>
      </c>
      <c r="F30" s="17" t="n">
        <v>0.0444334376577356</v>
      </c>
      <c r="H30" s="19" t="n">
        <f aca="false">IF(AND(ISNUMBER(B30),ISNUMBER(B29)),B30-B29,"")</f>
        <v>41.5229032258063</v>
      </c>
      <c r="I30" s="19" t="n">
        <f aca="false">C30-C29</f>
        <v>-0.0386592979395697</v>
      </c>
      <c r="J30" s="19" t="n">
        <f aca="false">D30-D29</f>
        <v>0.0370188748562493</v>
      </c>
      <c r="K30" s="19" t="n">
        <f aca="false">E30-E29</f>
        <v>0.0675225331288068</v>
      </c>
      <c r="L30" s="19" t="n">
        <f aca="false">F30-F29</f>
        <v>-0.0384927248467331</v>
      </c>
    </row>
    <row r="31" customFormat="false" ht="15" hidden="false" customHeight="false" outlineLevel="0" collapsed="false">
      <c r="A31" s="11" t="s">
        <v>79</v>
      </c>
      <c r="B31" s="16" t="n">
        <v>732.377625</v>
      </c>
      <c r="C31" s="17" t="n">
        <v>0.124916134258139</v>
      </c>
      <c r="D31" s="17" t="n">
        <v>0.386688769367592</v>
      </c>
      <c r="E31" s="17" t="n">
        <v>0.123619102150887</v>
      </c>
      <c r="F31" s="17" t="n">
        <v>0.0640936718081673</v>
      </c>
      <c r="H31" s="19" t="n">
        <f aca="false">IF(AND(ISNUMBER(B31),ISNUMBER(B30)),B31-B30,"")</f>
        <v>158.444625</v>
      </c>
      <c r="I31" s="19" t="n">
        <f aca="false">C31-C30</f>
        <v>0.0068203401084819</v>
      </c>
      <c r="J31" s="19" t="n">
        <f aca="false">D31-D30</f>
        <v>0.0367630898891084</v>
      </c>
      <c r="K31" s="19" t="n">
        <f aca="false">E31-E30</f>
        <v>-0.0288618479552661</v>
      </c>
      <c r="L31" s="19" t="n">
        <f aca="false">F31-F30</f>
        <v>0.0196602341504317</v>
      </c>
    </row>
    <row r="32" customFormat="false" ht="15" hidden="false" customHeight="false" outlineLevel="0" collapsed="false">
      <c r="A32" s="11" t="s">
        <v>80</v>
      </c>
      <c r="B32" s="16" t="n">
        <v>906.962666666667</v>
      </c>
      <c r="C32" s="17" t="n">
        <v>0.0978916859729002</v>
      </c>
      <c r="D32" s="17" t="n">
        <v>0.251187289784566</v>
      </c>
      <c r="E32" s="17" t="n">
        <v>0.0603194979318269</v>
      </c>
      <c r="F32" s="17" t="n">
        <v>0.0521713189216535</v>
      </c>
      <c r="H32" s="19" t="n">
        <f aca="false">IF(AND(ISNUMBER(B32),ISNUMBER(B31)),B32-B31,"")</f>
        <v>174.585041666667</v>
      </c>
      <c r="I32" s="19" t="n">
        <f aca="false">C32-C31</f>
        <v>-0.0270244482852387</v>
      </c>
      <c r="J32" s="19" t="n">
        <f aca="false">D32-D31</f>
        <v>-0.135501479583027</v>
      </c>
      <c r="K32" s="19" t="n">
        <f aca="false">E32-E31</f>
        <v>-0.0632996042190603</v>
      </c>
      <c r="L32" s="19" t="n">
        <f aca="false">F32-F31</f>
        <v>-0.0119223528865138</v>
      </c>
    </row>
    <row r="33" customFormat="false" ht="15" hidden="false" customHeight="false" outlineLevel="0" collapsed="false">
      <c r="A33" s="11" t="s">
        <v>81</v>
      </c>
      <c r="B33" s="16" t="n">
        <v>831.861633870968</v>
      </c>
      <c r="C33" s="17" t="n">
        <v>0.068851867103453</v>
      </c>
      <c r="D33" s="17" t="n">
        <v>0.343968036188912</v>
      </c>
      <c r="E33" s="17" t="n">
        <v>0.0390814127010444</v>
      </c>
      <c r="F33" s="17" t="n">
        <v>0.0156424693190642</v>
      </c>
      <c r="H33" s="19" t="n">
        <f aca="false">IF(AND(ISNUMBER(B33),ISNUMBER(B32)),B33-B32,"")</f>
        <v>-75.1010327956988</v>
      </c>
      <c r="I33" s="19" t="n">
        <f aca="false">C33-C32</f>
        <v>-0.0290398188694472</v>
      </c>
      <c r="J33" s="19" t="n">
        <f aca="false">D33-D32</f>
        <v>0.0927807464043467</v>
      </c>
      <c r="K33" s="19" t="n">
        <f aca="false">E33-E32</f>
        <v>-0.0212380852307825</v>
      </c>
      <c r="L33" s="19" t="n">
        <f aca="false">F33-F32</f>
        <v>-0.0365288496025893</v>
      </c>
    </row>
    <row r="34" customFormat="false" ht="15" hidden="false" customHeight="false" outlineLevel="0" collapsed="false">
      <c r="A34" s="11" t="s">
        <v>82</v>
      </c>
      <c r="B34" s="16" t="n">
        <v>1063.70031904762</v>
      </c>
      <c r="C34" s="17" t="n">
        <v>0.042741373530764</v>
      </c>
      <c r="D34" s="17" t="n">
        <v>0.303908000847453</v>
      </c>
      <c r="E34" s="17" t="n">
        <v>-0.00292215533984075</v>
      </c>
      <c r="F34" s="17" t="n">
        <v>-0.0463175722342237</v>
      </c>
      <c r="H34" s="19" t="n">
        <f aca="false">IF(AND(ISNUMBER(B34),ISNUMBER(B33)),B34-B33,"")</f>
        <v>231.838685176651</v>
      </c>
      <c r="I34" s="19" t="n">
        <f aca="false">C34-C33</f>
        <v>-0.026110493572689</v>
      </c>
      <c r="J34" s="19" t="n">
        <f aca="false">D34-D33</f>
        <v>-0.0400600353414598</v>
      </c>
      <c r="K34" s="19" t="n">
        <f aca="false">E34-E33</f>
        <v>-0.0420035680408851</v>
      </c>
      <c r="L34" s="19" t="n">
        <f aca="false">F34-F33</f>
        <v>-0.0619600415532879</v>
      </c>
    </row>
    <row r="35" customFormat="false" ht="15" hidden="false" customHeight="false" outlineLevel="0" collapsed="false">
      <c r="A35" s="11" t="s">
        <v>83</v>
      </c>
      <c r="B35" s="16" t="n">
        <v>1019.98701587302</v>
      </c>
      <c r="C35" s="17" t="n">
        <v>0.0813586595172222</v>
      </c>
      <c r="D35" s="17" t="n">
        <v>0.236829921240605</v>
      </c>
      <c r="E35" s="17" t="n">
        <v>0.0765366567299253</v>
      </c>
      <c r="F35" s="17" t="n">
        <v>-0.0111829419552486</v>
      </c>
      <c r="H35" s="19" t="n">
        <f aca="false">IF(AND(ISNUMBER(B35),ISNUMBER(B34)),B35-B34,"")</f>
        <v>-43.7133031746029</v>
      </c>
      <c r="I35" s="19" t="n">
        <f aca="false">C35-C34</f>
        <v>0.0386172859864582</v>
      </c>
      <c r="J35" s="19" t="n">
        <f aca="false">D35-D34</f>
        <v>-0.067078079606848</v>
      </c>
      <c r="K35" s="19" t="n">
        <f aca="false">E35-E34</f>
        <v>0.079458812069766</v>
      </c>
      <c r="L35" s="19" t="n">
        <f aca="false">F35-F34</f>
        <v>0.0351346302789751</v>
      </c>
    </row>
    <row r="36" customFormat="false" ht="15" hidden="false" customHeight="false" outlineLevel="0" collapsed="false">
      <c r="A36" s="11" t="s">
        <v>84</v>
      </c>
      <c r="B36" s="16" t="n">
        <v>1036.44275</v>
      </c>
      <c r="C36" s="17" t="n">
        <v>0.120861080407254</v>
      </c>
      <c r="D36" s="17" t="n">
        <v>0.291094455788256</v>
      </c>
      <c r="E36" s="17" t="n">
        <v>0.054969324745253</v>
      </c>
      <c r="F36" s="17" t="n">
        <v>0.00555804016441552</v>
      </c>
      <c r="H36" s="19" t="n">
        <f aca="false">IF(AND(ISNUMBER(B36),ISNUMBER(B35)),B36-B35,"")</f>
        <v>16.4557341269839</v>
      </c>
      <c r="I36" s="19" t="n">
        <f aca="false">C36-C35</f>
        <v>0.0395024208900321</v>
      </c>
      <c r="J36" s="19" t="n">
        <f aca="false">D36-D35</f>
        <v>0.0542645345476518</v>
      </c>
      <c r="K36" s="19" t="n">
        <f aca="false">E36-E35</f>
        <v>-0.0215673319846723</v>
      </c>
      <c r="L36" s="19" t="n">
        <f aca="false">F36-F35</f>
        <v>0.0167409821196641</v>
      </c>
    </row>
    <row r="37" customFormat="false" ht="15" hidden="false" customHeight="false" outlineLevel="0" collapsed="false">
      <c r="A37" s="11" t="s">
        <v>85</v>
      </c>
      <c r="B37" s="16" t="n">
        <v>1125.36748333333</v>
      </c>
      <c r="C37" s="17" t="n">
        <v>0.107248415474464</v>
      </c>
      <c r="D37" s="17" t="n">
        <v>0.278526127308266</v>
      </c>
      <c r="E37" s="17" t="n">
        <v>-0.0317751837916351</v>
      </c>
      <c r="F37" s="17" t="n">
        <v>0.00654025144614989</v>
      </c>
      <c r="H37" s="19" t="n">
        <f aca="false">IF(AND(ISNUMBER(B37),ISNUMBER(B36)),B37-B36,"")</f>
        <v>88.9247333333331</v>
      </c>
      <c r="I37" s="19" t="n">
        <f aca="false">C37-C36</f>
        <v>-0.0136126649327899</v>
      </c>
      <c r="J37" s="19" t="n">
        <f aca="false">D37-D36</f>
        <v>-0.0125683284799909</v>
      </c>
      <c r="K37" s="19" t="n">
        <f aca="false">E37-E36</f>
        <v>-0.0867445085368881</v>
      </c>
      <c r="L37" s="19" t="n">
        <f aca="false">F37-F36</f>
        <v>0.000982211281734369</v>
      </c>
    </row>
    <row r="38" customFormat="false" ht="15" hidden="false" customHeight="false" outlineLevel="0" collapsed="false">
      <c r="A38" s="11" t="s">
        <v>86</v>
      </c>
      <c r="B38" s="16" t="n">
        <v>1200.253</v>
      </c>
      <c r="C38" s="17" t="n">
        <v>0.108154333714891</v>
      </c>
      <c r="D38" s="17" t="n">
        <v>0.307813281438081</v>
      </c>
      <c r="E38" s="17" t="n">
        <v>-0.0194577466042397</v>
      </c>
      <c r="F38" s="17" t="n">
        <v>0.0624602349363816</v>
      </c>
      <c r="H38" s="19" t="n">
        <f aca="false">IF(AND(ISNUMBER(B38),ISNUMBER(B37)),B38-B37,"")</f>
        <v>74.8855166666669</v>
      </c>
      <c r="I38" s="19" t="n">
        <f aca="false">C38-C37</f>
        <v>0.000905918240426698</v>
      </c>
      <c r="J38" s="19" t="n">
        <f aca="false">D38-D37</f>
        <v>0.0292871541298152</v>
      </c>
      <c r="K38" s="19" t="n">
        <f aca="false">E38-E37</f>
        <v>0.0123174371873954</v>
      </c>
      <c r="L38" s="19" t="n">
        <f aca="false">F38-F37</f>
        <v>0.0559199834902318</v>
      </c>
    </row>
    <row r="39" customFormat="false" ht="15" hidden="false" customHeight="false" outlineLevel="0" collapsed="false">
      <c r="A39" s="11" t="s">
        <v>87</v>
      </c>
      <c r="B39" s="16" t="n">
        <v>1090.527046875</v>
      </c>
      <c r="C39" s="17" t="n">
        <v>0.0412334785190116</v>
      </c>
      <c r="D39" s="17" t="n">
        <v>0.38486207085577</v>
      </c>
      <c r="E39" s="17" t="n">
        <v>-0.0855878759863974</v>
      </c>
      <c r="F39" s="17" t="n">
        <v>0.0255838987402566</v>
      </c>
      <c r="H39" s="19" t="n">
        <f aca="false">IF(AND(ISNUMBER(B39),ISNUMBER(B38)),B39-B38,"")</f>
        <v>-109.725953125</v>
      </c>
      <c r="I39" s="19" t="n">
        <f aca="false">C39-C38</f>
        <v>-0.0669208551958795</v>
      </c>
      <c r="J39" s="19" t="n">
        <f aca="false">D39-D38</f>
        <v>0.0770487894176897</v>
      </c>
      <c r="K39" s="19" t="n">
        <f aca="false">E39-E38</f>
        <v>-0.0661301293821577</v>
      </c>
      <c r="L39" s="19" t="n">
        <f aca="false">F39-F38</f>
        <v>-0.0368763361961251</v>
      </c>
    </row>
    <row r="40" customFormat="false" ht="15" hidden="false" customHeight="false" outlineLevel="0" collapsed="false">
      <c r="A40" s="11" t="s">
        <v>88</v>
      </c>
      <c r="B40" s="16" t="n">
        <v>854.052754098361</v>
      </c>
      <c r="C40" s="17" t="n">
        <v>-0.0160774079518586</v>
      </c>
      <c r="D40" s="17" t="n">
        <v>0.353284905207939</v>
      </c>
      <c r="E40" s="17" t="n">
        <v>-0.117487972663098</v>
      </c>
      <c r="F40" s="17" t="n">
        <v>-0.000510205754616022</v>
      </c>
      <c r="H40" s="19" t="n">
        <f aca="false">IF(AND(ISNUMBER(B40),ISNUMBER(B39)),B40-B39,"")</f>
        <v>-236.474292776639</v>
      </c>
      <c r="I40" s="19" t="n">
        <f aca="false">C40-C39</f>
        <v>-0.0573108864708702</v>
      </c>
      <c r="J40" s="19" t="n">
        <f aca="false">D40-D39</f>
        <v>-0.031577165647831</v>
      </c>
      <c r="K40" s="19" t="n">
        <f aca="false">E40-E39</f>
        <v>-0.0319000966767005</v>
      </c>
      <c r="L40" s="19" t="n">
        <f aca="false">F40-F39</f>
        <v>-0.0260941044948726</v>
      </c>
    </row>
    <row r="41" customFormat="false" ht="15" hidden="false" customHeight="false" outlineLevel="0" collapsed="false">
      <c r="A41" s="11" t="s">
        <v>89</v>
      </c>
      <c r="B41" s="16" t="n">
        <v>926.047377049181</v>
      </c>
      <c r="C41" s="17" t="n">
        <v>-0.111957420383261</v>
      </c>
      <c r="D41" s="17" t="n">
        <v>0.406318404502971</v>
      </c>
      <c r="E41" s="17" t="n">
        <v>-0.0503678984096988</v>
      </c>
      <c r="F41" s="17" t="n">
        <v>-0.00889028383967849</v>
      </c>
      <c r="H41" s="19" t="n">
        <f aca="false">IF(AND(ISNUMBER(B41),ISNUMBER(B40)),B41-B40,"")</f>
        <v>71.9946229508196</v>
      </c>
      <c r="I41" s="19" t="n">
        <f aca="false">C41-C40</f>
        <v>-0.0958800124314026</v>
      </c>
      <c r="J41" s="19" t="n">
        <f aca="false">D41-D40</f>
        <v>0.0530334992950312</v>
      </c>
      <c r="K41" s="19" t="n">
        <f aca="false">E41-E40</f>
        <v>0.0671200742533991</v>
      </c>
      <c r="L41" s="19" t="n">
        <f aca="false">F41-F40</f>
        <v>-0.00838007808506247</v>
      </c>
    </row>
    <row r="42" customFormat="false" ht="15" hidden="false" customHeight="false" outlineLevel="0" collapsed="false">
      <c r="A42" s="11" t="s">
        <v>90</v>
      </c>
      <c r="B42" s="16" t="n">
        <v>782.844825396825</v>
      </c>
      <c r="C42" s="17" t="n">
        <v>-0.14532455085246</v>
      </c>
      <c r="D42" s="17" t="n">
        <v>0.474239155894893</v>
      </c>
      <c r="E42" s="17" t="n">
        <v>0.0327443809131331</v>
      </c>
      <c r="F42" s="17" t="n">
        <v>-0.0204893869308982</v>
      </c>
      <c r="H42" s="19" t="n">
        <f aca="false">IF(AND(ISNUMBER(B42),ISNUMBER(B41)),B42-B41,"")</f>
        <v>-143.202551652355</v>
      </c>
      <c r="I42" s="19" t="n">
        <f aca="false">C42-C41</f>
        <v>-0.0333671304691989</v>
      </c>
      <c r="J42" s="19" t="n">
        <f aca="false">D42-D41</f>
        <v>0.067920751391922</v>
      </c>
      <c r="K42" s="19" t="n">
        <f aca="false">E42-E41</f>
        <v>0.0831122793228319</v>
      </c>
      <c r="L42" s="19" t="n">
        <f aca="false">F42-F41</f>
        <v>-0.0115991030912197</v>
      </c>
    </row>
    <row r="43" customFormat="false" ht="15" hidden="false" customHeight="false" outlineLevel="0" collapsed="false">
      <c r="A43" s="11" t="s">
        <v>91</v>
      </c>
      <c r="B43" s="16" t="n">
        <v>709.32415625</v>
      </c>
      <c r="C43" s="17" t="n">
        <v>-0.14803025350379</v>
      </c>
      <c r="D43" s="17" t="n">
        <v>0.436022600666038</v>
      </c>
      <c r="E43" s="17" t="n">
        <v>-0.0169942894794639</v>
      </c>
      <c r="F43" s="17" t="n">
        <v>-0.0423851505475772</v>
      </c>
      <c r="H43" s="19" t="n">
        <f aca="false">IF(AND(ISNUMBER(B43),ISNUMBER(B42)),B43-B42,"")</f>
        <v>-73.5206691468252</v>
      </c>
      <c r="I43" s="19" t="n">
        <f aca="false">C43-C42</f>
        <v>-0.00270570265133011</v>
      </c>
      <c r="J43" s="19" t="n">
        <f aca="false">D43-D42</f>
        <v>-0.0382165552288544</v>
      </c>
      <c r="K43" s="19" t="n">
        <f aca="false">E43-E42</f>
        <v>-0.0497386703925971</v>
      </c>
      <c r="L43" s="19" t="n">
        <f aca="false">F43-F42</f>
        <v>-0.021895763616679</v>
      </c>
    </row>
    <row r="44" customFormat="false" ht="15" hidden="false" customHeight="false" outlineLevel="0" collapsed="false">
      <c r="A44" s="11" t="s">
        <v>92</v>
      </c>
      <c r="B44" s="16" t="n">
        <v>730.34393442623</v>
      </c>
      <c r="C44" s="17" t="n">
        <v>-0.127371025772678</v>
      </c>
      <c r="D44" s="17" t="n">
        <v>0.419122284396953</v>
      </c>
      <c r="E44" s="17" t="n">
        <v>-0.0715138361367326</v>
      </c>
      <c r="F44" s="17" t="n">
        <v>-0.0281573013880524</v>
      </c>
      <c r="H44" s="19" t="n">
        <f aca="false">IF(AND(ISNUMBER(B44),ISNUMBER(B43)),B44-B43,"")</f>
        <v>21.0197781762296</v>
      </c>
      <c r="I44" s="19" t="n">
        <f aca="false">C44-C43</f>
        <v>0.0206592277311123</v>
      </c>
      <c r="J44" s="19" t="n">
        <f aca="false">D44-D43</f>
        <v>-0.0169003162690849</v>
      </c>
      <c r="K44" s="19" t="n">
        <f aca="false">E44-E43</f>
        <v>-0.0545195466572687</v>
      </c>
      <c r="L44" s="19" t="n">
        <f aca="false">F44-F43</f>
        <v>0.0142278491595248</v>
      </c>
    </row>
    <row r="45" customFormat="false" ht="15" hidden="false" customHeight="false" outlineLevel="0" collapsed="false">
      <c r="A45" s="11" t="s">
        <v>93</v>
      </c>
      <c r="B45" s="16" t="n">
        <v>667.094442622951</v>
      </c>
      <c r="C45" s="17" t="n">
        <v>1.31761638200167E-006</v>
      </c>
      <c r="D45" s="17" t="n">
        <v>0.396341448929142</v>
      </c>
      <c r="E45" s="17" t="n">
        <v>-0.0262569513311649</v>
      </c>
      <c r="F45" s="17" t="n">
        <v>0.00250908947797246</v>
      </c>
      <c r="H45" s="19" t="n">
        <f aca="false">IF(AND(ISNUMBER(B45),ISNUMBER(B44)),B45-B44,"")</f>
        <v>-63.2494918032786</v>
      </c>
      <c r="I45" s="19" t="n">
        <f aca="false">C45-C44</f>
        <v>0.12737234338906</v>
      </c>
      <c r="J45" s="19" t="n">
        <f aca="false">D45-D44</f>
        <v>-0.0227808354678118</v>
      </c>
      <c r="K45" s="19" t="n">
        <f aca="false">E45-E44</f>
        <v>0.0452568848055677</v>
      </c>
      <c r="L45" s="19" t="n">
        <f aca="false">F45-F44</f>
        <v>0.0306663908660249</v>
      </c>
    </row>
    <row r="46" customFormat="false" ht="15" hidden="false" customHeight="false" outlineLevel="0" collapsed="false">
      <c r="A46" s="11" t="s">
        <v>94</v>
      </c>
      <c r="B46" s="16" t="n">
        <v>597.646153846154</v>
      </c>
      <c r="C46" s="17" t="n">
        <v>0.079306676131361</v>
      </c>
      <c r="D46" s="17" t="n">
        <v>0.3905372942689</v>
      </c>
      <c r="E46" s="17" t="n">
        <v>-0.110316834804536</v>
      </c>
      <c r="F46" s="17" t="n">
        <v>0.0403103203233863</v>
      </c>
      <c r="H46" s="19" t="n">
        <f aca="false">IF(AND(ISNUMBER(B46),ISNUMBER(B45)),B46-B45,"")</f>
        <v>-69.448288776797</v>
      </c>
      <c r="I46" s="19" t="n">
        <f aca="false">C46-C45</f>
        <v>0.079305358514979</v>
      </c>
      <c r="J46" s="19" t="n">
        <f aca="false">D46-D45</f>
        <v>-0.00580415466024192</v>
      </c>
      <c r="K46" s="19" t="n">
        <f aca="false">E46-E45</f>
        <v>-0.0840598834733707</v>
      </c>
      <c r="L46" s="19" t="n">
        <f aca="false">F46-F45</f>
        <v>0.0378012308454139</v>
      </c>
    </row>
    <row r="47" customFormat="false" ht="15" hidden="false" customHeight="false" outlineLevel="0" collapsed="false">
      <c r="A47" s="11" t="s">
        <v>95</v>
      </c>
      <c r="B47" s="16" t="n">
        <v>585.257575757576</v>
      </c>
      <c r="C47" s="17" t="n">
        <v>0.0573749097069822</v>
      </c>
      <c r="D47" s="17" t="n">
        <v>0.317970287089521</v>
      </c>
      <c r="E47" s="17" t="n">
        <v>-0.0554042731462044</v>
      </c>
      <c r="F47" s="17" t="n">
        <v>0.0396616998607275</v>
      </c>
      <c r="H47" s="19" t="n">
        <f aca="false">IF(AND(ISNUMBER(B47),ISNUMBER(B46)),B47-B46,"")</f>
        <v>-12.3885780885781</v>
      </c>
      <c r="I47" s="19" t="n">
        <f aca="false">C47-C46</f>
        <v>-0.0219317664243788</v>
      </c>
      <c r="J47" s="19" t="n">
        <f aca="false">D47-D46</f>
        <v>-0.0725670071793785</v>
      </c>
      <c r="K47" s="19" t="n">
        <f aca="false">E47-E46</f>
        <v>0.0549125616583312</v>
      </c>
      <c r="L47" s="19" t="n">
        <f aca="false">F47-F46</f>
        <v>-0.000648620462658789</v>
      </c>
    </row>
    <row r="48" customFormat="false" ht="15" hidden="false" customHeight="false" outlineLevel="0" collapsed="false">
      <c r="A48" s="11" t="s">
        <v>96</v>
      </c>
      <c r="B48" s="16" t="n">
        <v>506.984615384615</v>
      </c>
      <c r="C48" s="17" t="n">
        <v>0.0602218094670735</v>
      </c>
      <c r="D48" s="17" t="n">
        <v>0.296497591925501</v>
      </c>
      <c r="E48" s="17" t="n">
        <v>0.037556223957613</v>
      </c>
      <c r="F48" s="17" t="n">
        <v>0.0247270091543546</v>
      </c>
      <c r="H48" s="19" t="n">
        <f aca="false">IF(AND(ISNUMBER(B48),ISNUMBER(B47)),B48-B47,"")</f>
        <v>-78.2729603729604</v>
      </c>
      <c r="I48" s="19" t="n">
        <f aca="false">C48-C47</f>
        <v>0.00284689976009123</v>
      </c>
      <c r="J48" s="19" t="n">
        <f aca="false">D48-D47</f>
        <v>-0.0214726951640203</v>
      </c>
      <c r="K48" s="19" t="n">
        <f aca="false">E48-E47</f>
        <v>0.0929604971038175</v>
      </c>
      <c r="L48" s="19" t="n">
        <f aca="false">F48-F47</f>
        <v>-0.014934690706373</v>
      </c>
    </row>
    <row r="49" customFormat="false" ht="15" hidden="false" customHeight="false" outlineLevel="0" collapsed="false">
      <c r="A49" s="11" t="s">
        <v>97</v>
      </c>
      <c r="B49" s="16" t="n">
        <v>468.698412698413</v>
      </c>
      <c r="C49" s="17" t="n">
        <v>-0.0545739774105225</v>
      </c>
      <c r="D49" s="17" t="n">
        <v>0.282941088802674</v>
      </c>
      <c r="E49" s="17" t="n">
        <v>-0.0126244418097596</v>
      </c>
      <c r="F49" s="17" t="n">
        <v>0.00728692545281007</v>
      </c>
      <c r="H49" s="19" t="n">
        <f aca="false">IF(AND(ISNUMBER(B49),ISNUMBER(B48)),B49-B48,"")</f>
        <v>-38.2862026862027</v>
      </c>
      <c r="I49" s="19" t="n">
        <f aca="false">C49-C48</f>
        <v>-0.114795786877596</v>
      </c>
      <c r="J49" s="19" t="n">
        <f aca="false">D49-D48</f>
        <v>-0.013556503122827</v>
      </c>
      <c r="K49" s="19" t="n">
        <f aca="false">E49-E48</f>
        <v>-0.0501806657673727</v>
      </c>
      <c r="L49" s="19" t="n">
        <f aca="false">F49-F48</f>
        <v>-0.0174400837015445</v>
      </c>
    </row>
    <row r="50" customFormat="false" ht="15" hidden="false" customHeight="false" outlineLevel="0" collapsed="false">
      <c r="A50" s="11" t="s">
        <v>98</v>
      </c>
      <c r="B50" s="16" t="n">
        <v>448.541666666667</v>
      </c>
      <c r="C50" s="17" t="n">
        <v>-0.150938894023428</v>
      </c>
      <c r="D50" s="17" t="n">
        <v>0.256862324271789</v>
      </c>
      <c r="E50" s="17" t="n">
        <v>0.102285500187331</v>
      </c>
      <c r="F50" s="17" t="n">
        <v>-0.0385885964740134</v>
      </c>
      <c r="H50" s="19" t="n">
        <f aca="false">IF(AND(ISNUMBER(B50),ISNUMBER(B49)),B50-B49,"")</f>
        <v>-20.156746031746</v>
      </c>
      <c r="I50" s="19" t="n">
        <f aca="false">C50-C49</f>
        <v>-0.0963649166129051</v>
      </c>
      <c r="J50" s="19" t="n">
        <f aca="false">D50-D49</f>
        <v>-0.0260787645308853</v>
      </c>
      <c r="K50" s="19" t="n">
        <f aca="false">E50-E49</f>
        <v>0.114909941997091</v>
      </c>
      <c r="L50" s="19" t="n">
        <f aca="false">F50-F49</f>
        <v>-0.0458755219268234</v>
      </c>
    </row>
    <row r="51" customFormat="false" ht="15" hidden="false" customHeight="false" outlineLevel="0" collapsed="false">
      <c r="A51" s="11" t="s">
        <v>99</v>
      </c>
      <c r="B51" s="16" t="n">
        <v>500.06976744186</v>
      </c>
      <c r="C51" s="17" t="n">
        <v>-0.138350590990196</v>
      </c>
      <c r="D51" s="17" t="n">
        <v>0.35108084464961</v>
      </c>
      <c r="E51" s="17" t="n">
        <v>0.1101163831692</v>
      </c>
      <c r="F51" s="17" t="n">
        <v>-0.0332721885187776</v>
      </c>
      <c r="H51" s="19" t="n">
        <f aca="false">IF(AND(ISNUMBER(B51),ISNUMBER(B50)),B51-B50,"")</f>
        <v>51.5281007751937</v>
      </c>
      <c r="I51" s="19" t="n">
        <f aca="false">C51-C50</f>
        <v>0.0125883030332315</v>
      </c>
      <c r="J51" s="19" t="n">
        <f aca="false">D51-D50</f>
        <v>0.0942185203778218</v>
      </c>
      <c r="K51" s="19" t="n">
        <f aca="false">E51-E50</f>
        <v>0.0078308829818691</v>
      </c>
      <c r="L51" s="19" t="n">
        <f aca="false">F51-F50</f>
        <v>0.0053164079552358</v>
      </c>
    </row>
    <row r="52" customFormat="false" ht="15" hidden="false" customHeight="false" outlineLevel="0" collapsed="false">
      <c r="A52" s="11" t="s">
        <v>100</v>
      </c>
      <c r="B52" s="16" t="n">
        <v>473.569230769231</v>
      </c>
      <c r="C52" s="17" t="n">
        <v>-0.116842476166157</v>
      </c>
      <c r="D52" s="17" t="n">
        <v>0.592891412044776</v>
      </c>
      <c r="E52" s="17" t="n">
        <v>0.0500921797693634</v>
      </c>
      <c r="F52" s="17" t="n">
        <v>-0.0149328839288507</v>
      </c>
      <c r="H52" s="19" t="n">
        <f aca="false">IF(AND(ISNUMBER(B52),ISNUMBER(B51)),B52-B51,"")</f>
        <v>-26.5005366726296</v>
      </c>
      <c r="I52" s="19" t="n">
        <f aca="false">C52-C51</f>
        <v>0.0215081148240396</v>
      </c>
      <c r="J52" s="19" t="n">
        <f aca="false">D52-D51</f>
        <v>0.241810567395166</v>
      </c>
      <c r="K52" s="19" t="n">
        <f aca="false">E52-E51</f>
        <v>-0.0600242033998368</v>
      </c>
      <c r="L52" s="19" t="n">
        <f aca="false">F52-F51</f>
        <v>0.0183393045899268</v>
      </c>
    </row>
    <row r="53" customFormat="false" ht="15" hidden="false" customHeight="false" outlineLevel="0" collapsed="false">
      <c r="A53" s="11" t="s">
        <v>101</v>
      </c>
      <c r="B53" s="16" t="n">
        <v>457.661538461538</v>
      </c>
      <c r="C53" s="17" t="n">
        <v>-0.0239177917893462</v>
      </c>
      <c r="D53" s="17" t="n">
        <v>0.350054489762847</v>
      </c>
      <c r="E53" s="17" t="n">
        <v>0.0143431359897555</v>
      </c>
      <c r="F53" s="17" t="n">
        <v>0.00559679082443165</v>
      </c>
      <c r="H53" s="19" t="n">
        <f aca="false">IF(AND(ISNUMBER(B53),ISNUMBER(B52)),B53-B52,"")</f>
        <v>-15.9076923076924</v>
      </c>
      <c r="I53" s="19" t="n">
        <f aca="false">C53-C52</f>
        <v>0.0929246843768103</v>
      </c>
      <c r="J53" s="19" t="n">
        <f aca="false">D53-D52</f>
        <v>-0.24283692228193</v>
      </c>
      <c r="K53" s="19" t="n">
        <f aca="false">E53-E52</f>
        <v>-0.035749043779608</v>
      </c>
      <c r="L53" s="19" t="n">
        <f aca="false">F53-F52</f>
        <v>0.0205296747532824</v>
      </c>
    </row>
    <row r="54" customFormat="false" ht="15" hidden="false" customHeight="false" outlineLevel="0" collapsed="false">
      <c r="A54" s="11" t="s">
        <v>102</v>
      </c>
      <c r="B54" s="16" t="n">
        <v>417.265625</v>
      </c>
      <c r="C54" s="17" t="n">
        <v>0.0524572469807845</v>
      </c>
      <c r="D54" s="17" t="n">
        <v>0.285308652516029</v>
      </c>
      <c r="E54" s="17" t="n">
        <v>-0.0454807992108074</v>
      </c>
      <c r="F54" s="17" t="n">
        <v>0.0232658340767662</v>
      </c>
      <c r="H54" s="19" t="n">
        <f aca="false">IF(AND(ISNUMBER(B54),ISNUMBER(B53)),B54-B53,"")</f>
        <v>-40.3959134615384</v>
      </c>
      <c r="I54" s="19" t="n">
        <f aca="false">C54-C53</f>
        <v>0.0763750387701306</v>
      </c>
      <c r="J54" s="19" t="n">
        <f aca="false">D54-D53</f>
        <v>-0.0647458372468179</v>
      </c>
      <c r="K54" s="19" t="n">
        <f aca="false">E54-E53</f>
        <v>-0.0598239352005628</v>
      </c>
      <c r="L54" s="19" t="n">
        <f aca="false">F54-F53</f>
        <v>0.0176690432523345</v>
      </c>
    </row>
    <row r="55" customFormat="false" ht="15" hidden="false" customHeight="false" outlineLevel="0" collapsed="false">
      <c r="A55" s="11" t="s">
        <v>103</v>
      </c>
      <c r="B55" s="16" t="n">
        <v>417.764390625</v>
      </c>
      <c r="C55" s="17" t="n">
        <v>0.0143092701681657</v>
      </c>
      <c r="D55" s="17" t="n">
        <v>0.192194670829658</v>
      </c>
      <c r="E55" s="17" t="n">
        <v>-0.0790825368475459</v>
      </c>
      <c r="F55" s="17" t="n">
        <v>0.0385060856362685</v>
      </c>
      <c r="H55" s="19" t="n">
        <f aca="false">IF(AND(ISNUMBER(B55),ISNUMBER(B54)),B55-B54,"")</f>
        <v>0.498765624999805</v>
      </c>
      <c r="I55" s="19" t="n">
        <f aca="false">C55-C54</f>
        <v>-0.0381479768126187</v>
      </c>
      <c r="J55" s="19" t="n">
        <f aca="false">D55-D54</f>
        <v>-0.0931139816863711</v>
      </c>
      <c r="K55" s="19" t="n">
        <f aca="false">E55-E54</f>
        <v>-0.0336017376367385</v>
      </c>
      <c r="L55" s="19" t="n">
        <f aca="false">F55-F54</f>
        <v>0.0152402515595023</v>
      </c>
    </row>
    <row r="56" customFormat="false" ht="15" hidden="false" customHeight="false" outlineLevel="0" collapsed="false">
      <c r="A56" s="11" t="s">
        <v>104</v>
      </c>
      <c r="B56" s="16" t="n">
        <v>363.1925625</v>
      </c>
      <c r="C56" s="17" t="n">
        <v>0.00583013263178356</v>
      </c>
      <c r="D56" s="17" t="n">
        <v>0.11210963576289</v>
      </c>
      <c r="E56" s="17" t="n">
        <v>0.00439563837242929</v>
      </c>
      <c r="F56" s="17" t="n">
        <v>0.0453268482640472</v>
      </c>
      <c r="H56" s="19" t="n">
        <f aca="false">IF(AND(ISNUMBER(B56),ISNUMBER(B55)),B56-B55,"")</f>
        <v>-54.5718281249997</v>
      </c>
      <c r="I56" s="19" t="n">
        <f aca="false">C56-C55</f>
        <v>-0.00847913753638218</v>
      </c>
      <c r="J56" s="19" t="n">
        <f aca="false">D56-D55</f>
        <v>-0.0800850350667679</v>
      </c>
      <c r="K56" s="19" t="n">
        <f aca="false">E56-E55</f>
        <v>0.0834781752199751</v>
      </c>
      <c r="L56" s="19" t="n">
        <f aca="false">F56-F55</f>
        <v>0.00682076262777875</v>
      </c>
    </row>
    <row r="57" customFormat="false" ht="15" hidden="false" customHeight="false" outlineLevel="0" collapsed="false">
      <c r="A57" s="11" t="s">
        <v>105</v>
      </c>
      <c r="B57" s="16" t="n">
        <v>391.724661290322</v>
      </c>
      <c r="C57" s="17" t="n">
        <v>0.0215080939713706</v>
      </c>
      <c r="D57" s="17" t="n">
        <v>0.184685548367579</v>
      </c>
      <c r="E57" s="17" t="n">
        <v>0.020040297974653</v>
      </c>
      <c r="F57" s="17" t="n">
        <v>0.0379774021814201</v>
      </c>
      <c r="H57" s="19" t="n">
        <f aca="false">IF(AND(ISNUMBER(B57),ISNUMBER(B56)),B57-B56,"")</f>
        <v>28.5320987903223</v>
      </c>
      <c r="I57" s="19" t="n">
        <f aca="false">C57-C56</f>
        <v>0.015677961339587</v>
      </c>
      <c r="J57" s="19" t="n">
        <f aca="false">D57-D56</f>
        <v>0.072575912604689</v>
      </c>
      <c r="K57" s="19" t="n">
        <f aca="false">E57-E56</f>
        <v>0.0156446596022237</v>
      </c>
      <c r="L57" s="19" t="n">
        <f aca="false">F57-F56</f>
        <v>-0.00734944608262711</v>
      </c>
    </row>
    <row r="58" customFormat="false" ht="15" hidden="false" customHeight="false" outlineLevel="0" collapsed="false">
      <c r="A58" s="11" t="s">
        <v>106</v>
      </c>
      <c r="B58" s="16" t="n">
        <v>468.946476923077</v>
      </c>
      <c r="C58" s="17" t="n">
        <v>-0.0527729109335391</v>
      </c>
      <c r="D58" s="17" t="n">
        <v>0.200832512024495</v>
      </c>
      <c r="E58" s="17" t="n">
        <v>0.0816650452080656</v>
      </c>
      <c r="F58" s="17" t="n">
        <v>-0.039790994073943</v>
      </c>
      <c r="H58" s="19" t="n">
        <f aca="false">IF(AND(ISNUMBER(B58),ISNUMBER(B57)),B58-B57,"")</f>
        <v>77.2218156327545</v>
      </c>
      <c r="I58" s="19" t="n">
        <f aca="false">C58-C57</f>
        <v>-0.0742810049049096</v>
      </c>
      <c r="J58" s="19" t="n">
        <f aca="false">D58-D57</f>
        <v>0.016146963656916</v>
      </c>
      <c r="K58" s="19" t="n">
        <f aca="false">E58-E57</f>
        <v>0.0616247472334126</v>
      </c>
      <c r="L58" s="19" t="n">
        <f aca="false">F58-F57</f>
        <v>-0.0777683962553631</v>
      </c>
    </row>
    <row r="59" customFormat="false" ht="15" hidden="false" customHeight="false" outlineLevel="0" collapsed="false">
      <c r="A59" s="11" t="s">
        <v>107</v>
      </c>
      <c r="B59" s="16" t="n">
        <v>635.11576119403</v>
      </c>
      <c r="C59" s="17" t="n">
        <v>-0.0230142843222727</v>
      </c>
      <c r="D59" s="17" t="n">
        <v>0.221086487495453</v>
      </c>
      <c r="E59" s="17" t="n">
        <v>0.0136264820572452</v>
      </c>
      <c r="F59" s="17" t="n">
        <v>-0.0346944038739507</v>
      </c>
      <c r="H59" s="19" t="n">
        <f aca="false">IF(AND(ISNUMBER(B59),ISNUMBER(B58)),B59-B58,"")</f>
        <v>166.169284270953</v>
      </c>
      <c r="I59" s="19" t="n">
        <f aca="false">C59-C58</f>
        <v>0.0297586266112664</v>
      </c>
      <c r="J59" s="19" t="n">
        <f aca="false">D59-D58</f>
        <v>0.0202539754709583</v>
      </c>
      <c r="K59" s="19" t="n">
        <f aca="false">E59-E58</f>
        <v>-0.0680385631508205</v>
      </c>
      <c r="L59" s="19" t="n">
        <f aca="false">F59-F58</f>
        <v>0.00509659019999231</v>
      </c>
    </row>
    <row r="60" customFormat="false" ht="15" hidden="false" customHeight="false" outlineLevel="0" collapsed="false">
      <c r="A60" s="11" t="s">
        <v>108</v>
      </c>
      <c r="B60" s="16" t="n">
        <v>691.6339375</v>
      </c>
      <c r="C60" s="17" t="n">
        <v>-0.0731605453380152</v>
      </c>
      <c r="D60" s="17" t="n">
        <v>0.272258456299406</v>
      </c>
      <c r="E60" s="17" t="n">
        <v>-0.0659615951903827</v>
      </c>
      <c r="F60" s="17" t="n">
        <v>-0.0633973916700751</v>
      </c>
      <c r="H60" s="19" t="n">
        <f aca="false">IF(AND(ISNUMBER(B60),ISNUMBER(B59)),B60-B59,"")</f>
        <v>56.51817630597</v>
      </c>
      <c r="I60" s="19" t="n">
        <f aca="false">C60-C59</f>
        <v>-0.0501462610157425</v>
      </c>
      <c r="J60" s="19" t="n">
        <f aca="false">D60-D59</f>
        <v>0.0511719688039525</v>
      </c>
      <c r="K60" s="19" t="n">
        <f aca="false">E60-E59</f>
        <v>-0.0795880772476278</v>
      </c>
      <c r="L60" s="19" t="n">
        <f aca="false">F60-F59</f>
        <v>-0.0287029877961243</v>
      </c>
    </row>
    <row r="61" customFormat="false" ht="15" hidden="false" customHeight="false" outlineLevel="0" collapsed="false">
      <c r="A61" s="11" t="s">
        <v>109</v>
      </c>
      <c r="B61" s="16" t="n">
        <v>710.835638888889</v>
      </c>
      <c r="C61" s="17" t="n">
        <v>-0.123187672025664</v>
      </c>
      <c r="D61" s="17" t="n">
        <v>0.30866910332378</v>
      </c>
      <c r="E61" s="17" t="n">
        <v>-0.0307671025993074</v>
      </c>
      <c r="F61" s="17" t="n">
        <v>-0.0586372539873753</v>
      </c>
      <c r="H61" s="19" t="n">
        <f aca="false">IF(AND(ISNUMBER(B61),ISNUMBER(B60)),B61-B60,"")</f>
        <v>19.2017013888889</v>
      </c>
      <c r="I61" s="19" t="n">
        <f aca="false">C61-C60</f>
        <v>-0.0500271266876492</v>
      </c>
      <c r="J61" s="19" t="n">
        <f aca="false">D61-D60</f>
        <v>0.0364106470243743</v>
      </c>
      <c r="K61" s="19" t="n">
        <f aca="false">E61-E60</f>
        <v>0.0351944925910753</v>
      </c>
      <c r="L61" s="19" t="n">
        <f aca="false">F61-F60</f>
        <v>0.00476013768269978</v>
      </c>
    </row>
    <row r="62" customFormat="false" ht="15" hidden="false" customHeight="false" outlineLevel="0" collapsed="false">
      <c r="A62" s="11" t="s">
        <v>110</v>
      </c>
      <c r="B62" s="16" t="n">
        <v>873.625898550725</v>
      </c>
      <c r="C62" s="17" t="n">
        <v>-0.123073375139329</v>
      </c>
      <c r="D62" s="17" t="n">
        <v>0.363627699863024</v>
      </c>
      <c r="E62" s="17" t="n">
        <v>-0.0577907417263012</v>
      </c>
      <c r="F62" s="17" t="n">
        <v>0.00582819893603537</v>
      </c>
      <c r="H62" s="19" t="n">
        <f aca="false">IF(AND(ISNUMBER(B62),ISNUMBER(B61)),B62-B61,"")</f>
        <v>162.790259661836</v>
      </c>
      <c r="I62" s="19" t="n">
        <f aca="false">C62-C61</f>
        <v>0.000114296886335796</v>
      </c>
      <c r="J62" s="19" t="n">
        <f aca="false">D62-D61</f>
        <v>0.0549585965392439</v>
      </c>
      <c r="K62" s="19" t="n">
        <f aca="false">E62-E61</f>
        <v>-0.0270236391269938</v>
      </c>
      <c r="L62" s="19" t="n">
        <f aca="false">F62-F61</f>
        <v>0.0644654529234107</v>
      </c>
    </row>
    <row r="63" customFormat="false" ht="15" hidden="false" customHeight="false" outlineLevel="0" collapsed="false">
      <c r="A63" s="11" t="s">
        <v>111</v>
      </c>
      <c r="B63" s="16" t="n">
        <v>1553.24458536585</v>
      </c>
      <c r="C63" s="17" t="n">
        <v>-0.146986580926159</v>
      </c>
      <c r="D63" s="17" t="n">
        <v>0.452417032230518</v>
      </c>
      <c r="E63" s="17" t="n">
        <v>0.00905901460325875</v>
      </c>
      <c r="F63" s="17" t="n">
        <v>-0.0175271616356651</v>
      </c>
      <c r="H63" s="19" t="n">
        <f aca="false">IF(AND(ISNUMBER(B63),ISNUMBER(B62)),B63-B62,"")</f>
        <v>679.618686815129</v>
      </c>
      <c r="I63" s="19" t="n">
        <f aca="false">C63-C62</f>
        <v>-0.0239132057868301</v>
      </c>
      <c r="J63" s="19" t="n">
        <f aca="false">D63-D62</f>
        <v>0.088789332367494</v>
      </c>
      <c r="K63" s="19" t="n">
        <f aca="false">E63-E62</f>
        <v>0.0668497563295599</v>
      </c>
      <c r="L63" s="19" t="n">
        <f aca="false">F63-F62</f>
        <v>-0.0233553605717005</v>
      </c>
    </row>
    <row r="64" customFormat="false" ht="15" hidden="false" customHeight="false" outlineLevel="0" collapsed="false">
      <c r="A64" s="11" t="s">
        <v>112</v>
      </c>
      <c r="B64" s="16" t="n">
        <v>2152.12583695652</v>
      </c>
      <c r="C64" s="17" t="n">
        <v>-0.191423635260996</v>
      </c>
      <c r="D64" s="17" t="n">
        <v>0.3548</v>
      </c>
      <c r="E64" s="17" t="n">
        <v>0.0535911401897107</v>
      </c>
      <c r="F64" s="17" t="n">
        <v>-0.0107484273951806</v>
      </c>
      <c r="H64" s="19" t="n">
        <f aca="false">IF(AND(ISNUMBER(B64),ISNUMBER(B63)),B64-B63,"")</f>
        <v>598.881251590669</v>
      </c>
      <c r="I64" s="19" t="n">
        <f aca="false">C64-C63</f>
        <v>-0.0444370543348369</v>
      </c>
      <c r="J64" s="19" t="n">
        <f aca="false">D64-D63</f>
        <v>-0.0976170322305177</v>
      </c>
      <c r="K64" s="19" t="n">
        <f aca="false">E64-E63</f>
        <v>0.0445321255864519</v>
      </c>
      <c r="L64" s="19" t="n">
        <f aca="false">F64-F63</f>
        <v>0.00677873424048458</v>
      </c>
    </row>
    <row r="65" customFormat="false" ht="15" hidden="false" customHeight="false" outlineLevel="0" collapsed="false">
      <c r="A65" s="11" t="s">
        <v>113</v>
      </c>
      <c r="B65" s="16" t="n">
        <v>2339.24403614458</v>
      </c>
      <c r="C65" s="17" t="n">
        <v>-0.0764776255884909</v>
      </c>
      <c r="D65" s="17" t="n">
        <v>0.575876901929335</v>
      </c>
      <c r="E65" s="17" t="n">
        <v>0.0186531291205516</v>
      </c>
      <c r="F65" s="17" t="n">
        <v>-0.0502506965865937</v>
      </c>
      <c r="H65" s="19" t="n">
        <f aca="false">IF(AND(ISNUMBER(B65),ISNUMBER(B64)),B65-B64,"")</f>
        <v>187.118199188056</v>
      </c>
      <c r="I65" s="19" t="n">
        <f aca="false">C65-C64</f>
        <v>0.114946009672505</v>
      </c>
      <c r="J65" s="19" t="n">
        <f aca="false">D65-D64</f>
        <v>0.221076901929335</v>
      </c>
      <c r="K65" s="19" t="n">
        <f aca="false">E65-E64</f>
        <v>-0.0349380110691591</v>
      </c>
      <c r="L65" s="19" t="n">
        <f aca="false">F65-F64</f>
        <v>-0.0395022691914131</v>
      </c>
    </row>
    <row r="66" customFormat="false" ht="15" hidden="false" customHeight="false" outlineLevel="0" collapsed="false">
      <c r="A66" s="11" t="s">
        <v>114</v>
      </c>
      <c r="B66" s="16" t="n">
        <v>3096.11088888889</v>
      </c>
      <c r="C66" s="17" t="n">
        <v>0.185703438057814</v>
      </c>
      <c r="D66" s="17" t="n">
        <v>0.871830309310529</v>
      </c>
      <c r="E66" s="17" t="n">
        <v>-0.0288376336959925</v>
      </c>
      <c r="F66" s="17" t="n">
        <v>-0.189421940385846</v>
      </c>
      <c r="H66" s="19" t="n">
        <f aca="false">IF(AND(ISNUMBER(B66),ISNUMBER(B65)),B66-B65,"")</f>
        <v>756.86685274431</v>
      </c>
      <c r="I66" s="19" t="n">
        <f aca="false">C66-C65</f>
        <v>0.262181063646304</v>
      </c>
      <c r="J66" s="19" t="n">
        <f aca="false">D66-D65</f>
        <v>0.295953407381194</v>
      </c>
      <c r="K66" s="19" t="n">
        <f aca="false">E66-E65</f>
        <v>-0.0474907628165441</v>
      </c>
      <c r="L66" s="19" t="n">
        <f aca="false">F66-F65</f>
        <v>-0.139171243799252</v>
      </c>
    </row>
    <row r="67" customFormat="false" ht="15" hidden="false" customHeight="false" outlineLevel="0" collapsed="false">
      <c r="A67" s="11" t="s">
        <v>115</v>
      </c>
      <c r="B67" s="16" t="n">
        <v>1998.70695454545</v>
      </c>
      <c r="C67" s="17" t="n">
        <v>0.305364489239062</v>
      </c>
      <c r="D67" s="17" t="n">
        <v>0.626826879852077</v>
      </c>
      <c r="E67" s="17" t="n">
        <v>0.00181807297188485</v>
      </c>
      <c r="F67" s="17" t="n">
        <v>-0.101927662759163</v>
      </c>
      <c r="H67" s="19" t="n">
        <f aca="false">IF(AND(ISNUMBER(B67),ISNUMBER(B66)),B67-B66,"")</f>
        <v>-1097.40393434344</v>
      </c>
      <c r="I67" s="19" t="n">
        <f aca="false">C67-C66</f>
        <v>0.119661051181248</v>
      </c>
      <c r="J67" s="19" t="n">
        <f aca="false">D67-D66</f>
        <v>-0.245003429458452</v>
      </c>
      <c r="K67" s="19" t="n">
        <f aca="false">E67-E66</f>
        <v>0.0306557066678773</v>
      </c>
      <c r="L67" s="19" t="n">
        <f aca="false">F67-F66</f>
        <v>0.0874942776266831</v>
      </c>
    </row>
    <row r="68" customFormat="false" ht="15" hidden="false" customHeight="false" outlineLevel="0" collapsed="false">
      <c r="A68" s="11" t="s">
        <v>116</v>
      </c>
      <c r="B68" s="16" t="n">
        <v>1391.81681538462</v>
      </c>
      <c r="C68" s="17" t="n">
        <v>0.369601994334412</v>
      </c>
      <c r="D68" s="17" t="n">
        <v>0.49579908986106</v>
      </c>
      <c r="E68" s="17" t="n">
        <v>0.0294739649102771</v>
      </c>
      <c r="F68" s="17" t="n">
        <v>-0.0431329947641036</v>
      </c>
      <c r="H68" s="19" t="n">
        <f aca="false">IF(AND(ISNUMBER(B68),ISNUMBER(B67)),B68-B67,"")</f>
        <v>-606.890139160839</v>
      </c>
      <c r="I68" s="19" t="n">
        <f aca="false">C68-C67</f>
        <v>0.0642375050953509</v>
      </c>
      <c r="J68" s="19" t="n">
        <f aca="false">D68-D67</f>
        <v>-0.131027789991017</v>
      </c>
      <c r="K68" s="19" t="n">
        <f aca="false">E68-E67</f>
        <v>0.0276558919383922</v>
      </c>
      <c r="L68" s="19" t="n">
        <f aca="false">F68-F67</f>
        <v>0.0587946679950591</v>
      </c>
    </row>
    <row r="69" customFormat="false" ht="15" hidden="false" customHeight="false" outlineLevel="0" collapsed="false">
      <c r="A69" s="11" t="s">
        <v>117</v>
      </c>
      <c r="B69" s="16" t="n">
        <v>1492.04128571429</v>
      </c>
      <c r="C69" s="17" t="n">
        <v>0.175963133598871</v>
      </c>
      <c r="D69" s="17" t="n">
        <v>0.414694566504627</v>
      </c>
      <c r="E69" s="17" t="n">
        <v>0.117884069306395</v>
      </c>
      <c r="F69" s="17" t="n">
        <v>0.0323260077948051</v>
      </c>
      <c r="H69" s="19" t="n">
        <f aca="false">IF(AND(ISNUMBER(B69),ISNUMBER(B68)),B69-B68,"")</f>
        <v>100.224470329671</v>
      </c>
      <c r="I69" s="19" t="n">
        <f aca="false">C69-C68</f>
        <v>-0.193638860735541</v>
      </c>
      <c r="J69" s="19" t="n">
        <f aca="false">D69-D68</f>
        <v>-0.0811045233564329</v>
      </c>
      <c r="K69" s="19" t="n">
        <f aca="false">E69-E68</f>
        <v>0.0884101043961178</v>
      </c>
      <c r="L69" s="19" t="n">
        <f aca="false">F69-F68</f>
        <v>0.0754590025589087</v>
      </c>
    </row>
    <row r="70" customFormat="false" ht="15" hidden="false" customHeight="false" outlineLevel="0" collapsed="false">
      <c r="A70" s="11" t="s">
        <v>118</v>
      </c>
      <c r="B70" s="16" t="n">
        <v>1543.4644</v>
      </c>
      <c r="C70" s="17" t="n">
        <v>-0.0687862848682503</v>
      </c>
      <c r="D70" s="17" t="n">
        <v>0.250427604992522</v>
      </c>
      <c r="E70" s="17" t="n">
        <v>0.143529715023163</v>
      </c>
      <c r="F70" s="17" t="n">
        <v>0.187299607796633</v>
      </c>
      <c r="H70" s="19" t="n">
        <f aca="false">IF(AND(ISNUMBER(B70),ISNUMBER(B69)),B70-B69,"")</f>
        <v>51.4231142857141</v>
      </c>
      <c r="I70" s="19" t="n">
        <f aca="false">C70-C69</f>
        <v>-0.244749418467121</v>
      </c>
      <c r="J70" s="19" t="n">
        <f aca="false">D70-D69</f>
        <v>-0.164266961512105</v>
      </c>
      <c r="K70" s="19" t="n">
        <f aca="false">E70-E69</f>
        <v>0.025645645716768</v>
      </c>
      <c r="L70" s="19" t="n">
        <f aca="false">F70-F69</f>
        <v>0.154973600001828</v>
      </c>
    </row>
    <row r="71" customFormat="false" ht="15" hidden="false" customHeight="false" outlineLevel="0" collapsed="false">
      <c r="A71" s="11" t="s">
        <v>119</v>
      </c>
      <c r="B71" s="16" t="n">
        <v>1568.15139130435</v>
      </c>
      <c r="C71" s="17" t="n">
        <v>-0.0532486979446212</v>
      </c>
      <c r="D71" s="17" t="n">
        <v>0.500070631404211</v>
      </c>
      <c r="E71" s="17" t="n">
        <v>0.0775814811889699</v>
      </c>
      <c r="F71" s="17" t="n">
        <v>0.118145356665691</v>
      </c>
      <c r="H71" s="19" t="n">
        <f aca="false">IF(AND(ISNUMBER(B71),ISNUMBER(B70)),B71-B70,"")</f>
        <v>24.6869913043479</v>
      </c>
      <c r="I71" s="19" t="n">
        <f aca="false">C71-C70</f>
        <v>0.0155375869236292</v>
      </c>
      <c r="J71" s="19" t="n">
        <f aca="false">D71-D70</f>
        <v>0.249643026411689</v>
      </c>
      <c r="K71" s="19" t="n">
        <f aca="false">E71-E70</f>
        <v>-0.065948233834193</v>
      </c>
      <c r="L71" s="19" t="n">
        <f aca="false">F71-F70</f>
        <v>-0.0691542511309424</v>
      </c>
    </row>
    <row r="72" customFormat="false" ht="15" hidden="false" customHeight="false" outlineLevel="0" collapsed="false">
      <c r="A72" s="11" t="s">
        <v>120</v>
      </c>
      <c r="B72" s="16" t="n">
        <v>1712.31386956522</v>
      </c>
      <c r="C72" s="17" t="n">
        <v>-0.0159975558547977</v>
      </c>
      <c r="D72" s="17" t="n">
        <v>0.784624491090427</v>
      </c>
      <c r="E72" s="17" t="n">
        <v>0.0496077579991747</v>
      </c>
      <c r="F72" s="17" t="n">
        <v>0.08364113941174</v>
      </c>
      <c r="H72" s="19" t="n">
        <f aca="false">IF(AND(ISNUMBER(B72),ISNUMBER(B71)),B72-B71,"")</f>
        <v>144.162478260869</v>
      </c>
      <c r="I72" s="19" t="n">
        <f aca="false">C72-C71</f>
        <v>0.0372511420898235</v>
      </c>
      <c r="J72" s="19" t="n">
        <f aca="false">D72-D71</f>
        <v>0.284553859686216</v>
      </c>
      <c r="K72" s="19" t="n">
        <f aca="false">E72-E71</f>
        <v>-0.0279737231897952</v>
      </c>
      <c r="L72" s="19" t="n">
        <f aca="false">F72-F71</f>
        <v>-0.0345042172539505</v>
      </c>
    </row>
    <row r="73" customFormat="false" ht="15" hidden="false" customHeight="false" outlineLevel="0" collapsed="false">
      <c r="A73" s="11" t="s">
        <v>121</v>
      </c>
      <c r="B73" s="16" t="n">
        <v>1807.04372222222</v>
      </c>
      <c r="C73" s="17" t="n">
        <v>0.0195040598594907</v>
      </c>
      <c r="D73" s="17" t="n">
        <v>0.617548411284136</v>
      </c>
      <c r="E73" s="17" t="n">
        <v>0.036028121253632</v>
      </c>
      <c r="F73" s="17" t="n">
        <v>0.0686138387185451</v>
      </c>
      <c r="H73" s="19" t="n">
        <f aca="false">IF(AND(ISNUMBER(B73),ISNUMBER(B72)),B73-B72,"")</f>
        <v>94.729852657005</v>
      </c>
      <c r="I73" s="19" t="n">
        <f aca="false">C73-C72</f>
        <v>0.0355016157142883</v>
      </c>
      <c r="J73" s="19" t="n">
        <f aca="false">D73-D72</f>
        <v>-0.167076079806291</v>
      </c>
      <c r="K73" s="19" t="n">
        <f aca="false">E73-E72</f>
        <v>-0.0135796367455427</v>
      </c>
      <c r="L73" s="19" t="n">
        <f aca="false">F73-F72</f>
        <v>-0.0150273006931949</v>
      </c>
    </row>
    <row r="74" customFormat="false" ht="15" hidden="false" customHeight="false" outlineLevel="0" collapsed="false">
      <c r="A74" s="11" t="s">
        <v>122</v>
      </c>
      <c r="B74" s="16" t="n">
        <v>1918.61072527473</v>
      </c>
      <c r="C74" s="17" t="n">
        <v>0.0127622795944336</v>
      </c>
      <c r="D74" s="17" t="n">
        <v>0.78676910949473</v>
      </c>
      <c r="E74" s="17" t="n">
        <v>-0.0306221671490317</v>
      </c>
      <c r="F74" s="17" t="n">
        <v>0.0813001446194395</v>
      </c>
      <c r="H74" s="19" t="n">
        <f aca="false">IF(AND(ISNUMBER(B74),ISNUMBER(B73)),B74-B73,"")</f>
        <v>111.567003052503</v>
      </c>
      <c r="I74" s="19" t="n">
        <f aca="false">C74-C73</f>
        <v>-0.00674178026505711</v>
      </c>
      <c r="J74" s="19" t="n">
        <f aca="false">D74-D73</f>
        <v>0.169220698210594</v>
      </c>
      <c r="K74" s="19" t="n">
        <f aca="false">E74-E73</f>
        <v>-0.0666502884026636</v>
      </c>
      <c r="L74" s="19" t="n">
        <f aca="false">F74-F73</f>
        <v>0.0126863059008944</v>
      </c>
    </row>
    <row r="75" customFormat="false" ht="15" hidden="false" customHeight="false" outlineLevel="0" collapsed="false">
      <c r="A75" s="11" t="s">
        <v>123</v>
      </c>
      <c r="B75" s="16" t="n">
        <v>2532.03854666667</v>
      </c>
      <c r="C75" s="17" t="n">
        <v>-0.0244173185065185</v>
      </c>
      <c r="D75" s="17" t="n">
        <v>0.713259808316341</v>
      </c>
      <c r="E75" s="17" t="n">
        <v>-0.0600674129874358</v>
      </c>
      <c r="F75" s="17" t="n">
        <v>0.066844213632383</v>
      </c>
      <c r="H75" s="19" t="n">
        <f aca="false">IF(AND(ISNUMBER(B75),ISNUMBER(B74)),B75-B74,"")</f>
        <v>613.427821391941</v>
      </c>
      <c r="I75" s="19" t="n">
        <f aca="false">C75-C74</f>
        <v>-0.0371795981009521</v>
      </c>
      <c r="J75" s="19" t="n">
        <f aca="false">D75-D74</f>
        <v>-0.0735093011783898</v>
      </c>
      <c r="K75" s="19" t="n">
        <f aca="false">E75-E74</f>
        <v>-0.0294452458384041</v>
      </c>
      <c r="L75" s="19" t="n">
        <f aca="false">F75-F74</f>
        <v>-0.0144559309870564</v>
      </c>
    </row>
    <row r="76" customFormat="false" ht="15" hidden="false" customHeight="false" outlineLevel="0" collapsed="false">
      <c r="A76" s="11" t="s">
        <v>124</v>
      </c>
      <c r="B76" s="16" t="n">
        <v>2462.75393478261</v>
      </c>
      <c r="C76" s="17" t="n">
        <v>-0.0496809971557082</v>
      </c>
      <c r="D76" s="17" t="n">
        <v>0.63940958982149</v>
      </c>
      <c r="E76" s="17" t="n">
        <v>0.0528409603764237</v>
      </c>
      <c r="F76" s="17" t="n">
        <v>0.023854276267842</v>
      </c>
      <c r="H76" s="19" t="n">
        <f aca="false">IF(AND(ISNUMBER(B76),ISNUMBER(B75)),B76-B75,"")</f>
        <v>-69.2846118840562</v>
      </c>
      <c r="I76" s="19" t="n">
        <f aca="false">C76-C75</f>
        <v>-0.0252636786491897</v>
      </c>
      <c r="J76" s="19" t="n">
        <f aca="false">D76-D75</f>
        <v>-0.0738502184948509</v>
      </c>
      <c r="K76" s="19" t="n">
        <f aca="false">E76-E75</f>
        <v>0.11290837336386</v>
      </c>
      <c r="L76" s="19" t="n">
        <f aca="false">F76-F75</f>
        <v>-0.042989937364541</v>
      </c>
    </row>
    <row r="77" customFormat="false" ht="15" hidden="false" customHeight="false" outlineLevel="0" collapsed="false">
      <c r="A77" s="11" t="s">
        <v>125</v>
      </c>
      <c r="B77" s="16" t="n">
        <v>2085.99497777778</v>
      </c>
      <c r="C77" s="17" t="n">
        <v>-0.0548662138193043</v>
      </c>
      <c r="D77" s="17" t="n">
        <v>1.00650918210927</v>
      </c>
      <c r="E77" s="17" t="n">
        <v>-0.063950016368106</v>
      </c>
      <c r="F77" s="17" t="n">
        <v>0.00911982377224452</v>
      </c>
      <c r="H77" s="19" t="n">
        <f aca="false">IF(AND(ISNUMBER(B77),ISNUMBER(B76)),B77-B76,"")</f>
        <v>-376.758957004832</v>
      </c>
      <c r="I77" s="19" t="n">
        <f aca="false">C77-C76</f>
        <v>-0.00518521666359616</v>
      </c>
      <c r="J77" s="19" t="n">
        <f aca="false">D77-D76</f>
        <v>0.367099592287782</v>
      </c>
      <c r="K77" s="19" t="n">
        <f aca="false">E77-E76</f>
        <v>-0.11679097674453</v>
      </c>
      <c r="L77" s="19" t="n">
        <f aca="false">F77-F76</f>
        <v>-0.0147344524955975</v>
      </c>
    </row>
    <row r="78" customFormat="false" ht="15" hidden="false" customHeight="false" outlineLevel="0" collapsed="false">
      <c r="A78" s="11" t="s">
        <v>126</v>
      </c>
      <c r="B78" s="16" t="n">
        <v>2482.34095061728</v>
      </c>
      <c r="C78" s="17" t="n">
        <v>-0.07604765516223</v>
      </c>
      <c r="D78" s="17" t="n">
        <v>0.998537571924597</v>
      </c>
      <c r="E78" s="17" t="n">
        <v>-0.0483958819227817</v>
      </c>
      <c r="F78" s="17" t="n">
        <v>-0.0567487243252599</v>
      </c>
      <c r="H78" s="19" t="n">
        <f aca="false">IF(AND(ISNUMBER(B78),ISNUMBER(B77)),B78-B77,"")</f>
        <v>396.345972839506</v>
      </c>
      <c r="I78" s="19" t="n">
        <f aca="false">C78-C77</f>
        <v>-0.0211814413429257</v>
      </c>
      <c r="J78" s="19" t="n">
        <f aca="false">D78-D77</f>
        <v>-0.00797161018467474</v>
      </c>
      <c r="K78" s="19" t="n">
        <f aca="false">E78-E77</f>
        <v>0.0155541344453244</v>
      </c>
      <c r="L78" s="19" t="n">
        <f aca="false">F78-F77</f>
        <v>-0.0658685480975044</v>
      </c>
    </row>
    <row r="79" customFormat="false" ht="15" hidden="false" customHeight="false" outlineLevel="0" collapsed="false">
      <c r="A79" s="11" t="s">
        <v>127</v>
      </c>
      <c r="B79" s="16" t="n">
        <v>2088.37973417722</v>
      </c>
      <c r="C79" s="17" t="n">
        <v>-0.131285711761803</v>
      </c>
      <c r="D79" s="17" t="n">
        <v>1.18191386651674</v>
      </c>
      <c r="E79" s="17" t="n">
        <v>0.0299112435077718</v>
      </c>
      <c r="F79" s="17" t="n">
        <v>-0.00549172525238073</v>
      </c>
      <c r="H79" s="19" t="n">
        <f aca="false">IF(AND(ISNUMBER(B79),ISNUMBER(B78)),B79-B78,"")</f>
        <v>-393.961216440069</v>
      </c>
      <c r="I79" s="19" t="n">
        <f aca="false">C79-C78</f>
        <v>-0.0552380565995734</v>
      </c>
      <c r="J79" s="19" t="n">
        <f aca="false">D79-D78</f>
        <v>0.183376294592147</v>
      </c>
      <c r="K79" s="19" t="n">
        <f aca="false">E79-E78</f>
        <v>0.0783071254305534</v>
      </c>
      <c r="L79" s="19" t="n">
        <f aca="false">F79-F78</f>
        <v>0.0512569990728792</v>
      </c>
    </row>
    <row r="80" customFormat="false" ht="15" hidden="false" customHeight="false" outlineLevel="0" collapsed="false">
      <c r="A80" s="11" t="s">
        <v>128</v>
      </c>
      <c r="B80" s="16" t="n">
        <v>2210.46063380282</v>
      </c>
      <c r="C80" s="17" t="n">
        <v>-0.236116080959184</v>
      </c>
      <c r="D80" s="17" t="n">
        <v>1.62643281719269</v>
      </c>
      <c r="E80" s="17" t="n">
        <v>-0.0758940423236137</v>
      </c>
      <c r="F80" s="17" t="n">
        <v>-0.0171598554874708</v>
      </c>
      <c r="H80" s="19" t="n">
        <f aca="false">IF(AND(ISNUMBER(B80),ISNUMBER(B79)),B80-B79,"")</f>
        <v>122.080899625603</v>
      </c>
      <c r="I80" s="19" t="n">
        <f aca="false">C80-C79</f>
        <v>-0.104830369197381</v>
      </c>
      <c r="J80" s="19" t="n">
        <f aca="false">D80-D79</f>
        <v>0.44451895067595</v>
      </c>
      <c r="K80" s="19" t="n">
        <f aca="false">E80-E79</f>
        <v>-0.105805285831385</v>
      </c>
      <c r="L80" s="19" t="n">
        <f aca="false">F80-F79</f>
        <v>-0.0116681302350901</v>
      </c>
    </row>
    <row r="81" customFormat="false" ht="15" hidden="false" customHeight="false" outlineLevel="0" collapsed="false">
      <c r="A81" s="11" t="s">
        <v>129</v>
      </c>
      <c r="B81" s="16" t="n">
        <v>1755.52208</v>
      </c>
      <c r="C81" s="17" t="n">
        <v>-0.335645872225436</v>
      </c>
      <c r="D81" s="17" t="n">
        <v>1.44053998328844</v>
      </c>
      <c r="E81" s="17" t="n">
        <v>-0.0291196109681151</v>
      </c>
      <c r="F81" s="17" t="n">
        <v>-0.0496170325779741</v>
      </c>
      <c r="H81" s="19" t="n">
        <f aca="false">IF(AND(ISNUMBER(B81),ISNUMBER(B80)),B81-B80,"")</f>
        <v>-454.938553802817</v>
      </c>
      <c r="I81" s="19" t="n">
        <f aca="false">C81-C80</f>
        <v>-0.0995297912662513</v>
      </c>
      <c r="J81" s="19" t="n">
        <f aca="false">D81-D80</f>
        <v>-0.185892833904252</v>
      </c>
      <c r="K81" s="19" t="n">
        <f aca="false">E81-E80</f>
        <v>0.0467744313554986</v>
      </c>
      <c r="L81" s="19" t="n">
        <f aca="false">F81-F80</f>
        <v>-0.0324571770905033</v>
      </c>
    </row>
    <row r="82" customFormat="false" ht="15" hidden="false" customHeight="false" outlineLevel="0" collapsed="false">
      <c r="A82" s="11" t="s">
        <v>130</v>
      </c>
      <c r="B82" s="16" t="n">
        <v>1343.77188059702</v>
      </c>
      <c r="C82" s="17" t="n">
        <v>-0.251664772237069</v>
      </c>
      <c r="D82" s="17" t="n">
        <v>1.65226475372861</v>
      </c>
      <c r="E82" s="17" t="n">
        <v>-0.0215461222875457</v>
      </c>
      <c r="F82" s="17" t="n">
        <v>-0.0108329991805178</v>
      </c>
      <c r="H82" s="19" t="n">
        <f aca="false">IF(AND(ISNUMBER(B82),ISNUMBER(B81)),B82-B81,"")</f>
        <v>-411.750199402986</v>
      </c>
      <c r="I82" s="19" t="n">
        <f aca="false">C82-C81</f>
        <v>0.0839810999883668</v>
      </c>
      <c r="J82" s="19" t="n">
        <f aca="false">D82-D81</f>
        <v>0.211724770440168</v>
      </c>
      <c r="K82" s="19" t="n">
        <f aca="false">E82-E81</f>
        <v>0.0075734886805694</v>
      </c>
      <c r="L82" s="19" t="n">
        <f aca="false">F82-F81</f>
        <v>0.0387840333974563</v>
      </c>
    </row>
    <row r="83" customFormat="false" ht="15" hidden="false" customHeight="false" outlineLevel="0" collapsed="false">
      <c r="A83" s="11" t="s">
        <v>131</v>
      </c>
      <c r="B83" s="16" t="n">
        <v>1484.54545454546</v>
      </c>
      <c r="C83" s="17" t="n">
        <v>-0.193270893828479</v>
      </c>
      <c r="D83" s="17" t="n">
        <v>1.53796276166908</v>
      </c>
      <c r="E83" s="17" t="n">
        <v>-0.0405177129351777</v>
      </c>
      <c r="F83" s="17" t="n">
        <v>-0.0193706719869603</v>
      </c>
      <c r="H83" s="19" t="n">
        <f aca="false">IF(AND(ISNUMBER(B83),ISNUMBER(B82)),B83-B82,"")</f>
        <v>140.77357394844</v>
      </c>
      <c r="I83" s="19" t="n">
        <f aca="false">C83-C82</f>
        <v>0.0583938784085901</v>
      </c>
      <c r="J83" s="19" t="n">
        <f aca="false">D83-D82</f>
        <v>-0.11430199205953</v>
      </c>
      <c r="K83" s="19" t="n">
        <f aca="false">E83-E82</f>
        <v>-0.018971590647632</v>
      </c>
      <c r="L83" s="19" t="n">
        <f aca="false">F83-F82</f>
        <v>-0.00853767280644247</v>
      </c>
    </row>
    <row r="84" customFormat="false" ht="15" hidden="false" customHeight="false" outlineLevel="0" collapsed="false">
      <c r="A84" s="11" t="s">
        <v>132</v>
      </c>
      <c r="B84" s="16" t="n">
        <v>920.4</v>
      </c>
      <c r="C84" s="17" t="n">
        <v>0.0165797586683372</v>
      </c>
      <c r="D84" s="17" t="n">
        <v>0.981020107641788</v>
      </c>
      <c r="E84" s="17" t="n">
        <v>0.01263607502678</v>
      </c>
      <c r="F84" s="17" t="n">
        <v>0.0263829611146622</v>
      </c>
      <c r="H84" s="19" t="n">
        <f aca="false">IF(AND(ISNUMBER(B84),ISNUMBER(B83)),B84-B83,"")</f>
        <v>-564.145454545455</v>
      </c>
      <c r="I84" s="19" t="n">
        <f aca="false">C84-C83</f>
        <v>0.209850652496816</v>
      </c>
      <c r="J84" s="19" t="n">
        <f aca="false">D84-D83</f>
        <v>-0.556942654027292</v>
      </c>
      <c r="K84" s="19" t="n">
        <f aca="false">E84-E83</f>
        <v>0.0531537879619577</v>
      </c>
      <c r="L84" s="19" t="n">
        <f aca="false">F84-F83</f>
        <v>0.0457536331016225</v>
      </c>
    </row>
    <row r="85" customFormat="false" ht="15" hidden="false" customHeight="false" outlineLevel="0" collapsed="false">
      <c r="A85" s="11" t="s">
        <v>133</v>
      </c>
      <c r="B85" s="16" t="n">
        <v>684.538461538462</v>
      </c>
      <c r="C85" s="17" t="n">
        <v>0.265562805722639</v>
      </c>
      <c r="D85" s="17" t="n">
        <v>0.862253320436501</v>
      </c>
      <c r="E85" s="17" t="n">
        <v>0.0716972050209286</v>
      </c>
      <c r="F85" s="17" t="n">
        <v>0.0583747415748432</v>
      </c>
      <c r="H85" s="19" t="n">
        <f aca="false">IF(AND(ISNUMBER(B85),ISNUMBER(B84)),B85-B84,"")</f>
        <v>-235.861538461538</v>
      </c>
      <c r="I85" s="19" t="n">
        <f aca="false">C85-C84</f>
        <v>0.248983047054301</v>
      </c>
      <c r="J85" s="19" t="n">
        <f aca="false">D85-D84</f>
        <v>-0.118766787205287</v>
      </c>
      <c r="K85" s="19" t="n">
        <f aca="false">E85-E84</f>
        <v>0.0590611299941486</v>
      </c>
      <c r="L85" s="19" t="n">
        <f aca="false">F85-F84</f>
        <v>0.031991780460181</v>
      </c>
    </row>
    <row r="86" customFormat="false" ht="15" hidden="false" customHeight="false" outlineLevel="0" collapsed="false">
      <c r="A86" s="11" t="s">
        <v>134</v>
      </c>
      <c r="B86" s="16" t="n">
        <v>723.846153846154</v>
      </c>
      <c r="C86" s="17" t="n">
        <v>0.240817001757097</v>
      </c>
      <c r="D86" s="17" t="n">
        <v>0.420866373585948</v>
      </c>
      <c r="E86" s="17" t="n">
        <v>0.0667734554061561</v>
      </c>
      <c r="F86" s="17" t="n">
        <v>0.0638141408959982</v>
      </c>
      <c r="H86" s="19" t="n">
        <f aca="false">IF(AND(ISNUMBER(B86),ISNUMBER(B85)),B86-B85,"")</f>
        <v>39.3076923076923</v>
      </c>
      <c r="I86" s="19" t="n">
        <f aca="false">C86-C85</f>
        <v>-0.0247458039655413</v>
      </c>
      <c r="J86" s="19" t="n">
        <f aca="false">D86-D85</f>
        <v>-0.441386946850553</v>
      </c>
      <c r="K86" s="19" t="n">
        <f aca="false">E86-E85</f>
        <v>-0.00492374961477249</v>
      </c>
      <c r="L86" s="19" t="n">
        <f aca="false">F86-F85</f>
        <v>0.005439399321155</v>
      </c>
    </row>
    <row r="87" customFormat="false" ht="15" hidden="false" customHeight="false" outlineLevel="0" collapsed="false">
      <c r="A87" s="11" t="s">
        <v>135</v>
      </c>
      <c r="B87" s="16" t="n">
        <v>866.153846153846</v>
      </c>
      <c r="C87" s="17" t="n">
        <v>0.180053312281566</v>
      </c>
      <c r="D87" s="17" t="n">
        <v>0.306497516843331</v>
      </c>
      <c r="E87" s="17" t="n">
        <v>0.0449759691705332</v>
      </c>
      <c r="F87" s="17" t="n">
        <v>0.0325690447876617</v>
      </c>
      <c r="H87" s="19" t="n">
        <f aca="false">IF(AND(ISNUMBER(B87),ISNUMBER(B86)),B87-B86,"")</f>
        <v>142.307692307692</v>
      </c>
      <c r="I87" s="19" t="n">
        <f aca="false">C87-C86</f>
        <v>-0.0607636894755312</v>
      </c>
      <c r="J87" s="19" t="n">
        <f aca="false">D87-D86</f>
        <v>-0.114368856742617</v>
      </c>
      <c r="K87" s="19" t="n">
        <f aca="false">E87-E86</f>
        <v>-0.0217974862356229</v>
      </c>
      <c r="L87" s="19" t="n">
        <f aca="false">F87-F86</f>
        <v>-0.0312450961083366</v>
      </c>
    </row>
    <row r="88" customFormat="false" ht="15" hidden="false" customHeight="false" outlineLevel="0" collapsed="false">
      <c r="A88" s="11" t="s">
        <v>136</v>
      </c>
      <c r="B88" s="16" t="n">
        <v>753</v>
      </c>
      <c r="C88" s="17" t="n">
        <v>0.105017787438131</v>
      </c>
      <c r="D88" s="17" t="n">
        <v>0.2631763769307</v>
      </c>
      <c r="E88" s="17" t="n">
        <v>-0.0101070868898499</v>
      </c>
      <c r="F88" s="17" t="n">
        <v>0.0205805070747371</v>
      </c>
      <c r="H88" s="19" t="n">
        <f aca="false">IF(AND(ISNUMBER(B88),ISNUMBER(B87)),B88-B87,"")</f>
        <v>-113.153846153846</v>
      </c>
      <c r="I88" s="19" t="n">
        <f aca="false">C88-C87</f>
        <v>-0.0750355248434347</v>
      </c>
      <c r="J88" s="19" t="n">
        <f aca="false">D88-D87</f>
        <v>-0.043321139912631</v>
      </c>
      <c r="K88" s="19" t="n">
        <f aca="false">E88-E87</f>
        <v>-0.055083056060383</v>
      </c>
      <c r="L88" s="19" t="n">
        <f aca="false">F88-F87</f>
        <v>-0.0119885377129245</v>
      </c>
    </row>
    <row r="89" customFormat="false" ht="15" hidden="false" customHeight="false" outlineLevel="0" collapsed="false">
      <c r="A89" s="11" t="s">
        <v>137</v>
      </c>
      <c r="B89" s="16" t="n">
        <v>536.222222222222</v>
      </c>
      <c r="C89" s="17" t="n">
        <v>0.00536818485745405</v>
      </c>
      <c r="D89" s="17" t="n">
        <v>0.35</v>
      </c>
      <c r="E89" s="17" t="n">
        <v>0</v>
      </c>
      <c r="F89" s="17" t="n">
        <v>0.024694045208276</v>
      </c>
      <c r="H89" s="19" t="n">
        <f aca="false">IF(AND(ISNUMBER(B89),ISNUMBER(B88)),B89-B88,"")</f>
        <v>-216.777777777778</v>
      </c>
      <c r="I89" s="19" t="n">
        <f aca="false">C89-C88</f>
        <v>-0.0996496025806773</v>
      </c>
      <c r="J89" s="19" t="n">
        <f aca="false">D89-D88</f>
        <v>0.0868236230693002</v>
      </c>
      <c r="K89" s="19" t="n">
        <f aca="false">E89-E88</f>
        <v>0.0101070868898499</v>
      </c>
      <c r="L89" s="19" t="n">
        <f aca="false">F89-F88</f>
        <v>0.00411353813353888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9" min="2" style="0" width="13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5" customFormat="false" ht="15" hidden="false" customHeight="false" outlineLevel="0" collapsed="false">
      <c r="A5" s="3" t="s">
        <v>42</v>
      </c>
      <c r="B5" s="3" t="s">
        <v>140</v>
      </c>
      <c r="C5" s="3" t="s">
        <v>141</v>
      </c>
      <c r="D5" s="3" t="s">
        <v>142</v>
      </c>
      <c r="E5" s="3" t="s">
        <v>143</v>
      </c>
      <c r="F5" s="3" t="s">
        <v>144</v>
      </c>
      <c r="G5" s="3" t="s">
        <v>145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150</v>
      </c>
      <c r="M5" s="3" t="s">
        <v>151</v>
      </c>
      <c r="N5" s="3" t="s">
        <v>152</v>
      </c>
      <c r="O5" s="3" t="s">
        <v>153</v>
      </c>
      <c r="P5" s="3" t="s">
        <v>154</v>
      </c>
      <c r="Q5" s="3" t="s">
        <v>155</v>
      </c>
      <c r="R5" s="3" t="s">
        <v>156</v>
      </c>
    </row>
    <row r="6" customFormat="false" ht="15" hidden="false" customHeight="false" outlineLevel="0" collapsed="false">
      <c r="A6" s="20" t="str">
        <f aca="false">Datos!A14</f>
        <v>2007Q2</v>
      </c>
      <c r="B6" s="21" t="n">
        <f aca="false">Datos!L14</f>
        <v>0.0150044625048817</v>
      </c>
      <c r="C6" s="21" t="n">
        <f aca="false">Datos!I14</f>
        <v>-0.012635858101546</v>
      </c>
      <c r="D6" s="21" t="n">
        <f aca="false">Datos!H14</f>
        <v>58.1062311827956</v>
      </c>
      <c r="E6" s="21" t="n">
        <f aca="false">Datos!H12</f>
        <v>-57.3400276497695</v>
      </c>
      <c r="F6" s="21" t="n">
        <f aca="false">Datos!H8</f>
        <v>9.68690215163929</v>
      </c>
      <c r="G6" s="21" t="n">
        <f aca="false">Datos!J8</f>
        <v>-0.0652841179146</v>
      </c>
      <c r="H6" s="21" t="n">
        <f aca="false">Datos!K7</f>
        <v>0.115224744248954</v>
      </c>
      <c r="I6" s="19" t="n">
        <v>1</v>
      </c>
      <c r="J6" s="19" t="n">
        <f aca="false">B6-($B$88+$B$89*C6+$B$90*D6+$B$91*E6+$B$92*F6+$B$93*G6+$B$94*H6)</f>
        <v>-0.0143515799569924</v>
      </c>
      <c r="K6" s="19" t="n">
        <f aca="false">J6^2</f>
        <v>0.000205967847261946</v>
      </c>
      <c r="L6" s="19" t="n">
        <f aca="false">I6*$J6</f>
        <v>-0.0143515799569924</v>
      </c>
      <c r="M6" s="19" t="n">
        <f aca="false">C6*$J6</f>
        <v>0.000181344527869548</v>
      </c>
      <c r="N6" s="19" t="n">
        <f aca="false">D6*$J6</f>
        <v>-0.833916222819377</v>
      </c>
      <c r="O6" s="19" t="n">
        <f aca="false">E6*$J6</f>
        <v>0.822919991551822</v>
      </c>
      <c r="P6" s="19" t="n">
        <f aca="false">F6*$J6</f>
        <v>-0.139022350764813</v>
      </c>
      <c r="Q6" s="19" t="n">
        <f aca="false">G6*$J6</f>
        <v>0.000936930238173103</v>
      </c>
      <c r="R6" s="19" t="n">
        <f aca="false">H6*$J6</f>
        <v>-0.00165365713011287</v>
      </c>
    </row>
    <row r="7" customFormat="false" ht="15" hidden="false" customHeight="false" outlineLevel="0" collapsed="false">
      <c r="A7" s="20" t="str">
        <f aca="false">Datos!A15</f>
        <v>2007Q3</v>
      </c>
      <c r="B7" s="21" t="n">
        <f aca="false">Datos!L15</f>
        <v>-0.0143158967408283</v>
      </c>
      <c r="C7" s="21" t="n">
        <f aca="false">Datos!I15</f>
        <v>-0.0246226187787558</v>
      </c>
      <c r="D7" s="21" t="n">
        <f aca="false">Datos!H15</f>
        <v>146.742396825397</v>
      </c>
      <c r="E7" s="21" t="n">
        <f aca="false">Datos!H13</f>
        <v>-71.4258225806452</v>
      </c>
      <c r="F7" s="21" t="n">
        <f aca="false">Datos!H9</f>
        <v>-29.0010684822845</v>
      </c>
      <c r="G7" s="21" t="n">
        <f aca="false">Datos!J9</f>
        <v>0.104633678332462</v>
      </c>
      <c r="H7" s="21" t="n">
        <f aca="false">Datos!K8</f>
        <v>0.0193530431424458</v>
      </c>
      <c r="I7" s="19" t="n">
        <v>1</v>
      </c>
      <c r="J7" s="19" t="n">
        <f aca="false">B7-($B$88+$B$89*C7+$B$90*D7+$B$91*E7+$B$92*F7+$B$93*G7+$B$94*H7)</f>
        <v>0.000903975277659595</v>
      </c>
      <c r="K7" s="19" t="n">
        <f aca="false">J7^2</f>
        <v>8.17171302619741E-007</v>
      </c>
      <c r="L7" s="19" t="n">
        <f aca="false">I7*$J7</f>
        <v>0.000903975277659595</v>
      </c>
      <c r="M7" s="19" t="n">
        <f aca="false">C7*$J7</f>
        <v>-2.22582386472321E-005</v>
      </c>
      <c r="N7" s="19" t="n">
        <f aca="false">D7*$J7</f>
        <v>0.132651498914673</v>
      </c>
      <c r="O7" s="19" t="n">
        <f aca="false">E7*$J7</f>
        <v>-0.0645671777994037</v>
      </c>
      <c r="P7" s="19" t="n">
        <f aca="false">F7*$J7</f>
        <v>-0.026216248933698</v>
      </c>
      <c r="Q7" s="19" t="n">
        <f aca="false">G7*$J7</f>
        <v>9.45862584231322E-005</v>
      </c>
      <c r="R7" s="19" t="n">
        <f aca="false">H7*$J7</f>
        <v>1.74946725482506E-005</v>
      </c>
    </row>
    <row r="8" customFormat="false" ht="15" hidden="false" customHeight="false" outlineLevel="0" collapsed="false">
      <c r="A8" s="20" t="str">
        <f aca="false">Datos!A16</f>
        <v>2007Q4</v>
      </c>
      <c r="B8" s="21" t="n">
        <f aca="false">Datos!L16</f>
        <v>0.00839550917295817</v>
      </c>
      <c r="C8" s="21" t="n">
        <f aca="false">Datos!I16</f>
        <v>-0.0513696334944869</v>
      </c>
      <c r="D8" s="21" t="n">
        <f aca="false">Datos!H16</f>
        <v>-28.2266763952893</v>
      </c>
      <c r="E8" s="21" t="n">
        <f aca="false">Datos!H14</f>
        <v>58.1062311827956</v>
      </c>
      <c r="F8" s="21" t="n">
        <f aca="false">Datos!H10</f>
        <v>-40.7013678955453</v>
      </c>
      <c r="G8" s="21" t="n">
        <f aca="false">Datos!J10</f>
        <v>-0.0328640375646361</v>
      </c>
      <c r="H8" s="21" t="n">
        <f aca="false">Datos!K9</f>
        <v>0.0252689346766117</v>
      </c>
      <c r="I8" s="19" t="n">
        <v>1</v>
      </c>
      <c r="J8" s="19" t="n">
        <f aca="false">B8-($B$88+$B$89*C8+$B$90*D8+$B$91*E8+$B$92*F8+$B$93*G8+$B$94*H8)</f>
        <v>0.00651784747429656</v>
      </c>
      <c r="K8" s="19" t="n">
        <f aca="false">J8^2</f>
        <v>4.24823356981941E-005</v>
      </c>
      <c r="L8" s="19" t="n">
        <f aca="false">I8*$J8</f>
        <v>0.00651784747429656</v>
      </c>
      <c r="M8" s="19" t="n">
        <f aca="false">C8*$J8</f>
        <v>-0.000334819435927581</v>
      </c>
      <c r="N8" s="19" t="n">
        <f aca="false">D8*$J8</f>
        <v>-0.183977171450823</v>
      </c>
      <c r="O8" s="19" t="n">
        <f aca="false">E8*$J8</f>
        <v>0.378727552155677</v>
      </c>
      <c r="P8" s="19" t="n">
        <f aca="false">F8*$J8</f>
        <v>-0.265285307938395</v>
      </c>
      <c r="Q8" s="19" t="n">
        <f aca="false">G8*$J8</f>
        <v>-0.000214202784235851</v>
      </c>
      <c r="R8" s="19" t="n">
        <f aca="false">H8*$J8</f>
        <v>0.000164699062060119</v>
      </c>
    </row>
    <row r="9" customFormat="false" ht="15" hidden="false" customHeight="false" outlineLevel="0" collapsed="false">
      <c r="A9" s="20" t="str">
        <f aca="false">Datos!A17</f>
        <v>2008Q1</v>
      </c>
      <c r="B9" s="21" t="n">
        <f aca="false">Datos!L17</f>
        <v>-0.0235503405334447</v>
      </c>
      <c r="C9" s="21" t="n">
        <f aca="false">Datos!I17</f>
        <v>-0.0322053955184198</v>
      </c>
      <c r="D9" s="21" t="n">
        <f aca="false">Datos!H17</f>
        <v>95.3370391327341</v>
      </c>
      <c r="E9" s="21" t="n">
        <f aca="false">Datos!H15</f>
        <v>146.742396825397</v>
      </c>
      <c r="F9" s="21" t="n">
        <f aca="false">Datos!H11</f>
        <v>-14.6685238095238</v>
      </c>
      <c r="G9" s="21" t="n">
        <f aca="false">Datos!J11</f>
        <v>0.0272371314829849</v>
      </c>
      <c r="H9" s="21" t="n">
        <f aca="false">Datos!K10</f>
        <v>0.000733575253602181</v>
      </c>
      <c r="I9" s="19" t="n">
        <v>1</v>
      </c>
      <c r="J9" s="19" t="n">
        <f aca="false">B9-($B$88+$B$89*C9+$B$90*D9+$B$91*E9+$B$92*F9+$B$93*G9+$B$94*H9)</f>
        <v>-0.00330275630121058</v>
      </c>
      <c r="K9" s="19" t="n">
        <f aca="false">J9^2</f>
        <v>1.09081991851862E-005</v>
      </c>
      <c r="L9" s="19" t="n">
        <f aca="false">I9*$J9</f>
        <v>-0.00330275630121058</v>
      </c>
      <c r="M9" s="19" t="n">
        <f aca="false">C9*$J9</f>
        <v>0.00010636657298144</v>
      </c>
      <c r="N9" s="19" t="n">
        <f aca="false">D9*$J9</f>
        <v>-0.314875006734397</v>
      </c>
      <c r="O9" s="19" t="n">
        <f aca="false">E9*$J9</f>
        <v>-0.484654375769823</v>
      </c>
      <c r="P9" s="19" t="n">
        <f aca="false">F9*$J9</f>
        <v>0.0484465594413622</v>
      </c>
      <c r="Q9" s="19" t="n">
        <f aca="false">G9*$J9</f>
        <v>-8.99576076323294E-005</v>
      </c>
      <c r="R9" s="19" t="n">
        <f aca="false">H9*$J9</f>
        <v>-2.42282029124675E-006</v>
      </c>
    </row>
    <row r="10" customFormat="false" ht="15" hidden="false" customHeight="false" outlineLevel="0" collapsed="false">
      <c r="A10" s="20" t="str">
        <f aca="false">Datos!A18</f>
        <v>2008Q2</v>
      </c>
      <c r="B10" s="21" t="n">
        <f aca="false">Datos!L18</f>
        <v>-0.0145962910187984</v>
      </c>
      <c r="C10" s="21" t="n">
        <f aca="false">Datos!I18</f>
        <v>-0.0472126174388314</v>
      </c>
      <c r="D10" s="21" t="n">
        <f aca="false">Datos!H18</f>
        <v>74.4147768954915</v>
      </c>
      <c r="E10" s="21" t="n">
        <f aca="false">Datos!H16</f>
        <v>-28.2266763952893</v>
      </c>
      <c r="F10" s="21" t="n">
        <f aca="false">Datos!H12</f>
        <v>-57.3400276497695</v>
      </c>
      <c r="G10" s="21" t="n">
        <f aca="false">Datos!J12</f>
        <v>0.0188405816005308</v>
      </c>
      <c r="H10" s="21" t="n">
        <f aca="false">Datos!K11</f>
        <v>-0.0492636656107994</v>
      </c>
      <c r="I10" s="19" t="n">
        <v>1</v>
      </c>
      <c r="J10" s="19" t="n">
        <f aca="false">B10-($B$88+$B$89*C10+$B$90*D10+$B$91*E10+$B$92*F10+$B$93*G10+$B$94*H10)</f>
        <v>0.00488246579897703</v>
      </c>
      <c r="K10" s="19" t="n">
        <f aca="false">J10^2</f>
        <v>2.38384722781804E-005</v>
      </c>
      <c r="L10" s="19" t="n">
        <f aca="false">I10*$J10</f>
        <v>0.00488246579897703</v>
      </c>
      <c r="M10" s="19" t="n">
        <f aca="false">C10*$J10</f>
        <v>-0.000230513989925281</v>
      </c>
      <c r="N10" s="19" t="n">
        <f aca="false">D10*$J10</f>
        <v>0.363327603130743</v>
      </c>
      <c r="O10" s="19" t="n">
        <f aca="false">E10*$J10</f>
        <v>-0.137815782118792</v>
      </c>
      <c r="P10" s="19" t="n">
        <f aca="false">F10*$J10</f>
        <v>-0.279960723912397</v>
      </c>
      <c r="Q10" s="19" t="n">
        <f aca="false">G10*$J10</f>
        <v>9.19884952974274E-005</v>
      </c>
      <c r="R10" s="19" t="n">
        <f aca="false">H10*$J10</f>
        <v>-0.000240528162476969</v>
      </c>
    </row>
    <row r="11" customFormat="false" ht="15" hidden="false" customHeight="false" outlineLevel="0" collapsed="false">
      <c r="A11" s="20" t="str">
        <f aca="false">Datos!A19</f>
        <v>2008Q3</v>
      </c>
      <c r="B11" s="21" t="n">
        <f aca="false">Datos!L19</f>
        <v>0.00553330668917318</v>
      </c>
      <c r="C11" s="21" t="n">
        <f aca="false">Datos!I19</f>
        <v>0.0103881918110503</v>
      </c>
      <c r="D11" s="21" t="n">
        <f aca="false">Datos!H19</f>
        <v>140.17396875</v>
      </c>
      <c r="E11" s="21" t="n">
        <f aca="false">Datos!H17</f>
        <v>95.3370391327341</v>
      </c>
      <c r="F11" s="21" t="n">
        <f aca="false">Datos!H13</f>
        <v>-71.4258225806452</v>
      </c>
      <c r="G11" s="21" t="n">
        <f aca="false">Datos!J13</f>
        <v>0.0352994903857049</v>
      </c>
      <c r="H11" s="21" t="n">
        <f aca="false">Datos!K12</f>
        <v>0.0102718216533466</v>
      </c>
      <c r="I11" s="19" t="n">
        <v>1</v>
      </c>
      <c r="J11" s="19" t="n">
        <f aca="false">B11-($B$88+$B$89*C11+$B$90*D11+$B$91*E11+$B$92*F11+$B$93*G11+$B$94*H11)</f>
        <v>0.0227444469041154</v>
      </c>
      <c r="K11" s="19" t="n">
        <f aca="false">J11^2</f>
        <v>0.000517309864974126</v>
      </c>
      <c r="L11" s="19" t="n">
        <f aca="false">I11*$J11</f>
        <v>0.0227444469041154</v>
      </c>
      <c r="M11" s="19" t="n">
        <f aca="false">C11*$J11</f>
        <v>0.000236273677076201</v>
      </c>
      <c r="N11" s="19" t="n">
        <f aca="false">D11*$J11</f>
        <v>3.18817938957351</v>
      </c>
      <c r="O11" s="19" t="n">
        <f aca="false">E11*$J11</f>
        <v>2.16838822455005</v>
      </c>
      <c r="P11" s="19" t="n">
        <f aca="false">F11*$J11</f>
        <v>-1.62454082926825</v>
      </c>
      <c r="Q11" s="19" t="n">
        <f aca="false">G11*$J11</f>
        <v>0.000802867384819998</v>
      </c>
      <c r="R11" s="19" t="n">
        <f aca="false">H11*$J11</f>
        <v>0.000233626902203085</v>
      </c>
    </row>
    <row r="12" customFormat="false" ht="15" hidden="false" customHeight="false" outlineLevel="0" collapsed="false">
      <c r="A12" s="20" t="str">
        <f aca="false">Datos!A20</f>
        <v>2008Q4</v>
      </c>
      <c r="B12" s="21" t="n">
        <f aca="false">Datos!L20</f>
        <v>-0.079850070278089</v>
      </c>
      <c r="C12" s="21" t="n">
        <f aca="false">Datos!I20</f>
        <v>-0.012294190622106</v>
      </c>
      <c r="D12" s="21" t="n">
        <f aca="false">Datos!H20</f>
        <v>999.763070060484</v>
      </c>
      <c r="E12" s="21" t="n">
        <f aca="false">Datos!H18</f>
        <v>74.4147768954915</v>
      </c>
      <c r="F12" s="21" t="n">
        <f aca="false">Datos!H14</f>
        <v>58.1062311827956</v>
      </c>
      <c r="G12" s="21" t="n">
        <f aca="false">Datos!J14</f>
        <v>0.00539921963636064</v>
      </c>
      <c r="H12" s="21" t="n">
        <f aca="false">Datos!K13</f>
        <v>0.0394713580665338</v>
      </c>
      <c r="I12" s="19" t="n">
        <v>1</v>
      </c>
      <c r="J12" s="19" t="n">
        <f aca="false">B12-($B$88+$B$89*C12+$B$90*D12+$B$91*E12+$B$92*F12+$B$93*G12+$B$94*H12)</f>
        <v>-0.0201669942331679</v>
      </c>
      <c r="K12" s="19" t="n">
        <f aca="false">J12^2</f>
        <v>0.000406707656400629</v>
      </c>
      <c r="L12" s="19" t="n">
        <f aca="false">I12*$J12</f>
        <v>-0.0201669942331679</v>
      </c>
      <c r="M12" s="19" t="n">
        <f aca="false">C12*$J12</f>
        <v>0.000247936871377479</v>
      </c>
      <c r="N12" s="19" t="n">
        <f aca="false">D12*$J12</f>
        <v>-20.1622160684441</v>
      </c>
      <c r="O12" s="19" t="n">
        <f aca="false">E12*$J12</f>
        <v>-1.50072237651385</v>
      </c>
      <c r="P12" s="19" t="n">
        <f aca="false">F12*$J12</f>
        <v>-1.17182802917456</v>
      </c>
      <c r="Q12" s="19" t="n">
        <f aca="false">G12*$J12</f>
        <v>-0.000108886031270092</v>
      </c>
      <c r="R12" s="19" t="n">
        <f aca="false">H12*$J12</f>
        <v>-0.000796018650503094</v>
      </c>
    </row>
    <row r="13" customFormat="false" ht="15" hidden="false" customHeight="false" outlineLevel="0" collapsed="false">
      <c r="A13" s="20" t="str">
        <f aca="false">Datos!A21</f>
        <v>2009Q1</v>
      </c>
      <c r="B13" s="21" t="n">
        <f aca="false">Datos!L21</f>
        <v>-0.0420976425988534</v>
      </c>
      <c r="C13" s="21" t="n">
        <f aca="false">Datos!I21</f>
        <v>-0.0506409298873551</v>
      </c>
      <c r="D13" s="21" t="n">
        <f aca="false">Datos!H21</f>
        <v>3.47016790058183</v>
      </c>
      <c r="E13" s="21" t="n">
        <f aca="false">Datos!H19</f>
        <v>140.17396875</v>
      </c>
      <c r="F13" s="21" t="n">
        <f aca="false">Datos!H15</f>
        <v>146.742396825397</v>
      </c>
      <c r="G13" s="21" t="n">
        <f aca="false">Datos!J15</f>
        <v>0.100083014779252</v>
      </c>
      <c r="H13" s="21" t="n">
        <f aca="false">Datos!K14</f>
        <v>-0.0416510073677663</v>
      </c>
      <c r="I13" s="19" t="n">
        <v>1</v>
      </c>
      <c r="J13" s="19" t="n">
        <f aca="false">B13-($B$88+$B$89*C13+$B$90*D13+$B$91*E13+$B$92*F13+$B$93*G13+$B$94*H13)</f>
        <v>-0.0159973166962147</v>
      </c>
      <c r="K13" s="19" t="n">
        <f aca="false">J13^2</f>
        <v>0.000255914141478988</v>
      </c>
      <c r="L13" s="19" t="n">
        <f aca="false">I13*$J13</f>
        <v>-0.0159973166962147</v>
      </c>
      <c r="M13" s="19" t="n">
        <f aca="false">C13*$J13</f>
        <v>0.000810118993198823</v>
      </c>
      <c r="N13" s="19" t="n">
        <f aca="false">D13*$J13</f>
        <v>-0.0555133748946459</v>
      </c>
      <c r="O13" s="19" t="n">
        <f aca="false">E13*$J13</f>
        <v>-2.24240737065905</v>
      </c>
      <c r="P13" s="19" t="n">
        <f aca="false">F13*$J13</f>
        <v>-2.34748459477748</v>
      </c>
      <c r="Q13" s="19" t="n">
        <f aca="false">G13*$J13</f>
        <v>-0.00160105968333563</v>
      </c>
      <c r="R13" s="19" t="n">
        <f aca="false">H13*$J13</f>
        <v>0.000666304355578528</v>
      </c>
    </row>
    <row r="14" customFormat="false" ht="15" hidden="false" customHeight="false" outlineLevel="0" collapsed="false">
      <c r="A14" s="20" t="str">
        <f aca="false">Datos!A22</f>
        <v>2009Q2</v>
      </c>
      <c r="B14" s="21" t="n">
        <f aca="false">Datos!L22</f>
        <v>-0.0508579200859648</v>
      </c>
      <c r="C14" s="21" t="n">
        <f aca="false">Datos!I22</f>
        <v>-0.0270336828188397</v>
      </c>
      <c r="D14" s="21" t="n">
        <f aca="false">Datos!H22</f>
        <v>-244.401219359875</v>
      </c>
      <c r="E14" s="21" t="n">
        <f aca="false">Datos!H20</f>
        <v>999.763070060484</v>
      </c>
      <c r="F14" s="21" t="n">
        <f aca="false">Datos!H16</f>
        <v>-28.2266763952893</v>
      </c>
      <c r="G14" s="21" t="n">
        <f aca="false">Datos!J16</f>
        <v>-0.0807503897728054</v>
      </c>
      <c r="H14" s="21" t="n">
        <f aca="false">Datos!K15</f>
        <v>-0.0183885313531229</v>
      </c>
      <c r="I14" s="19" t="n">
        <v>1</v>
      </c>
      <c r="J14" s="19" t="n">
        <f aca="false">B14-($B$88+$B$89*C14+$B$90*D14+$B$91*E14+$B$92*F14+$B$93*G14+$B$94*H14)</f>
        <v>-0.00858546638131939</v>
      </c>
      <c r="K14" s="19" t="n">
        <f aca="false">J14^2</f>
        <v>7.37102329847654E-005</v>
      </c>
      <c r="L14" s="19" t="n">
        <f aca="false">I14*$J14</f>
        <v>-0.00858546638131939</v>
      </c>
      <c r="M14" s="19" t="n">
        <f aca="false">C14*$J14</f>
        <v>0.0002320967750044</v>
      </c>
      <c r="N14" s="19" t="n">
        <f aca="false">D14*$J14</f>
        <v>2.09829845236767</v>
      </c>
      <c r="O14" s="19" t="n">
        <f aca="false">E14*$J14</f>
        <v>-8.58343222728895</v>
      </c>
      <c r="P14" s="19" t="n">
        <f aca="false">F14*$J14</f>
        <v>0.242339181248138</v>
      </c>
      <c r="Q14" s="19" t="n">
        <f aca="false">G14*$J14</f>
        <v>0.000693279756672857</v>
      </c>
      <c r="R14" s="19" t="n">
        <f aca="false">H14*$J14</f>
        <v>0.000157874117734074</v>
      </c>
    </row>
    <row r="15" customFormat="false" ht="15" hidden="false" customHeight="false" outlineLevel="0" collapsed="false">
      <c r="A15" s="20" t="str">
        <f aca="false">Datos!A23</f>
        <v>2009Q3</v>
      </c>
      <c r="B15" s="21" t="n">
        <f aca="false">Datos!L23</f>
        <v>0.0562336718856797</v>
      </c>
      <c r="C15" s="21" t="n">
        <f aca="false">Datos!I23</f>
        <v>0.0188952503887881</v>
      </c>
      <c r="D15" s="21" t="n">
        <f aca="false">Datos!H23</f>
        <v>-533.989581101191</v>
      </c>
      <c r="E15" s="21" t="n">
        <f aca="false">Datos!H21</f>
        <v>3.47016790058183</v>
      </c>
      <c r="F15" s="21" t="n">
        <f aca="false">Datos!H17</f>
        <v>95.3370391327341</v>
      </c>
      <c r="G15" s="21" t="n">
        <f aca="false">Datos!J17</f>
        <v>-0.0136163320117733</v>
      </c>
      <c r="H15" s="21" t="n">
        <f aca="false">Datos!K16</f>
        <v>0.126406856244862</v>
      </c>
      <c r="I15" s="19" t="n">
        <v>1</v>
      </c>
      <c r="J15" s="19" t="n">
        <f aca="false">B15-($B$88+$B$89*C15+$B$90*D15+$B$91*E15+$B$92*F15+$B$93*G15+$B$94*H15)</f>
        <v>-0.0095721104951102</v>
      </c>
      <c r="K15" s="19" t="n">
        <f aca="false">J15^2</f>
        <v>9.16252993305988E-005</v>
      </c>
      <c r="L15" s="19" t="n">
        <f aca="false">I15*$J15</f>
        <v>-0.0095721104951102</v>
      </c>
      <c r="M15" s="19" t="n">
        <f aca="false">C15*$J15</f>
        <v>-0.000180867424554254</v>
      </c>
      <c r="N15" s="19" t="n">
        <f aca="false">D15*$J15</f>
        <v>5.11140727353821</v>
      </c>
      <c r="O15" s="19" t="n">
        <f aca="false">E15*$J15</f>
        <v>-0.0332168305809538</v>
      </c>
      <c r="P15" s="19" t="n">
        <f aca="false">F15*$J15</f>
        <v>-0.912576672855176</v>
      </c>
      <c r="Q15" s="19" t="n">
        <f aca="false">G15*$J15</f>
        <v>0.0001303370345548</v>
      </c>
      <c r="R15" s="19" t="n">
        <f aca="false">H15*$J15</f>
        <v>-0.00120998039531533</v>
      </c>
    </row>
    <row r="16" customFormat="false" ht="15" hidden="false" customHeight="false" outlineLevel="0" collapsed="false">
      <c r="A16" s="20" t="str">
        <f aca="false">Datos!A24</f>
        <v>2009Q4</v>
      </c>
      <c r="B16" s="21" t="n">
        <f aca="false">Datos!L24</f>
        <v>0.0593317819018042</v>
      </c>
      <c r="C16" s="21" t="n">
        <f aca="false">Datos!I24</f>
        <v>0.0202660816321944</v>
      </c>
      <c r="D16" s="21" t="n">
        <f aca="false">Datos!H24</f>
        <v>-203.745835181452</v>
      </c>
      <c r="E16" s="21" t="n">
        <f aca="false">Datos!H22</f>
        <v>-244.401219359875</v>
      </c>
      <c r="F16" s="21" t="n">
        <f aca="false">Datos!H18</f>
        <v>74.4147768954915</v>
      </c>
      <c r="G16" s="21" t="n">
        <f aca="false">Datos!J18</f>
        <v>0.051677262796743</v>
      </c>
      <c r="H16" s="21" t="n">
        <f aca="false">Datos!K17</f>
        <v>0.0947144557948736</v>
      </c>
      <c r="I16" s="19" t="n">
        <v>1</v>
      </c>
      <c r="J16" s="19" t="n">
        <f aca="false">B16-($B$88+$B$89*C16+$B$90*D16+$B$91*E16+$B$92*F16+$B$93*G16+$B$94*H16)</f>
        <v>0.0134545857889885</v>
      </c>
      <c r="K16" s="19" t="n">
        <f aca="false">J16^2</f>
        <v>0.000181025878753252</v>
      </c>
      <c r="L16" s="19" t="n">
        <f aca="false">I16*$J16</f>
        <v>0.0134545857889885</v>
      </c>
      <c r="M16" s="19" t="n">
        <f aca="false">C16*$J16</f>
        <v>0.000272671733927005</v>
      </c>
      <c r="N16" s="19" t="n">
        <f aca="false">D16*$J16</f>
        <v>-2.74131581859796</v>
      </c>
      <c r="O16" s="19" t="n">
        <f aca="false">E16*$J16</f>
        <v>-3.28831717281084</v>
      </c>
      <c r="P16" s="19" t="n">
        <f aca="false">F16*$J16</f>
        <v>1.00121999970883</v>
      </c>
      <c r="Q16" s="19" t="n">
        <f aca="false">G16*$J16</f>
        <v>0.000695296165638884</v>
      </c>
      <c r="R16" s="19" t="n">
        <f aca="false">H16*$J16</f>
        <v>0.00127434377094949</v>
      </c>
    </row>
    <row r="17" customFormat="false" ht="15" hidden="false" customHeight="false" outlineLevel="0" collapsed="false">
      <c r="A17" s="20" t="str">
        <f aca="false">Datos!A25</f>
        <v>2010Q1</v>
      </c>
      <c r="B17" s="21" t="n">
        <f aca="false">Datos!L25</f>
        <v>0.0543127088139386</v>
      </c>
      <c r="C17" s="21" t="n">
        <f aca="false">Datos!I25</f>
        <v>0.0364851445863187</v>
      </c>
      <c r="D17" s="21" t="n">
        <f aca="false">Datos!H25</f>
        <v>15.4416356425168</v>
      </c>
      <c r="E17" s="21" t="n">
        <f aca="false">Datos!H23</f>
        <v>-533.989581101191</v>
      </c>
      <c r="F17" s="21" t="n">
        <f aca="false">Datos!H19</f>
        <v>140.17396875</v>
      </c>
      <c r="G17" s="21" t="n">
        <f aca="false">Datos!J19</f>
        <v>-0.0922660919721236</v>
      </c>
      <c r="H17" s="21" t="n">
        <f aca="false">Datos!K18</f>
        <v>-0.088947266354809</v>
      </c>
      <c r="I17" s="19" t="n">
        <v>1</v>
      </c>
      <c r="J17" s="19" t="n">
        <f aca="false">B17-($B$88+$B$89*C17+$B$90*D17+$B$91*E17+$B$92*F17+$B$93*G17+$B$94*H17)</f>
        <v>0.0190530473497469</v>
      </c>
      <c r="K17" s="19" t="n">
        <f aca="false">J17^2</f>
        <v>0.000363018613311698</v>
      </c>
      <c r="L17" s="19" t="n">
        <f aca="false">I17*$J17</f>
        <v>0.0190530473497469</v>
      </c>
      <c r="M17" s="19" t="n">
        <f aca="false">C17*$J17</f>
        <v>0.000695153187365493</v>
      </c>
      <c r="N17" s="19" t="n">
        <f aca="false">D17*$J17</f>
        <v>0.294210215054412</v>
      </c>
      <c r="O17" s="19" t="n">
        <f aca="false">E17*$J17</f>
        <v>-10.1741287729925</v>
      </c>
      <c r="P17" s="19" t="n">
        <f aca="false">F17*$J17</f>
        <v>2.6707412637957</v>
      </c>
      <c r="Q17" s="19" t="n">
        <f aca="false">G17*$J17</f>
        <v>-0.00175795021912098</v>
      </c>
      <c r="R17" s="19" t="n">
        <f aca="false">H17*$J17</f>
        <v>-0.00169471647748873</v>
      </c>
    </row>
    <row r="18" customFormat="false" ht="15" hidden="false" customHeight="false" outlineLevel="0" collapsed="false">
      <c r="A18" s="20" t="str">
        <f aca="false">Datos!A26</f>
        <v>2010Q2</v>
      </c>
      <c r="B18" s="21" t="n">
        <f aca="false">Datos!L26</f>
        <v>0.105309304015361</v>
      </c>
      <c r="C18" s="21" t="n">
        <f aca="false">Datos!I26</f>
        <v>0.115499149243793</v>
      </c>
      <c r="D18" s="21" t="n">
        <f aca="false">Datos!H26</f>
        <v>0.464510798855258</v>
      </c>
      <c r="E18" s="21" t="n">
        <f aca="false">Datos!H24</f>
        <v>-203.745835181452</v>
      </c>
      <c r="F18" s="21" t="n">
        <f aca="false">Datos!H20</f>
        <v>999.763070060484</v>
      </c>
      <c r="G18" s="21" t="n">
        <f aca="false">Datos!J20</f>
        <v>0.044032264635168</v>
      </c>
      <c r="H18" s="21" t="n">
        <f aca="false">Datos!K19</f>
        <v>0.0223520724544983</v>
      </c>
      <c r="I18" s="19" t="n">
        <v>1</v>
      </c>
      <c r="J18" s="19" t="n">
        <f aca="false">B18-($B$88+$B$89*C18+$B$90*D18+$B$91*E18+$B$92*F18+$B$93*G18+$B$94*H18)</f>
        <v>0.0460612065165006</v>
      </c>
      <c r="K18" s="19" t="n">
        <f aca="false">J18^2</f>
        <v>0.00212163474575572</v>
      </c>
      <c r="L18" s="19" t="n">
        <f aca="false">I18*$J18</f>
        <v>0.0460612065165006</v>
      </c>
      <c r="M18" s="19" t="n">
        <f aca="false">C18*$J18</f>
        <v>0.00532003016579848</v>
      </c>
      <c r="N18" s="19" t="n">
        <f aca="false">D18*$J18</f>
        <v>0.0213959278352167</v>
      </c>
      <c r="O18" s="19" t="n">
        <f aca="false">E18*$J18</f>
        <v>-9.38477899116974</v>
      </c>
      <c r="P18" s="19" t="n">
        <f aca="false">F18*$J18</f>
        <v>46.0502932376266</v>
      </c>
      <c r="Q18" s="19" t="n">
        <f aca="false">G18*$J18</f>
        <v>0.00202817923474968</v>
      </c>
      <c r="R18" s="19" t="n">
        <f aca="false">H18*$J18</f>
        <v>0.00102956342539843</v>
      </c>
    </row>
    <row r="19" customFormat="false" ht="15" hidden="false" customHeight="false" outlineLevel="0" collapsed="false">
      <c r="A19" s="20" t="str">
        <f aca="false">Datos!A27</f>
        <v>2010Q3</v>
      </c>
      <c r="B19" s="21" t="n">
        <f aca="false">Datos!L27</f>
        <v>-0.0673645714182929</v>
      </c>
      <c r="C19" s="21" t="n">
        <f aca="false">Datos!I27</f>
        <v>0.0131107735865699</v>
      </c>
      <c r="D19" s="21" t="n">
        <f aca="false">Datos!H27</f>
        <v>-22.7225300099209</v>
      </c>
      <c r="E19" s="21" t="n">
        <f aca="false">Datos!H25</f>
        <v>15.4416356425168</v>
      </c>
      <c r="F19" s="21" t="n">
        <f aca="false">Datos!H21</f>
        <v>3.47016790058183</v>
      </c>
      <c r="G19" s="21" t="n">
        <f aca="false">Datos!J21</f>
        <v>-0.0701582840739423</v>
      </c>
      <c r="H19" s="21" t="n">
        <f aca="false">Datos!K20</f>
        <v>-0.181715050328396</v>
      </c>
      <c r="I19" s="19" t="n">
        <v>1</v>
      </c>
      <c r="J19" s="19" t="n">
        <f aca="false">B19-($B$88+$B$89*C19+$B$90*D19+$B$91*E19+$B$92*F19+$B$93*G19+$B$94*H19)</f>
        <v>-0.0443267594679901</v>
      </c>
      <c r="K19" s="19" t="n">
        <f aca="false">J19^2</f>
        <v>0.00196486160493305</v>
      </c>
      <c r="L19" s="19" t="n">
        <f aca="false">I19*$J19</f>
        <v>-0.0443267594679901</v>
      </c>
      <c r="M19" s="19" t="n">
        <f aca="false">C19*$J19</f>
        <v>-0.000581158107211161</v>
      </c>
      <c r="N19" s="19" t="n">
        <f aca="false">D19*$J19</f>
        <v>1.00721612225395</v>
      </c>
      <c r="O19" s="19" t="n">
        <f aca="false">E19*$J19</f>
        <v>-0.684477668918183</v>
      </c>
      <c r="P19" s="19" t="n">
        <f aca="false">F19*$J19</f>
        <v>-0.153821297842631</v>
      </c>
      <c r="Q19" s="19" t="n">
        <f aca="false">G19*$J19</f>
        <v>0.00310988938283256</v>
      </c>
      <c r="R19" s="19" t="n">
        <f aca="false">H19*$J19</f>
        <v>0.00805483932762055</v>
      </c>
    </row>
    <row r="20" customFormat="false" ht="15" hidden="false" customHeight="false" outlineLevel="0" collapsed="false">
      <c r="A20" s="20" t="str">
        <f aca="false">Datos!A28</f>
        <v>2010Q4</v>
      </c>
      <c r="B20" s="21" t="n">
        <f aca="false">Datos!L28</f>
        <v>-0.00897949256805108</v>
      </c>
      <c r="C20" s="21" t="n">
        <f aca="false">Datos!I28</f>
        <v>0.0312470107223477</v>
      </c>
      <c r="D20" s="21" t="n">
        <f aca="false">Datos!H28</f>
        <v>-165.748584173387</v>
      </c>
      <c r="E20" s="21" t="n">
        <f aca="false">Datos!H26</f>
        <v>0.464510798855258</v>
      </c>
      <c r="F20" s="21" t="n">
        <f aca="false">Datos!H22</f>
        <v>-244.401219359875</v>
      </c>
      <c r="G20" s="21" t="n">
        <f aca="false">Datos!J22</f>
        <v>0.054123533141051</v>
      </c>
      <c r="H20" s="21" t="n">
        <f aca="false">Datos!K21</f>
        <v>-0.10171645872716</v>
      </c>
      <c r="I20" s="19" t="n">
        <v>1</v>
      </c>
      <c r="J20" s="19" t="n">
        <f aca="false">B20-($B$88+$B$89*C20+$B$90*D20+$B$91*E20+$B$92*F20+$B$93*G20+$B$94*H20)</f>
        <v>0.0101926499366496</v>
      </c>
      <c r="K20" s="19" t="n">
        <f aca="false">J20^2</f>
        <v>0.000103890112731083</v>
      </c>
      <c r="L20" s="19" t="n">
        <f aca="false">I20*$J20</f>
        <v>0.0101926499366496</v>
      </c>
      <c r="M20" s="19" t="n">
        <f aca="false">C20*$J20</f>
        <v>0.000318489841859626</v>
      </c>
      <c r="N20" s="19" t="n">
        <f aca="false">D20*$J20</f>
        <v>-1.68941729597463</v>
      </c>
      <c r="O20" s="19" t="n">
        <f aca="false">E20*$J20</f>
        <v>0.00473459596452509</v>
      </c>
      <c r="P20" s="19" t="n">
        <f aca="false">F20*$J20</f>
        <v>-2.49109607302551</v>
      </c>
      <c r="Q20" s="19" t="n">
        <f aca="false">G20*$J20</f>
        <v>0.000551662226641385</v>
      </c>
      <c r="R20" s="19" t="n">
        <f aca="false">H20*$J20</f>
        <v>-0.00103676025660161</v>
      </c>
    </row>
    <row r="21" customFormat="false" ht="15" hidden="false" customHeight="false" outlineLevel="0" collapsed="false">
      <c r="A21" s="20" t="str">
        <f aca="false">Datos!A29</f>
        <v>2011Q1</v>
      </c>
      <c r="B21" s="21" t="n">
        <f aca="false">Datos!L29</f>
        <v>-0.0031717685997612</v>
      </c>
      <c r="C21" s="21" t="n">
        <f aca="false">Datos!I29</f>
        <v>0.0422766191537938</v>
      </c>
      <c r="D21" s="21" t="n">
        <f aca="false">Datos!H29</f>
        <v>-12.9487096774192</v>
      </c>
      <c r="E21" s="21" t="n">
        <f aca="false">Datos!H27</f>
        <v>-22.7225300099209</v>
      </c>
      <c r="F21" s="21" t="n">
        <f aca="false">Datos!H23</f>
        <v>-533.989581101191</v>
      </c>
      <c r="G21" s="21" t="n">
        <f aca="false">Datos!J23</f>
        <v>-0.0490698977401611</v>
      </c>
      <c r="H21" s="21" t="n">
        <f aca="false">Datos!K22</f>
        <v>0.129643513362584</v>
      </c>
      <c r="I21" s="19" t="n">
        <v>1</v>
      </c>
      <c r="J21" s="19" t="n">
        <f aca="false">B21-($B$88+$B$89*C21+$B$90*D21+$B$91*E21+$B$92*F21+$B$93*G21+$B$94*H21)</f>
        <v>-0.021470527706922</v>
      </c>
      <c r="K21" s="19" t="n">
        <f aca="false">J21^2</f>
        <v>0.000460983560013705</v>
      </c>
      <c r="L21" s="19" t="n">
        <f aca="false">I21*$J21</f>
        <v>-0.021470527706922</v>
      </c>
      <c r="M21" s="19" t="n">
        <f aca="false">C21*$J21</f>
        <v>-0.000907701322896519</v>
      </c>
      <c r="N21" s="19" t="n">
        <f aca="false">D21*$J21</f>
        <v>0.278015629897917</v>
      </c>
      <c r="O21" s="19" t="n">
        <f aca="false">E21*$J21</f>
        <v>0.487864710149373</v>
      </c>
      <c r="P21" s="19" t="n">
        <f aca="false">F21*$J21</f>
        <v>11.4650380962408</v>
      </c>
      <c r="Q21" s="19" t="n">
        <f aca="false">G21*$J21</f>
        <v>0.00105355659900596</v>
      </c>
      <c r="R21" s="19" t="n">
        <f aca="false">H21*$J21</f>
        <v>-0.00278351464567408</v>
      </c>
    </row>
    <row r="22" customFormat="false" ht="15" hidden="false" customHeight="false" outlineLevel="0" collapsed="false">
      <c r="A22" s="20" t="str">
        <f aca="false">Datos!A30</f>
        <v>2011Q2</v>
      </c>
      <c r="B22" s="21" t="n">
        <f aca="false">Datos!L30</f>
        <v>-0.0384927248467331</v>
      </c>
      <c r="C22" s="21" t="n">
        <f aca="false">Datos!I30</f>
        <v>-0.0386592979395697</v>
      </c>
      <c r="D22" s="21" t="n">
        <f aca="false">Datos!H30</f>
        <v>41.5229032258063</v>
      </c>
      <c r="E22" s="21" t="n">
        <f aca="false">Datos!H28</f>
        <v>-165.748584173387</v>
      </c>
      <c r="F22" s="21" t="n">
        <f aca="false">Datos!H24</f>
        <v>-203.745835181452</v>
      </c>
      <c r="G22" s="21" t="n">
        <f aca="false">Datos!J24</f>
        <v>0.0211877049597919</v>
      </c>
      <c r="H22" s="21" t="n">
        <f aca="false">Datos!K23</f>
        <v>0.0271664532119418</v>
      </c>
      <c r="I22" s="19" t="n">
        <v>1</v>
      </c>
      <c r="J22" s="19" t="n">
        <f aca="false">B22-($B$88+$B$89*C22+$B$90*D22+$B$91*E22+$B$92*F22+$B$93*G22+$B$94*H22)</f>
        <v>-0.0392417263142862</v>
      </c>
      <c r="K22" s="19" t="n">
        <f aca="false">J22^2</f>
        <v>0.00153991308412534</v>
      </c>
      <c r="L22" s="19" t="n">
        <f aca="false">I22*$J22</f>
        <v>-0.0392417263142862</v>
      </c>
      <c r="M22" s="19" t="n">
        <f aca="false">C22*$J22</f>
        <v>0.00151705758924704</v>
      </c>
      <c r="N22" s="19" t="n">
        <f aca="false">D22*$J22</f>
        <v>-1.62943040416168</v>
      </c>
      <c r="O22" s="19" t="n">
        <f aca="false">E22*$J22</f>
        <v>6.50426057711249</v>
      </c>
      <c r="P22" s="19" t="n">
        <f aca="false">F22*$J22</f>
        <v>7.99533830186619</v>
      </c>
      <c r="Q22" s="19" t="n">
        <f aca="false">G22*$J22</f>
        <v>-0.000831442119259997</v>
      </c>
      <c r="R22" s="19" t="n">
        <f aca="false">H22*$J22</f>
        <v>-0.00106605852187288</v>
      </c>
    </row>
    <row r="23" customFormat="false" ht="15" hidden="false" customHeight="false" outlineLevel="0" collapsed="false">
      <c r="A23" s="20" t="str">
        <f aca="false">Datos!A31</f>
        <v>2011Q3</v>
      </c>
      <c r="B23" s="21" t="n">
        <f aca="false">Datos!L31</f>
        <v>0.0196602341504317</v>
      </c>
      <c r="C23" s="21" t="n">
        <f aca="false">Datos!I31</f>
        <v>0.0068203401084819</v>
      </c>
      <c r="D23" s="21" t="n">
        <f aca="false">Datos!H31</f>
        <v>158.444625</v>
      </c>
      <c r="E23" s="21" t="n">
        <f aca="false">Datos!H29</f>
        <v>-12.9487096774192</v>
      </c>
      <c r="F23" s="21" t="n">
        <f aca="false">Datos!H25</f>
        <v>15.4416356425168</v>
      </c>
      <c r="G23" s="21" t="n">
        <f aca="false">Datos!J25</f>
        <v>0.0221868916706847</v>
      </c>
      <c r="H23" s="21" t="n">
        <f aca="false">Datos!K24</f>
        <v>0.081172316441758</v>
      </c>
      <c r="I23" s="19" t="n">
        <v>1</v>
      </c>
      <c r="J23" s="19" t="n">
        <f aca="false">B23-($B$88+$B$89*C23+$B$90*D23+$B$91*E23+$B$92*F23+$B$93*G23+$B$94*H23)</f>
        <v>0.0138042366702587</v>
      </c>
      <c r="K23" s="19" t="n">
        <f aca="false">J23^2</f>
        <v>0.000190556950048516</v>
      </c>
      <c r="L23" s="19" t="n">
        <f aca="false">I23*$J23</f>
        <v>0.0138042366702587</v>
      </c>
      <c r="M23" s="19" t="n">
        <f aca="false">C23*$J23</f>
        <v>9.41495890291424E-005</v>
      </c>
      <c r="N23" s="19" t="n">
        <f aca="false">D23*$J23</f>
        <v>2.1872071026304</v>
      </c>
      <c r="O23" s="19" t="n">
        <f aca="false">E23*$J23</f>
        <v>-0.178747052961564</v>
      </c>
      <c r="P23" s="19" t="n">
        <f aca="false">F23*$J23</f>
        <v>0.213159992985204</v>
      </c>
      <c r="Q23" s="19" t="n">
        <f aca="false">G23*$J23</f>
        <v>0.000306273103599524</v>
      </c>
      <c r="R23" s="19" t="n">
        <f aca="false">H23*$J23</f>
        <v>0.00112052186723516</v>
      </c>
    </row>
    <row r="24" customFormat="false" ht="15" hidden="false" customHeight="false" outlineLevel="0" collapsed="false">
      <c r="A24" s="20" t="str">
        <f aca="false">Datos!A32</f>
        <v>2011Q4</v>
      </c>
      <c r="B24" s="21" t="n">
        <f aca="false">Datos!L32</f>
        <v>-0.0119223528865138</v>
      </c>
      <c r="C24" s="21" t="n">
        <f aca="false">Datos!I32</f>
        <v>-0.0270244482852387</v>
      </c>
      <c r="D24" s="21" t="n">
        <f aca="false">Datos!H32</f>
        <v>174.585041666667</v>
      </c>
      <c r="E24" s="21" t="n">
        <f aca="false">Datos!H30</f>
        <v>41.5229032258063</v>
      </c>
      <c r="F24" s="21" t="n">
        <f aca="false">Datos!H26</f>
        <v>0.464510798855258</v>
      </c>
      <c r="G24" s="21" t="n">
        <f aca="false">Datos!J26</f>
        <v>-0.0447960728624985</v>
      </c>
      <c r="H24" s="21" t="n">
        <f aca="false">Datos!K25</f>
        <v>0.00367116102547781</v>
      </c>
      <c r="I24" s="19" t="n">
        <v>1</v>
      </c>
      <c r="J24" s="19" t="n">
        <f aca="false">B24-($B$88+$B$89*C24+$B$90*D24+$B$91*E24+$B$92*F24+$B$93*G24+$B$94*H24)</f>
        <v>-0.00279191952362058</v>
      </c>
      <c r="K24" s="19" t="n">
        <f aca="false">J24^2</f>
        <v>7.79481462637375E-006</v>
      </c>
      <c r="L24" s="19" t="n">
        <f aca="false">I24*$J24</f>
        <v>-0.00279191952362058</v>
      </c>
      <c r="M24" s="19" t="n">
        <f aca="false">C24*$J24</f>
        <v>7.54500847826325E-005</v>
      </c>
      <c r="N24" s="19" t="n">
        <f aca="false">D24*$J24</f>
        <v>-0.487427386361279</v>
      </c>
      <c r="O24" s="19" t="n">
        <f aca="false">E24*$J24</f>
        <v>-0.115928604193536</v>
      </c>
      <c r="P24" s="19" t="n">
        <f aca="false">F24*$J24</f>
        <v>-0.00129687676825659</v>
      </c>
      <c r="Q24" s="19" t="n">
        <f aca="false">G24*$J24</f>
        <v>0.000125067030406339</v>
      </c>
      <c r="R24" s="19" t="n">
        <f aca="false">H24*$J24</f>
        <v>-1.02495861413864E-005</v>
      </c>
    </row>
    <row r="25" customFormat="false" ht="15" hidden="false" customHeight="false" outlineLevel="0" collapsed="false">
      <c r="A25" s="20" t="str">
        <f aca="false">Datos!A33</f>
        <v>2012Q1</v>
      </c>
      <c r="B25" s="21" t="n">
        <f aca="false">Datos!L33</f>
        <v>-0.0365288496025893</v>
      </c>
      <c r="C25" s="21" t="n">
        <f aca="false">Datos!I33</f>
        <v>-0.0290398188694472</v>
      </c>
      <c r="D25" s="21" t="n">
        <f aca="false">Datos!H33</f>
        <v>-75.1010327956988</v>
      </c>
      <c r="E25" s="21" t="n">
        <f aca="false">Datos!H31</f>
        <v>158.444625</v>
      </c>
      <c r="F25" s="21" t="n">
        <f aca="false">Datos!H27</f>
        <v>-22.7225300099209</v>
      </c>
      <c r="G25" s="21" t="n">
        <f aca="false">Datos!J27</f>
        <v>0.0629084391155807</v>
      </c>
      <c r="H25" s="21" t="n">
        <f aca="false">Datos!K26</f>
        <v>-0.134873174066432</v>
      </c>
      <c r="I25" s="19" t="n">
        <v>1</v>
      </c>
      <c r="J25" s="19" t="n">
        <f aca="false">B25-($B$88+$B$89*C25+$B$90*D25+$B$91*E25+$B$92*F25+$B$93*G25+$B$94*H25)</f>
        <v>0.00301873162130278</v>
      </c>
      <c r="K25" s="19" t="n">
        <f aca="false">J25^2</f>
        <v>9.11274060145329E-006</v>
      </c>
      <c r="L25" s="19" t="n">
        <f aca="false">I25*$J25</f>
        <v>0.00301873162130278</v>
      </c>
      <c r="M25" s="19" t="n">
        <f aca="false">C25*$J25</f>
        <v>-8.76634194981052E-005</v>
      </c>
      <c r="N25" s="19" t="n">
        <f aca="false">D25*$J25</f>
        <v>-0.226709862492873</v>
      </c>
      <c r="O25" s="19" t="n">
        <f aca="false">E25*$J25</f>
        <v>0.47830179971296</v>
      </c>
      <c r="P25" s="19" t="n">
        <f aca="false">F25*$J25</f>
        <v>-0.0685932198569495</v>
      </c>
      <c r="Q25" s="19" t="n">
        <f aca="false">G25*$J25</f>
        <v>0.000189903694405004</v>
      </c>
      <c r="R25" s="19" t="n">
        <f aca="false">H25*$J25</f>
        <v>-0.000407145915419813</v>
      </c>
    </row>
    <row r="26" customFormat="false" ht="15" hidden="false" customHeight="false" outlineLevel="0" collapsed="false">
      <c r="A26" s="20" t="str">
        <f aca="false">Datos!A34</f>
        <v>2012Q2</v>
      </c>
      <c r="B26" s="21" t="n">
        <f aca="false">Datos!L34</f>
        <v>-0.0619600415532879</v>
      </c>
      <c r="C26" s="21" t="n">
        <f aca="false">Datos!I34</f>
        <v>-0.026110493572689</v>
      </c>
      <c r="D26" s="21" t="n">
        <f aca="false">Datos!H34</f>
        <v>231.838685176651</v>
      </c>
      <c r="E26" s="21" t="n">
        <f aca="false">Datos!H32</f>
        <v>174.585041666667</v>
      </c>
      <c r="F26" s="21" t="n">
        <f aca="false">Datos!H28</f>
        <v>-165.748584173387</v>
      </c>
      <c r="G26" s="21" t="n">
        <f aca="false">Datos!J28</f>
        <v>0.0406890191956908</v>
      </c>
      <c r="H26" s="21" t="n">
        <f aca="false">Datos!K27</f>
        <v>0.00395895744112517</v>
      </c>
      <c r="I26" s="19" t="n">
        <v>1</v>
      </c>
      <c r="J26" s="19" t="n">
        <f aca="false">B26-($B$88+$B$89*C26+$B$90*D26+$B$91*E26+$B$92*F26+$B$93*G26+$B$94*H26)</f>
        <v>-0.0254895206293107</v>
      </c>
      <c r="K26" s="19" t="n">
        <f aca="false">J26^2</f>
        <v>0.000649715661912055</v>
      </c>
      <c r="L26" s="19" t="n">
        <f aca="false">I26*$J26</f>
        <v>-0.0254895206293107</v>
      </c>
      <c r="M26" s="19" t="n">
        <f aca="false">C26*$J26</f>
        <v>0.00066554396456254</v>
      </c>
      <c r="N26" s="19" t="n">
        <f aca="false">D26*$J26</f>
        <v>-5.90945694848251</v>
      </c>
      <c r="O26" s="19" t="n">
        <f aca="false">E26*$J26</f>
        <v>-4.45008902113157</v>
      </c>
      <c r="P26" s="19" t="n">
        <f aca="false">F26*$J26</f>
        <v>4.22485195556659</v>
      </c>
      <c r="Q26" s="19" t="n">
        <f aca="false">G26*$J26</f>
        <v>-0.00103714359417498</v>
      </c>
      <c r="R26" s="19" t="n">
        <f aca="false">H26*$J26</f>
        <v>-0.000100911927366123</v>
      </c>
    </row>
    <row r="27" customFormat="false" ht="15" hidden="false" customHeight="false" outlineLevel="0" collapsed="false">
      <c r="A27" s="20" t="str">
        <f aca="false">Datos!A35</f>
        <v>2012Q3</v>
      </c>
      <c r="B27" s="21" t="n">
        <f aca="false">Datos!L35</f>
        <v>0.0351346302789751</v>
      </c>
      <c r="C27" s="21" t="n">
        <f aca="false">Datos!I35</f>
        <v>0.0386172859864582</v>
      </c>
      <c r="D27" s="21" t="n">
        <f aca="false">Datos!H35</f>
        <v>-43.7133031746029</v>
      </c>
      <c r="E27" s="21" t="n">
        <f aca="false">Datos!H33</f>
        <v>-75.1010327956988</v>
      </c>
      <c r="F27" s="21" t="n">
        <f aca="false">Datos!H29</f>
        <v>-12.9487096774192</v>
      </c>
      <c r="G27" s="21" t="n">
        <f aca="false">Datos!J29</f>
        <v>-0.0741697784354101</v>
      </c>
      <c r="H27" s="21" t="n">
        <f aca="false">Datos!K28</f>
        <v>0.05803748575736</v>
      </c>
      <c r="I27" s="19" t="n">
        <v>1</v>
      </c>
      <c r="J27" s="19" t="n">
        <f aca="false">B27-($B$88+$B$89*C27+$B$90*D27+$B$91*E27+$B$92*F27+$B$93*G27+$B$94*H27)</f>
        <v>0.00400440314325234</v>
      </c>
      <c r="K27" s="19" t="n">
        <f aca="false">J27^2</f>
        <v>1.60352445336892E-005</v>
      </c>
      <c r="L27" s="19" t="n">
        <f aca="false">I27*$J27</f>
        <v>0.00400440314325234</v>
      </c>
      <c r="M27" s="19" t="n">
        <f aca="false">C27*$J27</f>
        <v>0.000154639181388048</v>
      </c>
      <c r="N27" s="19" t="n">
        <f aca="false">D27*$J27</f>
        <v>-0.175045688634322</v>
      </c>
      <c r="O27" s="19" t="n">
        <f aca="false">E27*$J27</f>
        <v>-0.300734811788593</v>
      </c>
      <c r="P27" s="19" t="n">
        <f aca="false">F27*$J27</f>
        <v>-0.0518518537333193</v>
      </c>
      <c r="Q27" s="19" t="n">
        <f aca="false">G27*$J27</f>
        <v>-0.000297005693901086</v>
      </c>
      <c r="R27" s="19" t="n">
        <f aca="false">H27*$J27</f>
        <v>0.000232405490393235</v>
      </c>
    </row>
    <row r="28" customFormat="false" ht="15" hidden="false" customHeight="false" outlineLevel="0" collapsed="false">
      <c r="A28" s="20" t="str">
        <f aca="false">Datos!A36</f>
        <v>2012Q4</v>
      </c>
      <c r="B28" s="21" t="n">
        <f aca="false">Datos!L36</f>
        <v>0.0167409821196641</v>
      </c>
      <c r="C28" s="21" t="n">
        <f aca="false">Datos!I36</f>
        <v>0.0395024208900321</v>
      </c>
      <c r="D28" s="21" t="n">
        <f aca="false">Datos!H36</f>
        <v>16.4557341269839</v>
      </c>
      <c r="E28" s="21" t="n">
        <f aca="false">Datos!H34</f>
        <v>231.838685176651</v>
      </c>
      <c r="F28" s="21" t="n">
        <f aca="false">Datos!H30</f>
        <v>41.5229032258063</v>
      </c>
      <c r="G28" s="21" t="n">
        <f aca="false">Datos!J30</f>
        <v>0.0370188748562493</v>
      </c>
      <c r="H28" s="21" t="n">
        <f aca="false">Datos!K29</f>
        <v>0.0369403748928518</v>
      </c>
      <c r="I28" s="19" t="n">
        <v>1</v>
      </c>
      <c r="J28" s="19" t="n">
        <f aca="false">B28-($B$88+$B$89*C28+$B$90*D28+$B$91*E28+$B$92*F28+$B$93*G28+$B$94*H28)</f>
        <v>0.0228995634453706</v>
      </c>
      <c r="K28" s="19" t="n">
        <f aca="false">J28^2</f>
        <v>0.000524390005988552</v>
      </c>
      <c r="L28" s="19" t="n">
        <f aca="false">I28*$J28</f>
        <v>0.0228995634453706</v>
      </c>
      <c r="M28" s="19" t="n">
        <f aca="false">C28*$J28</f>
        <v>0.000904588193417022</v>
      </c>
      <c r="N28" s="19" t="n">
        <f aca="false">D28*$J28</f>
        <v>0.376829127681017</v>
      </c>
      <c r="O28" s="19" t="n">
        <f aca="false">E28*$J28</f>
        <v>5.30900468029402</v>
      </c>
      <c r="P28" s="19" t="n">
        <f aca="false">F28*$J28</f>
        <v>0.950856356855334</v>
      </c>
      <c r="Q28" s="19" t="n">
        <f aca="false">G28*$J28</f>
        <v>0.000847716073446915</v>
      </c>
      <c r="R28" s="19" t="n">
        <f aca="false">H28*$J28</f>
        <v>0.000845918458554635</v>
      </c>
    </row>
    <row r="29" customFormat="false" ht="15" hidden="false" customHeight="false" outlineLevel="0" collapsed="false">
      <c r="A29" s="20" t="str">
        <f aca="false">Datos!A37</f>
        <v>2013Q1</v>
      </c>
      <c r="B29" s="21" t="n">
        <f aca="false">Datos!L37</f>
        <v>0.000982211281734369</v>
      </c>
      <c r="C29" s="21" t="n">
        <f aca="false">Datos!I37</f>
        <v>-0.0136126649327899</v>
      </c>
      <c r="D29" s="21" t="n">
        <f aca="false">Datos!H37</f>
        <v>88.9247333333331</v>
      </c>
      <c r="E29" s="21" t="n">
        <f aca="false">Datos!H35</f>
        <v>-43.7133031746029</v>
      </c>
      <c r="F29" s="21" t="n">
        <f aca="false">Datos!H31</f>
        <v>158.444625</v>
      </c>
      <c r="G29" s="21" t="n">
        <f aca="false">Datos!J31</f>
        <v>0.0367630898891084</v>
      </c>
      <c r="H29" s="21" t="n">
        <f aca="false">Datos!K30</f>
        <v>0.0675225331288068</v>
      </c>
      <c r="I29" s="19" t="n">
        <v>1</v>
      </c>
      <c r="J29" s="19" t="n">
        <f aca="false">B29-($B$88+$B$89*C29+$B$90*D29+$B$91*E29+$B$92*F29+$B$93*G29+$B$94*H29)</f>
        <v>-0.0102405958133261</v>
      </c>
      <c r="K29" s="19" t="n">
        <f aca="false">J29^2</f>
        <v>0.000104869802611913</v>
      </c>
      <c r="L29" s="19" t="n">
        <f aca="false">I29*$J29</f>
        <v>-0.0102405958133261</v>
      </c>
      <c r="M29" s="19" t="n">
        <f aca="false">C29*$J29</f>
        <v>0.00013940179951894</v>
      </c>
      <c r="N29" s="19" t="n">
        <f aca="false">D29*$J29</f>
        <v>-0.910642251874474</v>
      </c>
      <c r="O29" s="19" t="n">
        <f aca="false">E29*$J29</f>
        <v>0.447650269476494</v>
      </c>
      <c r="P29" s="19" t="n">
        <f aca="false">F29*$J29</f>
        <v>-1.62256736341903</v>
      </c>
      <c r="Q29" s="19" t="n">
        <f aca="false">G29*$J29</f>
        <v>-0.000376475944403336</v>
      </c>
      <c r="R29" s="19" t="n">
        <f aca="false">H29*$J29</f>
        <v>-0.000691470970064035</v>
      </c>
    </row>
    <row r="30" customFormat="false" ht="15" hidden="false" customHeight="false" outlineLevel="0" collapsed="false">
      <c r="A30" s="20" t="str">
        <f aca="false">Datos!A38</f>
        <v>2013Q2</v>
      </c>
      <c r="B30" s="21" t="n">
        <f aca="false">Datos!L38</f>
        <v>0.0559199834902318</v>
      </c>
      <c r="C30" s="21" t="n">
        <f aca="false">Datos!I38</f>
        <v>0.000905918240426698</v>
      </c>
      <c r="D30" s="21" t="n">
        <f aca="false">Datos!H38</f>
        <v>74.8855166666669</v>
      </c>
      <c r="E30" s="21" t="n">
        <f aca="false">Datos!H36</f>
        <v>16.4557341269839</v>
      </c>
      <c r="F30" s="21" t="n">
        <f aca="false">Datos!H32</f>
        <v>174.585041666667</v>
      </c>
      <c r="G30" s="21" t="n">
        <f aca="false">Datos!J32</f>
        <v>-0.135501479583027</v>
      </c>
      <c r="H30" s="21" t="n">
        <f aca="false">Datos!K31</f>
        <v>-0.0288618479552661</v>
      </c>
      <c r="I30" s="19" t="n">
        <v>1</v>
      </c>
      <c r="J30" s="19" t="n">
        <f aca="false">B30-($B$88+$B$89*C30+$B$90*D30+$B$91*E30+$B$92*F30+$B$93*G30+$B$94*H30)</f>
        <v>0.0441739050967863</v>
      </c>
      <c r="K30" s="19" t="n">
        <f aca="false">J30^2</f>
        <v>0.00195133389149988</v>
      </c>
      <c r="L30" s="19" t="n">
        <f aca="false">I30*$J30</f>
        <v>0.0441739050967863</v>
      </c>
      <c r="M30" s="19" t="n">
        <f aca="false">C30*$J30</f>
        <v>4.00179463780566E-005</v>
      </c>
      <c r="N30" s="19" t="n">
        <f aca="false">D30*$J30</f>
        <v>3.30798570635715</v>
      </c>
      <c r="O30" s="19" t="n">
        <f aca="false">E30*$J30</f>
        <v>0.726914037623333</v>
      </c>
      <c r="P30" s="19" t="n">
        <f aca="false">F30*$J30</f>
        <v>7.71210306190181</v>
      </c>
      <c r="Q30" s="19" t="n">
        <f aca="false">G30*$J30</f>
        <v>-0.00598562949957474</v>
      </c>
      <c r="R30" s="19" t="n">
        <f aca="false">H30*$J30</f>
        <v>-0.0012749405324938</v>
      </c>
    </row>
    <row r="31" customFormat="false" ht="15" hidden="false" customHeight="false" outlineLevel="0" collapsed="false">
      <c r="A31" s="20" t="str">
        <f aca="false">Datos!A39</f>
        <v>2013Q3</v>
      </c>
      <c r="B31" s="21" t="n">
        <f aca="false">Datos!L39</f>
        <v>-0.0368763361961251</v>
      </c>
      <c r="C31" s="21" t="n">
        <f aca="false">Datos!I39</f>
        <v>-0.0669208551958795</v>
      </c>
      <c r="D31" s="21" t="n">
        <f aca="false">Datos!H39</f>
        <v>-109.725953125</v>
      </c>
      <c r="E31" s="21" t="n">
        <f aca="false">Datos!H37</f>
        <v>88.9247333333331</v>
      </c>
      <c r="F31" s="21" t="n">
        <f aca="false">Datos!H33</f>
        <v>-75.1010327956988</v>
      </c>
      <c r="G31" s="21" t="n">
        <f aca="false">Datos!J33</f>
        <v>0.0927807464043467</v>
      </c>
      <c r="H31" s="21" t="n">
        <f aca="false">Datos!K32</f>
        <v>-0.0632996042190603</v>
      </c>
      <c r="I31" s="19" t="n">
        <v>1</v>
      </c>
      <c r="J31" s="19" t="n">
        <f aca="false">B31-($B$88+$B$89*C31+$B$90*D31+$B$91*E31+$B$92*F31+$B$93*G31+$B$94*H31)</f>
        <v>-0.00855494030161001</v>
      </c>
      <c r="K31" s="19" t="n">
        <f aca="false">J31^2</f>
        <v>7.31870035641112E-005</v>
      </c>
      <c r="L31" s="19" t="n">
        <f aca="false">I31*$J31</f>
        <v>-0.00855494030161001</v>
      </c>
      <c r="M31" s="19" t="n">
        <f aca="false">C31*$J31</f>
        <v>0.000572503921133437</v>
      </c>
      <c r="N31" s="19" t="n">
        <f aca="false">D31*$J31</f>
        <v>0.938698978521633</v>
      </c>
      <c r="O31" s="19" t="n">
        <f aca="false">E31*$J31</f>
        <v>-0.760745785003254</v>
      </c>
      <c r="P31" s="19" t="n">
        <f aca="false">F31*$J31</f>
        <v>0.642484852156459</v>
      </c>
      <c r="Q31" s="19" t="n">
        <f aca="false">G31*$J31</f>
        <v>-0.000793733746628004</v>
      </c>
      <c r="R31" s="19" t="n">
        <f aca="false">H31*$J31</f>
        <v>0.000541524335209602</v>
      </c>
    </row>
    <row r="32" customFormat="false" ht="15" hidden="false" customHeight="false" outlineLevel="0" collapsed="false">
      <c r="A32" s="20" t="str">
        <f aca="false">Datos!A40</f>
        <v>2013Q4</v>
      </c>
      <c r="B32" s="21" t="n">
        <f aca="false">Datos!L40</f>
        <v>-0.0260941044948726</v>
      </c>
      <c r="C32" s="21" t="n">
        <f aca="false">Datos!I40</f>
        <v>-0.0573108864708702</v>
      </c>
      <c r="D32" s="21" t="n">
        <f aca="false">Datos!H40</f>
        <v>-236.474292776639</v>
      </c>
      <c r="E32" s="21" t="n">
        <f aca="false">Datos!H38</f>
        <v>74.8855166666669</v>
      </c>
      <c r="F32" s="21" t="n">
        <f aca="false">Datos!H34</f>
        <v>231.838685176651</v>
      </c>
      <c r="G32" s="21" t="n">
        <f aca="false">Datos!J34</f>
        <v>-0.0400600353414598</v>
      </c>
      <c r="H32" s="21" t="n">
        <f aca="false">Datos!K33</f>
        <v>-0.0212380852307825</v>
      </c>
      <c r="I32" s="19" t="n">
        <v>1</v>
      </c>
      <c r="J32" s="19" t="n">
        <f aca="false">B32-($B$88+$B$89*C32+$B$90*D32+$B$91*E32+$B$92*F32+$B$93*G32+$B$94*H32)</f>
        <v>-0.0415586987403086</v>
      </c>
      <c r="K32" s="19" t="n">
        <f aca="false">J32^2</f>
        <v>0.00172712544098773</v>
      </c>
      <c r="L32" s="19" t="n">
        <f aca="false">I32*$J32</f>
        <v>-0.0415586987403086</v>
      </c>
      <c r="M32" s="19" t="n">
        <f aca="false">C32*$J32</f>
        <v>0.00238176586538293</v>
      </c>
      <c r="N32" s="19" t="n">
        <f aca="false">D32*$J32</f>
        <v>9.82756389333188</v>
      </c>
      <c r="O32" s="19" t="n">
        <f aca="false">E32*$J32</f>
        <v>-3.11214462716237</v>
      </c>
      <c r="P32" s="19" t="n">
        <f aca="false">F32*$J32</f>
        <v>-9.6349140736057</v>
      </c>
      <c r="Q32" s="19" t="n">
        <f aca="false">G32*$J32</f>
        <v>0.00166484294028184</v>
      </c>
      <c r="R32" s="19" t="n">
        <f aca="false">H32*$J32</f>
        <v>0.000882627185927089</v>
      </c>
    </row>
    <row r="33" customFormat="false" ht="15" hidden="false" customHeight="false" outlineLevel="0" collapsed="false">
      <c r="A33" s="20" t="str">
        <f aca="false">Datos!A41</f>
        <v>2014Q1</v>
      </c>
      <c r="B33" s="21" t="n">
        <f aca="false">Datos!L41</f>
        <v>-0.00838007808506247</v>
      </c>
      <c r="C33" s="21" t="n">
        <f aca="false">Datos!I41</f>
        <v>-0.0958800124314026</v>
      </c>
      <c r="D33" s="21" t="n">
        <f aca="false">Datos!H41</f>
        <v>71.9946229508196</v>
      </c>
      <c r="E33" s="21" t="n">
        <f aca="false">Datos!H39</f>
        <v>-109.725953125</v>
      </c>
      <c r="F33" s="21" t="n">
        <f aca="false">Datos!H35</f>
        <v>-43.7133031746029</v>
      </c>
      <c r="G33" s="21" t="n">
        <f aca="false">Datos!J35</f>
        <v>-0.067078079606848</v>
      </c>
      <c r="H33" s="21" t="n">
        <f aca="false">Datos!K34</f>
        <v>-0.0420035680408851</v>
      </c>
      <c r="I33" s="19" t="n">
        <v>1</v>
      </c>
      <c r="J33" s="19" t="n">
        <f aca="false">B33-($B$88+$B$89*C33+$B$90*D33+$B$91*E33+$B$92*F33+$B$93*G33+$B$94*H33)</f>
        <v>-0.0012062558771025</v>
      </c>
      <c r="K33" s="19" t="n">
        <f aca="false">J33^2</f>
        <v>1.45505324104433E-006</v>
      </c>
      <c r="L33" s="19" t="n">
        <f aca="false">I33*$J33</f>
        <v>-0.0012062558771025</v>
      </c>
      <c r="M33" s="19" t="n">
        <f aca="false">C33*$J33</f>
        <v>0.000115655828492041</v>
      </c>
      <c r="N33" s="19" t="n">
        <f aca="false">D33*$J33</f>
        <v>-0.0868439370542049</v>
      </c>
      <c r="O33" s="19" t="n">
        <f aca="false">E33*$J33</f>
        <v>0.132357575827705</v>
      </c>
      <c r="P33" s="19" t="n">
        <f aca="false">F33*$J33</f>
        <v>0.0527294288619282</v>
      </c>
      <c r="Q33" s="19" t="n">
        <f aca="false">G33*$J33</f>
        <v>8.09133277505101E-005</v>
      </c>
      <c r="R33" s="19" t="n">
        <f aca="false">H33*$J33</f>
        <v>5.06670508085926E-005</v>
      </c>
    </row>
    <row r="34" customFormat="false" ht="15" hidden="false" customHeight="false" outlineLevel="0" collapsed="false">
      <c r="A34" s="20" t="str">
        <f aca="false">Datos!A42</f>
        <v>2014Q2</v>
      </c>
      <c r="B34" s="21" t="n">
        <f aca="false">Datos!L42</f>
        <v>-0.0115991030912197</v>
      </c>
      <c r="C34" s="21" t="n">
        <f aca="false">Datos!I42</f>
        <v>-0.0333671304691989</v>
      </c>
      <c r="D34" s="21" t="n">
        <f aca="false">Datos!H42</f>
        <v>-143.202551652355</v>
      </c>
      <c r="E34" s="21" t="n">
        <f aca="false">Datos!H40</f>
        <v>-236.474292776639</v>
      </c>
      <c r="F34" s="21" t="n">
        <f aca="false">Datos!H36</f>
        <v>16.4557341269839</v>
      </c>
      <c r="G34" s="21" t="n">
        <f aca="false">Datos!J36</f>
        <v>0.0542645345476518</v>
      </c>
      <c r="H34" s="21" t="n">
        <f aca="false">Datos!K35</f>
        <v>0.079458812069766</v>
      </c>
      <c r="I34" s="19" t="n">
        <v>1</v>
      </c>
      <c r="J34" s="19" t="n">
        <f aca="false">B34-($B$88+$B$89*C34+$B$90*D34+$B$91*E34+$B$92*F34+$B$93*G34+$B$94*H34)</f>
        <v>-0.0429677076784583</v>
      </c>
      <c r="K34" s="19" t="n">
        <f aca="false">J34^2</f>
        <v>0.00184622390314144</v>
      </c>
      <c r="L34" s="19" t="n">
        <f aca="false">I34*$J34</f>
        <v>-0.0429677076784583</v>
      </c>
      <c r="M34" s="19" t="n">
        <f aca="false">C34*$J34</f>
        <v>0.00143370910806952</v>
      </c>
      <c r="N34" s="19" t="n">
        <f aca="false">D34*$J34</f>
        <v>6.15308537820773</v>
      </c>
      <c r="O34" s="19" t="n">
        <f aca="false">E34*$J34</f>
        <v>10.1607582854968</v>
      </c>
      <c r="P34" s="19" t="n">
        <f aca="false">F34*$J34</f>
        <v>-0.707065173602674</v>
      </c>
      <c r="Q34" s="19" t="n">
        <f aca="false">G34*$J34</f>
        <v>-0.0023316226577511</v>
      </c>
      <c r="R34" s="19" t="n">
        <f aca="false">H34*$J34</f>
        <v>-0.00341416300949126</v>
      </c>
    </row>
    <row r="35" customFormat="false" ht="15" hidden="false" customHeight="false" outlineLevel="0" collapsed="false">
      <c r="A35" s="20" t="str">
        <f aca="false">Datos!A43</f>
        <v>2014Q3</v>
      </c>
      <c r="B35" s="21" t="n">
        <f aca="false">Datos!L43</f>
        <v>-0.021895763616679</v>
      </c>
      <c r="C35" s="21" t="n">
        <f aca="false">Datos!I43</f>
        <v>-0.00270570265133011</v>
      </c>
      <c r="D35" s="21" t="n">
        <f aca="false">Datos!H43</f>
        <v>-73.5206691468252</v>
      </c>
      <c r="E35" s="21" t="n">
        <f aca="false">Datos!H41</f>
        <v>71.9946229508196</v>
      </c>
      <c r="F35" s="21" t="n">
        <f aca="false">Datos!H37</f>
        <v>88.9247333333331</v>
      </c>
      <c r="G35" s="21" t="n">
        <f aca="false">Datos!J37</f>
        <v>-0.0125683284799909</v>
      </c>
      <c r="H35" s="21" t="n">
        <f aca="false">Datos!K36</f>
        <v>-0.0215673319846723</v>
      </c>
      <c r="I35" s="19" t="n">
        <v>1</v>
      </c>
      <c r="J35" s="19" t="n">
        <f aca="false">B35-($B$88+$B$89*C35+$B$90*D35+$B$91*E35+$B$92*F35+$B$93*G35+$B$94*H35)</f>
        <v>-0.02380113807586</v>
      </c>
      <c r="K35" s="19" t="n">
        <f aca="false">J35^2</f>
        <v>0.000566494173706153</v>
      </c>
      <c r="L35" s="19" t="n">
        <f aca="false">I35*$J35</f>
        <v>-0.02380113807586</v>
      </c>
      <c r="M35" s="19" t="n">
        <f aca="false">C35*$J35</f>
        <v>6.43988023965283E-005</v>
      </c>
      <c r="N35" s="19" t="n">
        <f aca="false">D35*$J35</f>
        <v>1.74987559779321</v>
      </c>
      <c r="O35" s="19" t="n">
        <f aca="false">E35*$J35</f>
        <v>-1.71355396157194</v>
      </c>
      <c r="P35" s="19" t="n">
        <f aca="false">F35*$J35</f>
        <v>-2.11650985642569</v>
      </c>
      <c r="Q35" s="19" t="n">
        <f aca="false">G35*$J35</f>
        <v>0.000299140521535027</v>
      </c>
      <c r="R35" s="19" t="n">
        <f aca="false">H35*$J35</f>
        <v>0.000513327046495097</v>
      </c>
    </row>
    <row r="36" customFormat="false" ht="15" hidden="false" customHeight="false" outlineLevel="0" collapsed="false">
      <c r="A36" s="20" t="str">
        <f aca="false">Datos!A44</f>
        <v>2014Q4</v>
      </c>
      <c r="B36" s="21" t="n">
        <f aca="false">Datos!L44</f>
        <v>0.0142278491595248</v>
      </c>
      <c r="C36" s="21" t="n">
        <f aca="false">Datos!I44</f>
        <v>0.0206592277311123</v>
      </c>
      <c r="D36" s="21" t="n">
        <f aca="false">Datos!H44</f>
        <v>21.0197781762296</v>
      </c>
      <c r="E36" s="21" t="n">
        <f aca="false">Datos!H42</f>
        <v>-143.202551652355</v>
      </c>
      <c r="F36" s="21" t="n">
        <f aca="false">Datos!H38</f>
        <v>74.8855166666669</v>
      </c>
      <c r="G36" s="21" t="n">
        <f aca="false">Datos!J38</f>
        <v>0.0292871541298152</v>
      </c>
      <c r="H36" s="21" t="n">
        <f aca="false">Datos!K37</f>
        <v>-0.0867445085368881</v>
      </c>
      <c r="I36" s="19" t="n">
        <v>1</v>
      </c>
      <c r="J36" s="19" t="n">
        <f aca="false">B36-($B$88+$B$89*C36+$B$90*D36+$B$91*E36+$B$92*F36+$B$93*G36+$B$94*H36)</f>
        <v>0.020507140775628</v>
      </c>
      <c r="K36" s="19" t="n">
        <f aca="false">J36^2</f>
        <v>0.000420542822791424</v>
      </c>
      <c r="L36" s="19" t="n">
        <f aca="false">I36*$J36</f>
        <v>0.020507140775628</v>
      </c>
      <c r="M36" s="19" t="n">
        <f aca="false">C36*$J36</f>
        <v>0.000423661691397678</v>
      </c>
      <c r="N36" s="19" t="n">
        <f aca="false">D36*$J36</f>
        <v>0.431055550132413</v>
      </c>
      <c r="O36" s="19" t="n">
        <f aca="false">E36*$J36</f>
        <v>-2.93667488616399</v>
      </c>
      <c r="P36" s="19" t="n">
        <f aca="false">F36*$J36</f>
        <v>1.53568783233898</v>
      </c>
      <c r="Q36" s="19" t="n">
        <f aca="false">G36*$J36</f>
        <v>0.000600595792657635</v>
      </c>
      <c r="R36" s="19" t="n">
        <f aca="false">H36*$J36</f>
        <v>-0.00177888184807863</v>
      </c>
    </row>
    <row r="37" customFormat="false" ht="15" hidden="false" customHeight="false" outlineLevel="0" collapsed="false">
      <c r="A37" s="20" t="str">
        <f aca="false">Datos!A45</f>
        <v>2015Q1</v>
      </c>
      <c r="B37" s="21" t="n">
        <f aca="false">Datos!L45</f>
        <v>0.0306663908660249</v>
      </c>
      <c r="C37" s="21" t="n">
        <f aca="false">Datos!I45</f>
        <v>0.12737234338906</v>
      </c>
      <c r="D37" s="21" t="n">
        <f aca="false">Datos!H45</f>
        <v>-63.2494918032786</v>
      </c>
      <c r="E37" s="21" t="n">
        <f aca="false">Datos!H43</f>
        <v>-73.5206691468252</v>
      </c>
      <c r="F37" s="21" t="n">
        <f aca="false">Datos!H39</f>
        <v>-109.725953125</v>
      </c>
      <c r="G37" s="21" t="n">
        <f aca="false">Datos!J39</f>
        <v>0.0770487894176897</v>
      </c>
      <c r="H37" s="21" t="n">
        <f aca="false">Datos!K38</f>
        <v>0.0123174371873954</v>
      </c>
      <c r="I37" s="19" t="n">
        <v>1</v>
      </c>
      <c r="J37" s="19" t="n">
        <f aca="false">B37-($B$88+$B$89*C37+$B$90*D37+$B$91*E37+$B$92*F37+$B$93*G37+$B$94*H37)</f>
        <v>0.0194408113164844</v>
      </c>
      <c r="K37" s="19" t="n">
        <f aca="false">J37^2</f>
        <v>0.000377945144643147</v>
      </c>
      <c r="L37" s="19" t="n">
        <f aca="false">I37*$J37</f>
        <v>0.0194408113164844</v>
      </c>
      <c r="M37" s="19" t="n">
        <f aca="false">C37*$J37</f>
        <v>0.00247622169476517</v>
      </c>
      <c r="N37" s="19" t="n">
        <f aca="false">D37*$J37</f>
        <v>-1.22962143601106</v>
      </c>
      <c r="O37" s="19" t="n">
        <f aca="false">E37*$J37</f>
        <v>-1.4293014567451</v>
      </c>
      <c r="P37" s="19" t="n">
        <f aca="false">F37*$J37</f>
        <v>-2.13316155122453</v>
      </c>
      <c r="Q37" s="19" t="n">
        <f aca="false">G37*$J37</f>
        <v>0.00149789097723284</v>
      </c>
      <c r="R37" s="19" t="n">
        <f aca="false">H37*$J37</f>
        <v>0.000239460972262802</v>
      </c>
    </row>
    <row r="38" customFormat="false" ht="15" hidden="false" customHeight="false" outlineLevel="0" collapsed="false">
      <c r="A38" s="20" t="str">
        <f aca="false">Datos!A46</f>
        <v>2015Q2</v>
      </c>
      <c r="B38" s="21" t="n">
        <f aca="false">Datos!L46</f>
        <v>0.0378012308454139</v>
      </c>
      <c r="C38" s="21" t="n">
        <f aca="false">Datos!I46</f>
        <v>0.079305358514979</v>
      </c>
      <c r="D38" s="21" t="n">
        <f aca="false">Datos!H46</f>
        <v>-69.448288776797</v>
      </c>
      <c r="E38" s="21" t="n">
        <f aca="false">Datos!H44</f>
        <v>21.0197781762296</v>
      </c>
      <c r="F38" s="21" t="n">
        <f aca="false">Datos!H40</f>
        <v>-236.474292776639</v>
      </c>
      <c r="G38" s="21" t="n">
        <f aca="false">Datos!J40</f>
        <v>-0.031577165647831</v>
      </c>
      <c r="H38" s="21" t="n">
        <f aca="false">Datos!K39</f>
        <v>-0.0661301293821577</v>
      </c>
      <c r="I38" s="19" t="n">
        <v>1</v>
      </c>
      <c r="J38" s="19" t="n">
        <f aca="false">B38-($B$88+$B$89*C38+$B$90*D38+$B$91*E38+$B$92*F38+$B$93*G38+$B$94*H38)</f>
        <v>0.0433367119240044</v>
      </c>
      <c r="K38" s="19" t="n">
        <f aca="false">J38^2</f>
        <v>0.00187807060038414</v>
      </c>
      <c r="L38" s="19" t="n">
        <f aca="false">I38*$J38</f>
        <v>0.0433367119240044</v>
      </c>
      <c r="M38" s="19" t="n">
        <f aca="false">C38*$J38</f>
        <v>0.00343683347599353</v>
      </c>
      <c r="N38" s="19" t="n">
        <f aca="false">D38*$J38</f>
        <v>-3.00966048433512</v>
      </c>
      <c r="O38" s="19" t="n">
        <f aca="false">E38*$J38</f>
        <v>0.910928071529735</v>
      </c>
      <c r="P38" s="19" t="n">
        <f aca="false">F38*$J38</f>
        <v>-10.2480183034939</v>
      </c>
      <c r="Q38" s="19" t="n">
        <f aca="false">G38*$J38</f>
        <v>-0.00136845053105662</v>
      </c>
      <c r="R38" s="19" t="n">
        <f aca="false">H38*$J38</f>
        <v>-0.00286586236653171</v>
      </c>
    </row>
    <row r="39" customFormat="false" ht="15" hidden="false" customHeight="false" outlineLevel="0" collapsed="false">
      <c r="A39" s="20" t="str">
        <f aca="false">Datos!A47</f>
        <v>2015Q3</v>
      </c>
      <c r="B39" s="21" t="n">
        <f aca="false">Datos!L47</f>
        <v>-0.000648620462658789</v>
      </c>
      <c r="C39" s="21" t="n">
        <f aca="false">Datos!I47</f>
        <v>-0.0219317664243788</v>
      </c>
      <c r="D39" s="21" t="n">
        <f aca="false">Datos!H47</f>
        <v>-12.3885780885781</v>
      </c>
      <c r="E39" s="21" t="n">
        <f aca="false">Datos!H45</f>
        <v>-63.2494918032786</v>
      </c>
      <c r="F39" s="21" t="n">
        <f aca="false">Datos!H41</f>
        <v>71.9946229508196</v>
      </c>
      <c r="G39" s="21" t="n">
        <f aca="false">Datos!J41</f>
        <v>0.0530334992950312</v>
      </c>
      <c r="H39" s="21" t="n">
        <f aca="false">Datos!K40</f>
        <v>-0.0319000966767005</v>
      </c>
      <c r="I39" s="19" t="n">
        <v>1</v>
      </c>
      <c r="J39" s="19" t="n">
        <f aca="false">B39-($B$88+$B$89*C39+$B$90*D39+$B$91*E39+$B$92*F39+$B$93*G39+$B$94*H39)</f>
        <v>0.00479242993337058</v>
      </c>
      <c r="K39" s="19" t="n">
        <f aca="false">J39^2</f>
        <v>2.29673846662663E-005</v>
      </c>
      <c r="L39" s="19" t="n">
        <f aca="false">I39*$J39</f>
        <v>0.00479242993337058</v>
      </c>
      <c r="M39" s="19" t="n">
        <f aca="false">C39*$J39</f>
        <v>-0.000105106453903885</v>
      </c>
      <c r="N39" s="19" t="n">
        <f aca="false">D39*$J39</f>
        <v>-0.0593713924636007</v>
      </c>
      <c r="O39" s="19" t="n">
        <f aca="false">E39*$J39</f>
        <v>-0.30311875778851</v>
      </c>
      <c r="P39" s="19" t="n">
        <f aca="false">F39*$J39</f>
        <v>0.345029186071236</v>
      </c>
      <c r="Q39" s="19" t="n">
        <f aca="false">G39*$J39</f>
        <v>0.000254159329492895</v>
      </c>
      <c r="R39" s="19" t="n">
        <f aca="false">H39*$J39</f>
        <v>-0.000152878978190835</v>
      </c>
    </row>
    <row r="40" customFormat="false" ht="15" hidden="false" customHeight="false" outlineLevel="0" collapsed="false">
      <c r="A40" s="20" t="str">
        <f aca="false">Datos!A48</f>
        <v>2015Q4</v>
      </c>
      <c r="B40" s="21" t="n">
        <f aca="false">Datos!L48</f>
        <v>-0.014934690706373</v>
      </c>
      <c r="C40" s="21" t="n">
        <f aca="false">Datos!I48</f>
        <v>0.00284689976009123</v>
      </c>
      <c r="D40" s="21" t="n">
        <f aca="false">Datos!H48</f>
        <v>-78.2729603729604</v>
      </c>
      <c r="E40" s="21" t="n">
        <f aca="false">Datos!H46</f>
        <v>-69.448288776797</v>
      </c>
      <c r="F40" s="21" t="n">
        <f aca="false">Datos!H42</f>
        <v>-143.202551652355</v>
      </c>
      <c r="G40" s="21" t="n">
        <f aca="false">Datos!J42</f>
        <v>0.067920751391922</v>
      </c>
      <c r="H40" s="21" t="n">
        <f aca="false">Datos!K41</f>
        <v>0.0671200742533991</v>
      </c>
      <c r="I40" s="19" t="n">
        <v>1</v>
      </c>
      <c r="J40" s="19" t="n">
        <f aca="false">B40-($B$88+$B$89*C40+$B$90*D40+$B$91*E40+$B$92*F40+$B$93*G40+$B$94*H40)</f>
        <v>-0.0256160377465274</v>
      </c>
      <c r="K40" s="19" t="n">
        <f aca="false">J40^2</f>
        <v>0.000656181389831515</v>
      </c>
      <c r="L40" s="19" t="n">
        <f aca="false">I40*$J40</f>
        <v>-0.0256160377465274</v>
      </c>
      <c r="M40" s="19" t="n">
        <f aca="false">C40*$J40</f>
        <v>-7.29262917150767E-005</v>
      </c>
      <c r="N40" s="19" t="n">
        <f aca="false">D40*$J40</f>
        <v>2.00504310744619</v>
      </c>
      <c r="O40" s="19" t="n">
        <f aca="false">E40*$J40</f>
        <v>1.77898998673816</v>
      </c>
      <c r="P40" s="19" t="n">
        <f aca="false">F40*$J40</f>
        <v>3.66828196852577</v>
      </c>
      <c r="Q40" s="19" t="n">
        <f aca="false">G40*$J40</f>
        <v>-0.00173986053142798</v>
      </c>
      <c r="R40" s="19" t="n">
        <f aca="false">H40*$J40</f>
        <v>-0.00171935035562479</v>
      </c>
    </row>
    <row r="41" customFormat="false" ht="15" hidden="false" customHeight="false" outlineLevel="0" collapsed="false">
      <c r="A41" s="20" t="str">
        <f aca="false">Datos!A49</f>
        <v>2016Q1</v>
      </c>
      <c r="B41" s="21" t="n">
        <f aca="false">Datos!L49</f>
        <v>-0.0174400837015445</v>
      </c>
      <c r="C41" s="21" t="n">
        <f aca="false">Datos!I49</f>
        <v>-0.114795786877596</v>
      </c>
      <c r="D41" s="21" t="n">
        <f aca="false">Datos!H49</f>
        <v>-38.2862026862027</v>
      </c>
      <c r="E41" s="21" t="n">
        <f aca="false">Datos!H47</f>
        <v>-12.3885780885781</v>
      </c>
      <c r="F41" s="21" t="n">
        <f aca="false">Datos!H43</f>
        <v>-73.5206691468252</v>
      </c>
      <c r="G41" s="21" t="n">
        <f aca="false">Datos!J43</f>
        <v>-0.0382165552288544</v>
      </c>
      <c r="H41" s="21" t="n">
        <f aca="false">Datos!K42</f>
        <v>0.0831122793228319</v>
      </c>
      <c r="I41" s="19" t="n">
        <v>1</v>
      </c>
      <c r="J41" s="19" t="n">
        <f aca="false">B41-($B$88+$B$89*C41+$B$90*D41+$B$91*E41+$B$92*F41+$B$93*G41+$B$94*H41)</f>
        <v>-0.0288001094154985</v>
      </c>
      <c r="K41" s="19" t="n">
        <f aca="false">J41^2</f>
        <v>0.000829446302344687</v>
      </c>
      <c r="L41" s="19" t="n">
        <f aca="false">I41*$J41</f>
        <v>-0.0288001094154985</v>
      </c>
      <c r="M41" s="19" t="n">
        <f aca="false">C41*$J41</f>
        <v>0.00330613122251301</v>
      </c>
      <c r="N41" s="19" t="n">
        <f aca="false">D41*$J41</f>
        <v>1.10264682646659</v>
      </c>
      <c r="O41" s="19" t="n">
        <f aca="false">E41*$J41</f>
        <v>0.356792404453498</v>
      </c>
      <c r="P41" s="19" t="n">
        <f aca="false">F41*$J41</f>
        <v>2.11740331572923</v>
      </c>
      <c r="Q41" s="19" t="n">
        <f aca="false">G41*$J41</f>
        <v>0.00110064097207445</v>
      </c>
      <c r="R41" s="19" t="n">
        <f aca="false">H41*$J41</f>
        <v>-0.00239364273826904</v>
      </c>
    </row>
    <row r="42" customFormat="false" ht="15" hidden="false" customHeight="false" outlineLevel="0" collapsed="false">
      <c r="A42" s="20" t="str">
        <f aca="false">Datos!A50</f>
        <v>2016Q2</v>
      </c>
      <c r="B42" s="21" t="n">
        <f aca="false">Datos!L50</f>
        <v>-0.0458755219268234</v>
      </c>
      <c r="C42" s="21" t="n">
        <f aca="false">Datos!I50</f>
        <v>-0.0963649166129051</v>
      </c>
      <c r="D42" s="21" t="n">
        <f aca="false">Datos!H50</f>
        <v>-20.156746031746</v>
      </c>
      <c r="E42" s="21" t="n">
        <f aca="false">Datos!H48</f>
        <v>-78.2729603729604</v>
      </c>
      <c r="F42" s="21" t="n">
        <f aca="false">Datos!H44</f>
        <v>21.0197781762296</v>
      </c>
      <c r="G42" s="21" t="n">
        <f aca="false">Datos!J44</f>
        <v>-0.0169003162690849</v>
      </c>
      <c r="H42" s="21" t="n">
        <f aca="false">Datos!K43</f>
        <v>-0.0497386703925971</v>
      </c>
      <c r="I42" s="19" t="n">
        <v>1</v>
      </c>
      <c r="J42" s="19" t="n">
        <f aca="false">B42-($B$88+$B$89*C42+$B$90*D42+$B$91*E42+$B$92*F42+$B$93*G42+$B$94*H42)</f>
        <v>-0.0378041606906039</v>
      </c>
      <c r="K42" s="19" t="n">
        <f aca="false">J42^2</f>
        <v>0.001429154565521</v>
      </c>
      <c r="L42" s="19" t="n">
        <f aca="false">I42*$J42</f>
        <v>-0.0378041606906039</v>
      </c>
      <c r="M42" s="19" t="n">
        <f aca="false">C42*$J42</f>
        <v>0.00364299479257091</v>
      </c>
      <c r="N42" s="19" t="n">
        <f aca="false">D42*$J42</f>
        <v>0.762008865983819</v>
      </c>
      <c r="O42" s="19" t="n">
        <f aca="false">E42*$J42</f>
        <v>2.95904357166866</v>
      </c>
      <c r="P42" s="19" t="n">
        <f aca="false">F42*$J42</f>
        <v>-0.794635071855032</v>
      </c>
      <c r="Q42" s="19" t="n">
        <f aca="false">G42*$J42</f>
        <v>0.000638902271958513</v>
      </c>
      <c r="R42" s="19" t="n">
        <f aca="false">H42*$J42</f>
        <v>0.00188032868805872</v>
      </c>
    </row>
    <row r="43" customFormat="false" ht="15" hidden="false" customHeight="false" outlineLevel="0" collapsed="false">
      <c r="A43" s="20" t="str">
        <f aca="false">Datos!A51</f>
        <v>2016Q3</v>
      </c>
      <c r="B43" s="21" t="n">
        <f aca="false">Datos!L51</f>
        <v>0.0053164079552358</v>
      </c>
      <c r="C43" s="21" t="n">
        <f aca="false">Datos!I51</f>
        <v>0.0125883030332315</v>
      </c>
      <c r="D43" s="21" t="n">
        <f aca="false">Datos!H51</f>
        <v>51.5281007751937</v>
      </c>
      <c r="E43" s="21" t="n">
        <f aca="false">Datos!H49</f>
        <v>-38.2862026862027</v>
      </c>
      <c r="F43" s="21" t="n">
        <f aca="false">Datos!H45</f>
        <v>-63.2494918032786</v>
      </c>
      <c r="G43" s="21" t="n">
        <f aca="false">Datos!J45</f>
        <v>-0.0227808354678118</v>
      </c>
      <c r="H43" s="21" t="n">
        <f aca="false">Datos!K44</f>
        <v>-0.0545195466572687</v>
      </c>
      <c r="I43" s="19" t="n">
        <v>1</v>
      </c>
      <c r="J43" s="19" t="n">
        <f aca="false">B43-($B$88+$B$89*C43+$B$90*D43+$B$91*E43+$B$92*F43+$B$93*G43+$B$94*H43)</f>
        <v>0.013714262110323</v>
      </c>
      <c r="K43" s="19" t="n">
        <f aca="false">J43^2</f>
        <v>0.000188080985230642</v>
      </c>
      <c r="L43" s="19" t="n">
        <f aca="false">I43*$J43</f>
        <v>0.013714262110323</v>
      </c>
      <c r="M43" s="19" t="n">
        <f aca="false">C43*$J43</f>
        <v>0.000172639287321912</v>
      </c>
      <c r="N43" s="19" t="n">
        <f aca="false">D43*$J43</f>
        <v>0.706669880078146</v>
      </c>
      <c r="O43" s="19" t="n">
        <f aca="false">E43*$J43</f>
        <v>-0.525067018847537</v>
      </c>
      <c r="P43" s="19" t="n">
        <f aca="false">F43*$J43</f>
        <v>-0.867420108934891</v>
      </c>
      <c r="Q43" s="19" t="n">
        <f aca="false">G43*$J43</f>
        <v>-0.000312422348697714</v>
      </c>
      <c r="R43" s="19" t="n">
        <f aca="false">H43*$J43</f>
        <v>-0.000747695352993768</v>
      </c>
    </row>
    <row r="44" customFormat="false" ht="15" hidden="false" customHeight="false" outlineLevel="0" collapsed="false">
      <c r="A44" s="20" t="str">
        <f aca="false">Datos!A52</f>
        <v>2016Q4</v>
      </c>
      <c r="B44" s="21" t="n">
        <f aca="false">Datos!L52</f>
        <v>0.0183393045899268</v>
      </c>
      <c r="C44" s="21" t="n">
        <f aca="false">Datos!I52</f>
        <v>0.0215081148240396</v>
      </c>
      <c r="D44" s="21" t="n">
        <f aca="false">Datos!H52</f>
        <v>-26.5005366726296</v>
      </c>
      <c r="E44" s="21" t="n">
        <f aca="false">Datos!H50</f>
        <v>-20.156746031746</v>
      </c>
      <c r="F44" s="21" t="n">
        <f aca="false">Datos!H46</f>
        <v>-69.448288776797</v>
      </c>
      <c r="G44" s="21" t="n">
        <f aca="false">Datos!J46</f>
        <v>-0.00580415466024192</v>
      </c>
      <c r="H44" s="21" t="n">
        <f aca="false">Datos!K45</f>
        <v>0.0452568848055677</v>
      </c>
      <c r="I44" s="19" t="n">
        <v>1</v>
      </c>
      <c r="J44" s="19" t="n">
        <f aca="false">B44-($B$88+$B$89*C44+$B$90*D44+$B$91*E44+$B$92*F44+$B$93*G44+$B$94*H44)</f>
        <v>0.00542578246391617</v>
      </c>
      <c r="K44" s="19" t="n">
        <f aca="false">J44^2</f>
        <v>2.94391153457402E-005</v>
      </c>
      <c r="L44" s="19" t="n">
        <f aca="false">I44*$J44</f>
        <v>0.00542578246391617</v>
      </c>
      <c r="M44" s="19" t="n">
        <f aca="false">C44*$J44</f>
        <v>0.000116698352244169</v>
      </c>
      <c r="N44" s="19" t="n">
        <f aca="false">D44*$J44</f>
        <v>-0.143786147162721</v>
      </c>
      <c r="O44" s="19" t="n">
        <f aca="false">E44*$J44</f>
        <v>-0.109366119148659</v>
      </c>
      <c r="P44" s="19" t="n">
        <f aca="false">F44*$J44</f>
        <v>-0.376811307394131</v>
      </c>
      <c r="Q44" s="19" t="n">
        <f aca="false">G44*$J44</f>
        <v>-3.14920805733979E-005</v>
      </c>
      <c r="R44" s="19" t="n">
        <f aca="false">H44*$J44</f>
        <v>0.000245554011949523</v>
      </c>
    </row>
    <row r="45" customFormat="false" ht="15" hidden="false" customHeight="false" outlineLevel="0" collapsed="false">
      <c r="A45" s="20" t="str">
        <f aca="false">Datos!A53</f>
        <v>2017Q1</v>
      </c>
      <c r="B45" s="21" t="n">
        <f aca="false">Datos!L53</f>
        <v>0.0205296747532824</v>
      </c>
      <c r="C45" s="21" t="n">
        <f aca="false">Datos!I53</f>
        <v>0.0929246843768103</v>
      </c>
      <c r="D45" s="21" t="n">
        <f aca="false">Datos!H53</f>
        <v>-15.9076923076924</v>
      </c>
      <c r="E45" s="21" t="n">
        <f aca="false">Datos!H51</f>
        <v>51.5281007751937</v>
      </c>
      <c r="F45" s="21" t="n">
        <f aca="false">Datos!H47</f>
        <v>-12.3885780885781</v>
      </c>
      <c r="G45" s="21" t="n">
        <f aca="false">Datos!J47</f>
        <v>-0.0725670071793785</v>
      </c>
      <c r="H45" s="21" t="n">
        <f aca="false">Datos!K46</f>
        <v>-0.0840598834733707</v>
      </c>
      <c r="I45" s="19" t="n">
        <v>1</v>
      </c>
      <c r="J45" s="19" t="n">
        <f aca="false">B45-($B$88+$B$89*C45+$B$90*D45+$B$91*E45+$B$92*F45+$B$93*G45+$B$94*H45)</f>
        <v>0.0208642212274398</v>
      </c>
      <c r="K45" s="19" t="n">
        <f aca="false">J45^2</f>
        <v>0.000435315727427551</v>
      </c>
      <c r="L45" s="19" t="n">
        <f aca="false">I45*$J45</f>
        <v>0.0208642212274398</v>
      </c>
      <c r="M45" s="19" t="n">
        <f aca="false">C45*$J45</f>
        <v>0.00193880117232779</v>
      </c>
      <c r="N45" s="19" t="n">
        <f aca="false">D45*$J45</f>
        <v>-0.331901611525737</v>
      </c>
      <c r="O45" s="19" t="n">
        <f aca="false">E45*$J45</f>
        <v>1.07509369400346</v>
      </c>
      <c r="P45" s="19" t="n">
        <f aca="false">F45*$J45</f>
        <v>-0.258478033933508</v>
      </c>
      <c r="Q45" s="19" t="n">
        <f aca="false">G45*$J45</f>
        <v>-0.00151405409160377</v>
      </c>
      <c r="R45" s="19" t="n">
        <f aca="false">H45*$J45</f>
        <v>-0.00175384400514122</v>
      </c>
    </row>
    <row r="46" customFormat="false" ht="15" hidden="false" customHeight="false" outlineLevel="0" collapsed="false">
      <c r="A46" s="20" t="str">
        <f aca="false">Datos!A54</f>
        <v>2017Q2</v>
      </c>
      <c r="B46" s="21" t="n">
        <f aca="false">Datos!L54</f>
        <v>0.0176690432523345</v>
      </c>
      <c r="C46" s="21" t="n">
        <f aca="false">Datos!I54</f>
        <v>0.0763750387701306</v>
      </c>
      <c r="D46" s="21" t="n">
        <f aca="false">Datos!H54</f>
        <v>-40.3959134615384</v>
      </c>
      <c r="E46" s="21" t="n">
        <f aca="false">Datos!H52</f>
        <v>-26.5005366726296</v>
      </c>
      <c r="F46" s="21" t="n">
        <f aca="false">Datos!H48</f>
        <v>-78.2729603729604</v>
      </c>
      <c r="G46" s="21" t="n">
        <f aca="false">Datos!J48</f>
        <v>-0.0214726951640203</v>
      </c>
      <c r="H46" s="21" t="n">
        <f aca="false">Datos!K47</f>
        <v>0.0549125616583312</v>
      </c>
      <c r="I46" s="19" t="n">
        <v>1</v>
      </c>
      <c r="J46" s="19" t="n">
        <f aca="false">B46-($B$88+$B$89*C46+$B$90*D46+$B$91*E46+$B$92*F46+$B$93*G46+$B$94*H46)</f>
        <v>-0.00482375830609101</v>
      </c>
      <c r="K46" s="19" t="n">
        <f aca="false">J46^2</f>
        <v>2.3268644195582E-005</v>
      </c>
      <c r="L46" s="19" t="n">
        <f aca="false">I46*$J46</f>
        <v>-0.00482375830609101</v>
      </c>
      <c r="M46" s="19" t="n">
        <f aca="false">C46*$J46</f>
        <v>-0.000368414727645441</v>
      </c>
      <c r="N46" s="19" t="n">
        <f aca="false">D46*$J46</f>
        <v>0.194860123092229</v>
      </c>
      <c r="O46" s="19" t="n">
        <f aca="false">E46*$J46</f>
        <v>0.127832183890467</v>
      </c>
      <c r="P46" s="19" t="n">
        <f aca="false">F46*$J46</f>
        <v>0.3775698427414</v>
      </c>
      <c r="Q46" s="19" t="n">
        <f aca="false">G46*$J46</f>
        <v>0.000103579091651603</v>
      </c>
      <c r="R46" s="19" t="n">
        <f aca="false">H46*$J46</f>
        <v>-0.00026488492540811</v>
      </c>
    </row>
    <row r="47" customFormat="false" ht="15" hidden="false" customHeight="false" outlineLevel="0" collapsed="false">
      <c r="A47" s="20" t="str">
        <f aca="false">Datos!A55</f>
        <v>2017Q3</v>
      </c>
      <c r="B47" s="21" t="n">
        <f aca="false">Datos!L55</f>
        <v>0.0152402515595023</v>
      </c>
      <c r="C47" s="21" t="n">
        <f aca="false">Datos!I55</f>
        <v>-0.0381479768126187</v>
      </c>
      <c r="D47" s="21" t="n">
        <f aca="false">Datos!H55</f>
        <v>0.498765624999805</v>
      </c>
      <c r="E47" s="21" t="n">
        <f aca="false">Datos!H53</f>
        <v>-15.9076923076924</v>
      </c>
      <c r="F47" s="21" t="n">
        <f aca="false">Datos!H49</f>
        <v>-38.2862026862027</v>
      </c>
      <c r="G47" s="21" t="n">
        <f aca="false">Datos!J49</f>
        <v>-0.013556503122827</v>
      </c>
      <c r="H47" s="21" t="n">
        <f aca="false">Datos!K48</f>
        <v>0.0929604971038175</v>
      </c>
      <c r="I47" s="19" t="n">
        <v>1</v>
      </c>
      <c r="J47" s="19" t="n">
        <f aca="false">B47-($B$88+$B$89*C47+$B$90*D47+$B$91*E47+$B$92*F47+$B$93*G47+$B$94*H47)</f>
        <v>-0.00117230855558336</v>
      </c>
      <c r="K47" s="19" t="n">
        <f aca="false">J47^2</f>
        <v>1.37430734949395E-006</v>
      </c>
      <c r="L47" s="19" t="n">
        <f aca="false">I47*$J47</f>
        <v>-0.00117230855558336</v>
      </c>
      <c r="M47" s="19" t="n">
        <f aca="false">C47*$J47</f>
        <v>4.47211995956286E-005</v>
      </c>
      <c r="N47" s="19" t="n">
        <f aca="false">D47*$J47</f>
        <v>-0.000584707209418154</v>
      </c>
      <c r="O47" s="19" t="n">
        <f aca="false">E47*$J47</f>
        <v>0.0186487237918954</v>
      </c>
      <c r="P47" s="19" t="n">
        <f aca="false">F47*$J47</f>
        <v>0.0448832429698341</v>
      </c>
      <c r="Q47" s="19" t="n">
        <f aca="false">G47*$J47</f>
        <v>1.58924045946826E-005</v>
      </c>
      <c r="R47" s="19" t="n">
        <f aca="false">H47*$J47</f>
        <v>-0.000108978386086087</v>
      </c>
    </row>
    <row r="48" customFormat="false" ht="15" hidden="false" customHeight="false" outlineLevel="0" collapsed="false">
      <c r="A48" s="20" t="str">
        <f aca="false">Datos!A56</f>
        <v>2017Q4</v>
      </c>
      <c r="B48" s="21" t="n">
        <f aca="false">Datos!L56</f>
        <v>0.00682076262777875</v>
      </c>
      <c r="C48" s="21" t="n">
        <f aca="false">Datos!I56</f>
        <v>-0.00847913753638218</v>
      </c>
      <c r="D48" s="21" t="n">
        <f aca="false">Datos!H56</f>
        <v>-54.5718281249997</v>
      </c>
      <c r="E48" s="21" t="n">
        <f aca="false">Datos!H54</f>
        <v>-40.3959134615384</v>
      </c>
      <c r="F48" s="21" t="n">
        <f aca="false">Datos!H50</f>
        <v>-20.156746031746</v>
      </c>
      <c r="G48" s="21" t="n">
        <f aca="false">Datos!J50</f>
        <v>-0.0260787645308853</v>
      </c>
      <c r="H48" s="21" t="n">
        <f aca="false">Datos!K49</f>
        <v>-0.0501806657673727</v>
      </c>
      <c r="I48" s="19" t="n">
        <v>1</v>
      </c>
      <c r="J48" s="19" t="n">
        <f aca="false">B48-($B$88+$B$89*C48+$B$90*D48+$B$91*E48+$B$92*F48+$B$93*G48+$B$94*H48)</f>
        <v>0.00748060278900355</v>
      </c>
      <c r="K48" s="19" t="n">
        <f aca="false">J48^2</f>
        <v>5.59594180868477E-005</v>
      </c>
      <c r="L48" s="19" t="n">
        <f aca="false">I48*$J48</f>
        <v>0.00748060278900355</v>
      </c>
      <c r="M48" s="19" t="n">
        <f aca="false">C48*$J48</f>
        <v>-6.34290599030053E-005</v>
      </c>
      <c r="N48" s="19" t="n">
        <f aca="false">D48*$J48</f>
        <v>-0.408230169672895</v>
      </c>
      <c r="O48" s="19" t="n">
        <f aca="false">E48*$J48</f>
        <v>-0.30218578290473</v>
      </c>
      <c r="P48" s="19" t="n">
        <f aca="false">F48*$J48</f>
        <v>-0.150784610582316</v>
      </c>
      <c r="Q48" s="19" t="n">
        <f aca="false">G48*$J48</f>
        <v>-0.000195084878683508</v>
      </c>
      <c r="R48" s="19" t="n">
        <f aca="false">H48*$J48</f>
        <v>-0.000375381628293463</v>
      </c>
    </row>
    <row r="49" customFormat="false" ht="15" hidden="false" customHeight="false" outlineLevel="0" collapsed="false">
      <c r="A49" s="20" t="str">
        <f aca="false">Datos!A57</f>
        <v>2018Q1</v>
      </c>
      <c r="B49" s="21" t="n">
        <f aca="false">Datos!L57</f>
        <v>-0.00734944608262711</v>
      </c>
      <c r="C49" s="21" t="n">
        <f aca="false">Datos!I57</f>
        <v>0.015677961339587</v>
      </c>
      <c r="D49" s="21" t="n">
        <f aca="false">Datos!H57</f>
        <v>28.5320987903223</v>
      </c>
      <c r="E49" s="21" t="n">
        <f aca="false">Datos!H55</f>
        <v>0.498765624999805</v>
      </c>
      <c r="F49" s="21" t="n">
        <f aca="false">Datos!H51</f>
        <v>51.5281007751937</v>
      </c>
      <c r="G49" s="21" t="n">
        <f aca="false">Datos!J51</f>
        <v>0.0942185203778218</v>
      </c>
      <c r="H49" s="21" t="n">
        <f aca="false">Datos!K50</f>
        <v>0.114909941997091</v>
      </c>
      <c r="I49" s="19" t="n">
        <v>1</v>
      </c>
      <c r="J49" s="19" t="n">
        <f aca="false">B49-($B$88+$B$89*C49+$B$90*D49+$B$91*E49+$B$92*F49+$B$93*G49+$B$94*H49)</f>
        <v>-0.020987868302606</v>
      </c>
      <c r="K49" s="19" t="n">
        <f aca="false">J49^2</f>
        <v>0.000440490615887535</v>
      </c>
      <c r="L49" s="19" t="n">
        <f aca="false">I49*$J49</f>
        <v>-0.020987868302606</v>
      </c>
      <c r="M49" s="19" t="n">
        <f aca="false">C49*$J49</f>
        <v>-0.000329046987848601</v>
      </c>
      <c r="N49" s="19" t="n">
        <f aca="false">D49*$J49</f>
        <v>-0.598827931808229</v>
      </c>
      <c r="O49" s="19" t="n">
        <f aca="false">E49*$J49</f>
        <v>-0.0104680272513629</v>
      </c>
      <c r="P49" s="19" t="n">
        <f aca="false">F49*$J49</f>
        <v>-1.08146499295318</v>
      </c>
      <c r="Q49" s="19" t="n">
        <f aca="false">G49*$J49</f>
        <v>-0.00197744589735613</v>
      </c>
      <c r="R49" s="19" t="n">
        <f aca="false">H49*$J49</f>
        <v>-0.00241171472929504</v>
      </c>
    </row>
    <row r="50" customFormat="false" ht="15" hidden="false" customHeight="false" outlineLevel="0" collapsed="false">
      <c r="A50" s="20" t="str">
        <f aca="false">Datos!A58</f>
        <v>2018Q2</v>
      </c>
      <c r="B50" s="21" t="n">
        <f aca="false">Datos!L58</f>
        <v>-0.0777683962553631</v>
      </c>
      <c r="C50" s="21" t="n">
        <f aca="false">Datos!I58</f>
        <v>-0.0742810049049096</v>
      </c>
      <c r="D50" s="21" t="n">
        <f aca="false">Datos!H58</f>
        <v>77.2218156327545</v>
      </c>
      <c r="E50" s="21" t="n">
        <f aca="false">Datos!H56</f>
        <v>-54.5718281249997</v>
      </c>
      <c r="F50" s="21" t="n">
        <f aca="false">Datos!H52</f>
        <v>-26.5005366726296</v>
      </c>
      <c r="G50" s="21" t="n">
        <f aca="false">Datos!J52</f>
        <v>0.241810567395166</v>
      </c>
      <c r="H50" s="21" t="n">
        <f aca="false">Datos!K51</f>
        <v>0.0078308829818691</v>
      </c>
      <c r="I50" s="19" t="n">
        <v>1</v>
      </c>
      <c r="J50" s="19" t="n">
        <f aca="false">B50-($B$88+$B$89*C50+$B$90*D50+$B$91*E50+$B$92*F50+$B$93*G50+$B$94*H50)</f>
        <v>-0.0438028860168658</v>
      </c>
      <c r="K50" s="19" t="n">
        <f aca="false">J50^2</f>
        <v>0.00191869282340654</v>
      </c>
      <c r="L50" s="19" t="n">
        <f aca="false">I50*$J50</f>
        <v>-0.0438028860168658</v>
      </c>
      <c r="M50" s="19" t="n">
        <f aca="false">C50*$J50</f>
        <v>0.00325372239106801</v>
      </c>
      <c r="N50" s="19" t="n">
        <f aca="false">D50*$J50</f>
        <v>-3.38253838817697</v>
      </c>
      <c r="O50" s="19" t="n">
        <f aca="false">E50*$J50</f>
        <v>2.39040356709135</v>
      </c>
      <c r="P50" s="19" t="n">
        <f aca="false">F50*$J50</f>
        <v>1.16079998725697</v>
      </c>
      <c r="Q50" s="19" t="n">
        <f aca="false">G50*$J50</f>
        <v>-0.0105920007212841</v>
      </c>
      <c r="R50" s="19" t="n">
        <f aca="false">H50*$J50</f>
        <v>-0.000343015274666226</v>
      </c>
    </row>
    <row r="51" customFormat="false" ht="15" hidden="false" customHeight="false" outlineLevel="0" collapsed="false">
      <c r="A51" s="20" t="str">
        <f aca="false">Datos!A59</f>
        <v>2018Q3</v>
      </c>
      <c r="B51" s="21" t="n">
        <f aca="false">Datos!L59</f>
        <v>0.00509659019999231</v>
      </c>
      <c r="C51" s="21" t="n">
        <f aca="false">Datos!I59</f>
        <v>0.0297586266112664</v>
      </c>
      <c r="D51" s="21" t="n">
        <f aca="false">Datos!H59</f>
        <v>166.169284270953</v>
      </c>
      <c r="E51" s="21" t="n">
        <f aca="false">Datos!H57</f>
        <v>28.5320987903223</v>
      </c>
      <c r="F51" s="21" t="n">
        <f aca="false">Datos!H53</f>
        <v>-15.9076923076924</v>
      </c>
      <c r="G51" s="21" t="n">
        <f aca="false">Datos!J53</f>
        <v>-0.24283692228193</v>
      </c>
      <c r="H51" s="21" t="n">
        <f aca="false">Datos!K52</f>
        <v>-0.0600242033998368</v>
      </c>
      <c r="I51" s="19" t="n">
        <v>1</v>
      </c>
      <c r="J51" s="19" t="n">
        <f aca="false">B51-($B$88+$B$89*C51+$B$90*D51+$B$91*E51+$B$92*F51+$B$93*G51+$B$94*H51)</f>
        <v>-0.00220834279255511</v>
      </c>
      <c r="K51" s="19" t="n">
        <f aca="false">J51^2</f>
        <v>4.8767778894301E-006</v>
      </c>
      <c r="L51" s="19" t="n">
        <f aca="false">I51*$J51</f>
        <v>-0.00220834279255511</v>
      </c>
      <c r="M51" s="19" t="n">
        <f aca="false">C51*$J51</f>
        <v>-6.57172485933289E-005</v>
      </c>
      <c r="N51" s="19" t="n">
        <f aca="false">D51*$J51</f>
        <v>-0.366958741263801</v>
      </c>
      <c r="O51" s="19" t="n">
        <f aca="false">E51*$J51</f>
        <v>-0.0630086547200786</v>
      </c>
      <c r="P51" s="19" t="n">
        <f aca="false">F51*$J51</f>
        <v>0.0351296376538769</v>
      </c>
      <c r="Q51" s="19" t="n">
        <f aca="false">G51*$J51</f>
        <v>0.000536267167087565</v>
      </c>
      <c r="R51" s="19" t="n">
        <f aca="false">H51*$J51</f>
        <v>0.000132554016956892</v>
      </c>
    </row>
    <row r="52" customFormat="false" ht="15" hidden="false" customHeight="false" outlineLevel="0" collapsed="false">
      <c r="A52" s="20" t="str">
        <f aca="false">Datos!A60</f>
        <v>2018Q4</v>
      </c>
      <c r="B52" s="21" t="n">
        <f aca="false">Datos!L60</f>
        <v>-0.0287029877961243</v>
      </c>
      <c r="C52" s="21" t="n">
        <f aca="false">Datos!I60</f>
        <v>-0.0501462610157425</v>
      </c>
      <c r="D52" s="21" t="n">
        <f aca="false">Datos!H60</f>
        <v>56.51817630597</v>
      </c>
      <c r="E52" s="21" t="n">
        <f aca="false">Datos!H58</f>
        <v>77.2218156327545</v>
      </c>
      <c r="F52" s="21" t="n">
        <f aca="false">Datos!H54</f>
        <v>-40.3959134615384</v>
      </c>
      <c r="G52" s="21" t="n">
        <f aca="false">Datos!J54</f>
        <v>-0.0647458372468179</v>
      </c>
      <c r="H52" s="21" t="n">
        <f aca="false">Datos!K53</f>
        <v>-0.035749043779608</v>
      </c>
      <c r="I52" s="19" t="n">
        <v>1</v>
      </c>
      <c r="J52" s="19" t="n">
        <f aca="false">B52-($B$88+$B$89*C52+$B$90*D52+$B$91*E52+$B$92*F52+$B$93*G52+$B$94*H52)</f>
        <v>-0.0162373425539009</v>
      </c>
      <c r="K52" s="19" t="n">
        <f aca="false">J52^2</f>
        <v>0.000263651293212723</v>
      </c>
      <c r="L52" s="19" t="n">
        <f aca="false">I52*$J52</f>
        <v>-0.0162373425539009</v>
      </c>
      <c r="M52" s="19" t="n">
        <f aca="false">C52*$J52</f>
        <v>0.00081424201790994</v>
      </c>
      <c r="N52" s="19" t="n">
        <f aca="false">D52*$J52</f>
        <v>-0.917704989201803</v>
      </c>
      <c r="O52" s="19" t="n">
        <f aca="false">E52*$J52</f>
        <v>-1.25387707306322</v>
      </c>
      <c r="P52" s="19" t="n">
        <f aca="false">F52*$J52</f>
        <v>0.655922284652737</v>
      </c>
      <c r="Q52" s="19" t="n">
        <f aca="false">G52*$J52</f>
        <v>0.0010513003383157</v>
      </c>
      <c r="R52" s="19" t="n">
        <f aca="false">H52*$J52</f>
        <v>0.000580469469823897</v>
      </c>
    </row>
    <row r="53" customFormat="false" ht="15" hidden="false" customHeight="false" outlineLevel="0" collapsed="false">
      <c r="A53" s="20" t="str">
        <f aca="false">Datos!A61</f>
        <v>2019Q1</v>
      </c>
      <c r="B53" s="21" t="n">
        <f aca="false">Datos!L61</f>
        <v>0.00476013768269978</v>
      </c>
      <c r="C53" s="21" t="n">
        <f aca="false">Datos!I61</f>
        <v>-0.0500271266876492</v>
      </c>
      <c r="D53" s="21" t="n">
        <f aca="false">Datos!H61</f>
        <v>19.2017013888889</v>
      </c>
      <c r="E53" s="21" t="n">
        <f aca="false">Datos!H59</f>
        <v>166.169284270953</v>
      </c>
      <c r="F53" s="21" t="n">
        <f aca="false">Datos!H55</f>
        <v>0.498765624999805</v>
      </c>
      <c r="G53" s="21" t="n">
        <f aca="false">Datos!J55</f>
        <v>-0.0931139816863711</v>
      </c>
      <c r="H53" s="21" t="n">
        <f aca="false">Datos!K54</f>
        <v>-0.0598239352005628</v>
      </c>
      <c r="I53" s="19" t="n">
        <v>1</v>
      </c>
      <c r="J53" s="19" t="n">
        <f aca="false">B53-($B$88+$B$89*C53+$B$90*D53+$B$91*E53+$B$92*F53+$B$93*G53+$B$94*H53)</f>
        <v>0.0201402959832629</v>
      </c>
      <c r="K53" s="19" t="n">
        <f aca="false">J53^2</f>
        <v>0.000405631522293434</v>
      </c>
      <c r="L53" s="19" t="n">
        <f aca="false">I53*$J53</f>
        <v>0.0201402959832629</v>
      </c>
      <c r="M53" s="19" t="n">
        <f aca="false">C53*$J53</f>
        <v>-0.00100756113868144</v>
      </c>
      <c r="N53" s="19" t="n">
        <f aca="false">D53*$J53</f>
        <v>0.386727949354451</v>
      </c>
      <c r="O53" s="19" t="n">
        <f aca="false">E53*$J53</f>
        <v>3.34669856854394</v>
      </c>
      <c r="P53" s="19" t="n">
        <f aca="false">F53*$J53</f>
        <v>0.0100452873137732</v>
      </c>
      <c r="Q53" s="19" t="n">
        <f aca="false">G53*$J53</f>
        <v>-0.00187534315134363</v>
      </c>
      <c r="R53" s="19" t="n">
        <f aca="false">H53*$J53</f>
        <v>-0.00120487176182287</v>
      </c>
    </row>
    <row r="54" customFormat="false" ht="15" hidden="false" customHeight="false" outlineLevel="0" collapsed="false">
      <c r="A54" s="20" t="str">
        <f aca="false">Datos!A62</f>
        <v>2019Q2</v>
      </c>
      <c r="B54" s="21" t="n">
        <f aca="false">Datos!L62</f>
        <v>0.0644654529234107</v>
      </c>
      <c r="C54" s="21" t="n">
        <f aca="false">Datos!I62</f>
        <v>0.000114296886335796</v>
      </c>
      <c r="D54" s="21" t="n">
        <f aca="false">Datos!H62</f>
        <v>162.790259661836</v>
      </c>
      <c r="E54" s="21" t="n">
        <f aca="false">Datos!H60</f>
        <v>56.51817630597</v>
      </c>
      <c r="F54" s="21" t="n">
        <f aca="false">Datos!H56</f>
        <v>-54.5718281249997</v>
      </c>
      <c r="G54" s="21" t="n">
        <f aca="false">Datos!J56</f>
        <v>-0.0800850350667679</v>
      </c>
      <c r="H54" s="21" t="n">
        <f aca="false">Datos!K55</f>
        <v>-0.0336017376367385</v>
      </c>
      <c r="I54" s="19" t="n">
        <v>1</v>
      </c>
      <c r="J54" s="19" t="n">
        <f aca="false">B54-($B$88+$B$89*C54+$B$90*D54+$B$91*E54+$B$92*F54+$B$93*G54+$B$94*H54)</f>
        <v>0.076242605193512</v>
      </c>
      <c r="K54" s="19" t="n">
        <f aca="false">J54^2</f>
        <v>0.00581293484669374</v>
      </c>
      <c r="L54" s="19" t="n">
        <f aca="false">I54*$J54</f>
        <v>0.076242605193512</v>
      </c>
      <c r="M54" s="19" t="n">
        <f aca="false">C54*$J54</f>
        <v>8.71429237974783E-006</v>
      </c>
      <c r="N54" s="19" t="n">
        <f aca="false">D54*$J54</f>
        <v>12.4115534967466</v>
      </c>
      <c r="O54" s="19" t="n">
        <f aca="false">E54*$J54</f>
        <v>4.30909300235337</v>
      </c>
      <c r="P54" s="19" t="n">
        <f aca="false">F54*$J54</f>
        <v>-4.16069834642254</v>
      </c>
      <c r="Q54" s="19" t="n">
        <f aca="false">G54*$J54</f>
        <v>-0.00610589171050415</v>
      </c>
      <c r="R54" s="19" t="n">
        <f aca="false">H54*$J54</f>
        <v>-0.00256188401645382</v>
      </c>
    </row>
    <row r="55" customFormat="false" ht="15" hidden="false" customHeight="false" outlineLevel="0" collapsed="false">
      <c r="A55" s="20" t="str">
        <f aca="false">Datos!A63</f>
        <v>2019Q3</v>
      </c>
      <c r="B55" s="21" t="n">
        <f aca="false">Datos!L63</f>
        <v>-0.0233553605717005</v>
      </c>
      <c r="C55" s="21" t="n">
        <f aca="false">Datos!I63</f>
        <v>-0.0239132057868301</v>
      </c>
      <c r="D55" s="21" t="n">
        <f aca="false">Datos!H63</f>
        <v>679.618686815129</v>
      </c>
      <c r="E55" s="21" t="n">
        <f aca="false">Datos!H61</f>
        <v>19.2017013888889</v>
      </c>
      <c r="F55" s="21" t="n">
        <f aca="false">Datos!H57</f>
        <v>28.5320987903223</v>
      </c>
      <c r="G55" s="21" t="n">
        <f aca="false">Datos!J57</f>
        <v>0.072575912604689</v>
      </c>
      <c r="H55" s="21" t="n">
        <f aca="false">Datos!K56</f>
        <v>0.0834781752199751</v>
      </c>
      <c r="I55" s="19" t="n">
        <v>1</v>
      </c>
      <c r="J55" s="19" t="n">
        <f aca="false">B55-($B$88+$B$89*C55+$B$90*D55+$B$91*E55+$B$92*F55+$B$93*G55+$B$94*H55)</f>
        <v>0.0138459142074761</v>
      </c>
      <c r="K55" s="19" t="n">
        <f aca="false">J55^2</f>
        <v>0.000191709340240788</v>
      </c>
      <c r="L55" s="19" t="n">
        <f aca="false">I55*$J55</f>
        <v>0.0138459142074761</v>
      </c>
      <c r="M55" s="19" t="n">
        <f aca="false">C55*$J55</f>
        <v>-0.000331100195750171</v>
      </c>
      <c r="N55" s="19" t="n">
        <f aca="false">D55*$J55</f>
        <v>9.40994203143985</v>
      </c>
      <c r="O55" s="19" t="n">
        <f aca="false">E55*$J55</f>
        <v>0.26586511006813</v>
      </c>
      <c r="P55" s="19" t="n">
        <f aca="false">F55*$J55</f>
        <v>0.395052992010035</v>
      </c>
      <c r="Q55" s="19" t="n">
        <f aca="false">G55*$J55</f>
        <v>0.00100487985945381</v>
      </c>
      <c r="R55" s="19" t="n">
        <f aca="false">H55*$J55</f>
        <v>0.00115583165229243</v>
      </c>
    </row>
    <row r="56" customFormat="false" ht="15" hidden="false" customHeight="false" outlineLevel="0" collapsed="false">
      <c r="A56" s="20" t="str">
        <f aca="false">Datos!A64</f>
        <v>2019Q4</v>
      </c>
      <c r="B56" s="21" t="n">
        <f aca="false">Datos!L64</f>
        <v>0.00677873424048458</v>
      </c>
      <c r="C56" s="21" t="n">
        <f aca="false">Datos!I64</f>
        <v>-0.0444370543348369</v>
      </c>
      <c r="D56" s="21" t="n">
        <f aca="false">Datos!H64</f>
        <v>598.881251590669</v>
      </c>
      <c r="E56" s="21" t="n">
        <f aca="false">Datos!H62</f>
        <v>162.790259661836</v>
      </c>
      <c r="F56" s="21" t="n">
        <f aca="false">Datos!H58</f>
        <v>77.2218156327545</v>
      </c>
      <c r="G56" s="21" t="n">
        <f aca="false">Datos!J58</f>
        <v>0.016146963656916</v>
      </c>
      <c r="H56" s="21" t="n">
        <f aca="false">Datos!K57</f>
        <v>0.0156446596022237</v>
      </c>
      <c r="I56" s="19" t="n">
        <v>1</v>
      </c>
      <c r="J56" s="19" t="n">
        <f aca="false">B56-($B$88+$B$89*C56+$B$90*D56+$B$91*E56+$B$92*F56+$B$93*G56+$B$94*H56)</f>
        <v>0.0541204279258312</v>
      </c>
      <c r="K56" s="19" t="n">
        <f aca="false">J56^2</f>
        <v>0.00292902071887509</v>
      </c>
      <c r="L56" s="19" t="n">
        <f aca="false">I56*$J56</f>
        <v>0.0541204279258312</v>
      </c>
      <c r="M56" s="19" t="n">
        <f aca="false">C56*$J56</f>
        <v>-0.00240495239636478</v>
      </c>
      <c r="N56" s="19" t="n">
        <f aca="false">D56*$J56</f>
        <v>32.4117096128444</v>
      </c>
      <c r="O56" s="19" t="n">
        <f aca="false">E56*$J56</f>
        <v>8.81027851505572</v>
      </c>
      <c r="P56" s="19" t="n">
        <f aca="false">F56*$J56</f>
        <v>4.17927770725432</v>
      </c>
      <c r="Q56" s="19" t="n">
        <f aca="false">G56*$J56</f>
        <v>0.000873880582815139</v>
      </c>
      <c r="R56" s="19" t="n">
        <f aca="false">H56*$J56</f>
        <v>0.000846695672426312</v>
      </c>
    </row>
    <row r="57" customFormat="false" ht="15" hidden="false" customHeight="false" outlineLevel="0" collapsed="false">
      <c r="A57" s="20" t="str">
        <f aca="false">Datos!A65</f>
        <v>2020Q1</v>
      </c>
      <c r="B57" s="21" t="n">
        <f aca="false">Datos!L65</f>
        <v>-0.0395022691914131</v>
      </c>
      <c r="C57" s="21" t="n">
        <f aca="false">Datos!I65</f>
        <v>0.114946009672505</v>
      </c>
      <c r="D57" s="21" t="n">
        <f aca="false">Datos!H65</f>
        <v>187.118199188056</v>
      </c>
      <c r="E57" s="21" t="n">
        <f aca="false">Datos!H63</f>
        <v>679.618686815129</v>
      </c>
      <c r="F57" s="21" t="n">
        <f aca="false">Datos!H59</f>
        <v>166.169284270953</v>
      </c>
      <c r="G57" s="21" t="n">
        <f aca="false">Datos!J59</f>
        <v>0.0202539754709583</v>
      </c>
      <c r="H57" s="21" t="n">
        <f aca="false">Datos!K58</f>
        <v>0.0616247472334126</v>
      </c>
      <c r="I57" s="19" t="n">
        <v>1</v>
      </c>
      <c r="J57" s="19" t="n">
        <f aca="false">B57-($B$88+$B$89*C57+$B$90*D57+$B$91*E57+$B$92*F57+$B$93*G57+$B$94*H57)</f>
        <v>-0.0127316877827912</v>
      </c>
      <c r="K57" s="19" t="n">
        <f aca="false">J57^2</f>
        <v>0.000162095873798475</v>
      </c>
      <c r="L57" s="19" t="n">
        <f aca="false">I57*$J57</f>
        <v>-0.0127316877827912</v>
      </c>
      <c r="M57" s="19" t="n">
        <f aca="false">C57*$J57</f>
        <v>-0.00146345670702803</v>
      </c>
      <c r="N57" s="19" t="n">
        <f aca="false">D57*$J57</f>
        <v>-2.38233049054047</v>
      </c>
      <c r="O57" s="19" t="n">
        <f aca="false">E57*$J57</f>
        <v>-8.6526929318808</v>
      </c>
      <c r="P57" s="19" t="n">
        <f aca="false">F57*$J57</f>
        <v>-2.11561544642766</v>
      </c>
      <c r="Q57" s="19" t="n">
        <f aca="false">G57*$J57</f>
        <v>-0.000257867292056553</v>
      </c>
      <c r="R57" s="19" t="n">
        <f aca="false">H57*$J57</f>
        <v>-0.000784587041469237</v>
      </c>
    </row>
    <row r="58" customFormat="false" ht="15" hidden="false" customHeight="false" outlineLevel="0" collapsed="false">
      <c r="A58" s="20" t="str">
        <f aca="false">Datos!A66</f>
        <v>2020Q2</v>
      </c>
      <c r="B58" s="21" t="n">
        <f aca="false">Datos!L66</f>
        <v>-0.139171243799252</v>
      </c>
      <c r="C58" s="21" t="n">
        <f aca="false">Datos!I66</f>
        <v>0.262181063646304</v>
      </c>
      <c r="D58" s="21" t="n">
        <f aca="false">Datos!H66</f>
        <v>756.86685274431</v>
      </c>
      <c r="E58" s="21" t="n">
        <f aca="false">Datos!H64</f>
        <v>598.881251590669</v>
      </c>
      <c r="F58" s="21" t="n">
        <f aca="false">Datos!H60</f>
        <v>56.51817630597</v>
      </c>
      <c r="G58" s="21" t="n">
        <f aca="false">Datos!J60</f>
        <v>0.0511719688039525</v>
      </c>
      <c r="H58" s="21" t="n">
        <f aca="false">Datos!K59</f>
        <v>-0.0680385631508205</v>
      </c>
      <c r="I58" s="19" t="n">
        <v>1</v>
      </c>
      <c r="J58" s="19" t="n">
        <f aca="false">B58-($B$88+$B$89*C58+$B$90*D58+$B$91*E58+$B$92*F58+$B$93*G58+$B$94*H58)</f>
        <v>-0.0624915803681284</v>
      </c>
      <c r="K58" s="19" t="n">
        <f aca="false">J58^2</f>
        <v>0.00390519761690625</v>
      </c>
      <c r="L58" s="19" t="n">
        <f aca="false">I58*$J58</f>
        <v>-0.0624915803681284</v>
      </c>
      <c r="M58" s="19" t="n">
        <f aca="false">C58*$J58</f>
        <v>-0.0163841090098544</v>
      </c>
      <c r="N58" s="19" t="n">
        <f aca="false">D58*$J58</f>
        <v>-47.2978057562435</v>
      </c>
      <c r="O58" s="19" t="n">
        <f aca="false">E58*$J58</f>
        <v>-37.4250358647436</v>
      </c>
      <c r="P58" s="19" t="n">
        <f aca="false">F58*$J58</f>
        <v>-3.53191015688457</v>
      </c>
      <c r="Q58" s="19" t="n">
        <f aca="false">G58*$J58</f>
        <v>-0.00319781720110756</v>
      </c>
      <c r="R58" s="19" t="n">
        <f aca="false">H58*$J58</f>
        <v>0.00425183733727148</v>
      </c>
    </row>
    <row r="59" customFormat="false" ht="15" hidden="false" customHeight="false" outlineLevel="0" collapsed="false">
      <c r="A59" s="20" t="str">
        <f aca="false">Datos!A67</f>
        <v>2020Q3</v>
      </c>
      <c r="B59" s="21" t="n">
        <f aca="false">Datos!L67</f>
        <v>0.0874942776266831</v>
      </c>
      <c r="C59" s="21" t="n">
        <f aca="false">Datos!I67</f>
        <v>0.119661051181248</v>
      </c>
      <c r="D59" s="21" t="n">
        <f aca="false">Datos!H67</f>
        <v>-1097.40393434344</v>
      </c>
      <c r="E59" s="21" t="n">
        <f aca="false">Datos!H65</f>
        <v>187.118199188056</v>
      </c>
      <c r="F59" s="21" t="n">
        <f aca="false">Datos!H61</f>
        <v>19.2017013888889</v>
      </c>
      <c r="G59" s="21" t="n">
        <f aca="false">Datos!J61</f>
        <v>0.0364106470243743</v>
      </c>
      <c r="H59" s="21" t="n">
        <f aca="false">Datos!K60</f>
        <v>-0.0795880772476278</v>
      </c>
      <c r="I59" s="19" t="n">
        <v>1</v>
      </c>
      <c r="J59" s="19" t="n">
        <f aca="false">B59-($B$88+$B$89*C59+$B$90*D59+$B$91*E59+$B$92*F59+$B$93*G59+$B$94*H59)</f>
        <v>0.0346881622993895</v>
      </c>
      <c r="K59" s="19" t="n">
        <f aca="false">J59^2</f>
        <v>0.00120326860370879</v>
      </c>
      <c r="L59" s="19" t="n">
        <f aca="false">I59*$J59</f>
        <v>0.0346881622993895</v>
      </c>
      <c r="M59" s="19" t="n">
        <f aca="false">C59*$J59</f>
        <v>0.00415082196429068</v>
      </c>
      <c r="N59" s="19" t="n">
        <f aca="false">D59*$J59</f>
        <v>-38.0669257824936</v>
      </c>
      <c r="O59" s="19" t="n">
        <f aca="false">E59*$J59</f>
        <v>6.49078646260477</v>
      </c>
      <c r="P59" s="19" t="n">
        <f aca="false">F59*$J59</f>
        <v>0.666071734202189</v>
      </c>
      <c r="Q59" s="19" t="n">
        <f aca="false">G59*$J59</f>
        <v>0.00126301843340728</v>
      </c>
      <c r="R59" s="19" t="n">
        <f aca="false">H59*$J59</f>
        <v>-0.00276076414066206</v>
      </c>
    </row>
    <row r="60" customFormat="false" ht="15" hidden="false" customHeight="false" outlineLevel="0" collapsed="false">
      <c r="A60" s="20" t="str">
        <f aca="false">Datos!A68</f>
        <v>2020Q4</v>
      </c>
      <c r="B60" s="21" t="n">
        <f aca="false">Datos!L68</f>
        <v>0.0587946679950591</v>
      </c>
      <c r="C60" s="21" t="n">
        <f aca="false">Datos!I68</f>
        <v>0.0642375050953509</v>
      </c>
      <c r="D60" s="21" t="n">
        <f aca="false">Datos!H68</f>
        <v>-606.890139160839</v>
      </c>
      <c r="E60" s="21" t="n">
        <f aca="false">Datos!H66</f>
        <v>756.86685274431</v>
      </c>
      <c r="F60" s="21" t="n">
        <f aca="false">Datos!H62</f>
        <v>162.790259661836</v>
      </c>
      <c r="G60" s="21" t="n">
        <f aca="false">Datos!J62</f>
        <v>0.0549585965392439</v>
      </c>
      <c r="H60" s="21" t="n">
        <f aca="false">Datos!K61</f>
        <v>0.0351944925910753</v>
      </c>
      <c r="I60" s="19" t="n">
        <v>1</v>
      </c>
      <c r="J60" s="19" t="n">
        <f aca="false">B60-($B$88+$B$89*C60+$B$90*D60+$B$91*E60+$B$92*F60+$B$93*G60+$B$94*H60)</f>
        <v>0.0530104960041684</v>
      </c>
      <c r="K60" s="19" t="n">
        <f aca="false">J60^2</f>
        <v>0.00281011268660795</v>
      </c>
      <c r="L60" s="19" t="n">
        <f aca="false">I60*$J60</f>
        <v>0.0530104960041684</v>
      </c>
      <c r="M60" s="19" t="n">
        <f aca="false">C60*$J60</f>
        <v>0.00340526200717484</v>
      </c>
      <c r="N60" s="19" t="n">
        <f aca="false">D60*$J60</f>
        <v>-32.1715472969549</v>
      </c>
      <c r="O60" s="19" t="n">
        <f aca="false">E60*$J60</f>
        <v>40.1218872730898</v>
      </c>
      <c r="P60" s="19" t="n">
        <f aca="false">F60*$J60</f>
        <v>8.62959240932127</v>
      </c>
      <c r="Q60" s="19" t="n">
        <f aca="false">G60*$J60</f>
        <v>0.00291338246223829</v>
      </c>
      <c r="R60" s="19" t="n">
        <f aca="false">H60*$J60</f>
        <v>0.00186567750886793</v>
      </c>
    </row>
    <row r="61" customFormat="false" ht="15" hidden="false" customHeight="false" outlineLevel="0" collapsed="false">
      <c r="A61" s="20" t="str">
        <f aca="false">Datos!A69</f>
        <v>2021Q1</v>
      </c>
      <c r="B61" s="21" t="n">
        <f aca="false">Datos!L69</f>
        <v>0.0754590025589087</v>
      </c>
      <c r="C61" s="21" t="n">
        <f aca="false">Datos!I69</f>
        <v>-0.193638860735541</v>
      </c>
      <c r="D61" s="21" t="n">
        <f aca="false">Datos!H69</f>
        <v>100.224470329671</v>
      </c>
      <c r="E61" s="21" t="n">
        <f aca="false">Datos!H67</f>
        <v>-1097.40393434344</v>
      </c>
      <c r="F61" s="21" t="n">
        <f aca="false">Datos!H63</f>
        <v>679.618686815129</v>
      </c>
      <c r="G61" s="21" t="n">
        <f aca="false">Datos!J63</f>
        <v>0.088789332367494</v>
      </c>
      <c r="H61" s="21" t="n">
        <f aca="false">Datos!K62</f>
        <v>-0.0270236391269938</v>
      </c>
      <c r="I61" s="19" t="n">
        <v>1</v>
      </c>
      <c r="J61" s="19" t="n">
        <f aca="false">B61-($B$88+$B$89*C61+$B$90*D61+$B$91*E61+$B$92*F61+$B$93*G61+$B$94*H61)</f>
        <v>0.0217005281150463</v>
      </c>
      <c r="K61" s="19" t="n">
        <f aca="false">J61^2</f>
        <v>0.000470912920471916</v>
      </c>
      <c r="L61" s="19" t="n">
        <f aca="false">I61*$J61</f>
        <v>0.0217005281150463</v>
      </c>
      <c r="M61" s="19" t="n">
        <f aca="false">C61*$J61</f>
        <v>-0.00420206554155716</v>
      </c>
      <c r="N61" s="19" t="n">
        <f aca="false">D61*$J61</f>
        <v>2.17492393620465</v>
      </c>
      <c r="O61" s="19" t="n">
        <f aca="false">E61*$J61</f>
        <v>-23.8142449307822</v>
      </c>
      <c r="P61" s="19" t="n">
        <f aca="false">F61*$J61</f>
        <v>14.7480844207426</v>
      </c>
      <c r="Q61" s="19" t="n">
        <f aca="false">G61*$J61</f>
        <v>0.001926775403357</v>
      </c>
      <c r="R61" s="19" t="n">
        <f aca="false">H61*$J61</f>
        <v>-0.000586427240646195</v>
      </c>
    </row>
    <row r="62" customFormat="false" ht="15" hidden="false" customHeight="false" outlineLevel="0" collapsed="false">
      <c r="A62" s="20" t="str">
        <f aca="false">Datos!A70</f>
        <v>2021Q2</v>
      </c>
      <c r="B62" s="21" t="n">
        <f aca="false">Datos!L70</f>
        <v>0.154973600001828</v>
      </c>
      <c r="C62" s="21" t="n">
        <f aca="false">Datos!I70</f>
        <v>-0.244749418467121</v>
      </c>
      <c r="D62" s="21" t="n">
        <f aca="false">Datos!H70</f>
        <v>51.4231142857141</v>
      </c>
      <c r="E62" s="21" t="n">
        <f aca="false">Datos!H68</f>
        <v>-606.890139160839</v>
      </c>
      <c r="F62" s="21" t="n">
        <f aca="false">Datos!H64</f>
        <v>598.881251590669</v>
      </c>
      <c r="G62" s="21" t="n">
        <f aca="false">Datos!J64</f>
        <v>-0.0976170322305177</v>
      </c>
      <c r="H62" s="21" t="n">
        <f aca="false">Datos!K63</f>
        <v>0.0668497563295599</v>
      </c>
      <c r="I62" s="19" t="n">
        <v>1</v>
      </c>
      <c r="J62" s="19" t="n">
        <f aca="false">B62-($B$88+$B$89*C62+$B$90*D62+$B$91*E62+$B$92*F62+$B$93*G62+$B$94*H62)</f>
        <v>0.0970417841044079</v>
      </c>
      <c r="K62" s="19" t="n">
        <f aca="false">J62^2</f>
        <v>0.00941710786216651</v>
      </c>
      <c r="L62" s="19" t="n">
        <f aca="false">I62*$J62</f>
        <v>0.0970417841044079</v>
      </c>
      <c r="M62" s="19" t="n">
        <f aca="false">C62*$J62</f>
        <v>-0.0237509202265658</v>
      </c>
      <c r="N62" s="19" t="n">
        <f aca="false">D62*$J62</f>
        <v>4.99019075449056</v>
      </c>
      <c r="O62" s="19" t="n">
        <f aca="false">E62*$J62</f>
        <v>-58.8937018595402</v>
      </c>
      <c r="P62" s="19" t="n">
        <f aca="false">F62*$J62</f>
        <v>58.1165051210393</v>
      </c>
      <c r="Q62" s="19" t="n">
        <f aca="false">G62*$J62</f>
        <v>-0.00947293096662693</v>
      </c>
      <c r="R62" s="19" t="n">
        <f aca="false">H62*$J62</f>
        <v>0.00648721962116543</v>
      </c>
    </row>
    <row r="63" customFormat="false" ht="15" hidden="false" customHeight="false" outlineLevel="0" collapsed="false">
      <c r="A63" s="20" t="str">
        <f aca="false">Datos!A71</f>
        <v>2021Q3</v>
      </c>
      <c r="B63" s="21" t="n">
        <f aca="false">Datos!L71</f>
        <v>-0.0691542511309424</v>
      </c>
      <c r="C63" s="21" t="n">
        <f aca="false">Datos!I71</f>
        <v>0.0155375869236292</v>
      </c>
      <c r="D63" s="21" t="n">
        <f aca="false">Datos!H71</f>
        <v>24.6869913043479</v>
      </c>
      <c r="E63" s="21" t="n">
        <f aca="false">Datos!H69</f>
        <v>100.224470329671</v>
      </c>
      <c r="F63" s="21" t="n">
        <f aca="false">Datos!H65</f>
        <v>187.118199188056</v>
      </c>
      <c r="G63" s="21" t="n">
        <f aca="false">Datos!J65</f>
        <v>0.221076901929335</v>
      </c>
      <c r="H63" s="21" t="n">
        <f aca="false">Datos!K64</f>
        <v>0.0445321255864519</v>
      </c>
      <c r="I63" s="19" t="n">
        <v>1</v>
      </c>
      <c r="J63" s="19" t="n">
        <f aca="false">B63-($B$88+$B$89*C63+$B$90*D63+$B$91*E63+$B$92*F63+$B$93*G63+$B$94*H63)</f>
        <v>-0.0541220604953766</v>
      </c>
      <c r="K63" s="19" t="n">
        <f aca="false">J63^2</f>
        <v>0.00292919743226521</v>
      </c>
      <c r="L63" s="19" t="n">
        <f aca="false">I63*$J63</f>
        <v>-0.0541220604953766</v>
      </c>
      <c r="M63" s="19" t="n">
        <f aca="false">C63*$J63</f>
        <v>-0.00084092621943283</v>
      </c>
      <c r="N63" s="19" t="n">
        <f aca="false">D63*$J63</f>
        <v>-1.33611083682275</v>
      </c>
      <c r="O63" s="19" t="n">
        <f aca="false">E63*$J63</f>
        <v>-5.42435484629953</v>
      </c>
      <c r="P63" s="19" t="n">
        <f aca="false">F63*$J63</f>
        <v>-10.1272224962419</v>
      </c>
      <c r="Q63" s="19" t="n">
        <f aca="false">G63*$J63</f>
        <v>-0.0119651374603499</v>
      </c>
      <c r="R63" s="19" t="n">
        <f aca="false">H63*$J63</f>
        <v>-0.00241017039497766</v>
      </c>
    </row>
    <row r="64" customFormat="false" ht="15" hidden="false" customHeight="false" outlineLevel="0" collapsed="false">
      <c r="A64" s="20" t="str">
        <f aca="false">Datos!A72</f>
        <v>2021Q4</v>
      </c>
      <c r="B64" s="21" t="n">
        <f aca="false">Datos!L72</f>
        <v>-0.0345042172539505</v>
      </c>
      <c r="C64" s="21" t="n">
        <f aca="false">Datos!I72</f>
        <v>0.0372511420898235</v>
      </c>
      <c r="D64" s="21" t="n">
        <f aca="false">Datos!H72</f>
        <v>144.162478260869</v>
      </c>
      <c r="E64" s="21" t="n">
        <f aca="false">Datos!H70</f>
        <v>51.4231142857141</v>
      </c>
      <c r="F64" s="21" t="n">
        <f aca="false">Datos!H66</f>
        <v>756.86685274431</v>
      </c>
      <c r="G64" s="21" t="n">
        <f aca="false">Datos!J66</f>
        <v>0.295953407381194</v>
      </c>
      <c r="H64" s="21" t="n">
        <f aca="false">Datos!K65</f>
        <v>-0.0349380110691591</v>
      </c>
      <c r="I64" s="19" t="n">
        <v>1</v>
      </c>
      <c r="J64" s="19" t="n">
        <f aca="false">B64-($B$88+$B$89*C64+$B$90*D64+$B$91*E64+$B$92*F64+$B$93*G64+$B$94*H64)</f>
        <v>-0.0136867267709212</v>
      </c>
      <c r="K64" s="19" t="n">
        <f aca="false">J64^2</f>
        <v>0.00018732648970185</v>
      </c>
      <c r="L64" s="19" t="n">
        <f aca="false">I64*$J64</f>
        <v>-0.0136867267709212</v>
      </c>
      <c r="M64" s="19" t="n">
        <f aca="false">C64*$J64</f>
        <v>-0.000509846203688176</v>
      </c>
      <c r="N64" s="19" t="n">
        <f aca="false">D64*$J64</f>
        <v>-1.97311245057538</v>
      </c>
      <c r="O64" s="19" t="n">
        <f aca="false">E64*$J64</f>
        <v>-0.703814114938422</v>
      </c>
      <c r="P64" s="19" t="n">
        <f aca="false">F64*$J64</f>
        <v>-10.3590298154784</v>
      </c>
      <c r="Q64" s="19" t="n">
        <f aca="false">G64*$J64</f>
        <v>-0.00405063342374953</v>
      </c>
      <c r="R64" s="19" t="n">
        <f aca="false">H64*$J64</f>
        <v>0.000478187011422999</v>
      </c>
    </row>
    <row r="65" customFormat="false" ht="15" hidden="false" customHeight="false" outlineLevel="0" collapsed="false">
      <c r="A65" s="20" t="str">
        <f aca="false">Datos!A73</f>
        <v>2022Q1</v>
      </c>
      <c r="B65" s="21" t="n">
        <f aca="false">Datos!L73</f>
        <v>-0.0150273006931949</v>
      </c>
      <c r="C65" s="21" t="n">
        <f aca="false">Datos!I73</f>
        <v>0.0355016157142883</v>
      </c>
      <c r="D65" s="21" t="n">
        <f aca="false">Datos!H73</f>
        <v>94.729852657005</v>
      </c>
      <c r="E65" s="21" t="n">
        <f aca="false">Datos!H71</f>
        <v>24.6869913043479</v>
      </c>
      <c r="F65" s="21" t="n">
        <f aca="false">Datos!H67</f>
        <v>-1097.40393434344</v>
      </c>
      <c r="G65" s="21" t="n">
        <f aca="false">Datos!J67</f>
        <v>-0.245003429458452</v>
      </c>
      <c r="H65" s="21" t="n">
        <f aca="false">Datos!K66</f>
        <v>-0.0474907628165441</v>
      </c>
      <c r="I65" s="19" t="n">
        <v>1</v>
      </c>
      <c r="J65" s="19" t="n">
        <f aca="false">B65-($B$88+$B$89*C65+$B$90*D65+$B$91*E65+$B$92*F65+$B$93*G65+$B$94*H65)</f>
        <v>0.00828131025590103</v>
      </c>
      <c r="K65" s="19" t="n">
        <f aca="false">J65^2</f>
        <v>6.85800995544916E-005</v>
      </c>
      <c r="L65" s="19" t="n">
        <f aca="false">I65*$J65</f>
        <v>0.00828131025590103</v>
      </c>
      <c r="M65" s="19" t="n">
        <f aca="false">C65*$J65</f>
        <v>0.000293999894315793</v>
      </c>
      <c r="N65" s="19" t="n">
        <f aca="false">D65*$J65</f>
        <v>0.784487300348449</v>
      </c>
      <c r="O65" s="19" t="n">
        <f aca="false">E65*$J65</f>
        <v>0.204440634276036</v>
      </c>
      <c r="P65" s="19" t="n">
        <f aca="false">F65*$J65</f>
        <v>-9.08794245634443</v>
      </c>
      <c r="Q65" s="19" t="n">
        <f aca="false">G65*$J65</f>
        <v>-0.00202894941310521</v>
      </c>
      <c r="R65" s="19" t="n">
        <f aca="false">H65*$J65</f>
        <v>-0.00039328574117321</v>
      </c>
    </row>
    <row r="66" customFormat="false" ht="15" hidden="false" customHeight="false" outlineLevel="0" collapsed="false">
      <c r="A66" s="20" t="str">
        <f aca="false">Datos!A74</f>
        <v>2022Q2</v>
      </c>
      <c r="B66" s="21" t="n">
        <f aca="false">Datos!L74</f>
        <v>0.0126863059008944</v>
      </c>
      <c r="C66" s="21" t="n">
        <f aca="false">Datos!I74</f>
        <v>-0.00674178026505711</v>
      </c>
      <c r="D66" s="21" t="n">
        <f aca="false">Datos!H74</f>
        <v>111.567003052503</v>
      </c>
      <c r="E66" s="21" t="n">
        <f aca="false">Datos!H72</f>
        <v>144.162478260869</v>
      </c>
      <c r="F66" s="21" t="n">
        <f aca="false">Datos!H68</f>
        <v>-606.890139160839</v>
      </c>
      <c r="G66" s="21" t="n">
        <f aca="false">Datos!J68</f>
        <v>-0.131027789991017</v>
      </c>
      <c r="H66" s="21" t="n">
        <f aca="false">Datos!K67</f>
        <v>0.0306557066678773</v>
      </c>
      <c r="I66" s="19" t="n">
        <v>1</v>
      </c>
      <c r="J66" s="19" t="n">
        <f aca="false">B66-($B$88+$B$89*C66+$B$90*D66+$B$91*E66+$B$92*F66+$B$93*G66+$B$94*H66)</f>
        <v>0.0290390626539434</v>
      </c>
      <c r="K66" s="19" t="n">
        <f aca="false">J66^2</f>
        <v>0.00084326715981965</v>
      </c>
      <c r="L66" s="19" t="n">
        <f aca="false">I66*$J66</f>
        <v>0.0290390626539434</v>
      </c>
      <c r="M66" s="19" t="n">
        <f aca="false">C66*$J66</f>
        <v>-0.000195774979516112</v>
      </c>
      <c r="N66" s="19" t="n">
        <f aca="false">D66*$J66</f>
        <v>3.23980119175433</v>
      </c>
      <c r="O66" s="19" t="n">
        <f aca="false">E66*$J66</f>
        <v>4.18634323856513</v>
      </c>
      <c r="P66" s="19" t="n">
        <f aca="false">F66*$J66</f>
        <v>-17.623520775152</v>
      </c>
      <c r="Q66" s="19" t="n">
        <f aca="false">G66*$J66</f>
        <v>-0.00380492420295687</v>
      </c>
      <c r="R66" s="19" t="n">
        <f aca="false">H66*$J66</f>
        <v>0.000890212986629399</v>
      </c>
    </row>
    <row r="67" customFormat="false" ht="15" hidden="false" customHeight="false" outlineLevel="0" collapsed="false">
      <c r="A67" s="20" t="str">
        <f aca="false">Datos!A75</f>
        <v>2022Q3</v>
      </c>
      <c r="B67" s="21" t="n">
        <f aca="false">Datos!L75</f>
        <v>-0.0144559309870564</v>
      </c>
      <c r="C67" s="21" t="n">
        <f aca="false">Datos!I75</f>
        <v>-0.0371795981009521</v>
      </c>
      <c r="D67" s="21" t="n">
        <f aca="false">Datos!H75</f>
        <v>613.427821391941</v>
      </c>
      <c r="E67" s="21" t="n">
        <f aca="false">Datos!H73</f>
        <v>94.729852657005</v>
      </c>
      <c r="F67" s="21" t="n">
        <f aca="false">Datos!H69</f>
        <v>100.224470329671</v>
      </c>
      <c r="G67" s="21" t="n">
        <f aca="false">Datos!J69</f>
        <v>-0.0811045233564329</v>
      </c>
      <c r="H67" s="21" t="n">
        <f aca="false">Datos!K68</f>
        <v>0.0276558919383922</v>
      </c>
      <c r="I67" s="19" t="n">
        <v>1</v>
      </c>
      <c r="J67" s="19" t="n">
        <f aca="false">B67-($B$88+$B$89*C67+$B$90*D67+$B$91*E67+$B$92*F67+$B$93*G67+$B$94*H67)</f>
        <v>0.0148667668378783</v>
      </c>
      <c r="K67" s="19" t="n">
        <f aca="false">J67^2</f>
        <v>0.000221020756211837</v>
      </c>
      <c r="L67" s="19" t="n">
        <f aca="false">I67*$J67</f>
        <v>0.0148667668378783</v>
      </c>
      <c r="M67" s="19" t="n">
        <f aca="false">C67*$J67</f>
        <v>-0.000552740416092876</v>
      </c>
      <c r="N67" s="19" t="n">
        <f aca="false">D67*$J67</f>
        <v>9.11968839250163</v>
      </c>
      <c r="O67" s="19" t="n">
        <f aca="false">E67*$J67</f>
        <v>1.40832663203826</v>
      </c>
      <c r="P67" s="19" t="n">
        <f aca="false">F67*$J67</f>
        <v>1.49001383184107</v>
      </c>
      <c r="Q67" s="19" t="n">
        <f aca="false">G67*$J67</f>
        <v>-0.00120576203823734</v>
      </c>
      <c r="R67" s="19" t="n">
        <f aca="false">H67*$J67</f>
        <v>0.000411153697141635</v>
      </c>
    </row>
    <row r="68" customFormat="false" ht="15" hidden="false" customHeight="false" outlineLevel="0" collapsed="false">
      <c r="A68" s="20" t="str">
        <f aca="false">Datos!A76</f>
        <v>2022Q4</v>
      </c>
      <c r="B68" s="21" t="n">
        <f aca="false">Datos!L76</f>
        <v>-0.042989937364541</v>
      </c>
      <c r="C68" s="21" t="n">
        <f aca="false">Datos!I76</f>
        <v>-0.0252636786491897</v>
      </c>
      <c r="D68" s="21" t="n">
        <f aca="false">Datos!H76</f>
        <v>-69.2846118840562</v>
      </c>
      <c r="E68" s="21" t="n">
        <f aca="false">Datos!H74</f>
        <v>111.567003052503</v>
      </c>
      <c r="F68" s="21" t="n">
        <f aca="false">Datos!H70</f>
        <v>51.4231142857141</v>
      </c>
      <c r="G68" s="21" t="n">
        <f aca="false">Datos!J70</f>
        <v>-0.164266961512105</v>
      </c>
      <c r="H68" s="21" t="n">
        <f aca="false">Datos!K69</f>
        <v>0.0884101043961178</v>
      </c>
      <c r="I68" s="19" t="n">
        <v>1</v>
      </c>
      <c r="J68" s="19" t="n">
        <f aca="false">B68-($B$88+$B$89*C68+$B$90*D68+$B$91*E68+$B$92*F68+$B$93*G68+$B$94*H68)</f>
        <v>-0.0766487884335209</v>
      </c>
      <c r="K68" s="19" t="n">
        <f aca="false">J68^2</f>
        <v>0.00587503676832665</v>
      </c>
      <c r="L68" s="19" t="n">
        <f aca="false">I68*$J68</f>
        <v>-0.0766487884335209</v>
      </c>
      <c r="M68" s="19" t="n">
        <f aca="false">C68*$J68</f>
        <v>0.0019364303598342</v>
      </c>
      <c r="N68" s="19" t="n">
        <f aca="false">D68*$J68</f>
        <v>5.31058155799963</v>
      </c>
      <c r="O68" s="19" t="n">
        <f aca="false">E68*$J68</f>
        <v>-8.55147561313329</v>
      </c>
      <c r="P68" s="19" t="n">
        <f aca="false">F68*$J68</f>
        <v>-3.94151940747847</v>
      </c>
      <c r="Q68" s="19" t="n">
        <f aca="false">G68*$J68</f>
        <v>0.0125908635795587</v>
      </c>
      <c r="R68" s="19" t="n">
        <f aca="false">H68*$J68</f>
        <v>-0.00677652738724353</v>
      </c>
    </row>
    <row r="69" customFormat="false" ht="15" hidden="false" customHeight="false" outlineLevel="0" collapsed="false">
      <c r="A69" s="20" t="str">
        <f aca="false">Datos!A77</f>
        <v>2023Q1</v>
      </c>
      <c r="B69" s="21" t="n">
        <f aca="false">Datos!L77</f>
        <v>-0.0147344524955975</v>
      </c>
      <c r="C69" s="21" t="n">
        <f aca="false">Datos!I77</f>
        <v>-0.00518521666359616</v>
      </c>
      <c r="D69" s="21" t="n">
        <f aca="false">Datos!H77</f>
        <v>-376.758957004832</v>
      </c>
      <c r="E69" s="21" t="n">
        <f aca="false">Datos!H75</f>
        <v>613.427821391941</v>
      </c>
      <c r="F69" s="21" t="n">
        <f aca="false">Datos!H71</f>
        <v>24.6869913043479</v>
      </c>
      <c r="G69" s="21" t="n">
        <f aca="false">Datos!J71</f>
        <v>0.249643026411689</v>
      </c>
      <c r="H69" s="21" t="n">
        <f aca="false">Datos!K70</f>
        <v>0.025645645716768</v>
      </c>
      <c r="I69" s="19" t="n">
        <v>1</v>
      </c>
      <c r="J69" s="19" t="n">
        <f aca="false">B69-($B$88+$B$89*C69+$B$90*D69+$B$91*E69+$B$92*F69+$B$93*G69+$B$94*H69)</f>
        <v>0.0205725334142871</v>
      </c>
      <c r="K69" s="19" t="n">
        <f aca="false">J69^2</f>
        <v>0.000423229131081958</v>
      </c>
      <c r="L69" s="19" t="n">
        <f aca="false">I69*$J69</f>
        <v>0.0205725334142871</v>
      </c>
      <c r="M69" s="19" t="n">
        <f aca="false">C69*$J69</f>
        <v>-0.00010667304307215</v>
      </c>
      <c r="N69" s="19" t="n">
        <f aca="false">D69*$J69</f>
        <v>-7.75088623211386</v>
      </c>
      <c r="O69" s="19" t="n">
        <f aca="false">E69*$J69</f>
        <v>12.619764352839</v>
      </c>
      <c r="P69" s="19" t="n">
        <f aca="false">F69*$J69</f>
        <v>0.507873953506911</v>
      </c>
      <c r="Q69" s="19" t="n">
        <f aca="false">G69*$J69</f>
        <v>0.00513578950249823</v>
      </c>
      <c r="R69" s="19" t="n">
        <f aca="false">H69*$J69</f>
        <v>0.000527595903439178</v>
      </c>
    </row>
    <row r="70" customFormat="false" ht="15" hidden="false" customHeight="false" outlineLevel="0" collapsed="false">
      <c r="A70" s="20" t="str">
        <f aca="false">Datos!A78</f>
        <v>2023Q2</v>
      </c>
      <c r="B70" s="21" t="n">
        <f aca="false">Datos!L78</f>
        <v>-0.0658685480975044</v>
      </c>
      <c r="C70" s="21" t="n">
        <f aca="false">Datos!I78</f>
        <v>-0.0211814413429257</v>
      </c>
      <c r="D70" s="21" t="n">
        <f aca="false">Datos!H78</f>
        <v>396.345972839506</v>
      </c>
      <c r="E70" s="21" t="n">
        <f aca="false">Datos!H76</f>
        <v>-69.2846118840562</v>
      </c>
      <c r="F70" s="21" t="n">
        <f aca="false">Datos!H72</f>
        <v>144.162478260869</v>
      </c>
      <c r="G70" s="21" t="n">
        <f aca="false">Datos!J72</f>
        <v>0.284553859686216</v>
      </c>
      <c r="H70" s="21" t="n">
        <f aca="false">Datos!K71</f>
        <v>-0.065948233834193</v>
      </c>
      <c r="I70" s="19" t="n">
        <v>1</v>
      </c>
      <c r="J70" s="19" t="n">
        <f aca="false">B70-($B$88+$B$89*C70+$B$90*D70+$B$91*E70+$B$92*F70+$B$93*G70+$B$94*H70)</f>
        <v>-0.00455984415559337</v>
      </c>
      <c r="K70" s="19" t="n">
        <f aca="false">J70^2</f>
        <v>2.0792178723299E-005</v>
      </c>
      <c r="L70" s="19" t="n">
        <f aca="false">I70*$J70</f>
        <v>-0.00455984415559337</v>
      </c>
      <c r="M70" s="19" t="n">
        <f aca="false">C70*$J70</f>
        <v>9.65840715145833E-005</v>
      </c>
      <c r="N70" s="19" t="n">
        <f aca="false">D70*$J70</f>
        <v>-1.80727586784519</v>
      </c>
      <c r="O70" s="19" t="n">
        <f aca="false">E70*$J70</f>
        <v>0.315927032572068</v>
      </c>
      <c r="P70" s="19" t="n">
        <f aca="false">F70*$J70</f>
        <v>-0.657358433953679</v>
      </c>
      <c r="Q70" s="19" t="n">
        <f aca="false">G70*$J70</f>
        <v>-0.00129752125404173</v>
      </c>
      <c r="R70" s="19" t="n">
        <f aca="false">H70*$J70</f>
        <v>0.00030071366862055</v>
      </c>
    </row>
    <row r="71" customFormat="false" ht="15" hidden="false" customHeight="false" outlineLevel="0" collapsed="false">
      <c r="A71" s="20" t="str">
        <f aca="false">Datos!A79</f>
        <v>2023Q3</v>
      </c>
      <c r="B71" s="21" t="n">
        <f aca="false">Datos!L79</f>
        <v>0.0512569990728792</v>
      </c>
      <c r="C71" s="21" t="n">
        <f aca="false">Datos!I79</f>
        <v>-0.0552380565995734</v>
      </c>
      <c r="D71" s="21" t="n">
        <f aca="false">Datos!H79</f>
        <v>-393.961216440069</v>
      </c>
      <c r="E71" s="21" t="n">
        <f aca="false">Datos!H77</f>
        <v>-376.758957004832</v>
      </c>
      <c r="F71" s="21" t="n">
        <f aca="false">Datos!H73</f>
        <v>94.729852657005</v>
      </c>
      <c r="G71" s="21" t="n">
        <f aca="false">Datos!J73</f>
        <v>-0.167076079806291</v>
      </c>
      <c r="H71" s="21" t="n">
        <f aca="false">Datos!K72</f>
        <v>-0.0279737231897952</v>
      </c>
      <c r="I71" s="19" t="n">
        <v>1</v>
      </c>
      <c r="J71" s="19" t="n">
        <f aca="false">B71-($B$88+$B$89*C71+$B$90*D71+$B$91*E71+$B$92*F71+$B$93*G71+$B$94*H71)</f>
        <v>-0.0105334927347448</v>
      </c>
      <c r="K71" s="19" t="n">
        <f aca="false">J71^2</f>
        <v>0.000110954469192922</v>
      </c>
      <c r="L71" s="19" t="n">
        <f aca="false">I71*$J71</f>
        <v>-0.0105334927347448</v>
      </c>
      <c r="M71" s="19" t="n">
        <f aca="false">C71*$J71</f>
        <v>0.00058184966787303</v>
      </c>
      <c r="N71" s="19" t="n">
        <f aca="false">D71*$J71</f>
        <v>4.1497876111427</v>
      </c>
      <c r="O71" s="19" t="n">
        <f aca="false">E71*$J71</f>
        <v>3.96858773636044</v>
      </c>
      <c r="P71" s="19" t="n">
        <f aca="false">F71*$J71</f>
        <v>-0.997836214726011</v>
      </c>
      <c r="Q71" s="19" t="n">
        <f aca="false">G71*$J71</f>
        <v>0.00175989467278921</v>
      </c>
      <c r="R71" s="19" t="n">
        <f aca="false">H71*$J71</f>
        <v>0.00029466100998347</v>
      </c>
    </row>
    <row r="72" customFormat="false" ht="15" hidden="false" customHeight="false" outlineLevel="0" collapsed="false">
      <c r="A72" s="20" t="str">
        <f aca="false">Datos!A80</f>
        <v>2023Q4</v>
      </c>
      <c r="B72" s="21" t="n">
        <f aca="false">Datos!L80</f>
        <v>-0.0116681302350901</v>
      </c>
      <c r="C72" s="21" t="n">
        <f aca="false">Datos!I80</f>
        <v>-0.104830369197381</v>
      </c>
      <c r="D72" s="21" t="n">
        <f aca="false">Datos!H80</f>
        <v>122.080899625603</v>
      </c>
      <c r="E72" s="21" t="n">
        <f aca="false">Datos!H78</f>
        <v>396.345972839506</v>
      </c>
      <c r="F72" s="21" t="n">
        <f aca="false">Datos!H74</f>
        <v>111.567003052503</v>
      </c>
      <c r="G72" s="21" t="n">
        <f aca="false">Datos!J74</f>
        <v>0.169220698210594</v>
      </c>
      <c r="H72" s="21" t="n">
        <f aca="false">Datos!K73</f>
        <v>-0.0135796367455427</v>
      </c>
      <c r="I72" s="19" t="n">
        <v>1</v>
      </c>
      <c r="J72" s="19" t="n">
        <f aca="false">B72-($B$88+$B$89*C72+$B$90*D72+$B$91*E72+$B$92*F72+$B$93*G72+$B$94*H72)</f>
        <v>0.0465807993423579</v>
      </c>
      <c r="K72" s="19" t="n">
        <f aca="false">J72^2</f>
        <v>0.00216977086737301</v>
      </c>
      <c r="L72" s="19" t="n">
        <f aca="false">I72*$J72</f>
        <v>0.0465807993423579</v>
      </c>
      <c r="M72" s="19" t="n">
        <f aca="false">C72*$J72</f>
        <v>-0.0048830823925685</v>
      </c>
      <c r="N72" s="19" t="n">
        <f aca="false">D72*$J72</f>
        <v>5.68662588899474</v>
      </c>
      <c r="O72" s="19" t="n">
        <f aca="false">E72*$J72</f>
        <v>18.4621122309887</v>
      </c>
      <c r="P72" s="19" t="n">
        <f aca="false">F72*$J72</f>
        <v>5.19688018241687</v>
      </c>
      <c r="Q72" s="19" t="n">
        <f aca="false">G72*$J72</f>
        <v>0.00788243538792139</v>
      </c>
      <c r="R72" s="19" t="n">
        <f aca="false">H72*$J72</f>
        <v>-0.000632550334386237</v>
      </c>
    </row>
    <row r="73" customFormat="false" ht="15" hidden="false" customHeight="false" outlineLevel="0" collapsed="false">
      <c r="A73" s="20" t="str">
        <f aca="false">Datos!A81</f>
        <v>2024Q1</v>
      </c>
      <c r="B73" s="21" t="n">
        <f aca="false">Datos!L81</f>
        <v>-0.0324571770905033</v>
      </c>
      <c r="C73" s="21" t="n">
        <f aca="false">Datos!I81</f>
        <v>-0.0995297912662513</v>
      </c>
      <c r="D73" s="21" t="n">
        <f aca="false">Datos!H81</f>
        <v>-454.938553802817</v>
      </c>
      <c r="E73" s="21" t="n">
        <f aca="false">Datos!H79</f>
        <v>-393.961216440069</v>
      </c>
      <c r="F73" s="21" t="n">
        <f aca="false">Datos!H75</f>
        <v>613.427821391941</v>
      </c>
      <c r="G73" s="21" t="n">
        <f aca="false">Datos!J75</f>
        <v>-0.0735093011783898</v>
      </c>
      <c r="H73" s="21" t="n">
        <f aca="false">Datos!K74</f>
        <v>-0.0666502884026636</v>
      </c>
      <c r="I73" s="19" t="n">
        <v>1</v>
      </c>
      <c r="J73" s="19" t="n">
        <f aca="false">B73-($B$88+$B$89*C73+$B$90*D73+$B$91*E73+$B$92*F73+$B$93*G73+$B$94*H73)</f>
        <v>-0.0957870722023176</v>
      </c>
      <c r="K73" s="19" t="n">
        <f aca="false">J73^2</f>
        <v>0.00917516320109201</v>
      </c>
      <c r="L73" s="19" t="n">
        <f aca="false">I73*$J73</f>
        <v>-0.0957870722023176</v>
      </c>
      <c r="M73" s="19" t="n">
        <f aca="false">C73*$J73</f>
        <v>0.00953366730230202</v>
      </c>
      <c r="N73" s="19" t="n">
        <f aca="false">D73*$J73</f>
        <v>43.5772321007284</v>
      </c>
      <c r="O73" s="19" t="n">
        <f aca="false">E73*$J73</f>
        <v>37.7363914840577</v>
      </c>
      <c r="P73" s="19" t="n">
        <f aca="false">F73*$J73</f>
        <v>-58.7584550185803</v>
      </c>
      <c r="Q73" s="19" t="n">
        <f aca="false">G73*$J73</f>
        <v>0.00704124073951634</v>
      </c>
      <c r="R73" s="19" t="n">
        <f aca="false">H73*$J73</f>
        <v>0.00638423598753123</v>
      </c>
    </row>
    <row r="74" customFormat="false" ht="15" hidden="false" customHeight="false" outlineLevel="0" collapsed="false">
      <c r="A74" s="20" t="str">
        <f aca="false">Datos!A82</f>
        <v>2024Q2</v>
      </c>
      <c r="B74" s="21" t="n">
        <f aca="false">Datos!L82</f>
        <v>0.0387840333974563</v>
      </c>
      <c r="C74" s="21" t="n">
        <f aca="false">Datos!I82</f>
        <v>0.0839810999883668</v>
      </c>
      <c r="D74" s="21" t="n">
        <f aca="false">Datos!H82</f>
        <v>-411.750199402986</v>
      </c>
      <c r="E74" s="21" t="n">
        <f aca="false">Datos!H80</f>
        <v>122.080899625603</v>
      </c>
      <c r="F74" s="21" t="n">
        <f aca="false">Datos!H76</f>
        <v>-69.2846118840562</v>
      </c>
      <c r="G74" s="21" t="n">
        <f aca="false">Datos!J76</f>
        <v>-0.0738502184948509</v>
      </c>
      <c r="H74" s="21" t="n">
        <f aca="false">Datos!K75</f>
        <v>-0.0294452458384041</v>
      </c>
      <c r="I74" s="19" t="n">
        <v>1</v>
      </c>
      <c r="J74" s="19" t="n">
        <f aca="false">B74-($B$88+$B$89*C74+$B$90*D74+$B$91*E74+$B$92*F74+$B$93*G74+$B$94*H74)</f>
        <v>0.0104891431931992</v>
      </c>
      <c r="K74" s="19" t="n">
        <f aca="false">J74^2</f>
        <v>0.000110022124927437</v>
      </c>
      <c r="L74" s="19" t="n">
        <f aca="false">I74*$J74</f>
        <v>0.0104891431931992</v>
      </c>
      <c r="M74" s="19" t="n">
        <f aca="false">C74*$J74</f>
        <v>0.000880889783300361</v>
      </c>
      <c r="N74" s="19" t="n">
        <f aca="false">D74*$J74</f>
        <v>-4.31890680136625</v>
      </c>
      <c r="O74" s="19" t="n">
        <f aca="false">E74*$J74</f>
        <v>1.28052403732753</v>
      </c>
      <c r="P74" s="19" t="n">
        <f aca="false">F74*$J74</f>
        <v>-0.726736215137097</v>
      </c>
      <c r="Q74" s="19" t="n">
        <f aca="false">G74*$J74</f>
        <v>-0.000774625516641539</v>
      </c>
      <c r="R74" s="19" t="n">
        <f aca="false">H74*$J74</f>
        <v>-0.000308855399957974</v>
      </c>
    </row>
    <row r="75" customFormat="false" ht="15" hidden="false" customHeight="false" outlineLevel="0" collapsed="false">
      <c r="A75" s="20" t="str">
        <f aca="false">Datos!A83</f>
        <v>2024Q3</v>
      </c>
      <c r="B75" s="21" t="n">
        <f aca="false">Datos!L83</f>
        <v>-0.00853767280644247</v>
      </c>
      <c r="C75" s="21" t="n">
        <f aca="false">Datos!I83</f>
        <v>0.0583938784085901</v>
      </c>
      <c r="D75" s="21" t="n">
        <f aca="false">Datos!H83</f>
        <v>140.77357394844</v>
      </c>
      <c r="E75" s="21" t="n">
        <f aca="false">Datos!H81</f>
        <v>-454.938553802817</v>
      </c>
      <c r="F75" s="21" t="n">
        <f aca="false">Datos!H77</f>
        <v>-376.758957004832</v>
      </c>
      <c r="G75" s="21" t="n">
        <f aca="false">Datos!J77</f>
        <v>0.367099592287782</v>
      </c>
      <c r="H75" s="21" t="n">
        <f aca="false">Datos!K76</f>
        <v>0.11290837336386</v>
      </c>
      <c r="I75" s="19" t="n">
        <v>1</v>
      </c>
      <c r="J75" s="19" t="n">
        <f aca="false">B75-($B$88+$B$89*C75+$B$90*D75+$B$91*E75+$B$92*F75+$B$93*G75+$B$94*H75)</f>
        <v>-0.000313411858414912</v>
      </c>
      <c r="K75" s="19" t="n">
        <f aca="false">J75^2</f>
        <v>9.82269929950886E-008</v>
      </c>
      <c r="L75" s="19" t="n">
        <f aca="false">I75*$J75</f>
        <v>-0.000313411858414912</v>
      </c>
      <c r="M75" s="19" t="n">
        <f aca="false">C75*$J75</f>
        <v>-1.83013339520906E-005</v>
      </c>
      <c r="N75" s="19" t="n">
        <f aca="false">D75*$J75</f>
        <v>-0.0441201074268895</v>
      </c>
      <c r="O75" s="19" t="n">
        <f aca="false">E75*$J75</f>
        <v>0.142583137611933</v>
      </c>
      <c r="P75" s="19" t="n">
        <f aca="false">F75*$J75</f>
        <v>0.118080724889348</v>
      </c>
      <c r="Q75" s="19" t="n">
        <f aca="false">G75*$J75</f>
        <v>-0.00011505336544227</v>
      </c>
      <c r="R75" s="19" t="n">
        <f aca="false">H75*$J75</f>
        <v>-3.53868231265719E-005</v>
      </c>
    </row>
    <row r="76" customFormat="false" ht="15" hidden="false" customHeight="false" outlineLevel="0" collapsed="false">
      <c r="A76" s="20" t="str">
        <f aca="false">Datos!A84</f>
        <v>2024Q4</v>
      </c>
      <c r="B76" s="21" t="n">
        <f aca="false">Datos!L84</f>
        <v>0.0457536331016225</v>
      </c>
      <c r="C76" s="21" t="n">
        <f aca="false">Datos!I84</f>
        <v>0.209850652496816</v>
      </c>
      <c r="D76" s="21" t="n">
        <f aca="false">Datos!H84</f>
        <v>-564.145454545455</v>
      </c>
      <c r="E76" s="21" t="n">
        <f aca="false">Datos!H82</f>
        <v>-411.750199402986</v>
      </c>
      <c r="F76" s="21" t="n">
        <f aca="false">Datos!H78</f>
        <v>396.345972839506</v>
      </c>
      <c r="G76" s="21" t="n">
        <f aca="false">Datos!J78</f>
        <v>-0.00797161018467474</v>
      </c>
      <c r="H76" s="21" t="n">
        <f aca="false">Datos!K77</f>
        <v>-0.11679097674453</v>
      </c>
      <c r="I76" s="19" t="n">
        <v>1</v>
      </c>
      <c r="J76" s="19" t="n">
        <f aca="false">B76-($B$88+$B$89*C76+$B$90*D76+$B$91*E76+$B$92*F76+$B$93*G76+$B$94*H76)</f>
        <v>-0.0294031707102385</v>
      </c>
      <c r="K76" s="19" t="n">
        <f aca="false">J76^2</f>
        <v>0.000864546447815429</v>
      </c>
      <c r="L76" s="19" t="n">
        <f aca="false">I76*$J76</f>
        <v>-0.0294031707102385</v>
      </c>
      <c r="M76" s="19" t="n">
        <f aca="false">C76*$J76</f>
        <v>-0.00617027455901882</v>
      </c>
      <c r="N76" s="19" t="n">
        <f aca="false">D76*$J76</f>
        <v>16.5876651054051</v>
      </c>
      <c r="O76" s="19" t="n">
        <f aca="false">E76*$J76</f>
        <v>12.1067614030208</v>
      </c>
      <c r="P76" s="19" t="n">
        <f aca="false">F76*$J76</f>
        <v>-11.6538282997156</v>
      </c>
      <c r="Q76" s="19" t="n">
        <f aca="false">G76*$J76</f>
        <v>0.000234390615095467</v>
      </c>
      <c r="R76" s="19" t="n">
        <f aca="false">H76*$J76</f>
        <v>0.00343402502663491</v>
      </c>
    </row>
    <row r="77" customFormat="false" ht="15" hidden="false" customHeight="false" outlineLevel="0" collapsed="false">
      <c r="A77" s="20" t="str">
        <f aca="false">Datos!A85</f>
        <v>2025Q1</v>
      </c>
      <c r="B77" s="21" t="n">
        <f aca="false">Datos!L85</f>
        <v>0.031991780460181</v>
      </c>
      <c r="C77" s="21" t="n">
        <f aca="false">Datos!I85</f>
        <v>0.248983047054301</v>
      </c>
      <c r="D77" s="21" t="n">
        <f aca="false">Datos!H85</f>
        <v>-235.861538461538</v>
      </c>
      <c r="E77" s="21" t="n">
        <f aca="false">Datos!H83</f>
        <v>140.77357394844</v>
      </c>
      <c r="F77" s="21" t="n">
        <f aca="false">Datos!H79</f>
        <v>-393.961216440069</v>
      </c>
      <c r="G77" s="21" t="n">
        <f aca="false">Datos!J79</f>
        <v>0.183376294592147</v>
      </c>
      <c r="H77" s="21" t="n">
        <f aca="false">Datos!K78</f>
        <v>0.0155541344453244</v>
      </c>
      <c r="I77" s="19" t="n">
        <v>1</v>
      </c>
      <c r="J77" s="19" t="n">
        <f aca="false">B77-($B$88+$B$89*C77+$B$90*D77+$B$91*E77+$B$92*F77+$B$93*G77+$B$94*H77)</f>
        <v>0.0333190056652649</v>
      </c>
      <c r="K77" s="19" t="n">
        <f aca="false">J77^2</f>
        <v>0.00111015613852196</v>
      </c>
      <c r="L77" s="19" t="n">
        <f aca="false">I77*$J77</f>
        <v>0.0333190056652649</v>
      </c>
      <c r="M77" s="19" t="n">
        <f aca="false">C77*$J77</f>
        <v>0.0082958675553572</v>
      </c>
      <c r="N77" s="19" t="n">
        <f aca="false">D77*$J77</f>
        <v>-7.85867193621811</v>
      </c>
      <c r="O77" s="19" t="n">
        <f aca="false">E77*$J77</f>
        <v>4.69043550790766</v>
      </c>
      <c r="P77" s="19" t="n">
        <f aca="false">F77*$J77</f>
        <v>-13.1263960024613</v>
      </c>
      <c r="Q77" s="19" t="n">
        <f aca="false">G77*$J77</f>
        <v>0.00610991579839103</v>
      </c>
      <c r="R77" s="19" t="n">
        <f aca="false">H77*$J77</f>
        <v>0.000518248293702056</v>
      </c>
    </row>
    <row r="78" customFormat="false" ht="15" hidden="false" customHeight="false" outlineLevel="0" collapsed="false">
      <c r="A78" s="20" t="str">
        <f aca="false">Datos!A86</f>
        <v>2025Q2</v>
      </c>
      <c r="B78" s="21" t="n">
        <f aca="false">Datos!L86</f>
        <v>0.005439399321155</v>
      </c>
      <c r="C78" s="21" t="n">
        <f aca="false">Datos!I86</f>
        <v>-0.0247458039655413</v>
      </c>
      <c r="D78" s="21" t="n">
        <f aca="false">Datos!H86</f>
        <v>39.3076923076923</v>
      </c>
      <c r="E78" s="21" t="n">
        <f aca="false">Datos!H84</f>
        <v>-564.145454545455</v>
      </c>
      <c r="F78" s="21" t="n">
        <f aca="false">Datos!H80</f>
        <v>122.080899625603</v>
      </c>
      <c r="G78" s="21" t="n">
        <f aca="false">Datos!J80</f>
        <v>0.44451895067595</v>
      </c>
      <c r="H78" s="21" t="n">
        <f aca="false">Datos!K79</f>
        <v>0.0783071254305534</v>
      </c>
      <c r="I78" s="19" t="n">
        <v>1</v>
      </c>
      <c r="J78" s="19" t="n">
        <f aca="false">B78-($B$88+$B$89*C78+$B$90*D78+$B$91*E78+$B$92*F78+$B$93*G78+$B$94*H78)</f>
        <v>0.0055328030242614</v>
      </c>
      <c r="K78" s="19" t="n">
        <f aca="false">J78^2</f>
        <v>3.06119093052761E-005</v>
      </c>
      <c r="L78" s="19" t="n">
        <f aca="false">I78*$J78</f>
        <v>0.0055328030242614</v>
      </c>
      <c r="M78" s="19" t="n">
        <f aca="false">C78*$J78</f>
        <v>-0.000136913659018327</v>
      </c>
      <c r="N78" s="19" t="n">
        <f aca="false">D78*$J78</f>
        <v>0.217481718876736</v>
      </c>
      <c r="O78" s="19" t="n">
        <f aca="false">E78*$J78</f>
        <v>-3.12130567703242</v>
      </c>
      <c r="P78" s="19" t="n">
        <f aca="false">F78*$J78</f>
        <v>0.675449570653088</v>
      </c>
      <c r="Q78" s="19" t="n">
        <f aca="false">G78*$J78</f>
        <v>0.0024594357946414</v>
      </c>
      <c r="R78" s="19" t="n">
        <f aca="false">H78*$J78</f>
        <v>0.000433257900403383</v>
      </c>
    </row>
    <row r="79" customFormat="false" ht="15" hidden="false" customHeight="false" outlineLevel="0" collapsed="false">
      <c r="A79" s="20" t="str">
        <f aca="false">Datos!A87</f>
        <v>2025Q3</v>
      </c>
      <c r="B79" s="21" t="n">
        <f aca="false">Datos!L87</f>
        <v>-0.0312450961083366</v>
      </c>
      <c r="C79" s="21" t="n">
        <f aca="false">Datos!I87</f>
        <v>-0.0607636894755312</v>
      </c>
      <c r="D79" s="21" t="n">
        <f aca="false">Datos!H87</f>
        <v>142.307692307692</v>
      </c>
      <c r="E79" s="21" t="n">
        <f aca="false">Datos!H85</f>
        <v>-235.861538461538</v>
      </c>
      <c r="F79" s="21" t="n">
        <f aca="false">Datos!H81</f>
        <v>-454.938553802817</v>
      </c>
      <c r="G79" s="21" t="n">
        <f aca="false">Datos!J81</f>
        <v>-0.185892833904252</v>
      </c>
      <c r="H79" s="21" t="n">
        <f aca="false">Datos!K80</f>
        <v>-0.105805285831385</v>
      </c>
      <c r="I79" s="19" t="n">
        <v>1</v>
      </c>
      <c r="J79" s="19" t="n">
        <f aca="false">B79-($B$88+$B$89*C79+$B$90*D79+$B$91*E79+$B$92*F79+$B$93*G79+$B$94*H79)</f>
        <v>-0.0173495769142906</v>
      </c>
      <c r="K79" s="19" t="n">
        <f aca="false">J79^2</f>
        <v>0.000301007819104885</v>
      </c>
      <c r="L79" s="19" t="n">
        <f aca="false">I79*$J79</f>
        <v>-0.0173495769142906</v>
      </c>
      <c r="M79" s="19" t="n">
        <f aca="false">C79*$J79</f>
        <v>0.0010542243041518</v>
      </c>
      <c r="N79" s="19" t="n">
        <f aca="false">D79*$J79</f>
        <v>-2.46897825318751</v>
      </c>
      <c r="O79" s="19" t="n">
        <f aca="false">E79*$J79</f>
        <v>4.09209790266137</v>
      </c>
      <c r="P79" s="19" t="n">
        <f aca="false">F79*$J79</f>
        <v>7.8929914304781</v>
      </c>
      <c r="Q79" s="19" t="n">
        <f aca="false">G79*$J79</f>
        <v>0.00322516201963727</v>
      </c>
      <c r="R79" s="19" t="n">
        <f aca="false">H79*$J79</f>
        <v>0.00183567694447012</v>
      </c>
    </row>
    <row r="80" customFormat="false" ht="15" hidden="false" customHeight="false" outlineLevel="0" collapsed="false">
      <c r="A80" s="20" t="str">
        <f aca="false">Datos!A88</f>
        <v>2025Q4</v>
      </c>
      <c r="B80" s="21" t="n">
        <f aca="false">Datos!L88</f>
        <v>-0.0119885377129245</v>
      </c>
      <c r="C80" s="21" t="n">
        <f aca="false">Datos!I88</f>
        <v>-0.0750355248434347</v>
      </c>
      <c r="D80" s="21" t="n">
        <f aca="false">Datos!H88</f>
        <v>-113.153846153846</v>
      </c>
      <c r="E80" s="21" t="n">
        <f aca="false">Datos!H86</f>
        <v>39.3076923076923</v>
      </c>
      <c r="F80" s="21" t="n">
        <f aca="false">Datos!H82</f>
        <v>-411.750199402986</v>
      </c>
      <c r="G80" s="21" t="n">
        <f aca="false">Datos!J82</f>
        <v>0.211724770440168</v>
      </c>
      <c r="H80" s="21" t="n">
        <f aca="false">Datos!K81</f>
        <v>0.0467744313554986</v>
      </c>
      <c r="I80" s="19" t="n">
        <v>1</v>
      </c>
      <c r="J80" s="19" t="n">
        <f aca="false">B80-($B$88+$B$89*C80+$B$90*D80+$B$91*E80+$B$92*F80+$B$93*G80+$B$94*H80)</f>
        <v>0.0186091315629941</v>
      </c>
      <c r="K80" s="19" t="n">
        <f aca="false">J80^2</f>
        <v>0.000346299777528823</v>
      </c>
      <c r="L80" s="19" t="n">
        <f aca="false">I80*$J80</f>
        <v>0.0186091315629941</v>
      </c>
      <c r="M80" s="19" t="n">
        <f aca="false">C80*$J80</f>
        <v>-0.00139634595370979</v>
      </c>
      <c r="N80" s="19" t="n">
        <f aca="false">D80*$J80</f>
        <v>-2.10569480993572</v>
      </c>
      <c r="O80" s="19" t="n">
        <f aca="false">E80*$J80</f>
        <v>0.731482017591536</v>
      </c>
      <c r="P80" s="19" t="n">
        <f aca="false">F80*$J80</f>
        <v>-7.66231363177922</v>
      </c>
      <c r="Q80" s="19" t="n">
        <f aca="false">G80*$J80</f>
        <v>0.00394001410826581</v>
      </c>
      <c r="R80" s="19" t="n">
        <f aca="false">H80*$J80</f>
        <v>0.000870431546878711</v>
      </c>
    </row>
    <row r="81" customFormat="false" ht="15" hidden="false" customHeight="false" outlineLevel="0" collapsed="false">
      <c r="A81" s="20" t="str">
        <f aca="false">Datos!A89</f>
        <v>2026Q1</v>
      </c>
      <c r="B81" s="21" t="n">
        <f aca="false">Datos!L89</f>
        <v>0.00411353813353888</v>
      </c>
      <c r="C81" s="21" t="n">
        <f aca="false">Datos!I89</f>
        <v>-0.0996496025806773</v>
      </c>
      <c r="D81" s="21" t="n">
        <f aca="false">Datos!H89</f>
        <v>-216.777777777778</v>
      </c>
      <c r="E81" s="21" t="n">
        <f aca="false">Datos!H87</f>
        <v>142.307692307692</v>
      </c>
      <c r="F81" s="21" t="n">
        <f aca="false">Datos!H83</f>
        <v>140.77357394844</v>
      </c>
      <c r="G81" s="21" t="n">
        <f aca="false">Datos!J83</f>
        <v>-0.11430199205953</v>
      </c>
      <c r="H81" s="21" t="n">
        <f aca="false">Datos!K82</f>
        <v>0.0075734886805694</v>
      </c>
      <c r="I81" s="19" t="n">
        <v>1</v>
      </c>
      <c r="J81" s="19" t="n">
        <f aca="false">B81-($B$88+$B$89*C81+$B$90*D81+$B$91*E81+$B$92*F81+$B$93*G81+$B$94*H81)</f>
        <v>-0.0126475563478759</v>
      </c>
      <c r="K81" s="19" t="n">
        <f aca="false">J81^2</f>
        <v>0.000159960681572695</v>
      </c>
      <c r="L81" s="19" t="n">
        <f aca="false">I81*$J81</f>
        <v>-0.0126475563478759</v>
      </c>
      <c r="M81" s="19" t="n">
        <f aca="false">C81*$J81</f>
        <v>0.00126032396368255</v>
      </c>
      <c r="N81" s="19" t="n">
        <f aca="false">D81*$J81</f>
        <v>2.74170915941176</v>
      </c>
      <c r="O81" s="19" t="n">
        <f aca="false">E81*$J81</f>
        <v>-1.79984455719772</v>
      </c>
      <c r="P81" s="19" t="n">
        <f aca="false">F81*$J81</f>
        <v>-1.78044170880476</v>
      </c>
      <c r="Q81" s="19" t="n">
        <f aca="false">G81*$J81</f>
        <v>0.00144564088524736</v>
      </c>
      <c r="R81" s="19" t="n">
        <f aca="false">H81*$J81</f>
        <v>-9.57861248375014E-005</v>
      </c>
    </row>
    <row r="86" customFormat="false" ht="15" hidden="false" customHeight="false" outlineLevel="0" collapsed="false">
      <c r="A86" s="22" t="s">
        <v>157</v>
      </c>
      <c r="B86" s="23"/>
      <c r="C86" s="23"/>
      <c r="D86" s="23"/>
      <c r="E86" s="23"/>
      <c r="F86" s="23"/>
      <c r="G86" s="23"/>
      <c r="H86" s="23"/>
      <c r="I86" s="23"/>
    </row>
    <row r="87" customFormat="false" ht="15" hidden="false" customHeight="false" outlineLevel="0" collapsed="false">
      <c r="A87" s="15" t="s">
        <v>28</v>
      </c>
      <c r="B87" s="15" t="s">
        <v>29</v>
      </c>
      <c r="C87" s="15" t="s">
        <v>158</v>
      </c>
      <c r="D87" s="15" t="s">
        <v>159</v>
      </c>
      <c r="E87" s="15" t="s">
        <v>26</v>
      </c>
      <c r="G87" s="11" t="s">
        <v>160</v>
      </c>
      <c r="H87" s="24" t="n">
        <f aca="false">INDEX(LINEST($B$6:$B$81,$C$6:$H$81,TRUE(),TRUE()),4,2)</f>
        <v>69</v>
      </c>
    </row>
    <row r="88" customFormat="false" ht="15" hidden="false" customHeight="false" outlineLevel="0" collapsed="false">
      <c r="A88" s="25" t="s">
        <v>161</v>
      </c>
      <c r="B88" s="26" t="n">
        <f aca="false">INDEX(LINEST($B$6:$B$81,$C$6:$H$81,TRUE(),TRUE()),1,7)</f>
        <v>0.00131905025225478</v>
      </c>
      <c r="C88" s="8" t="n">
        <f aca="false">INDEX(LINEST($B$6:$B$81,$C$6:$H$81,TRUE(),TRUE()),2,7)</f>
        <v>0.00388070216464606</v>
      </c>
      <c r="D88" s="5" t="n">
        <f aca="false">B88/C88</f>
        <v>0.339899893444949</v>
      </c>
      <c r="E88" s="7" t="n">
        <f aca="false">TDIST(ABS(D88),$H$87,2)</f>
        <v>0.734964442414012</v>
      </c>
    </row>
    <row r="89" customFormat="false" ht="15" hidden="false" customHeight="false" outlineLevel="0" collapsed="false">
      <c r="A89" s="25" t="s">
        <v>141</v>
      </c>
      <c r="B89" s="26" t="n">
        <f aca="false">INDEX(LINEST($B$6:$B$81,$C$6:$H$81,TRUE(),TRUE()),1,6)</f>
        <v>0.0915170543914971</v>
      </c>
      <c r="C89" s="8" t="n">
        <f aca="false">INDEX(LINEST($B$6:$B$81,$C$6:$H$81,TRUE(),TRUE()),2,6)</f>
        <v>0.0513890996860263</v>
      </c>
      <c r="D89" s="5" t="n">
        <f aca="false">B89/C89</f>
        <v>1.78086510467476</v>
      </c>
      <c r="E89" s="7" t="n">
        <f aca="false">TDIST(ABS(D89),$H$87,2)</f>
        <v>0.0793360808693298</v>
      </c>
    </row>
    <row r="90" customFormat="false" ht="15" hidden="false" customHeight="false" outlineLevel="0" collapsed="false">
      <c r="A90" s="25" t="s">
        <v>142</v>
      </c>
      <c r="B90" s="26" t="n">
        <f aca="false">INDEX(LINEST($B$6:$B$81,$C$6:$H$81,TRUE(),TRUE()),1,5)</f>
        <v>-6.41908048970035E-005</v>
      </c>
      <c r="C90" s="8" t="n">
        <f aca="false">INDEX(LINEST($B$6:$B$81,$C$6:$H$81,TRUE(),TRUE()),2,5)</f>
        <v>1.32900705349559E-005</v>
      </c>
      <c r="D90" s="5" t="n">
        <f aca="false">B90/C90</f>
        <v>-4.8299822584212</v>
      </c>
      <c r="E90" s="7" t="n">
        <f aca="false">TDIST(ABS(D90),$H$87,2)</f>
        <v>7.93026113867441E-006</v>
      </c>
    </row>
    <row r="91" customFormat="false" ht="15" hidden="false" customHeight="false" outlineLevel="0" collapsed="false">
      <c r="A91" s="25" t="s">
        <v>143</v>
      </c>
      <c r="B91" s="26" t="n">
        <f aca="false">INDEX(LINEST($B$6:$B$81,$C$6:$H$81,TRUE(),TRUE()),1,4)</f>
        <v>-6.15131575700507E-005</v>
      </c>
      <c r="C91" s="8" t="n">
        <f aca="false">INDEX(LINEST($B$6:$B$81,$C$6:$H$81,TRUE(),TRUE()),2,4)</f>
        <v>1.40205881825342E-005</v>
      </c>
      <c r="D91" s="5" t="n">
        <f aca="false">B91/C91</f>
        <v>-4.38734500787057</v>
      </c>
      <c r="E91" s="7" t="n">
        <f aca="false">TDIST(ABS(D91),$H$87,2)</f>
        <v>4.02908627401501E-005</v>
      </c>
    </row>
    <row r="92" customFormat="false" ht="15" hidden="false" customHeight="false" outlineLevel="0" collapsed="false">
      <c r="A92" s="25" t="s">
        <v>144</v>
      </c>
      <c r="B92" s="26" t="n">
        <f aca="false">INDEX(LINEST($B$6:$B$81,$C$6:$H$81,TRUE(),TRUE()),1,3)</f>
        <v>3.56560998606745E-005</v>
      </c>
      <c r="C92" s="8" t="n">
        <f aca="false">INDEX(LINEST($B$6:$B$81,$C$6:$H$81,TRUE(),TRUE()),2,3)</f>
        <v>1.42902536143687E-005</v>
      </c>
      <c r="D92" s="5" t="n">
        <f aca="false">B92/C92</f>
        <v>2.49513415386992</v>
      </c>
      <c r="E92" s="7" t="n">
        <f aca="false">TDIST(ABS(D92),$H$87,2)</f>
        <v>0.0149875276846145</v>
      </c>
    </row>
    <row r="93" customFormat="false" ht="15" hidden="false" customHeight="false" outlineLevel="0" collapsed="false">
      <c r="A93" s="25" t="s">
        <v>145</v>
      </c>
      <c r="B93" s="26" t="n">
        <f aca="false">INDEX(LINEST($B$6:$B$81,$C$6:$H$81,TRUE(),TRUE()),1,2)</f>
        <v>-0.113365544667691</v>
      </c>
      <c r="C93" s="8" t="n">
        <f aca="false">INDEX(LINEST($B$6:$B$81,$C$6:$H$81,TRUE(),TRUE()),2,2)</f>
        <v>0.0321933927500933</v>
      </c>
      <c r="D93" s="5" t="n">
        <f aca="false">B93/C93</f>
        <v>-3.52139165783831</v>
      </c>
      <c r="E93" s="7" t="n">
        <f aca="false">TDIST(ABS(D93),$H$87,2)</f>
        <v>0.000765728321826828</v>
      </c>
    </row>
    <row r="94" customFormat="false" ht="15" hidden="false" customHeight="false" outlineLevel="0" collapsed="false">
      <c r="A94" s="25" t="s">
        <v>146</v>
      </c>
      <c r="B94" s="26" t="n">
        <f aca="false">INDEX(LINEST($B$6:$B$81,$C$6:$H$81,TRUE(),TRUE()),1,1)</f>
        <v>0.187891426630302</v>
      </c>
      <c r="C94" s="8" t="n">
        <f aca="false">INDEX(LINEST($B$6:$B$81,$C$6:$H$81,TRUE(),TRUE()),2,1)</f>
        <v>0.0597155045093155</v>
      </c>
      <c r="D94" s="5" t="n">
        <f aca="false">B94/C94</f>
        <v>3.14644292423237</v>
      </c>
      <c r="E94" s="7" t="n">
        <f aca="false">TDIST(ABS(D94),$H$87,2)</f>
        <v>0.00243979683163873</v>
      </c>
    </row>
    <row r="96" customFormat="false" ht="15" hidden="false" customHeight="false" outlineLevel="0" collapsed="false">
      <c r="A96" s="22" t="s">
        <v>162</v>
      </c>
      <c r="B96" s="23"/>
      <c r="C96" s="23"/>
      <c r="D96" s="23"/>
      <c r="E96" s="23"/>
      <c r="F96" s="23"/>
      <c r="G96" s="23"/>
      <c r="H96" s="23"/>
      <c r="I96" s="23"/>
    </row>
    <row r="97" customFormat="false" ht="15" hidden="false" customHeight="false" outlineLevel="0" collapsed="false">
      <c r="A97" s="25" t="s">
        <v>163</v>
      </c>
      <c r="B97" s="5" t="n">
        <f aca="false">COUNT($B$6:$B$81)</f>
        <v>76</v>
      </c>
    </row>
    <row r="98" customFormat="false" ht="15" hidden="false" customHeight="false" outlineLevel="0" collapsed="false">
      <c r="A98" s="25" t="s">
        <v>9</v>
      </c>
      <c r="B98" s="5" t="n">
        <v>7</v>
      </c>
    </row>
    <row r="99" customFormat="false" ht="15" hidden="false" customHeight="false" outlineLevel="0" collapsed="false">
      <c r="A99" s="25" t="s">
        <v>10</v>
      </c>
      <c r="B99" s="6" t="n">
        <f aca="false">INDEX(LINEST($B$6:$B$81,$C$6:$H$81,TRUE(),TRUE()),3,1)</f>
        <v>0.500220645045771</v>
      </c>
    </row>
    <row r="100" customFormat="false" ht="15" hidden="false" customHeight="false" outlineLevel="0" collapsed="false">
      <c r="A100" s="25" t="s">
        <v>11</v>
      </c>
      <c r="B100" s="27" t="n">
        <f aca="false">1-(1-B99)*(B97-1)/(B97-B98)</f>
        <v>0.456761570701924</v>
      </c>
    </row>
    <row r="101" customFormat="false" ht="15" hidden="false" customHeight="false" outlineLevel="0" collapsed="false">
      <c r="A101" s="25" t="s">
        <v>12</v>
      </c>
      <c r="B101" s="8" t="n">
        <f aca="false">INDEX(LINEST($B$6:$B$81,$C$6:$H$81,TRUE(),TRUE()),5,2)</f>
        <v>0.0772633950960716</v>
      </c>
    </row>
    <row r="102" customFormat="false" ht="15" hidden="false" customHeight="false" outlineLevel="0" collapsed="false">
      <c r="A102" s="25" t="s">
        <v>164</v>
      </c>
      <c r="B102" s="6" t="n">
        <f aca="false">-B97/2*(LN(2*PI())+LN(B101/B97)+1)</f>
        <v>154.028867606829</v>
      </c>
    </row>
    <row r="103" customFormat="false" ht="15" hidden="false" customHeight="false" outlineLevel="0" collapsed="false">
      <c r="A103" s="25" t="s">
        <v>13</v>
      </c>
      <c r="B103" s="28" t="n">
        <f aca="false">-2*B102+2*B98</f>
        <v>-294.057735213658</v>
      </c>
    </row>
    <row r="104" customFormat="false" ht="15" hidden="false" customHeight="false" outlineLevel="0" collapsed="false">
      <c r="A104" s="25" t="s">
        <v>14</v>
      </c>
      <c r="B104" s="28" t="n">
        <f aca="false">-2*B102+LN(B97)*B98</f>
        <v>-277.742601831654</v>
      </c>
    </row>
    <row r="106" customFormat="false" ht="15" hidden="false" customHeight="false" outlineLevel="0" collapsed="false">
      <c r="A106" s="10" t="s">
        <v>15</v>
      </c>
      <c r="B106" s="29" t="n">
        <f aca="false">SUMXMY2(J7:J81,J6:J80)/SUMSQ(J6:J81)</f>
        <v>2.14847309305388</v>
      </c>
    </row>
    <row r="108" customFormat="false" ht="15" hidden="false" customHeight="false" outlineLevel="0" collapsed="false">
      <c r="A108" s="22" t="s">
        <v>165</v>
      </c>
      <c r="B108" s="23"/>
      <c r="C108" s="23"/>
      <c r="D108" s="23"/>
      <c r="E108" s="23"/>
      <c r="F108" s="23"/>
      <c r="G108" s="23"/>
      <c r="H108" s="23"/>
      <c r="I108" s="23"/>
    </row>
    <row r="109" customFormat="false" ht="15" hidden="false" customHeight="false" outlineLevel="0" collapsed="false">
      <c r="A109" s="2" t="s">
        <v>166</v>
      </c>
    </row>
    <row r="110" customFormat="false" ht="15" hidden="false" customHeight="false" outlineLevel="0" collapsed="false">
      <c r="A110" s="10" t="s">
        <v>167</v>
      </c>
    </row>
    <row r="111" customFormat="false" ht="15" hidden="false" customHeight="false" outlineLevel="0" collapsed="false">
      <c r="B111" s="30" t="n">
        <f aca="false">SUMPRODUCT($I$6:$I$81,$I$6:$I$81)</f>
        <v>76</v>
      </c>
      <c r="C111" s="30" t="n">
        <f aca="false">SUMPRODUCT($I$6:$I$81,$C$6:$C$81)</f>
        <v>-0.121233612767257</v>
      </c>
      <c r="D111" s="30" t="n">
        <f aca="false">SUMPRODUCT($I$6:$I$81,$D$6:$D$81)</f>
        <v>325.942786738351</v>
      </c>
      <c r="E111" s="30" t="n">
        <f aca="false">SUMPRODUCT($I$6:$I$81,$E$6:$E$81)</f>
        <v>527.108560439561</v>
      </c>
      <c r="F111" s="30" t="n">
        <f aca="false">SUMPRODUCT($I$6:$I$81,$F$6:$F$81)</f>
        <v>1070.81611079546</v>
      </c>
      <c r="G111" s="30" t="n">
        <f aca="false">SUMPRODUCT($I$6:$I$81,$G$6:$G$81)</f>
        <v>1.2903791864309</v>
      </c>
      <c r="H111" s="30" t="n">
        <f aca="false">SUMPRODUCT($I$6:$I$81,$H$6:$H$81)</f>
        <v>0.0713274305954488</v>
      </c>
    </row>
    <row r="112" customFormat="false" ht="15" hidden="false" customHeight="false" outlineLevel="0" collapsed="false">
      <c r="B112" s="30" t="n">
        <f aca="false">SUMPRODUCT($C$6:$C$81,$I$6:$I$81)</f>
        <v>-0.121233612767257</v>
      </c>
      <c r="C112" s="30" t="n">
        <f aca="false">SUMPRODUCT($C$6:$C$81,$C$6:$C$81)</f>
        <v>0.493963661653485</v>
      </c>
      <c r="D112" s="30" t="n">
        <f aca="false">SUMPRODUCT($C$6:$C$81,$D$6:$D$81)</f>
        <v>-213.844074053853</v>
      </c>
      <c r="E112" s="30" t="n">
        <f aca="false">SUMPRODUCT($C$6:$C$81,$E$6:$E$81)</f>
        <v>536.092904308499</v>
      </c>
      <c r="F112" s="30" t="n">
        <f aca="false">SUMPRODUCT($C$6:$C$81,$F$6:$F$81)</f>
        <v>-258.35726775354</v>
      </c>
      <c r="G112" s="30" t="n">
        <f aca="false">SUMPRODUCT($C$6:$C$81,$G$6:$G$81)</f>
        <v>0.0704398903859033</v>
      </c>
      <c r="H112" s="30" t="n">
        <f aca="false">SUMPRODUCT($C$6:$C$81,$H$6:$H$81)</f>
        <v>-0.036860379912551</v>
      </c>
    </row>
    <row r="113" customFormat="false" ht="15" hidden="false" customHeight="false" outlineLevel="0" collapsed="false">
      <c r="B113" s="30" t="n">
        <f aca="false">SUMPRODUCT($D$6:$D$81,$I$6:$I$81)</f>
        <v>325.942786738351</v>
      </c>
      <c r="C113" s="30" t="n">
        <f aca="false">SUMPRODUCT($D$6:$D$81,$C$6:$C$81)</f>
        <v>-213.844074053853</v>
      </c>
      <c r="D113" s="30" t="n">
        <f aca="false">SUMPRODUCT($D$6:$D$81,$D$6:$D$81)</f>
        <v>6554410.02196266</v>
      </c>
      <c r="E113" s="30" t="n">
        <f aca="false">SUMPRODUCT($D$6:$D$81,$E$6:$E$81)</f>
        <v>6110.73710727444</v>
      </c>
      <c r="F113" s="30" t="n">
        <f aca="false">SUMPRODUCT($D$6:$D$81,$F$6:$F$81)</f>
        <v>-350848.584297187</v>
      </c>
      <c r="G113" s="30" t="n">
        <f aca="false">SUMPRODUCT($D$6:$D$81,$G$6:$G$81)</f>
        <v>157.921881700649</v>
      </c>
      <c r="H113" s="30" t="n">
        <f aca="false">SUMPRODUCT($D$6:$D$81,$H$6:$H$81)</f>
        <v>160.36468791988</v>
      </c>
    </row>
    <row r="114" customFormat="false" ht="15" hidden="false" customHeight="false" outlineLevel="0" collapsed="false">
      <c r="B114" s="30" t="n">
        <f aca="false">SUMPRODUCT($E$6:$E$81,$I$6:$I$81)</f>
        <v>527.108560439561</v>
      </c>
      <c r="C114" s="30" t="n">
        <f aca="false">SUMPRODUCT($E$6:$E$81,$C$6:$C$81)</f>
        <v>536.092904308499</v>
      </c>
      <c r="D114" s="30" t="n">
        <f aca="false">SUMPRODUCT($E$6:$E$81,$D$6:$D$81)</f>
        <v>6110.73710727444</v>
      </c>
      <c r="E114" s="30" t="n">
        <f aca="false">SUMPRODUCT($E$6:$E$81,$E$6:$E$81)</f>
        <v>6503003.15102718</v>
      </c>
      <c r="F114" s="30" t="n">
        <f aca="false">SUMPRODUCT($E$6:$E$81,$F$6:$F$81)</f>
        <v>-1377315.04912634</v>
      </c>
      <c r="G114" s="30" t="n">
        <f aca="false">SUMPRODUCT($E$6:$E$81,$G$6:$G$81)</f>
        <v>-103.939166691169</v>
      </c>
      <c r="H114" s="30" t="n">
        <f aca="false">SUMPRODUCT($E$6:$E$81,$H$6:$H$81)</f>
        <v>-14.3096811472102</v>
      </c>
    </row>
    <row r="115" customFormat="false" ht="15" hidden="false" customHeight="false" outlineLevel="0" collapsed="false">
      <c r="B115" s="30" t="n">
        <f aca="false">SUMPRODUCT($F$6:$F$81,$I$6:$I$81)</f>
        <v>1070.81611079546</v>
      </c>
      <c r="C115" s="30" t="n">
        <f aca="false">SUMPRODUCT($F$6:$F$81,$C$6:$C$81)</f>
        <v>-258.35726775354</v>
      </c>
      <c r="D115" s="30" t="n">
        <f aca="false">SUMPRODUCT($F$6:$F$81,$D$6:$D$81)</f>
        <v>-350848.584297187</v>
      </c>
      <c r="E115" s="30" t="n">
        <f aca="false">SUMPRODUCT($F$6:$F$81,$E$6:$E$81)</f>
        <v>-1377315.04912634</v>
      </c>
      <c r="F115" s="30" t="n">
        <f aca="false">SUMPRODUCT($F$6:$F$81,$F$6:$F$81)</f>
        <v>6110122.48283867</v>
      </c>
      <c r="G115" s="30" t="n">
        <f aca="false">SUMPRODUCT($F$6:$F$81,$G$6:$G$81)</f>
        <v>479.134334705858</v>
      </c>
      <c r="H115" s="30" t="n">
        <f aca="false">SUMPRODUCT($F$6:$F$81,$H$6:$H$81)</f>
        <v>-67.7085780845978</v>
      </c>
    </row>
    <row r="116" customFormat="false" ht="15" hidden="false" customHeight="false" outlineLevel="0" collapsed="false">
      <c r="B116" s="30" t="n">
        <f aca="false">SUMPRODUCT($G$6:$G$81,$I$6:$I$81)</f>
        <v>1.2903791864309</v>
      </c>
      <c r="C116" s="30" t="n">
        <f aca="false">SUMPRODUCT($G$6:$G$81,$C$6:$C$81)</f>
        <v>0.0704398903859033</v>
      </c>
      <c r="D116" s="30" t="n">
        <f aca="false">SUMPRODUCT($G$6:$G$81,$D$6:$D$81)</f>
        <v>157.921881700649</v>
      </c>
      <c r="E116" s="30" t="n">
        <f aca="false">SUMPRODUCT($G$6:$G$81,$E$6:$E$81)</f>
        <v>-103.939166691169</v>
      </c>
      <c r="F116" s="30" t="n">
        <f aca="false">SUMPRODUCT($G$6:$G$81,$F$6:$F$81)</f>
        <v>479.134334705858</v>
      </c>
      <c r="G116" s="30" t="n">
        <f aca="false">SUMPRODUCT($G$6:$G$81,$G$6:$G$81)</f>
        <v>1.22816223067722</v>
      </c>
      <c r="H116" s="30" t="n">
        <f aca="false">SUMPRODUCT($G$6:$G$81,$H$6:$H$81)</f>
        <v>0.138854123435612</v>
      </c>
    </row>
    <row r="117" customFormat="false" ht="15" hidden="false" customHeight="false" outlineLevel="0" collapsed="false">
      <c r="B117" s="30" t="n">
        <f aca="false">SUMPRODUCT($H$6:$H$81,$I$6:$I$81)</f>
        <v>0.0713274305954488</v>
      </c>
      <c r="C117" s="30" t="n">
        <f aca="false">SUMPRODUCT($H$6:$H$81,$C$6:$C$81)</f>
        <v>-0.036860379912551</v>
      </c>
      <c r="D117" s="30" t="n">
        <f aca="false">SUMPRODUCT($H$6:$H$81,$D$6:$D$81)</f>
        <v>160.36468791988</v>
      </c>
      <c r="E117" s="30" t="n">
        <f aca="false">SUMPRODUCT($H$6:$H$81,$E$6:$E$81)</f>
        <v>-14.3096811472102</v>
      </c>
      <c r="F117" s="30" t="n">
        <f aca="false">SUMPRODUCT($H$6:$H$81,$F$6:$F$81)</f>
        <v>-67.7085780845978</v>
      </c>
      <c r="G117" s="30" t="n">
        <f aca="false">SUMPRODUCT($H$6:$H$81,$G$6:$G$81)</f>
        <v>0.138854123435612</v>
      </c>
      <c r="H117" s="30" t="n">
        <f aca="false">SUMPRODUCT($H$6:$H$81,$H$6:$H$81)</f>
        <v>0.339609588911864</v>
      </c>
    </row>
    <row r="118" customFormat="false" ht="15" hidden="false" customHeight="false" outlineLevel="0" collapsed="false">
      <c r="A118" s="10" t="s">
        <v>168</v>
      </c>
    </row>
    <row r="119" customFormat="false" ht="15" hidden="false" customHeight="false" outlineLevel="0" collapsed="false">
      <c r="B119" s="30" t="n">
        <f aca="false">INDEX(MINVERSE($B$111:$H$117),1,1)</f>
        <v>0.013449183792214</v>
      </c>
      <c r="C119" s="30" t="n">
        <f aca="false">INDEX(MINVERSE($B$111:$H$117),1,2)</f>
        <v>0.00721584766686858</v>
      </c>
      <c r="D119" s="30" t="n">
        <f aca="false">INDEX(MINVERSE($B$111:$H$117),1,3)</f>
        <v>-2.43616295032299E-007</v>
      </c>
      <c r="E119" s="30" t="n">
        <f aca="false">INDEX(MINVERSE($B$111:$H$117),1,4)</f>
        <v>-2.20164771423941E-006</v>
      </c>
      <c r="F119" s="30" t="n">
        <f aca="false">INDEX(MINVERSE($B$111:$H$117),1,5)</f>
        <v>-1.37855483357204E-006</v>
      </c>
      <c r="G119" s="30" t="n">
        <f aca="false">INDEX(MINVERSE($B$111:$H$117),1,6)</f>
        <v>-0.0145759670882859</v>
      </c>
      <c r="H119" s="30" t="n">
        <f aca="false">INDEX(MINVERSE($B$111:$H$117),1,7)</f>
        <v>0.00366549980785019</v>
      </c>
    </row>
    <row r="120" customFormat="false" ht="15" hidden="false" customHeight="false" outlineLevel="0" collapsed="false">
      <c r="B120" s="30" t="n">
        <f aca="false">INDEX(MINVERSE($B$111:$H$117),2,1)</f>
        <v>0.00721584766686831</v>
      </c>
      <c r="C120" s="30" t="n">
        <f aca="false">INDEX(MINVERSE($B$111:$H$117),2,2)</f>
        <v>2.35839921174456</v>
      </c>
      <c r="D120" s="30" t="n">
        <f aca="false">INDEX(MINVERSE($B$111:$H$117),2,3)</f>
        <v>7.90959705597307E-005</v>
      </c>
      <c r="E120" s="30" t="n">
        <f aca="false">INDEX(MINVERSE($B$111:$H$117),2,4)</f>
        <v>-0.0001802507183528</v>
      </c>
      <c r="F120" s="30" t="n">
        <f aca="false">INDEX(MINVERSE($B$111:$H$117),2,5)</f>
        <v>8.46062579271441E-005</v>
      </c>
      <c r="G120" s="30" t="n">
        <f aca="false">INDEX(MINVERSE($B$111:$H$117),2,6)</f>
        <v>-0.237866709571307</v>
      </c>
      <c r="H120" s="30" t="n">
        <f aca="false">INDEX(MINVERSE($B$111:$H$117),2,7)</f>
        <v>0.32363813796162</v>
      </c>
    </row>
    <row r="121" customFormat="false" ht="15" hidden="false" customHeight="false" outlineLevel="0" collapsed="false">
      <c r="B121" s="30" t="n">
        <f aca="false">INDEX(MINVERSE($B$111:$H$117),3,1)</f>
        <v>-2.43616295032301E-007</v>
      </c>
      <c r="C121" s="30" t="n">
        <f aca="false">INDEX(MINVERSE($B$111:$H$117),3,2)</f>
        <v>7.90959705597307E-005</v>
      </c>
      <c r="D121" s="30" t="n">
        <f aca="false">INDEX(MINVERSE($B$111:$H$117),3,3)</f>
        <v>1.57735655386477E-007</v>
      </c>
      <c r="E121" s="30" t="n">
        <f aca="false">INDEX(MINVERSE($B$111:$H$117),3,4)</f>
        <v>-4.45557431249522E-009</v>
      </c>
      <c r="F121" s="30" t="n">
        <f aca="false">INDEX(MINVERSE($B$111:$H$117),3,5)</f>
        <v>1.27123344836199E-008</v>
      </c>
      <c r="G121" s="30" t="n">
        <f aca="false">INDEX(MINVERSE($B$111:$H$117),3,6)</f>
        <v>-2.3821095573007E-005</v>
      </c>
      <c r="H121" s="30" t="n">
        <f aca="false">INDEX(MINVERSE($B$111:$H$117),3,7)</f>
        <v>-5.37608834022673E-005</v>
      </c>
    </row>
    <row r="122" customFormat="false" ht="15" hidden="false" customHeight="false" outlineLevel="0" collapsed="false">
      <c r="B122" s="30" t="n">
        <f aca="false">INDEX(MINVERSE($B$111:$H$117),4,1)</f>
        <v>-2.20164771423927E-006</v>
      </c>
      <c r="C122" s="30" t="n">
        <f aca="false">INDEX(MINVERSE($B$111:$H$117),4,2)</f>
        <v>-0.0001802507183528</v>
      </c>
      <c r="D122" s="30" t="n">
        <f aca="false">INDEX(MINVERSE($B$111:$H$117),4,3)</f>
        <v>-4.45557431249522E-009</v>
      </c>
      <c r="E122" s="30" t="n">
        <f aca="false">INDEX(MINVERSE($B$111:$H$117),4,4)</f>
        <v>1.75552803485344E-007</v>
      </c>
      <c r="F122" s="30" t="n">
        <f aca="false">INDEX(MINVERSE($B$111:$H$117),4,5)</f>
        <v>3.06036545857811E-008</v>
      </c>
      <c r="G122" s="30" t="n">
        <f aca="false">INDEX(MINVERSE($B$111:$H$117),4,6)</f>
        <v>1.73391010832324E-005</v>
      </c>
      <c r="H122" s="30" t="n">
        <f aca="false">INDEX(MINVERSE($B$111:$H$117),4,7)</f>
        <v>-1.05884124602019E-005</v>
      </c>
    </row>
    <row r="123" customFormat="false" ht="15" hidden="false" customHeight="false" outlineLevel="0" collapsed="false">
      <c r="B123" s="30" t="n">
        <f aca="false">INDEX(MINVERSE($B$111:$H$117),5,1)</f>
        <v>-1.37855483357213E-006</v>
      </c>
      <c r="C123" s="30" t="n">
        <f aca="false">INDEX(MINVERSE($B$111:$H$117),5,2)</f>
        <v>8.4606257927145E-005</v>
      </c>
      <c r="D123" s="30" t="n">
        <f aca="false">INDEX(MINVERSE($B$111:$H$117),5,3)</f>
        <v>1.27123344836199E-008</v>
      </c>
      <c r="E123" s="30" t="n">
        <f aca="false">INDEX(MINVERSE($B$111:$H$117),5,4)</f>
        <v>3.0603654585781E-008</v>
      </c>
      <c r="F123" s="30" t="n">
        <f aca="false">INDEX(MINVERSE($B$111:$H$117),5,5)</f>
        <v>1.82370746451471E-007</v>
      </c>
      <c r="G123" s="30" t="n">
        <f aca="false">INDEX(MINVERSE($B$111:$H$117),5,6)</f>
        <v>-8.20367683820503E-005</v>
      </c>
      <c r="H123" s="30" t="n">
        <f aca="false">INDEX(MINVERSE($B$111:$H$117),5,7)</f>
        <v>7.46606541415017E-005</v>
      </c>
    </row>
    <row r="124" customFormat="false" ht="15" hidden="false" customHeight="false" outlineLevel="0" collapsed="false">
      <c r="B124" s="30" t="n">
        <f aca="false">INDEX(MINVERSE($B$111:$H$117),6,1)</f>
        <v>-0.0145759670882858</v>
      </c>
      <c r="C124" s="30" t="n">
        <f aca="false">INDEX(MINVERSE($B$111:$H$117),6,2)</f>
        <v>-0.237866709571307</v>
      </c>
      <c r="D124" s="30" t="n">
        <f aca="false">INDEX(MINVERSE($B$111:$H$117),6,3)</f>
        <v>-2.3821095573007E-005</v>
      </c>
      <c r="E124" s="30" t="n">
        <f aca="false">INDEX(MINVERSE($B$111:$H$117),6,4)</f>
        <v>1.73391010832326E-005</v>
      </c>
      <c r="F124" s="30" t="n">
        <f aca="false">INDEX(MINVERSE($B$111:$H$117),6,5)</f>
        <v>-8.203676838205E-005</v>
      </c>
      <c r="G124" s="30" t="n">
        <f aca="false">INDEX(MINVERSE($B$111:$H$117),6,6)</f>
        <v>0.925568996128639</v>
      </c>
      <c r="H124" s="30" t="n">
        <f aca="false">INDEX(MINVERSE($B$111:$H$117),6,7)</f>
        <v>-0.405564744072379</v>
      </c>
    </row>
    <row r="125" customFormat="false" ht="15" hidden="false" customHeight="false" outlineLevel="0" collapsed="false">
      <c r="B125" s="30" t="n">
        <f aca="false">INDEX(MINVERSE($B$111:$H$117),7,1)</f>
        <v>0.00366549980785019</v>
      </c>
      <c r="C125" s="30" t="n">
        <f aca="false">INDEX(MINVERSE($B$111:$H$117),7,2)</f>
        <v>0.32363813796162</v>
      </c>
      <c r="D125" s="30" t="n">
        <f aca="false">INDEX(MINVERSE($B$111:$H$117),7,3)</f>
        <v>-5.37608834022673E-005</v>
      </c>
      <c r="E125" s="30" t="n">
        <f aca="false">INDEX(MINVERSE($B$111:$H$117),7,4)</f>
        <v>-1.0588412460202E-005</v>
      </c>
      <c r="F125" s="30" t="n">
        <f aca="false">INDEX(MINVERSE($B$111:$H$117),7,5)</f>
        <v>7.46606541415014E-005</v>
      </c>
      <c r="G125" s="30" t="n">
        <f aca="false">INDEX(MINVERSE($B$111:$H$117),7,6)</f>
        <v>-0.405564744072378</v>
      </c>
      <c r="H125" s="30" t="n">
        <f aca="false">INDEX(MINVERSE($B$111:$H$117),7,7)</f>
        <v>3.18456057660161</v>
      </c>
    </row>
    <row r="126" customFormat="false" ht="15" hidden="false" customHeight="false" outlineLevel="0" collapsed="false">
      <c r="A126" s="10" t="s">
        <v>169</v>
      </c>
    </row>
    <row r="127" customFormat="false" ht="15" hidden="false" customHeight="false" outlineLevel="0" collapsed="false">
      <c r="B127" s="30" t="n">
        <f aca="false">SUMPRODUCT($L$6:$L$81,$L$6:$L$81)</f>
        <v>0.0772633950960716</v>
      </c>
      <c r="C127" s="30" t="n">
        <f aca="false">SUMPRODUCT($L$6:$L$81,$M$6:$M$81)</f>
        <v>-0.0020937263029491</v>
      </c>
      <c r="D127" s="30" t="n">
        <f aca="false">SUMPRODUCT($L$6:$L$81,$N$6:$N$81)</f>
        <v>-1.73850759613699</v>
      </c>
      <c r="E127" s="30" t="n">
        <f aca="false">SUMPRODUCT($L$6:$L$81,$O$6:$O$81)</f>
        <v>-3.24230906627953</v>
      </c>
      <c r="F127" s="30" t="n">
        <f aca="false">SUMPRODUCT($L$6:$L$81,$P$6:$P$81)</f>
        <v>14.3160073775092</v>
      </c>
      <c r="G127" s="30" t="n">
        <f aca="false">SUMPRODUCT($L$6:$L$81,$Q$6:$Q$81)</f>
        <v>-0.00112612709753101</v>
      </c>
      <c r="H127" s="30" t="n">
        <f aca="false">SUMPRODUCT($L$6:$L$81,$R$6:$R$81)</f>
        <v>-6.90950503254499E-005</v>
      </c>
    </row>
    <row r="128" customFormat="false" ht="15" hidden="false" customHeight="false" outlineLevel="0" collapsed="false">
      <c r="B128" s="30" t="n">
        <f aca="false">SUMPRODUCT($M$6:$M$81,$L$6:$L$81)</f>
        <v>-0.0020937263029491</v>
      </c>
      <c r="C128" s="30" t="n">
        <f aca="false">SUMPRODUCT($M$6:$M$81,$M$6:$M$81)</f>
        <v>0.00122120286227873</v>
      </c>
      <c r="D128" s="30" t="n">
        <f aca="false">SUMPRODUCT($M$6:$M$81,$N$6:$N$81)</f>
        <v>0.533171956271122</v>
      </c>
      <c r="E128" s="30" t="n">
        <f aca="false">SUMPRODUCT($M$6:$M$81,$O$6:$O$81)</f>
        <v>2.46349967595238</v>
      </c>
      <c r="F128" s="30" t="n">
        <f aca="false">SUMPRODUCT($M$6:$M$81,$P$6:$P$81)</f>
        <v>-1.76673559785112</v>
      </c>
      <c r="G128" s="30" t="n">
        <f aca="false">SUMPRODUCT($M$6:$M$81,$Q$6:$Q$81)</f>
        <v>0.000372880661985992</v>
      </c>
      <c r="H128" s="30" t="n">
        <f aca="false">SUMPRODUCT($M$6:$M$81,$R$6:$R$81)</f>
        <v>-0.000205835139245559</v>
      </c>
    </row>
    <row r="129" customFormat="false" ht="15" hidden="false" customHeight="false" outlineLevel="0" collapsed="false">
      <c r="B129" s="30" t="n">
        <f aca="false">SUMPRODUCT($N$6:$N$81,$L$6:$L$81)</f>
        <v>-1.73850759613699</v>
      </c>
      <c r="C129" s="30" t="n">
        <f aca="false">SUMPRODUCT($N$6:$N$81,$M$6:$M$81)</f>
        <v>0.533171956271122</v>
      </c>
      <c r="D129" s="30" t="n">
        <f aca="false">SUMPRODUCT($N$6:$N$81,$N$6:$N$81)</f>
        <v>9246.35918137482</v>
      </c>
      <c r="E129" s="30" t="n">
        <f aca="false">SUMPRODUCT($N$6:$N$81,$O$6:$O$81)</f>
        <v>2116.23749712483</v>
      </c>
      <c r="F129" s="30" t="n">
        <f aca="false">SUMPRODUCT($N$6:$N$81,$P$6:$P$81)</f>
        <v>-2444.44397945141</v>
      </c>
      <c r="G129" s="30" t="n">
        <f aca="false">SUMPRODUCT($N$6:$N$81,$Q$6:$Q$81)</f>
        <v>0.297270049438755</v>
      </c>
      <c r="H129" s="30" t="n">
        <f aca="false">SUMPRODUCT($N$6:$N$81,$R$6:$R$81)</f>
        <v>0.187490323520051</v>
      </c>
    </row>
    <row r="130" customFormat="false" ht="15" hidden="false" customHeight="false" outlineLevel="0" collapsed="false">
      <c r="B130" s="30" t="n">
        <f aca="false">SUMPRODUCT($O$6:$O$81,$L$6:$L$81)</f>
        <v>-3.24230906627953</v>
      </c>
      <c r="C130" s="30" t="n">
        <f aca="false">SUMPRODUCT($O$6:$O$81,$M$6:$M$81)</f>
        <v>2.46349967595238</v>
      </c>
      <c r="D130" s="30" t="n">
        <f aca="false">SUMPRODUCT($O$6:$O$81,$N$6:$N$81)</f>
        <v>2116.23749712483</v>
      </c>
      <c r="E130" s="30" t="n">
        <f aca="false">SUMPRODUCT($O$6:$O$81,$O$6:$O$81)</f>
        <v>10063.7008844632</v>
      </c>
      <c r="F130" s="30" t="n">
        <f aca="false">SUMPRODUCT($O$6:$O$81,$P$6:$P$81)</f>
        <v>-5916.740428732</v>
      </c>
      <c r="G130" s="30" t="n">
        <f aca="false">SUMPRODUCT($O$6:$O$81,$Q$6:$Q$81)</f>
        <v>1.12700140412106</v>
      </c>
      <c r="H130" s="30" t="n">
        <f aca="false">SUMPRODUCT($O$6:$O$81,$R$6:$R$81)</f>
        <v>-0.155429780284858</v>
      </c>
    </row>
    <row r="131" customFormat="false" ht="15" hidden="false" customHeight="false" outlineLevel="0" collapsed="false">
      <c r="B131" s="30" t="n">
        <f aca="false">SUMPRODUCT($P$6:$P$81,$L$6:$L$81)</f>
        <v>14.3160073775092</v>
      </c>
      <c r="C131" s="30" t="n">
        <f aca="false">SUMPRODUCT($P$6:$P$81,$M$6:$M$81)</f>
        <v>-1.76673559785112</v>
      </c>
      <c r="D131" s="30" t="n">
        <f aca="false">SUMPRODUCT($P$6:$P$81,$N$6:$N$81)</f>
        <v>-2444.44397945141</v>
      </c>
      <c r="E131" s="30" t="n">
        <f aca="false">SUMPRODUCT($P$6:$P$81,$O$6:$O$81)</f>
        <v>-5916.740428732</v>
      </c>
      <c r="F131" s="30" t="n">
        <f aca="false">SUMPRODUCT($P$6:$P$81,$P$6:$P$81)</f>
        <v>10911.9711204441</v>
      </c>
      <c r="G131" s="30" t="n">
        <f aca="false">SUMPRODUCT($P$6:$P$81,$Q$6:$Q$81)</f>
        <v>-0.687259390725569</v>
      </c>
      <c r="H131" s="30" t="n">
        <f aca="false">SUMPRODUCT($P$6:$P$81,$R$6:$R$81)</f>
        <v>0.00892698160032948</v>
      </c>
    </row>
    <row r="132" customFormat="false" ht="15" hidden="false" customHeight="false" outlineLevel="0" collapsed="false">
      <c r="B132" s="30" t="n">
        <f aca="false">SUMPRODUCT($Q$6:$Q$81,$L$6:$L$81)</f>
        <v>-0.00112612709753101</v>
      </c>
      <c r="C132" s="30" t="n">
        <f aca="false">SUMPRODUCT($Q$6:$Q$81,$M$6:$M$81)</f>
        <v>0.000372880661985992</v>
      </c>
      <c r="D132" s="30" t="n">
        <f aca="false">SUMPRODUCT($Q$6:$Q$81,$N$6:$N$81)</f>
        <v>0.297270049438755</v>
      </c>
      <c r="E132" s="30" t="n">
        <f aca="false">SUMPRODUCT($Q$6:$Q$81,$O$6:$O$81)</f>
        <v>1.12700140412106</v>
      </c>
      <c r="F132" s="30" t="n">
        <f aca="false">SUMPRODUCT($Q$6:$Q$81,$P$6:$P$81)</f>
        <v>-0.687259390725569</v>
      </c>
      <c r="G132" s="30" t="n">
        <f aca="false">SUMPRODUCT($Q$6:$Q$81,$Q$6:$Q$81)</f>
        <v>0.000909663717326738</v>
      </c>
      <c r="H132" s="30" t="n">
        <f aca="false">SUMPRODUCT($Q$6:$Q$81,$R$6:$R$81)</f>
        <v>2.31154783043179E-006</v>
      </c>
    </row>
    <row r="133" customFormat="false" ht="15" hidden="false" customHeight="false" outlineLevel="0" collapsed="false">
      <c r="B133" s="30" t="n">
        <f aca="false">SUMPRODUCT($R$6:$R$81,$L$6:$L$81)</f>
        <v>-6.90950503254499E-005</v>
      </c>
      <c r="C133" s="30" t="n">
        <f aca="false">SUMPRODUCT($R$6:$R$81,$M$6:$M$81)</f>
        <v>-0.000205835139245559</v>
      </c>
      <c r="D133" s="30" t="n">
        <f aca="false">SUMPRODUCT($R$6:$R$81,$N$6:$N$81)</f>
        <v>0.187490323520051</v>
      </c>
      <c r="E133" s="30" t="n">
        <f aca="false">SUMPRODUCT($R$6:$R$81,$O$6:$O$81)</f>
        <v>-0.155429780284858</v>
      </c>
      <c r="F133" s="30" t="n">
        <f aca="false">SUMPRODUCT($R$6:$R$81,$P$6:$P$81)</f>
        <v>0.00892698160032948</v>
      </c>
      <c r="G133" s="30" t="n">
        <f aca="false">SUMPRODUCT($R$6:$R$81,$Q$6:$Q$81)</f>
        <v>2.31154783043179E-006</v>
      </c>
      <c r="H133" s="30" t="n">
        <f aca="false">SUMPRODUCT($R$6:$R$81,$R$6:$R$81)</f>
        <v>0.00033048621654246</v>
      </c>
    </row>
    <row r="134" customFormat="false" ht="15" hidden="false" customHeight="false" outlineLevel="0" collapsed="false">
      <c r="A134" s="10" t="s">
        <v>170</v>
      </c>
    </row>
    <row r="135" customFormat="false" ht="15" hidden="false" customHeight="false" outlineLevel="0" collapsed="false">
      <c r="B135" s="30" t="n">
        <f aca="false">SUMPRODUCT($L$7:$L$81,$L$6:$L$80)</f>
        <v>-0.00591873188929637</v>
      </c>
      <c r="C135" s="30" t="n">
        <f aca="false">SUMPRODUCT($L$7:$L$81,$M$6:$M$80)</f>
        <v>0.00104475247120555</v>
      </c>
      <c r="D135" s="30" t="n">
        <f aca="false">SUMPRODUCT($L$7:$L$81,$N$6:$N$80)</f>
        <v>-3.92303176845485</v>
      </c>
      <c r="E135" s="30" t="n">
        <f aca="false">SUMPRODUCT($L$7:$L$81,$O$6:$O$80)</f>
        <v>0.234819629474982</v>
      </c>
      <c r="F135" s="30" t="n">
        <f aca="false">SUMPRODUCT($L$7:$L$81,$P$6:$P$80)</f>
        <v>-6.2047234926698</v>
      </c>
      <c r="G135" s="30" t="n">
        <f aca="false">SUMPRODUCT($L$7:$L$81,$Q$6:$Q$80)</f>
        <v>0.000439450670552688</v>
      </c>
      <c r="H135" s="30" t="n">
        <f aca="false">SUMPRODUCT($L$7:$L$81,$R$6:$R$80)</f>
        <v>0.000135731136465805</v>
      </c>
    </row>
    <row r="136" customFormat="false" ht="15" hidden="false" customHeight="false" outlineLevel="0" collapsed="false">
      <c r="B136" s="30" t="n">
        <f aca="false">SUMPRODUCT($M$7:$M$81,$L$6:$L$80)</f>
        <v>-0.000759609408516159</v>
      </c>
      <c r="C136" s="30" t="n">
        <f aca="false">SUMPRODUCT($M$7:$M$81,$M$6:$M$80)</f>
        <v>2.98375927346621E-006</v>
      </c>
      <c r="D136" s="30" t="n">
        <f aca="false">SUMPRODUCT($M$7:$M$81,$N$6:$N$80)</f>
        <v>-0.0563803255068106</v>
      </c>
      <c r="E136" s="30" t="n">
        <f aca="false">SUMPRODUCT($M$7:$M$81,$O$6:$O$80)</f>
        <v>0.671068553425364</v>
      </c>
      <c r="F136" s="30" t="n">
        <f aca="false">SUMPRODUCT($M$7:$M$81,$P$6:$P$80)</f>
        <v>-0.491973788501799</v>
      </c>
      <c r="G136" s="30" t="n">
        <f aca="false">SUMPRODUCT($M$7:$M$81,$Q$6:$Q$80)</f>
        <v>1.02953116050259E-005</v>
      </c>
      <c r="H136" s="30" t="n">
        <f aca="false">SUMPRODUCT($M$7:$M$81,$R$6:$R$80)</f>
        <v>1.30305714804807E-005</v>
      </c>
    </row>
    <row r="137" customFormat="false" ht="15" hidden="false" customHeight="false" outlineLevel="0" collapsed="false">
      <c r="B137" s="30" t="n">
        <f aca="false">SUMPRODUCT($N$7:$N$81,$L$6:$L$80)</f>
        <v>6.24126160287481</v>
      </c>
      <c r="C137" s="30" t="n">
        <f aca="false">SUMPRODUCT($N$7:$N$81,$M$6:$M$80)</f>
        <v>0.352133398072195</v>
      </c>
      <c r="D137" s="30" t="n">
        <f aca="false">SUMPRODUCT($N$7:$N$81,$N$6:$N$80)</f>
        <v>3375.94212103753</v>
      </c>
      <c r="E137" s="30" t="n">
        <f aca="false">SUMPRODUCT($N$7:$N$81,$O$6:$O$80)</f>
        <v>2344.51572508799</v>
      </c>
      <c r="F137" s="30" t="n">
        <f aca="false">SUMPRODUCT($N$7:$N$81,$P$6:$P$80)</f>
        <v>670.580112864984</v>
      </c>
      <c r="G137" s="30" t="n">
        <f aca="false">SUMPRODUCT($N$7:$N$81,$Q$6:$Q$80)</f>
        <v>0.213266256225275</v>
      </c>
      <c r="H137" s="30" t="n">
        <f aca="false">SUMPRODUCT($N$7:$N$81,$R$6:$R$80)</f>
        <v>-0.0692678193652851</v>
      </c>
    </row>
    <row r="138" customFormat="false" ht="15" hidden="false" customHeight="false" outlineLevel="0" collapsed="false">
      <c r="B138" s="30" t="n">
        <f aca="false">SUMPRODUCT($O$7:$O$81,$L$6:$L$80)</f>
        <v>-1.99984936158148</v>
      </c>
      <c r="C138" s="30" t="n">
        <f aca="false">SUMPRODUCT($O$7:$O$81,$M$6:$M$80)</f>
        <v>0.223539700998328</v>
      </c>
      <c r="D138" s="30" t="n">
        <f aca="false">SUMPRODUCT($O$7:$O$81,$N$6:$N$80)</f>
        <v>-857.720674148942</v>
      </c>
      <c r="E138" s="30" t="n">
        <f aca="false">SUMPRODUCT($O$7:$O$81,$O$6:$O$80)</f>
        <v>1941.73470437746</v>
      </c>
      <c r="F138" s="30" t="n">
        <f aca="false">SUMPRODUCT($O$7:$O$81,$P$6:$P$80)</f>
        <v>-1314.06668376221</v>
      </c>
      <c r="G138" s="30" t="n">
        <f aca="false">SUMPRODUCT($O$7:$O$81,$Q$6:$Q$80)</f>
        <v>0.423335688165244</v>
      </c>
      <c r="H138" s="30" t="n">
        <f aca="false">SUMPRODUCT($O$7:$O$81,$R$6:$R$80)</f>
        <v>-0.201874983943833</v>
      </c>
    </row>
    <row r="139" customFormat="false" ht="15" hidden="false" customHeight="false" outlineLevel="0" collapsed="false">
      <c r="B139" s="30" t="n">
        <f aca="false">SUMPRODUCT($P$7:$P$81,$L$6:$L$80)</f>
        <v>0.347572474728625</v>
      </c>
      <c r="C139" s="30" t="n">
        <f aca="false">SUMPRODUCT($P$7:$P$81,$M$6:$M$80)</f>
        <v>0.44806664358464</v>
      </c>
      <c r="D139" s="30" t="n">
        <f aca="false">SUMPRODUCT($P$7:$P$81,$N$6:$N$80)</f>
        <v>-1303.07098335273</v>
      </c>
      <c r="E139" s="30" t="n">
        <f aca="false">SUMPRODUCT($P$7:$P$81,$O$6:$O$80)</f>
        <v>-1881.37463826563</v>
      </c>
      <c r="F139" s="30" t="n">
        <f aca="false">SUMPRODUCT($P$7:$P$81,$P$6:$P$80)</f>
        <v>747.922011722855</v>
      </c>
      <c r="G139" s="30" t="n">
        <f aca="false">SUMPRODUCT($P$7:$P$81,$Q$6:$Q$80)</f>
        <v>-0.0935872244780716</v>
      </c>
      <c r="H139" s="30" t="n">
        <f aca="false">SUMPRODUCT($P$7:$P$81,$R$6:$R$80)</f>
        <v>-0.223695828855731</v>
      </c>
    </row>
    <row r="140" customFormat="false" ht="15" hidden="false" customHeight="false" outlineLevel="0" collapsed="false">
      <c r="B140" s="30" t="n">
        <f aca="false">SUMPRODUCT($Q$7:$Q$81,$L$6:$L$80)</f>
        <v>-0.000788763436649928</v>
      </c>
      <c r="C140" s="30" t="n">
        <f aca="false">SUMPRODUCT($Q$7:$Q$81,$M$6:$M$80)</f>
        <v>0.000308859826313733</v>
      </c>
      <c r="D140" s="30" t="n">
        <f aca="false">SUMPRODUCT($Q$7:$Q$81,$N$6:$N$80)</f>
        <v>0.0263424713781007</v>
      </c>
      <c r="E140" s="30" t="n">
        <f aca="false">SUMPRODUCT($Q$7:$Q$81,$O$6:$O$80)</f>
        <v>1.1450043064988</v>
      </c>
      <c r="F140" s="30" t="n">
        <f aca="false">SUMPRODUCT($Q$7:$Q$81,$P$6:$P$80)</f>
        <v>-0.554731920021355</v>
      </c>
      <c r="G140" s="30" t="n">
        <f aca="false">SUMPRODUCT($Q$7:$Q$81,$Q$6:$Q$80)</f>
        <v>0.000340944637404133</v>
      </c>
      <c r="H140" s="30" t="n">
        <f aca="false">SUMPRODUCT($Q$7:$Q$81,$R$6:$R$80)</f>
        <v>-3.2206829979302E-005</v>
      </c>
    </row>
    <row r="141" customFormat="false" ht="15" hidden="false" customHeight="false" outlineLevel="0" collapsed="false">
      <c r="B141" s="30" t="n">
        <f aca="false">SUMPRODUCT($R$7:$R$81,$L$6:$L$80)</f>
        <v>0.000576820077453247</v>
      </c>
      <c r="C141" s="30" t="n">
        <f aca="false">SUMPRODUCT($R$7:$R$81,$M$6:$M$80)</f>
        <v>9.09882626027304E-005</v>
      </c>
      <c r="D141" s="30" t="n">
        <f aca="false">SUMPRODUCT($R$7:$R$81,$N$6:$N$80)</f>
        <v>0.0313185402548703</v>
      </c>
      <c r="E141" s="30" t="n">
        <f aca="false">SUMPRODUCT($R$7:$R$81,$O$6:$O$80)</f>
        <v>0.0683436839991607</v>
      </c>
      <c r="F141" s="30" t="n">
        <f aca="false">SUMPRODUCT($R$7:$R$81,$P$6:$P$80)</f>
        <v>0.354016279007996</v>
      </c>
      <c r="G141" s="30" t="n">
        <f aca="false">SUMPRODUCT($R$7:$R$81,$Q$6:$Q$80)</f>
        <v>0.000105449765801466</v>
      </c>
      <c r="H141" s="30" t="n">
        <f aca="false">SUMPRODUCT($R$7:$R$81,$R$6:$R$80)</f>
        <v>-5.52012349475965E-005</v>
      </c>
    </row>
    <row r="142" customFormat="false" ht="15" hidden="false" customHeight="false" outlineLevel="0" collapsed="false">
      <c r="A142" s="10" t="s">
        <v>171</v>
      </c>
    </row>
    <row r="143" customFormat="false" ht="15" hidden="false" customHeight="false" outlineLevel="0" collapsed="false">
      <c r="B143" s="30" t="n">
        <f aca="false">SUMPRODUCT($L$8:$L$81,$L$6:$L$79)</f>
        <v>-0.00269117258616653</v>
      </c>
      <c r="C143" s="30" t="n">
        <f aca="false">SUMPRODUCT($L$8:$L$81,$M$6:$M$79)</f>
        <v>-0.000145506330677335</v>
      </c>
      <c r="D143" s="30" t="n">
        <f aca="false">SUMPRODUCT($L$8:$L$81,$N$6:$N$79)</f>
        <v>-8.59844682668488</v>
      </c>
      <c r="E143" s="30" t="n">
        <f aca="false">SUMPRODUCT($L$8:$L$81,$O$6:$O$79)</f>
        <v>2.95556194383037</v>
      </c>
      <c r="F143" s="30" t="n">
        <f aca="false">SUMPRODUCT($L$8:$L$81,$P$6:$P$79)</f>
        <v>0.71413512572957</v>
      </c>
      <c r="G143" s="30" t="n">
        <f aca="false">SUMPRODUCT($L$8:$L$81,$Q$6:$Q$79)</f>
        <v>5.71658644221987E-005</v>
      </c>
      <c r="H143" s="30" t="n">
        <f aca="false">SUMPRODUCT($L$8:$L$81,$R$6:$R$79)</f>
        <v>1.78746560370967E-005</v>
      </c>
    </row>
    <row r="144" customFormat="false" ht="15" hidden="false" customHeight="false" outlineLevel="0" collapsed="false">
      <c r="B144" s="30" t="n">
        <f aca="false">SUMPRODUCT($M$8:$M$81,$L$6:$L$79)</f>
        <v>-0.00281540983314215</v>
      </c>
      <c r="C144" s="30" t="n">
        <f aca="false">SUMPRODUCT($M$8:$M$81,$M$6:$M$79)</f>
        <v>-8.55518345867501E-005</v>
      </c>
      <c r="D144" s="30" t="n">
        <f aca="false">SUMPRODUCT($M$8:$M$81,$N$6:$N$79)</f>
        <v>0.253314252733108</v>
      </c>
      <c r="E144" s="30" t="n">
        <f aca="false">SUMPRODUCT($M$8:$M$81,$O$6:$O$79)</f>
        <v>-1.20372617908408</v>
      </c>
      <c r="F144" s="30" t="n">
        <f aca="false">SUMPRODUCT($M$8:$M$81,$P$6:$P$79)</f>
        <v>-0.321656806674705</v>
      </c>
      <c r="G144" s="30" t="n">
        <f aca="false">SUMPRODUCT($M$8:$M$81,$Q$6:$Q$79)</f>
        <v>-7.00615370027405E-005</v>
      </c>
      <c r="H144" s="30" t="n">
        <f aca="false">SUMPRODUCT($M$8:$M$81,$R$6:$R$79)</f>
        <v>-4.84853805793969E-005</v>
      </c>
    </row>
    <row r="145" customFormat="false" ht="15" hidden="false" customHeight="false" outlineLevel="0" collapsed="false">
      <c r="B145" s="30" t="n">
        <f aca="false">SUMPRODUCT($N$8:$N$81,$L$6:$L$79)</f>
        <v>2.02457822967269</v>
      </c>
      <c r="C145" s="30" t="n">
        <f aca="false">SUMPRODUCT($N$8:$N$81,$M$6:$M$79)</f>
        <v>0.839263867442842</v>
      </c>
      <c r="D145" s="30" t="n">
        <f aca="false">SUMPRODUCT($N$8:$N$81,$N$6:$N$79)</f>
        <v>230.815757867042</v>
      </c>
      <c r="E145" s="30" t="n">
        <f aca="false">SUMPRODUCT($N$8:$N$81,$O$6:$O$79)</f>
        <v>1866.54133771524</v>
      </c>
      <c r="F145" s="30" t="n">
        <f aca="false">SUMPRODUCT($N$8:$N$81,$P$6:$P$79)</f>
        <v>-528.940413051361</v>
      </c>
      <c r="G145" s="30" t="n">
        <f aca="false">SUMPRODUCT($N$8:$N$81,$Q$6:$Q$79)</f>
        <v>-0.19894526462185</v>
      </c>
      <c r="H145" s="30" t="n">
        <f aca="false">SUMPRODUCT($N$8:$N$81,$R$6:$R$79)</f>
        <v>-0.224971524371324</v>
      </c>
    </row>
    <row r="146" customFormat="false" ht="15" hidden="false" customHeight="false" outlineLevel="0" collapsed="false">
      <c r="B146" s="30" t="n">
        <f aca="false">SUMPRODUCT($O$8:$O$81,$L$6:$L$79)</f>
        <v>-8.59844682668488</v>
      </c>
      <c r="C146" s="30" t="n">
        <f aca="false">SUMPRODUCT($O$8:$O$81,$M$6:$M$79)</f>
        <v>-0.736251698511595</v>
      </c>
      <c r="D146" s="30" t="n">
        <f aca="false">SUMPRODUCT($O$8:$O$81,$N$6:$N$79)</f>
        <v>-94.304919345653</v>
      </c>
      <c r="E146" s="30" t="n">
        <f aca="false">SUMPRODUCT($O$8:$O$81,$O$6:$O$79)</f>
        <v>-4014.36417226717</v>
      </c>
      <c r="F146" s="30" t="n">
        <f aca="false">SUMPRODUCT($O$8:$O$81,$P$6:$P$79)</f>
        <v>-1081.62927572607</v>
      </c>
      <c r="G146" s="30" t="n">
        <f aca="false">SUMPRODUCT($O$8:$O$81,$Q$6:$Q$79)</f>
        <v>-0.305167160059588</v>
      </c>
      <c r="H146" s="30" t="n">
        <f aca="false">SUMPRODUCT($O$8:$O$81,$R$6:$R$79)</f>
        <v>0.0746078783667647</v>
      </c>
    </row>
    <row r="147" customFormat="false" ht="15" hidden="false" customHeight="false" outlineLevel="0" collapsed="false">
      <c r="B147" s="30" t="n">
        <f aca="false">SUMPRODUCT($P$8:$P$81,$L$6:$L$79)</f>
        <v>3.0426603879369</v>
      </c>
      <c r="C147" s="30" t="n">
        <f aca="false">SUMPRODUCT($P$8:$P$81,$M$6:$M$79)</f>
        <v>0.456572336409384</v>
      </c>
      <c r="D147" s="30" t="n">
        <f aca="false">SUMPRODUCT($P$8:$P$81,$N$6:$N$79)</f>
        <v>-3382.69144822928</v>
      </c>
      <c r="E147" s="30" t="n">
        <f aca="false">SUMPRODUCT($P$8:$P$81,$O$6:$O$79)</f>
        <v>2722.87885031047</v>
      </c>
      <c r="F147" s="30" t="n">
        <f aca="false">SUMPRODUCT($P$8:$P$81,$P$6:$P$79)</f>
        <v>-249.038440327749</v>
      </c>
      <c r="G147" s="30" t="n">
        <f aca="false">SUMPRODUCT($P$8:$P$81,$Q$6:$Q$79)</f>
        <v>0.409440523060465</v>
      </c>
      <c r="H147" s="30" t="n">
        <f aca="false">SUMPRODUCT($P$8:$P$81,$R$6:$R$79)</f>
        <v>0.183135866136382</v>
      </c>
    </row>
    <row r="148" customFormat="false" ht="15" hidden="false" customHeight="false" outlineLevel="0" collapsed="false">
      <c r="B148" s="30" t="n">
        <f aca="false">SUMPRODUCT($Q$8:$Q$81,$L$6:$L$79)</f>
        <v>-0.000933917433233393</v>
      </c>
      <c r="C148" s="30" t="n">
        <f aca="false">SUMPRODUCT($Q$8:$Q$81,$M$6:$M$79)</f>
        <v>8.21014642955405E-005</v>
      </c>
      <c r="D148" s="30" t="n">
        <f aca="false">SUMPRODUCT($Q$8:$Q$81,$N$6:$N$79)</f>
        <v>0.00813263303434244</v>
      </c>
      <c r="E148" s="30" t="n">
        <f aca="false">SUMPRODUCT($Q$8:$Q$81,$O$6:$O$79)</f>
        <v>0.111574334590051</v>
      </c>
      <c r="F148" s="30" t="n">
        <f aca="false">SUMPRODUCT($Q$8:$Q$81,$P$6:$P$79)</f>
        <v>-0.632472365467951</v>
      </c>
      <c r="G148" s="30" t="n">
        <f aca="false">SUMPRODUCT($Q$8:$Q$81,$Q$6:$Q$79)</f>
        <v>-5.84837734279644E-005</v>
      </c>
      <c r="H148" s="30" t="n">
        <f aca="false">SUMPRODUCT($Q$8:$Q$81,$R$6:$R$79)</f>
        <v>1.27810871775873E-005</v>
      </c>
    </row>
    <row r="149" customFormat="false" ht="15" hidden="false" customHeight="false" outlineLevel="0" collapsed="false">
      <c r="B149" s="30" t="n">
        <f aca="false">SUMPRODUCT($R$8:$R$81,$L$6:$L$79)</f>
        <v>0.000595283155957389</v>
      </c>
      <c r="C149" s="30" t="n">
        <f aca="false">SUMPRODUCT($R$8:$R$81,$M$6:$M$79)</f>
        <v>-1.75676474146889E-005</v>
      </c>
      <c r="D149" s="30" t="n">
        <f aca="false">SUMPRODUCT($R$8:$R$81,$N$6:$N$79)</f>
        <v>-0.195019174078875</v>
      </c>
      <c r="E149" s="30" t="n">
        <f aca="false">SUMPRODUCT($R$8:$R$81,$O$6:$O$79)</f>
        <v>0.212863773315422</v>
      </c>
      <c r="F149" s="30" t="n">
        <f aca="false">SUMPRODUCT($R$8:$R$81,$P$6:$P$79)</f>
        <v>0.188388144223684</v>
      </c>
      <c r="G149" s="30" t="n">
        <f aca="false">SUMPRODUCT($R$8:$R$81,$Q$6:$Q$79)</f>
        <v>7.484377333812E-006</v>
      </c>
      <c r="H149" s="30" t="n">
        <f aca="false">SUMPRODUCT($R$8:$R$81,$R$6:$R$79)</f>
        <v>-3.27350185562641E-006</v>
      </c>
    </row>
    <row r="150" customFormat="false" ht="15" hidden="false" customHeight="false" outlineLevel="0" collapsed="false">
      <c r="A150" s="10" t="s">
        <v>172</v>
      </c>
    </row>
    <row r="151" customFormat="false" ht="15" hidden="false" customHeight="false" outlineLevel="0" collapsed="false">
      <c r="B151" s="30" t="n">
        <f aca="false">SUMPRODUCT($L$9:$L$81,$L$6:$L$78)</f>
        <v>0.000268050264181211</v>
      </c>
      <c r="C151" s="30" t="n">
        <f aca="false">SUMPRODUCT($L$9:$L$81,$M$6:$M$78)</f>
        <v>-0.000664003191640917</v>
      </c>
      <c r="D151" s="30" t="n">
        <f aca="false">SUMPRODUCT($L$9:$L$81,$N$6:$N$78)</f>
        <v>-4.36298836804024</v>
      </c>
      <c r="E151" s="30" t="n">
        <f aca="false">SUMPRODUCT($L$9:$L$81,$O$6:$O$78)</f>
        <v>-2.67694551545351</v>
      </c>
      <c r="F151" s="30" t="n">
        <f aca="false">SUMPRODUCT($L$9:$L$81,$P$6:$P$78)</f>
        <v>0.952466434823703</v>
      </c>
      <c r="G151" s="30" t="n">
        <f aca="false">SUMPRODUCT($L$9:$L$81,$Q$6:$Q$78)</f>
        <v>-0.000914060174753201</v>
      </c>
      <c r="H151" s="30" t="n">
        <f aca="false">SUMPRODUCT($L$9:$L$81,$R$6:$R$78)</f>
        <v>-0.000940925661518811</v>
      </c>
    </row>
    <row r="152" customFormat="false" ht="15" hidden="false" customHeight="false" outlineLevel="0" collapsed="false">
      <c r="B152" s="30" t="n">
        <f aca="false">SUMPRODUCT($M$9:$M$81,$L$6:$L$78)</f>
        <v>-0.000612060391416917</v>
      </c>
      <c r="C152" s="30" t="n">
        <f aca="false">SUMPRODUCT($M$9:$M$81,$M$6:$M$78)</f>
        <v>-9.65933490117318E-005</v>
      </c>
      <c r="D152" s="30" t="n">
        <f aca="false">SUMPRODUCT($M$9:$M$81,$N$6:$N$78)</f>
        <v>0.891143921859784</v>
      </c>
      <c r="E152" s="30" t="n">
        <f aca="false">SUMPRODUCT($M$9:$M$81,$O$6:$O$78)</f>
        <v>-0.298221761609315</v>
      </c>
      <c r="F152" s="30" t="n">
        <f aca="false">SUMPRODUCT($M$9:$M$81,$P$6:$P$78)</f>
        <v>0.261308908475903</v>
      </c>
      <c r="G152" s="30" t="n">
        <f aca="false">SUMPRODUCT($M$9:$M$81,$Q$6:$Q$78)</f>
        <v>-0.000103073908610855</v>
      </c>
      <c r="H152" s="30" t="n">
        <f aca="false">SUMPRODUCT($M$9:$M$81,$R$6:$R$78)</f>
        <v>-1.73186274650894E-005</v>
      </c>
    </row>
    <row r="153" customFormat="false" ht="15" hidden="false" customHeight="false" outlineLevel="0" collapsed="false">
      <c r="B153" s="30" t="n">
        <f aca="false">SUMPRODUCT($N$9:$N$81,$L$6:$L$78)</f>
        <v>-4.3868865506898</v>
      </c>
      <c r="C153" s="30" t="n">
        <f aca="false">SUMPRODUCT($N$9:$N$81,$M$6:$M$78)</f>
        <v>0.267071249226863</v>
      </c>
      <c r="D153" s="30" t="n">
        <f aca="false">SUMPRODUCT($N$9:$N$81,$N$6:$N$78)</f>
        <v>-1438.43249673509</v>
      </c>
      <c r="E153" s="30" t="n">
        <f aca="false">SUMPRODUCT($N$9:$N$81,$O$6:$O$78)</f>
        <v>472.787581318111</v>
      </c>
      <c r="F153" s="30" t="n">
        <f aca="false">SUMPRODUCT($N$9:$N$81,$P$6:$P$78)</f>
        <v>-1129.0547409913</v>
      </c>
      <c r="G153" s="30" t="n">
        <f aca="false">SUMPRODUCT($N$9:$N$81,$Q$6:$Q$78)</f>
        <v>-0.0388817644630329</v>
      </c>
      <c r="H153" s="30" t="n">
        <f aca="false">SUMPRODUCT($N$9:$N$81,$R$6:$R$78)</f>
        <v>-0.0335315857686864</v>
      </c>
    </row>
    <row r="154" customFormat="false" ht="15" hidden="false" customHeight="false" outlineLevel="0" collapsed="false">
      <c r="B154" s="30" t="n">
        <f aca="false">SUMPRODUCT($O$9:$O$81,$L$6:$L$78)</f>
        <v>-3.61776560065926</v>
      </c>
      <c r="C154" s="30" t="n">
        <f aca="false">SUMPRODUCT($O$9:$O$81,$M$6:$M$78)</f>
        <v>0.166102036696933</v>
      </c>
      <c r="D154" s="30" t="n">
        <f aca="false">SUMPRODUCT($O$9:$O$81,$N$6:$N$78)</f>
        <v>3485.5012769716</v>
      </c>
      <c r="E154" s="30" t="n">
        <f aca="false">SUMPRODUCT($O$9:$O$81,$O$6:$O$78)</f>
        <v>814.032307815404</v>
      </c>
      <c r="F154" s="30" t="n">
        <f aca="false">SUMPRODUCT($O$9:$O$81,$P$6:$P$78)</f>
        <v>-968.175988107482</v>
      </c>
      <c r="G154" s="30" t="n">
        <f aca="false">SUMPRODUCT($O$9:$O$81,$Q$6:$Q$78)</f>
        <v>0.0466711342077896</v>
      </c>
      <c r="H154" s="30" t="n">
        <f aca="false">SUMPRODUCT($O$9:$O$81,$R$6:$R$78)</f>
        <v>0.152946141366218</v>
      </c>
    </row>
    <row r="155" customFormat="false" ht="15" hidden="false" customHeight="false" outlineLevel="0" collapsed="false">
      <c r="B155" s="30" t="n">
        <f aca="false">SUMPRODUCT($P$9:$P$81,$L$6:$L$78)</f>
        <v>1.63756845242388</v>
      </c>
      <c r="C155" s="30" t="n">
        <f aca="false">SUMPRODUCT($P$9:$P$81,$M$6:$M$78)</f>
        <v>0.0307271060958109</v>
      </c>
      <c r="D155" s="30" t="n">
        <f aca="false">SUMPRODUCT($P$9:$P$81,$N$6:$N$78)</f>
        <v>-2668.5933397346</v>
      </c>
      <c r="E155" s="30" t="n">
        <f aca="false">SUMPRODUCT($P$9:$P$81,$O$6:$O$78)</f>
        <v>-217.936985300684</v>
      </c>
      <c r="F155" s="30" t="n">
        <f aca="false">SUMPRODUCT($P$9:$P$81,$P$6:$P$78)</f>
        <v>643.480568967507</v>
      </c>
      <c r="G155" s="30" t="n">
        <f aca="false">SUMPRODUCT($P$9:$P$81,$Q$6:$Q$78)</f>
        <v>0.306621700003316</v>
      </c>
      <c r="H155" s="30" t="n">
        <f aca="false">SUMPRODUCT($P$9:$P$81,$R$6:$R$78)</f>
        <v>-0.15675919487296</v>
      </c>
    </row>
    <row r="156" customFormat="false" ht="15" hidden="false" customHeight="false" outlineLevel="0" collapsed="false">
      <c r="B156" s="30" t="n">
        <f aca="false">SUMPRODUCT($Q$9:$Q$81,$L$6:$L$78)</f>
        <v>-0.000628767047260641</v>
      </c>
      <c r="C156" s="30" t="n">
        <f aca="false">SUMPRODUCT($Q$9:$Q$81,$M$6:$M$78)</f>
        <v>-2.69505233207481E-005</v>
      </c>
      <c r="D156" s="30" t="n">
        <f aca="false">SUMPRODUCT($Q$9:$Q$81,$N$6:$N$78)</f>
        <v>0.603113956070934</v>
      </c>
      <c r="E156" s="30" t="n">
        <f aca="false">SUMPRODUCT($Q$9:$Q$81,$O$6:$O$78)</f>
        <v>-0.213762229867763</v>
      </c>
      <c r="F156" s="30" t="n">
        <f aca="false">SUMPRODUCT($Q$9:$Q$81,$P$6:$P$78)</f>
        <v>-0.532186036013598</v>
      </c>
      <c r="G156" s="30" t="n">
        <f aca="false">SUMPRODUCT($Q$9:$Q$81,$Q$6:$Q$78)</f>
        <v>4.74045389914122E-005</v>
      </c>
      <c r="H156" s="30" t="n">
        <f aca="false">SUMPRODUCT($Q$9:$Q$81,$R$6:$R$78)</f>
        <v>-1.22190219939956E-005</v>
      </c>
    </row>
    <row r="157" customFormat="false" ht="15" hidden="false" customHeight="false" outlineLevel="0" collapsed="false">
      <c r="B157" s="30" t="n">
        <f aca="false">SUMPRODUCT($R$9:$R$81,$L$6:$L$78)</f>
        <v>-0.000436379116085852</v>
      </c>
      <c r="C157" s="30" t="n">
        <f aca="false">SUMPRODUCT($R$9:$R$81,$M$6:$M$78)</f>
        <v>2.92574204254573E-005</v>
      </c>
      <c r="D157" s="30" t="n">
        <f aca="false">SUMPRODUCT($R$9:$R$81,$N$6:$N$78)</f>
        <v>-0.0307443323550463</v>
      </c>
      <c r="E157" s="30" t="n">
        <f aca="false">SUMPRODUCT($R$9:$R$81,$O$6:$O$78)</f>
        <v>0.108616341259276</v>
      </c>
      <c r="F157" s="30" t="n">
        <f aca="false">SUMPRODUCT($R$9:$R$81,$P$6:$P$78)</f>
        <v>-0.353123587983374</v>
      </c>
      <c r="G157" s="30" t="n">
        <f aca="false">SUMPRODUCT($R$9:$R$81,$Q$6:$Q$78)</f>
        <v>4.50268118106574E-005</v>
      </c>
      <c r="H157" s="30" t="n">
        <f aca="false">SUMPRODUCT($R$9:$R$81,$R$6:$R$78)</f>
        <v>3.70443809149667E-006</v>
      </c>
    </row>
    <row r="158" customFormat="false" ht="15" hidden="false" customHeight="false" outlineLevel="0" collapsed="false">
      <c r="A158" s="10" t="s">
        <v>173</v>
      </c>
    </row>
    <row r="159" customFormat="false" ht="15" hidden="false" customHeight="false" outlineLevel="0" collapsed="false">
      <c r="B159" s="30" t="n">
        <f aca="false">SUMPRODUCT($L$10:$L$81,$L$6:$L$77)</f>
        <v>-0.0361562211992138</v>
      </c>
      <c r="C159" s="30" t="n">
        <f aca="false">SUMPRODUCT($L$10:$L$81,$M$6:$M$77)</f>
        <v>-0.00239486371869507</v>
      </c>
      <c r="D159" s="30" t="n">
        <f aca="false">SUMPRODUCT($L$10:$L$81,$N$6:$N$77)</f>
        <v>1.44180727665212</v>
      </c>
      <c r="E159" s="30" t="n">
        <f aca="false">SUMPRODUCT($L$10:$L$81,$O$6:$O$77)</f>
        <v>-7.22903399826504</v>
      </c>
      <c r="F159" s="30" t="n">
        <f aca="false">SUMPRODUCT($L$10:$L$81,$P$6:$P$77)</f>
        <v>-1.98795585248934</v>
      </c>
      <c r="G159" s="30" t="n">
        <f aca="false">SUMPRODUCT($L$10:$L$81,$Q$6:$Q$77)</f>
        <v>-0.000647672645534255</v>
      </c>
      <c r="H159" s="30" t="n">
        <f aca="false">SUMPRODUCT($L$10:$L$81,$R$6:$R$77)</f>
        <v>0.000968164900334342</v>
      </c>
    </row>
    <row r="160" customFormat="false" ht="15" hidden="false" customHeight="false" outlineLevel="0" collapsed="false">
      <c r="B160" s="30" t="n">
        <f aca="false">SUMPRODUCT($M$10:$M$81,$L$6:$L$77)</f>
        <v>0.000156504099757149</v>
      </c>
      <c r="C160" s="30" t="n">
        <f aca="false">SUMPRODUCT($M$10:$M$81,$M$6:$M$77)</f>
        <v>0.000543433875435016</v>
      </c>
      <c r="D160" s="30" t="n">
        <f aca="false">SUMPRODUCT($M$10:$M$81,$N$6:$N$77)</f>
        <v>1.34207241101501</v>
      </c>
      <c r="E160" s="30" t="n">
        <f aca="false">SUMPRODUCT($M$10:$M$81,$O$6:$O$77)</f>
        <v>1.21113909790152</v>
      </c>
      <c r="F160" s="30" t="n">
        <f aca="false">SUMPRODUCT($M$10:$M$81,$P$6:$P$77)</f>
        <v>-0.305349694456375</v>
      </c>
      <c r="G160" s="30" t="n">
        <f aca="false">SUMPRODUCT($M$10:$M$81,$Q$6:$Q$77)</f>
        <v>0.000182504463568427</v>
      </c>
      <c r="H160" s="30" t="n">
        <f aca="false">SUMPRODUCT($M$10:$M$81,$R$6:$R$77)</f>
        <v>2.75930114563872E-005</v>
      </c>
    </row>
    <row r="161" customFormat="false" ht="15" hidden="false" customHeight="false" outlineLevel="0" collapsed="false">
      <c r="B161" s="30" t="n">
        <f aca="false">SUMPRODUCT($N$10:$N$81,$L$6:$L$77)</f>
        <v>-4.95255863638667</v>
      </c>
      <c r="C161" s="30" t="n">
        <f aca="false">SUMPRODUCT($N$10:$N$81,$M$6:$M$77)</f>
        <v>-0.145401093976585</v>
      </c>
      <c r="D161" s="30" t="n">
        <f aca="false">SUMPRODUCT($N$10:$N$81,$N$6:$N$77)</f>
        <v>-2688.74825932403</v>
      </c>
      <c r="E161" s="30" t="n">
        <f aca="false">SUMPRODUCT($N$10:$N$81,$O$6:$O$77)</f>
        <v>-594.793367475179</v>
      </c>
      <c r="F161" s="30" t="n">
        <f aca="false">SUMPRODUCT($N$10:$N$81,$P$6:$P$77)</f>
        <v>676.295755812252</v>
      </c>
      <c r="G161" s="30" t="n">
        <f aca="false">SUMPRODUCT($N$10:$N$81,$Q$6:$Q$77)</f>
        <v>0.35243786982291</v>
      </c>
      <c r="H161" s="30" t="n">
        <f aca="false">SUMPRODUCT($N$10:$N$81,$R$6:$R$77)</f>
        <v>0.037023121646142</v>
      </c>
    </row>
    <row r="162" customFormat="false" ht="15" hidden="false" customHeight="false" outlineLevel="0" collapsed="false">
      <c r="B162" s="30" t="n">
        <f aca="false">SUMPRODUCT($O$10:$O$81,$L$6:$L$77)</f>
        <v>3.8787095240992</v>
      </c>
      <c r="C162" s="30" t="n">
        <f aca="false">SUMPRODUCT($O$10:$O$81,$M$6:$M$77)</f>
        <v>0.829653383547171</v>
      </c>
      <c r="D162" s="30" t="n">
        <f aca="false">SUMPRODUCT($O$10:$O$81,$N$6:$N$77)</f>
        <v>4182.98508273251</v>
      </c>
      <c r="E162" s="30" t="n">
        <f aca="false">SUMPRODUCT($O$10:$O$81,$O$6:$O$77)</f>
        <v>3005.25562820811</v>
      </c>
      <c r="F162" s="30" t="n">
        <f aca="false">SUMPRODUCT($O$10:$O$81,$P$6:$P$77)</f>
        <v>918.202724753285</v>
      </c>
      <c r="G162" s="30" t="n">
        <f aca="false">SUMPRODUCT($O$10:$O$81,$Q$6:$Q$77)</f>
        <v>0.876306723286966</v>
      </c>
      <c r="H162" s="30" t="n">
        <f aca="false">SUMPRODUCT($O$10:$O$81,$R$6:$R$77)</f>
        <v>-0.170240689076046</v>
      </c>
    </row>
    <row r="163" customFormat="false" ht="15" hidden="false" customHeight="false" outlineLevel="0" collapsed="false">
      <c r="B163" s="30" t="n">
        <f aca="false">SUMPRODUCT($P$10:$P$81,$L$6:$L$77)</f>
        <v>-7.22903399826504</v>
      </c>
      <c r="C163" s="30" t="n">
        <f aca="false">SUMPRODUCT($P$10:$P$81,$M$6:$M$77)</f>
        <v>-0.585194957930483</v>
      </c>
      <c r="D163" s="30" t="n">
        <f aca="false">SUMPRODUCT($P$10:$P$81,$N$6:$N$77)</f>
        <v>-2219.0126698576</v>
      </c>
      <c r="E163" s="30" t="n">
        <f aca="false">SUMPRODUCT($P$10:$P$81,$O$6:$O$77)</f>
        <v>-3866.36887323544</v>
      </c>
      <c r="F163" s="30" t="n">
        <f aca="false">SUMPRODUCT($P$10:$P$81,$P$6:$P$77)</f>
        <v>-186.452655883327</v>
      </c>
      <c r="G163" s="30" t="n">
        <f aca="false">SUMPRODUCT($P$10:$P$81,$Q$6:$Q$77)</f>
        <v>-0.391102808833218</v>
      </c>
      <c r="H163" s="30" t="n">
        <f aca="false">SUMPRODUCT($P$10:$P$81,$R$6:$R$77)</f>
        <v>0.000522891927701644</v>
      </c>
    </row>
    <row r="164" customFormat="false" ht="15" hidden="false" customHeight="false" outlineLevel="0" collapsed="false">
      <c r="B164" s="30" t="n">
        <f aca="false">SUMPRODUCT($Q$10:$Q$81,$L$6:$L$77)</f>
        <v>-0.00124797041172473</v>
      </c>
      <c r="C164" s="30" t="n">
        <f aca="false">SUMPRODUCT($Q$10:$Q$81,$M$6:$M$77)</f>
        <v>0.000208458177219166</v>
      </c>
      <c r="D164" s="30" t="n">
        <f aca="false">SUMPRODUCT($Q$10:$Q$81,$N$6:$N$77)</f>
        <v>1.41070892715719</v>
      </c>
      <c r="E164" s="30" t="n">
        <f aca="false">SUMPRODUCT($Q$10:$Q$81,$O$6:$O$77)</f>
        <v>0.667691243615159</v>
      </c>
      <c r="F164" s="30" t="n">
        <f aca="false">SUMPRODUCT($Q$10:$Q$81,$P$6:$P$77)</f>
        <v>-0.939892648821928</v>
      </c>
      <c r="G164" s="30" t="n">
        <f aca="false">SUMPRODUCT($Q$10:$Q$81,$Q$6:$Q$77)</f>
        <v>0.000302720290874982</v>
      </c>
      <c r="H164" s="30" t="n">
        <f aca="false">SUMPRODUCT($Q$10:$Q$81,$R$6:$R$77)</f>
        <v>5.50923256746645E-006</v>
      </c>
    </row>
    <row r="165" customFormat="false" ht="15" hidden="false" customHeight="false" outlineLevel="0" collapsed="false">
      <c r="B165" s="30" t="n">
        <f aca="false">SUMPRODUCT($R$10:$R$81,$L$6:$L$77)</f>
        <v>0.000301572913632556</v>
      </c>
      <c r="C165" s="30" t="n">
        <f aca="false">SUMPRODUCT($R$10:$R$81,$M$6:$M$77)</f>
        <v>-0.000190083778011339</v>
      </c>
      <c r="D165" s="30" t="n">
        <f aca="false">SUMPRODUCT($R$10:$R$81,$N$6:$N$77)</f>
        <v>-0.136043880217913</v>
      </c>
      <c r="E165" s="30" t="n">
        <f aca="false">SUMPRODUCT($R$10:$R$81,$O$6:$O$77)</f>
        <v>-0.0494313018579217</v>
      </c>
      <c r="F165" s="30" t="n">
        <f aca="false">SUMPRODUCT($R$10:$R$81,$P$6:$P$77)</f>
        <v>-0.0402044495075461</v>
      </c>
      <c r="G165" s="30" t="n">
        <f aca="false">SUMPRODUCT($R$10:$R$81,$Q$6:$Q$77)</f>
        <v>7.66048343388718E-005</v>
      </c>
      <c r="H165" s="30" t="n">
        <f aca="false">SUMPRODUCT($R$10:$R$81,$R$6:$R$77)</f>
        <v>6.14849254201486E-005</v>
      </c>
    </row>
    <row r="166" customFormat="false" ht="15" hidden="false" customHeight="false" outlineLevel="0" collapsed="false">
      <c r="A166" s="10" t="s">
        <v>174</v>
      </c>
    </row>
    <row r="167" customFormat="false" ht="15" hidden="false" customHeight="false" outlineLevel="0" collapsed="false">
      <c r="B167" s="30" t="n">
        <f aca="false">INDEX($B$127:$H$133,1,1)+0.8*(INDEX($B$135:$H$141,1,1)+INDEX($B$135:$H$141,1,1))+0.6*(INDEX($B$143:$H$149,1,1)+INDEX($B$143:$H$149,1,1))+0.4*(INDEX($B$151:$H$157,1,1)+INDEX($B$151:$H$157,1,1))+0.2*(INDEX($B$159:$H$165,1,1)+INDEX($B$159:$H$165,1,1))</f>
        <v>0.050315968701457</v>
      </c>
      <c r="C167" s="30" t="n">
        <f aca="false">INDEX($B$127:$H$133,1,2)+0.8*(INDEX($B$135:$H$141,1,2)+INDEX($B$135:$H$141,2,1))+0.6*(INDEX($B$143:$H$149,1,2)+INDEX($B$143:$H$149,2,1))+0.4*(INDEX($B$151:$H$157,1,2)+INDEX($B$151:$H$157,2,1))+0.2*(INDEX($B$159:$H$165,1,2)+INDEX($B$159:$H$165,2,1))</f>
        <v>-0.0046002589081</v>
      </c>
      <c r="D167" s="30" t="n">
        <f aca="false">INDEX($B$127:$H$133,1,3)+0.8*(INDEX($B$135:$H$141,1,3)+INDEX($B$135:$H$141,3,1))+0.6*(INDEX($B$143:$H$149,1,3)+INDEX($B$143:$H$149,3,1))+0.4*(INDEX($B$151:$H$157,1,3)+INDEX($B$151:$H$157,3,1))+0.2*(INDEX($B$159:$H$165,1,3)+INDEX($B$159:$H$165,3,1))</f>
        <v>-8.03034512624725</v>
      </c>
      <c r="E167" s="30" t="n">
        <f aca="false">INDEX($B$127:$H$133,1,4)+0.8*(INDEX($B$135:$H$141,1,4)+INDEX($B$135:$H$141,4,1))+0.6*(INDEX($B$143:$H$149,1,4)+INDEX($B$143:$H$149,4,1))+0.4*(INDEX($B$151:$H$157,1,4)+INDEX($B$151:$H$157,4,1))+0.2*(INDEX($B$159:$H$165,1,4)+INDEX($B$159:$H$165,4,1))</f>
        <v>-11.2280131229557</v>
      </c>
      <c r="F167" s="30" t="n">
        <f aca="false">INDEX($B$127:$H$133,1,5)+0.8*(INDEX($B$135:$H$141,1,5)+INDEX($B$135:$H$141,5,1))+0.6*(INDEX($B$143:$H$149,1,5)+INDEX($B$143:$H$149,5,1))+0.4*(INDEX($B$151:$H$157,1,5)+INDEX($B$151:$H$157,5,1))+0.2*(INDEX($B$159:$H$165,1,5)+INDEX($B$159:$H$165,5,1))</f>
        <v>11.0769798561043</v>
      </c>
      <c r="G167" s="30" t="n">
        <f aca="false">INDEX($B$127:$H$133,1,6)+0.8*(INDEX($B$135:$H$141,1,6)+INDEX($B$135:$H$141,6,1))+0.6*(INDEX($B$143:$H$149,1,6)+INDEX($B$143:$H$149,6,1))+0.4*(INDEX($B$151:$H$157,1,6)+INDEX($B$151:$H$157,6,1))+0.2*(INDEX($B$159:$H$165,1,6)+INDEX($B$159:$H$165,6,1))</f>
        <v>-0.00292788775195285</v>
      </c>
      <c r="H167" s="30" t="n">
        <f aca="false">INDEX($B$127:$H$133,1,7)+0.8*(INDEX($B$135:$H$141,1,7)+INDEX($B$135:$H$141,7,1))+0.6*(INDEX($B$143:$H$149,1,7)+INDEX($B$143:$H$149,7,1))+0.4*(INDEX($B$151:$H$157,1,7)+INDEX($B$151:$H$157,7,1))+0.2*(INDEX($B$159:$H$165,1,7)+INDEX($B$159:$H$165,7,1))</f>
        <v>0.000571866259757997</v>
      </c>
    </row>
    <row r="168" customFormat="false" ht="15" hidden="false" customHeight="false" outlineLevel="0" collapsed="false">
      <c r="B168" s="30" t="n">
        <f aca="false">INDEX($B$127:$H$133,2,1)+0.8*(INDEX($B$135:$H$141,2,1)+INDEX($B$135:$H$141,1,2))+0.6*(INDEX($B$143:$H$149,2,1)+INDEX($B$143:$H$149,1,2))+0.4*(INDEX($B$151:$H$157,2,1)+INDEX($B$151:$H$157,1,2))+0.2*(INDEX($B$159:$H$165,2,1)+INDEX($B$159:$H$165,1,2))</f>
        <v>-0.0046002589081</v>
      </c>
      <c r="C168" s="30" t="n">
        <f aca="false">INDEX($B$127:$H$133,2,2)+0.8*(INDEX($B$135:$H$141,2,2)+INDEX($B$135:$H$141,2,2))+0.6*(INDEX($B$143:$H$149,2,2)+INDEX($B$143:$H$149,2,2))+0.4*(INDEX($B$151:$H$157,2,2)+INDEX($B$151:$H$157,2,2))+0.2*(INDEX($B$159:$H$165,2,2)+INDEX($B$159:$H$165,2,2))</f>
        <v>0.0012634135465768</v>
      </c>
      <c r="D168" s="30" t="n">
        <f aca="false">INDEX($B$127:$H$133,2,3)+0.8*(INDEX($B$135:$H$141,2,3)+INDEX($B$135:$H$141,3,2))+0.6*(INDEX($B$143:$H$149,2,3)+INDEX($B$143:$H$149,3,2))+0.4*(INDEX($B$151:$H$157,2,3)+INDEX($B$151:$H$157,3,2))+0.2*(INDEX($B$159:$H$165,2,3)+INDEX($B$159:$H$165,3,2))</f>
        <v>2.12794161827134</v>
      </c>
      <c r="E168" s="30" t="n">
        <f aca="false">INDEX($B$127:$H$133,2,4)+0.8*(INDEX($B$135:$H$141,2,4)+INDEX($B$135:$H$141,4,2))+0.6*(INDEX($B$143:$H$149,2,4)+INDEX($B$143:$H$149,4,2))+0.4*(INDEX($B$151:$H$157,2,4)+INDEX($B$151:$H$157,4,2))+0.2*(INDEX($B$159:$H$165,2,4)+INDEX($B$159:$H$165,4,2))</f>
        <v>2.37051015925871</v>
      </c>
      <c r="F168" s="30" t="n">
        <f aca="false">INDEX($B$127:$H$133,2,5)+0.8*(INDEX($B$135:$H$141,2,5)+INDEX($B$135:$H$141,5,2))+0.6*(INDEX($B$143:$H$149,2,5)+INDEX($B$143:$H$149,5,2))+0.4*(INDEX($B$151:$H$157,2,5)+INDEX($B$151:$H$157,5,2))+0.2*(INDEX($B$159:$H$165,2,5)+INDEX($B$159:$H$165,5,2))</f>
        <v>-1.78220652059273</v>
      </c>
      <c r="G168" s="30" t="n">
        <f aca="false">INDEX($B$127:$H$133,2,6)+0.8*(INDEX($B$135:$H$141,2,6)+INDEX($B$135:$H$141,6,2))+0.6*(INDEX($B$143:$H$149,2,6)+INDEX($B$143:$H$149,6,2))+0.4*(INDEX($B$151:$H$157,2,6)+INDEX($B$151:$H$157,6,2))+0.2*(INDEX($B$159:$H$165,2,6)+INDEX($B$159:$H$165,6,2))</f>
        <v>0.000661611484081557</v>
      </c>
      <c r="H168" s="30" t="n">
        <f aca="false">INDEX($B$127:$H$133,2,7)+0.8*(INDEX($B$135:$H$141,2,7)+INDEX($B$135:$H$141,7,2))+0.6*(INDEX($B$143:$H$149,2,7)+INDEX($B$143:$H$149,7,2))+0.4*(INDEX($B$151:$H$157,2,7)+INDEX($B$151:$H$157,7,2))+0.2*(INDEX($B$159:$H$165,2,7)+INDEX($B$159:$H$165,7,2))</f>
        <v>-0.000189974524902285</v>
      </c>
    </row>
    <row r="169" customFormat="false" ht="15" hidden="false" customHeight="false" outlineLevel="0" collapsed="false">
      <c r="B169" s="30" t="n">
        <f aca="false">INDEX($B$127:$H$133,3,1)+0.8*(INDEX($B$135:$H$141,3,1)+INDEX($B$135:$H$141,1,3))+0.6*(INDEX($B$143:$H$149,3,1)+INDEX($B$143:$H$149,1,3))+0.4*(INDEX($B$151:$H$157,3,1)+INDEX($B$151:$H$157,1,3))+0.2*(INDEX($B$159:$H$165,3,1)+INDEX($B$159:$H$165,1,3))</f>
        <v>-8.03034512624725</v>
      </c>
      <c r="C169" s="30" t="n">
        <f aca="false">INDEX($B$127:$H$133,3,2)+0.8*(INDEX($B$135:$H$141,3,2)+INDEX($B$135:$H$141,2,3))+0.6*(INDEX($B$143:$H$149,3,2)+INDEX($B$143:$H$149,2,3))+0.4*(INDEX($B$151:$H$157,3,2)+INDEX($B$151:$H$157,2,3))+0.2*(INDEX($B$159:$H$165,3,2)+INDEX($B$159:$H$165,2,3))</f>
        <v>2.12794161827134</v>
      </c>
      <c r="D169" s="30" t="n">
        <f aca="false">INDEX($B$127:$H$133,3,3)+0.8*(INDEX($B$135:$H$141,3,3)+INDEX($B$135:$H$141,3,3))+0.6*(INDEX($B$143:$H$149,3,3)+INDEX($B$143:$H$149,3,3))+0.4*(INDEX($B$151:$H$157,3,3)+INDEX($B$151:$H$157,3,3))+0.2*(INDEX($B$159:$H$165,3,3)+INDEX($B$159:$H$165,3,3))</f>
        <v>12698.6001833576</v>
      </c>
      <c r="E169" s="30" t="n">
        <f aca="false">INDEX($B$127:$H$133,3,4)+0.8*(INDEX($B$135:$H$141,3,4)+INDEX($B$135:$H$141,4,3))+0.6*(INDEX($B$143:$H$149,3,4)+INDEX($B$143:$H$149,4,3))+0.4*(INDEX($B$151:$H$157,3,4)+INDEX($B$151:$H$157,4,3))+0.2*(INDEX($B$159:$H$165,3,4)+INDEX($B$159:$H$165,4,3))</f>
        <v>6669.96927526517</v>
      </c>
      <c r="F169" s="30" t="n">
        <f aca="false">INDEX($B$127:$H$133,3,5)+0.8*(INDEX($B$135:$H$141,3,5)+INDEX($B$135:$H$141,5,3))+0.6*(INDEX($B$143:$H$149,3,5)+INDEX($B$143:$H$149,5,3))+0.4*(INDEX($B$151:$H$157,3,5)+INDEX($B$151:$H$157,5,3))+0.2*(INDEX($B$159:$H$165,3,5)+INDEX($B$159:$H$165,5,3))</f>
        <v>-7125.01840770943</v>
      </c>
      <c r="G169" s="30" t="n">
        <f aca="false">INDEX($B$127:$H$133,3,6)+0.8*(INDEX($B$135:$H$141,3,6)+INDEX($B$135:$H$141,6,3))+0.6*(INDEX($B$143:$H$149,3,6)+INDEX($B$143:$H$149,6,3))+0.4*(INDEX($B$151:$H$157,3,6)+INDEX($B$151:$H$157,6,3))+0.2*(INDEX($B$159:$H$165,3,6)+INDEX($B$159:$H$165,6,3))</f>
        <v>0.95279168860813</v>
      </c>
      <c r="H169" s="30" t="n">
        <f aca="false">INDEX($B$127:$H$133,3,7)+0.8*(INDEX($B$135:$H$141,3,7)+INDEX($B$135:$H$141,7,3))+0.6*(INDEX($B$143:$H$149,3,7)+INDEX($B$143:$H$149,7,3))+0.4*(INDEX($B$151:$H$157,3,7)+INDEX($B$151:$H$157,7,3))+0.2*(INDEX($B$159:$H$165,3,7)+INDEX($B$159:$H$165,7,3))</f>
        <v>-0.140378037802248</v>
      </c>
    </row>
    <row r="170" customFormat="false" ht="15" hidden="false" customHeight="false" outlineLevel="0" collapsed="false">
      <c r="B170" s="30" t="n">
        <f aca="false">INDEX($B$127:$H$133,4,1)+0.8*(INDEX($B$135:$H$141,4,1)+INDEX($B$135:$H$141,1,4))+0.6*(INDEX($B$143:$H$149,4,1)+INDEX($B$143:$H$149,1,4))+0.4*(INDEX($B$151:$H$157,4,1)+INDEX($B$151:$H$157,1,4))+0.2*(INDEX($B$159:$H$165,4,1)+INDEX($B$159:$H$165,1,4))</f>
        <v>-11.2280131229557</v>
      </c>
      <c r="C170" s="30" t="n">
        <f aca="false">INDEX($B$127:$H$133,4,2)+0.8*(INDEX($B$135:$H$141,4,2)+INDEX($B$135:$H$141,2,4))+0.6*(INDEX($B$143:$H$149,4,2)+INDEX($B$143:$H$149,2,4))+0.4*(INDEX($B$151:$H$157,4,2)+INDEX($B$151:$H$157,2,4))+0.2*(INDEX($B$159:$H$165,4,2)+INDEX($B$159:$H$165,2,4))</f>
        <v>2.37051015925871</v>
      </c>
      <c r="D170" s="30" t="n">
        <f aca="false">INDEX($B$127:$H$133,4,3)+0.8*(INDEX($B$135:$H$141,4,3)+INDEX($B$135:$H$141,3,4))+0.6*(INDEX($B$143:$H$149,4,3)+INDEX($B$143:$H$149,3,4))+0.4*(INDEX($B$151:$H$157,4,3)+INDEX($B$151:$H$157,3,4))+0.2*(INDEX($B$159:$H$165,4,3)+INDEX($B$159:$H$165,3,4))</f>
        <v>6669.96927526517</v>
      </c>
      <c r="E170" s="30" t="n">
        <f aca="false">INDEX($B$127:$H$133,4,4)+0.8*(INDEX($B$135:$H$141,4,4)+INDEX($B$135:$H$141,4,4))+0.6*(INDEX($B$143:$H$149,4,4)+INDEX($B$143:$H$149,4,4))+0.4*(INDEX($B$151:$H$157,4,4)+INDEX($B$151:$H$157,4,4))+0.2*(INDEX($B$159:$H$165,4,4)+INDEX($B$159:$H$165,4,4))</f>
        <v>10206.5675022821</v>
      </c>
      <c r="F170" s="30" t="n">
        <f aca="false">INDEX($B$127:$H$133,4,5)+0.8*(INDEX($B$135:$H$141,4,5)+INDEX($B$135:$H$141,5,4))+0.6*(INDEX($B$143:$H$149,4,5)+INDEX($B$143:$H$149,5,4))+0.4*(INDEX($B$151:$H$157,4,5)+INDEX($B$151:$H$157,5,4))+0.2*(INDEX($B$159:$H$165,4,5)+INDEX($B$159:$H$165,5,4))</f>
        <v>-8552.42216066332</v>
      </c>
      <c r="G170" s="30" t="n">
        <f aca="false">INDEX($B$127:$H$133,4,6)+0.8*(INDEX($B$135:$H$141,4,6)+INDEX($B$135:$H$141,6,4))+0.6*(INDEX($B$143:$H$149,4,6)+INDEX($B$143:$H$149,6,4))+0.4*(INDEX($B$151:$H$157,4,6)+INDEX($B$151:$H$157,6,4))+0.2*(INDEX($B$159:$H$165,4,6)+INDEX($B$159:$H$165,6,4))</f>
        <v>2.50748085968701</v>
      </c>
      <c r="H170" s="30" t="n">
        <f aca="false">INDEX($B$127:$H$133,4,7)+0.8*(INDEX($B$135:$H$141,4,7)+INDEX($B$135:$H$141,7,4))+0.6*(INDEX($B$143:$H$149,4,7)+INDEX($B$143:$H$149,7,4))+0.4*(INDEX($B$151:$H$157,4,7)+INDEX($B$151:$H$157,7,4))+0.2*(INDEX($B$159:$H$165,4,7)+INDEX($B$159:$H$165,7,4))</f>
        <v>-0.0290812343678802</v>
      </c>
    </row>
    <row r="171" customFormat="false" ht="15" hidden="false" customHeight="false" outlineLevel="0" collapsed="false">
      <c r="B171" s="30" t="n">
        <f aca="false">INDEX($B$127:$H$133,5,1)+0.8*(INDEX($B$135:$H$141,5,1)+INDEX($B$135:$H$141,1,5))+0.6*(INDEX($B$143:$H$149,5,1)+INDEX($B$143:$H$149,1,5))+0.4*(INDEX($B$151:$H$157,5,1)+INDEX($B$151:$H$157,1,5))+0.2*(INDEX($B$159:$H$165,5,1)+INDEX($B$159:$H$165,1,5))</f>
        <v>11.0769798561043</v>
      </c>
      <c r="C171" s="30" t="n">
        <f aca="false">INDEX($B$127:$H$133,5,2)+0.8*(INDEX($B$135:$H$141,5,2)+INDEX($B$135:$H$141,2,5))+0.6*(INDEX($B$143:$H$149,5,2)+INDEX($B$143:$H$149,2,5))+0.4*(INDEX($B$151:$H$157,5,2)+INDEX($B$151:$H$157,2,5))+0.2*(INDEX($B$159:$H$165,5,2)+INDEX($B$159:$H$165,2,5))</f>
        <v>-1.78220652059273</v>
      </c>
      <c r="D171" s="30" t="n">
        <f aca="false">INDEX($B$127:$H$133,5,3)+0.8*(INDEX($B$135:$H$141,5,3)+INDEX($B$135:$H$141,3,5))+0.6*(INDEX($B$143:$H$149,5,3)+INDEX($B$143:$H$149,3,5))+0.4*(INDEX($B$151:$H$157,5,3)+INDEX($B$151:$H$157,3,5))+0.2*(INDEX($B$159:$H$165,5,3)+INDEX($B$159:$H$165,3,5))</f>
        <v>-7125.01840770943</v>
      </c>
      <c r="E171" s="30" t="n">
        <f aca="false">INDEX($B$127:$H$133,5,4)+0.8*(INDEX($B$135:$H$141,5,4)+INDEX($B$135:$H$141,4,5))+0.6*(INDEX($B$143:$H$149,5,4)+INDEX($B$143:$H$149,4,5))+0.4*(INDEX($B$151:$H$157,5,4)+INDEX($B$151:$H$157,4,5))+0.2*(INDEX($B$159:$H$165,5,4)+INDEX($B$159:$H$165,4,5))</f>
        <v>-8552.42216066332</v>
      </c>
      <c r="F171" s="30" t="n">
        <f aca="false">INDEX($B$127:$H$133,5,5)+0.8*(INDEX($B$135:$H$141,5,5)+INDEX($B$135:$H$141,5,5))+0.6*(INDEX($B$143:$H$149,5,5)+INDEX($B$143:$H$149,5,5))+0.4*(INDEX($B$151:$H$157,5,5)+INDEX($B$151:$H$157,5,5))+0.2*(INDEX($B$159:$H$165,5,5)+INDEX($B$159:$H$165,5,5))</f>
        <v>12250.003603628</v>
      </c>
      <c r="G171" s="30" t="n">
        <f aca="false">INDEX($B$127:$H$133,5,6)+0.8*(INDEX($B$135:$H$141,5,6)+INDEX($B$135:$H$141,6,5))+0.6*(INDEX($B$143:$H$149,5,6)+INDEX($B$143:$H$149,6,5))+0.4*(INDEX($B$151:$H$157,5,6)+INDEX($B$151:$H$157,6,5))+0.2*(INDEX($B$159:$H$165,5,6)+INDEX($B$159:$H$165,6,5))</f>
        <v>-1.69615863770474</v>
      </c>
      <c r="H171" s="30" t="n">
        <f aca="false">INDEX($B$127:$H$133,5,7)+0.8*(INDEX($B$135:$H$141,5,7)+INDEX($B$135:$H$141,7,5))+0.6*(INDEX($B$143:$H$149,5,7)+INDEX($B$143:$H$149,7,5))+0.4*(INDEX($B$151:$H$157,5,7)+INDEX($B$151:$H$157,7,5))+0.2*(INDEX($B$159:$H$165,5,7)+INDEX($B$159:$H$165,7,5))</f>
        <v>0.124208323279678</v>
      </c>
    </row>
    <row r="172" customFormat="false" ht="15" hidden="false" customHeight="false" outlineLevel="0" collapsed="false">
      <c r="B172" s="30" t="n">
        <f aca="false">INDEX($B$127:$H$133,6,1)+0.8*(INDEX($B$135:$H$141,6,1)+INDEX($B$135:$H$141,1,6))+0.6*(INDEX($B$143:$H$149,6,1)+INDEX($B$143:$H$149,1,6))+0.4*(INDEX($B$151:$H$157,6,1)+INDEX($B$151:$H$157,1,6))+0.2*(INDEX($B$159:$H$165,6,1)+INDEX($B$159:$H$165,1,6))</f>
        <v>-0.00292788775195285</v>
      </c>
      <c r="C172" s="30" t="n">
        <f aca="false">INDEX($B$127:$H$133,6,2)+0.8*(INDEX($B$135:$H$141,6,2)+INDEX($B$135:$H$141,2,6))+0.6*(INDEX($B$143:$H$149,6,2)+INDEX($B$143:$H$149,2,6))+0.4*(INDEX($B$151:$H$157,6,2)+INDEX($B$151:$H$157,2,6))+0.2*(INDEX($B$159:$H$165,6,2)+INDEX($B$159:$H$165,2,6))</f>
        <v>0.000661611484081557</v>
      </c>
      <c r="D172" s="30" t="n">
        <f aca="false">INDEX($B$127:$H$133,6,3)+0.8*(INDEX($B$135:$H$141,6,3)+INDEX($B$135:$H$141,3,6))+0.6*(INDEX($B$143:$H$149,6,3)+INDEX($B$143:$H$149,3,6))+0.4*(INDEX($B$151:$H$157,6,3)+INDEX($B$151:$H$157,3,6))+0.2*(INDEX($B$159:$H$165,6,3)+INDEX($B$159:$H$165,3,6))</f>
        <v>0.95279168860813</v>
      </c>
      <c r="E172" s="30" t="n">
        <f aca="false">INDEX($B$127:$H$133,6,4)+0.8*(INDEX($B$135:$H$141,6,4)+INDEX($B$135:$H$141,4,6))+0.6*(INDEX($B$143:$H$149,6,4)+INDEX($B$143:$H$149,4,6))+0.4*(INDEX($B$151:$H$157,6,4)+INDEX($B$151:$H$157,4,6))+0.2*(INDEX($B$159:$H$165,6,4)+INDEX($B$159:$H$165,4,6))</f>
        <v>2.50748085968701</v>
      </c>
      <c r="F172" s="30" t="n">
        <f aca="false">INDEX($B$127:$H$133,6,5)+0.8*(INDEX($B$135:$H$141,6,5)+INDEX($B$135:$H$141,5,6))+0.6*(INDEX($B$143:$H$149,6,5)+INDEX($B$143:$H$149,5,6))+0.4*(INDEX($B$151:$H$157,6,5)+INDEX($B$151:$H$157,5,6))+0.2*(INDEX($B$159:$H$165,6,5)+INDEX($B$159:$H$165,5,6))</f>
        <v>-1.69615863770474</v>
      </c>
      <c r="G172" s="30" t="n">
        <f aca="false">INDEX($B$127:$H$133,6,6)+0.8*(INDEX($B$135:$H$141,6,6)+INDEX($B$135:$H$141,6,6))+0.6*(INDEX($B$143:$H$149,6,6)+INDEX($B$143:$H$149,6,6))+0.4*(INDEX($B$151:$H$157,6,6)+INDEX($B$151:$H$157,6,6))+0.2*(INDEX($B$159:$H$165,6,6)+INDEX($B$159:$H$165,6,6))</f>
        <v>0.00154400635660292</v>
      </c>
      <c r="H172" s="30" t="n">
        <f aca="false">INDEX($B$127:$H$133,6,7)+0.8*(INDEX($B$135:$H$141,6,7)+INDEX($B$135:$H$141,7,6))+0.6*(INDEX($B$143:$H$149,6,7)+INDEX($B$143:$H$149,7,6))+0.4*(INDEX($B$151:$H$157,6,7)+INDEX($B$151:$H$157,7,6))+0.2*(INDEX($B$159:$H$165,6,7)+INDEX($B$159:$H$165,7,6))</f>
        <v>0.000102611104502935</v>
      </c>
    </row>
    <row r="173" customFormat="false" ht="15" hidden="false" customHeight="false" outlineLevel="0" collapsed="false">
      <c r="B173" s="30" t="n">
        <f aca="false">INDEX($B$127:$H$133,7,1)+0.8*(INDEX($B$135:$H$141,7,1)+INDEX($B$135:$H$141,1,7))+0.6*(INDEX($B$143:$H$149,7,1)+INDEX($B$143:$H$149,1,7))+0.4*(INDEX($B$151:$H$157,7,1)+INDEX($B$151:$H$157,1,7))+0.2*(INDEX($B$159:$H$165,7,1)+INDEX($B$159:$H$165,1,7))</f>
        <v>0.000571866259757997</v>
      </c>
      <c r="C173" s="30" t="n">
        <f aca="false">INDEX($B$127:$H$133,7,2)+0.8*(INDEX($B$135:$H$141,7,2)+INDEX($B$135:$H$141,2,7))+0.6*(INDEX($B$143:$H$149,7,2)+INDEX($B$143:$H$149,2,7))+0.4*(INDEX($B$151:$H$157,7,2)+INDEX($B$151:$H$157,2,7))+0.2*(INDEX($B$159:$H$165,7,2)+INDEX($B$159:$H$165,2,7))</f>
        <v>-0.000189974524902285</v>
      </c>
      <c r="D173" s="30" t="n">
        <f aca="false">INDEX($B$127:$H$133,7,3)+0.8*(INDEX($B$135:$H$141,7,3)+INDEX($B$135:$H$141,3,7))+0.6*(INDEX($B$143:$H$149,7,3)+INDEX($B$143:$H$149,3,7))+0.4*(INDEX($B$151:$H$157,7,3)+INDEX($B$151:$H$157,3,7))+0.2*(INDEX($B$159:$H$165,7,3)+INDEX($B$159:$H$165,3,7))</f>
        <v>-0.140378037802248</v>
      </c>
      <c r="E173" s="30" t="n">
        <f aca="false">INDEX($B$127:$H$133,7,4)+0.8*(INDEX($B$135:$H$141,7,4)+INDEX($B$135:$H$141,4,7))+0.6*(INDEX($B$143:$H$149,7,4)+INDEX($B$143:$H$149,4,7))+0.4*(INDEX($B$151:$H$157,7,4)+INDEX($B$151:$H$157,4,7))+0.2*(INDEX($B$159:$H$165,7,4)+INDEX($B$159:$H$165,4,7))</f>
        <v>-0.0290812343678802</v>
      </c>
      <c r="F173" s="30" t="n">
        <f aca="false">INDEX($B$127:$H$133,7,5)+0.8*(INDEX($B$135:$H$141,7,5)+INDEX($B$135:$H$141,5,7))+0.6*(INDEX($B$143:$H$149,7,5)+INDEX($B$143:$H$149,5,7))+0.4*(INDEX($B$151:$H$157,7,5)+INDEX($B$151:$H$157,5,7))+0.2*(INDEX($B$159:$H$165,7,5)+INDEX($B$159:$H$165,5,7))</f>
        <v>0.124208323279678</v>
      </c>
      <c r="G173" s="30" t="n">
        <f aca="false">INDEX($B$127:$H$133,7,6)+0.8*(INDEX($B$135:$H$141,7,6)+INDEX($B$135:$H$141,6,7))+0.6*(INDEX($B$143:$H$149,7,6)+INDEX($B$143:$H$149,6,7))+0.4*(INDEX($B$151:$H$157,7,6)+INDEX($B$151:$H$157,6,7))+0.2*(INDEX($B$159:$H$165,7,6)+INDEX($B$159:$H$165,6,7))</f>
        <v>0.000102611104502935</v>
      </c>
      <c r="H173" s="30" t="n">
        <f aca="false">INDEX($B$127:$H$133,7,7)+0.8*(INDEX($B$135:$H$141,7,7)+INDEX($B$135:$H$141,7,7))+0.6*(INDEX($B$143:$H$149,7,7)+INDEX($B$143:$H$149,7,7))+0.4*(INDEX($B$151:$H$157,7,7)+INDEX($B$151:$H$157,7,7))+0.2*(INDEX($B$159:$H$165,7,7)+INDEX($B$159:$H$165,7,7))</f>
        <v>0.000265793559040811</v>
      </c>
    </row>
    <row r="174" customFormat="false" ht="15" hidden="false" customHeight="false" outlineLevel="0" collapsed="false">
      <c r="A174" s="10" t="s">
        <v>175</v>
      </c>
    </row>
    <row r="175" customFormat="false" ht="15" hidden="false" customHeight="false" outlineLevel="0" collapsed="false">
      <c r="B175" s="30" t="n">
        <f aca="false">INDEX(MMULT(MMULT($B$119:$H$125,$B$167:$H$173),$B$119:$H$125),1,1)</f>
        <v>1.00322491995716E-005</v>
      </c>
      <c r="C175" s="30" t="n">
        <f aca="false">INDEX(MMULT(MMULT($B$119:$H$125,$B$167:$H$173),$B$119:$H$125),1,2)</f>
        <v>-9.75039149900624E-005</v>
      </c>
      <c r="D175" s="30" t="n">
        <f aca="false">INDEX(MMULT(MMULT($B$119:$H$125,$B$167:$H$173),$B$119:$H$125),1,3)</f>
        <v>-1.95238994335762E-008</v>
      </c>
      <c r="E175" s="30" t="n">
        <f aca="false">INDEX(MMULT(MMULT($B$119:$H$125,$B$167:$H$173),$B$119:$H$125),1,4)</f>
        <v>-1.7221237883359E-008</v>
      </c>
      <c r="F175" s="30" t="n">
        <f aca="false">INDEX(MMULT(MMULT($B$119:$H$125,$B$167:$H$173),$B$119:$H$125),1,5)</f>
        <v>2.18094675456418E-008</v>
      </c>
      <c r="G175" s="30" t="n">
        <f aca="false">INDEX(MMULT(MMULT($B$119:$H$125,$B$167:$H$173),$B$119:$H$125),1,6)</f>
        <v>-6.63683150316977E-005</v>
      </c>
      <c r="H175" s="30" t="n">
        <f aca="false">INDEX(MMULT(MMULT($B$119:$H$125,$B$167:$H$173),$B$119:$H$125),1,7)</f>
        <v>4.41478239292241E-005</v>
      </c>
    </row>
    <row r="176" customFormat="false" ht="15" hidden="false" customHeight="false" outlineLevel="0" collapsed="false">
      <c r="B176" s="30" t="n">
        <f aca="false">INDEX(MMULT(MMULT($B$119:$H$125,$B$167:$H$173),$B$119:$H$125),2,1)</f>
        <v>-9.75039149900628E-005</v>
      </c>
      <c r="C176" s="30" t="n">
        <f aca="false">INDEX(MMULT(MMULT($B$119:$H$125,$B$167:$H$173),$B$119:$H$125),2,2)</f>
        <v>0.00477833226035581</v>
      </c>
      <c r="D176" s="30" t="n">
        <f aca="false">INDEX(MMULT(MMULT($B$119:$H$125,$B$167:$H$173),$B$119:$H$125),2,3)</f>
        <v>7.68392969934064E-007</v>
      </c>
      <c r="E176" s="30" t="n">
        <f aca="false">INDEX(MMULT(MMULT($B$119:$H$125,$B$167:$H$173),$B$119:$H$125),2,4)</f>
        <v>4.93120726662574E-008</v>
      </c>
      <c r="F176" s="30" t="n">
        <f aca="false">INDEX(MMULT(MMULT($B$119:$H$125,$B$167:$H$173),$B$119:$H$125),2,5)</f>
        <v>-4.47328073376057E-008</v>
      </c>
      <c r="G176" s="30" t="n">
        <f aca="false">INDEX(MMULT(MMULT($B$119:$H$125,$B$167:$H$173),$B$119:$H$125),2,6)</f>
        <v>0.00043569136635417</v>
      </c>
      <c r="H176" s="30" t="n">
        <f aca="false">INDEX(MMULT(MMULT($B$119:$H$125,$B$167:$H$173),$B$119:$H$125),2,7)</f>
        <v>-0.00112071828391553</v>
      </c>
    </row>
    <row r="177" customFormat="false" ht="15" hidden="false" customHeight="false" outlineLevel="0" collapsed="false">
      <c r="B177" s="30" t="n">
        <f aca="false">INDEX(MMULT(MMULT($B$119:$H$125,$B$167:$H$173),$B$119:$H$125),3,1)</f>
        <v>-1.95238994335761E-008</v>
      </c>
      <c r="C177" s="30" t="n">
        <f aca="false">INDEX(MMULT(MMULT($B$119:$H$125,$B$167:$H$173),$B$119:$H$125),3,2)</f>
        <v>7.68392969934063E-007</v>
      </c>
      <c r="D177" s="30" t="n">
        <f aca="false">INDEX(MMULT(MMULT($B$119:$H$125,$B$167:$H$173),$B$119:$H$125),3,3)</f>
        <v>3.35208167322193E-010</v>
      </c>
      <c r="E177" s="30" t="n">
        <f aca="false">INDEX(MMULT(MMULT($B$119:$H$125,$B$167:$H$173),$B$119:$H$125),3,4)</f>
        <v>7.40664511285697E-011</v>
      </c>
      <c r="F177" s="30" t="n">
        <f aca="false">INDEX(MMULT(MMULT($B$119:$H$125,$B$167:$H$173),$B$119:$H$125),3,5)</f>
        <v>-1.11051402501085E-010</v>
      </c>
      <c r="G177" s="30" t="n">
        <f aca="false">INDEX(MMULT(MMULT($B$119:$H$125,$B$167:$H$173),$B$119:$H$125),3,6)</f>
        <v>1.2054703708289E-007</v>
      </c>
      <c r="H177" s="30" t="n">
        <f aca="false">INDEX(MMULT(MMULT($B$119:$H$125,$B$167:$H$173),$B$119:$H$125),3,7)</f>
        <v>-2.93191475494121E-007</v>
      </c>
    </row>
    <row r="178" customFormat="false" ht="15" hidden="false" customHeight="false" outlineLevel="0" collapsed="false">
      <c r="B178" s="30" t="n">
        <f aca="false">INDEX(MMULT(MMULT($B$119:$H$125,$B$167:$H$173),$B$119:$H$125),4,1)</f>
        <v>-1.72212378833587E-008</v>
      </c>
      <c r="C178" s="30" t="n">
        <f aca="false">INDEX(MMULT(MMULT($B$119:$H$125,$B$167:$H$173),$B$119:$H$125),4,2)</f>
        <v>4.93120726662551E-008</v>
      </c>
      <c r="D178" s="30" t="n">
        <f aca="false">INDEX(MMULT(MMULT($B$119:$H$125,$B$167:$H$173),$B$119:$H$125),4,3)</f>
        <v>7.40664511285694E-011</v>
      </c>
      <c r="E178" s="30" t="n">
        <f aca="false">INDEX(MMULT(MMULT($B$119:$H$125,$B$167:$H$173),$B$119:$H$125),4,4)</f>
        <v>1.52797703110882E-010</v>
      </c>
      <c r="F178" s="30" t="n">
        <f aca="false">INDEX(MMULT(MMULT($B$119:$H$125,$B$167:$H$173),$B$119:$H$125),4,5)</f>
        <v>-1.1742275545784E-010</v>
      </c>
      <c r="G178" s="30" t="n">
        <f aca="false">INDEX(MMULT(MMULT($B$119:$H$125,$B$167:$H$173),$B$119:$H$125),4,6)</f>
        <v>3.15261258328431E-007</v>
      </c>
      <c r="H178" s="30" t="n">
        <f aca="false">INDEX(MMULT(MMULT($B$119:$H$125,$B$167:$H$173),$B$119:$H$125),4,7)</f>
        <v>-7.97997250294421E-008</v>
      </c>
    </row>
    <row r="179" customFormat="false" ht="15" hidden="false" customHeight="false" outlineLevel="0" collapsed="false">
      <c r="B179" s="30" t="n">
        <f aca="false">INDEX(MMULT(MMULT($B$119:$H$125,$B$167:$H$173),$B$119:$H$125),5,1)</f>
        <v>2.18094675456414E-008</v>
      </c>
      <c r="C179" s="30" t="n">
        <f aca="false">INDEX(MMULT(MMULT($B$119:$H$125,$B$167:$H$173),$B$119:$H$125),5,2)</f>
        <v>-4.47328073376011E-008</v>
      </c>
      <c r="D179" s="30" t="n">
        <f aca="false">INDEX(MMULT(MMULT($B$119:$H$125,$B$167:$H$173),$B$119:$H$125),5,3)</f>
        <v>-1.11051402501085E-010</v>
      </c>
      <c r="E179" s="30" t="n">
        <f aca="false">INDEX(MMULT(MMULT($B$119:$H$125,$B$167:$H$173),$B$119:$H$125),5,4)</f>
        <v>-1.1742275545784E-010</v>
      </c>
      <c r="F179" s="30" t="n">
        <f aca="false">INDEX(MMULT(MMULT($B$119:$H$125,$B$167:$H$173),$B$119:$H$125),5,5)</f>
        <v>3.00859206282629E-010</v>
      </c>
      <c r="G179" s="30" t="n">
        <f aca="false">INDEX(MMULT(MMULT($B$119:$H$125,$B$167:$H$173),$B$119:$H$125),5,6)</f>
        <v>-3.95121046069595E-007</v>
      </c>
      <c r="H179" s="30" t="n">
        <f aca="false">INDEX(MMULT(MMULT($B$119:$H$125,$B$167:$H$173),$B$119:$H$125),5,7)</f>
        <v>3.0241016039421E-007</v>
      </c>
    </row>
    <row r="180" customFormat="false" ht="15" hidden="false" customHeight="false" outlineLevel="0" collapsed="false">
      <c r="B180" s="30" t="n">
        <f aca="false">INDEX(MMULT(MMULT($B$119:$H$125,$B$167:$H$173),$B$119:$H$125),6,1)</f>
        <v>-6.6368315031697E-005</v>
      </c>
      <c r="C180" s="30" t="n">
        <f aca="false">INDEX(MMULT(MMULT($B$119:$H$125,$B$167:$H$173),$B$119:$H$125),6,2)</f>
        <v>0.000435691366354165</v>
      </c>
      <c r="D180" s="30" t="n">
        <f aca="false">INDEX(MMULT(MMULT($B$119:$H$125,$B$167:$H$173),$B$119:$H$125),6,3)</f>
        <v>1.2054703708289E-007</v>
      </c>
      <c r="E180" s="30" t="n">
        <f aca="false">INDEX(MMULT(MMULT($B$119:$H$125,$B$167:$H$173),$B$119:$H$125),6,4)</f>
        <v>3.15261258328432E-007</v>
      </c>
      <c r="F180" s="30" t="n">
        <f aca="false">INDEX(MMULT(MMULT($B$119:$H$125,$B$167:$H$173),$B$119:$H$125),6,5)</f>
        <v>-3.95121046069595E-007</v>
      </c>
      <c r="G180" s="30" t="n">
        <f aca="false">INDEX(MMULT(MMULT($B$119:$H$125,$B$167:$H$173),$B$119:$H$125),6,6)</f>
        <v>0.00144475568721737</v>
      </c>
      <c r="H180" s="30" t="n">
        <f aca="false">INDEX(MMULT(MMULT($B$119:$H$125,$B$167:$H$173),$B$119:$H$125),6,7)</f>
        <v>-0.000602779209696896</v>
      </c>
    </row>
    <row r="181" customFormat="false" ht="15" hidden="false" customHeight="false" outlineLevel="0" collapsed="false">
      <c r="B181" s="30" t="n">
        <f aca="false">INDEX(MMULT(MMULT($B$119:$H$125,$B$167:$H$173),$B$119:$H$125),7,1)</f>
        <v>4.41478239292238E-005</v>
      </c>
      <c r="C181" s="30" t="n">
        <f aca="false">INDEX(MMULT(MMULT($B$119:$H$125,$B$167:$H$173),$B$119:$H$125),7,2)</f>
        <v>-0.00112071828391553</v>
      </c>
      <c r="D181" s="30" t="n">
        <f aca="false">INDEX(MMULT(MMULT($B$119:$H$125,$B$167:$H$173),$B$119:$H$125),7,3)</f>
        <v>-2.93191475494121E-007</v>
      </c>
      <c r="E181" s="30" t="n">
        <f aca="false">INDEX(MMULT(MMULT($B$119:$H$125,$B$167:$H$173),$B$119:$H$125),7,4)</f>
        <v>-7.97997250294426E-008</v>
      </c>
      <c r="F181" s="30" t="n">
        <f aca="false">INDEX(MMULT(MMULT($B$119:$H$125,$B$167:$H$173),$B$119:$H$125),7,5)</f>
        <v>3.0241016039421E-007</v>
      </c>
      <c r="G181" s="30" t="n">
        <f aca="false">INDEX(MMULT(MMULT($B$119:$H$125,$B$167:$H$173),$B$119:$H$125),7,6)</f>
        <v>-0.000602779209696896</v>
      </c>
      <c r="H181" s="30" t="n">
        <f aca="false">INDEX(MMULT(MMULT($B$119:$H$125,$B$167:$H$173),$B$119:$H$125),7,7)</f>
        <v>0.0025563247650514</v>
      </c>
    </row>
    <row r="183" customFormat="false" ht="15" hidden="false" customHeight="false" outlineLevel="0" collapsed="false">
      <c r="A183" s="15" t="s">
        <v>28</v>
      </c>
      <c r="B183" s="15" t="s">
        <v>29</v>
      </c>
      <c r="C183" s="15" t="s">
        <v>30</v>
      </c>
      <c r="D183" s="15" t="s">
        <v>31</v>
      </c>
      <c r="E183" s="15" t="s">
        <v>32</v>
      </c>
    </row>
    <row r="184" customFormat="false" ht="15" hidden="false" customHeight="false" outlineLevel="0" collapsed="false">
      <c r="A184" s="25" t="s">
        <v>161</v>
      </c>
      <c r="B184" s="8" t="n">
        <f aca="false">B88</f>
        <v>0.00131905025225478</v>
      </c>
      <c r="C184" s="26" t="n">
        <f aca="false">SQRT(INDEX($B$175:$H$181,1,1))</f>
        <v>0.00316737260194812</v>
      </c>
      <c r="D184" s="5" t="n">
        <f aca="false">B184/C184</f>
        <v>0.416449347147691</v>
      </c>
      <c r="E184" s="7" t="n">
        <f aca="false">TDIST(ABS(D184),$H$87,2)</f>
        <v>0.678373840730041</v>
      </c>
    </row>
    <row r="185" customFormat="false" ht="15" hidden="false" customHeight="false" outlineLevel="0" collapsed="false">
      <c r="A185" s="25" t="s">
        <v>141</v>
      </c>
      <c r="B185" s="8" t="n">
        <f aca="false">B89</f>
        <v>0.0915170543914971</v>
      </c>
      <c r="C185" s="26" t="n">
        <f aca="false">SQRT(INDEX($B$175:$H$181,2,2))</f>
        <v>0.0691254819900433</v>
      </c>
      <c r="D185" s="5" t="n">
        <f aca="false">B185/C185</f>
        <v>1.32392645601631</v>
      </c>
      <c r="E185" s="7" t="n">
        <f aca="false">TDIST(ABS(D185),$H$87,2)</f>
        <v>0.189896819236482</v>
      </c>
    </row>
    <row r="186" customFormat="false" ht="15" hidden="false" customHeight="false" outlineLevel="0" collapsed="false">
      <c r="A186" s="25" t="s">
        <v>142</v>
      </c>
      <c r="B186" s="8" t="n">
        <f aca="false">B90</f>
        <v>-6.41908048970035E-005</v>
      </c>
      <c r="C186" s="26" t="n">
        <f aca="false">SQRT(INDEX($B$175:$H$181,3,3))</f>
        <v>1.83086910324631E-005</v>
      </c>
      <c r="D186" s="5" t="n">
        <f aca="false">B186/C186</f>
        <v>-3.50602917396919</v>
      </c>
      <c r="E186" s="7" t="n">
        <f aca="false">TDIST(ABS(D186),$H$87,2)</f>
        <v>0.000804168512941853</v>
      </c>
    </row>
    <row r="187" customFormat="false" ht="15" hidden="false" customHeight="false" outlineLevel="0" collapsed="false">
      <c r="A187" s="25" t="s">
        <v>143</v>
      </c>
      <c r="B187" s="8" t="n">
        <f aca="false">B91</f>
        <v>-6.15131575700507E-005</v>
      </c>
      <c r="C187" s="26" t="n">
        <f aca="false">SQRT(INDEX($B$175:$H$181,4,4))</f>
        <v>1.23611368049578E-005</v>
      </c>
      <c r="D187" s="5" t="n">
        <f aca="false">B187/C187</f>
        <v>-4.97633498768326</v>
      </c>
      <c r="E187" s="7" t="n">
        <f aca="false">TDIST(ABS(D187),$H$87,2)</f>
        <v>4.56508634303329E-006</v>
      </c>
    </row>
    <row r="188" customFormat="false" ht="15" hidden="false" customHeight="false" outlineLevel="0" collapsed="false">
      <c r="A188" s="25" t="s">
        <v>144</v>
      </c>
      <c r="B188" s="8" t="n">
        <f aca="false">B92</f>
        <v>3.56560998606745E-005</v>
      </c>
      <c r="C188" s="26" t="n">
        <f aca="false">SQRT(INDEX($B$175:$H$181,5,5))</f>
        <v>1.73452934908185E-005</v>
      </c>
      <c r="D188" s="5" t="n">
        <f aca="false">B188/C188</f>
        <v>2.05566425725507</v>
      </c>
      <c r="E188" s="7" t="n">
        <f aca="false">TDIST(ABS(D188),$H$87,2)</f>
        <v>0.0436010678074197</v>
      </c>
    </row>
    <row r="189" customFormat="false" ht="15" hidden="false" customHeight="false" outlineLevel="0" collapsed="false">
      <c r="A189" s="25" t="s">
        <v>145</v>
      </c>
      <c r="B189" s="8" t="n">
        <f aca="false">B93</f>
        <v>-0.113365544667691</v>
      </c>
      <c r="C189" s="26" t="n">
        <f aca="false">SQRT(INDEX($B$175:$H$181,6,6))</f>
        <v>0.0380099419523021</v>
      </c>
      <c r="D189" s="5" t="n">
        <f aca="false">B189/C189</f>
        <v>-2.98252348845865</v>
      </c>
      <c r="E189" s="7" t="n">
        <f aca="false">TDIST(ABS(D189),$H$87,2)</f>
        <v>0.00394879672938255</v>
      </c>
    </row>
    <row r="190" customFormat="false" ht="15" hidden="false" customHeight="false" outlineLevel="0" collapsed="false">
      <c r="A190" s="25" t="s">
        <v>146</v>
      </c>
      <c r="B190" s="8" t="n">
        <f aca="false">B94</f>
        <v>0.187891426630302</v>
      </c>
      <c r="C190" s="26" t="n">
        <f aca="false">SQRT(INDEX($B$175:$H$181,7,7))</f>
        <v>0.050560110413758</v>
      </c>
      <c r="D190" s="5" t="n">
        <f aca="false">B190/C190</f>
        <v>3.71619889855253</v>
      </c>
      <c r="E190" s="7" t="n">
        <f aca="false">TDIST(ABS(D190),$H$87,2)</f>
        <v>0.000407141745339763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3" min="2" style="0" width="13"/>
  </cols>
  <sheetData>
    <row r="1" customFormat="false" ht="17.3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</row>
    <row r="5" customFormat="false" ht="15" hidden="false" customHeight="false" outlineLevel="0" collapsed="false">
      <c r="A5" s="3" t="s">
        <v>42</v>
      </c>
      <c r="B5" s="3" t="s">
        <v>140</v>
      </c>
      <c r="C5" s="3" t="s">
        <v>141</v>
      </c>
      <c r="D5" s="3" t="s">
        <v>142</v>
      </c>
      <c r="E5" s="3" t="s">
        <v>143</v>
      </c>
      <c r="F5" s="3" t="s">
        <v>144</v>
      </c>
      <c r="G5" s="3" t="s">
        <v>145</v>
      </c>
      <c r="H5" s="3" t="s">
        <v>146</v>
      </c>
      <c r="I5" s="3" t="s">
        <v>178</v>
      </c>
      <c r="J5" s="3" t="s">
        <v>179</v>
      </c>
      <c r="K5" s="3" t="s">
        <v>147</v>
      </c>
      <c r="L5" s="3" t="s">
        <v>148</v>
      </c>
      <c r="M5" s="3" t="s">
        <v>149</v>
      </c>
      <c r="N5" s="3" t="s">
        <v>150</v>
      </c>
      <c r="O5" s="3" t="s">
        <v>151</v>
      </c>
      <c r="P5" s="3" t="s">
        <v>152</v>
      </c>
      <c r="Q5" s="3" t="s">
        <v>153</v>
      </c>
      <c r="R5" s="3" t="s">
        <v>154</v>
      </c>
      <c r="S5" s="3" t="s">
        <v>155</v>
      </c>
      <c r="T5" s="3" t="s">
        <v>156</v>
      </c>
      <c r="U5" s="3" t="s">
        <v>180</v>
      </c>
      <c r="V5" s="3" t="s">
        <v>181</v>
      </c>
    </row>
    <row r="6" customFormat="false" ht="15" hidden="false" customHeight="false" outlineLevel="0" collapsed="false">
      <c r="A6" s="20" t="str">
        <f aca="false">Datos!A14</f>
        <v>2007Q2</v>
      </c>
      <c r="B6" s="21" t="n">
        <f aca="false">Datos!L14</f>
        <v>0.0150044625048817</v>
      </c>
      <c r="C6" s="21" t="n">
        <f aca="false">Datos!I14</f>
        <v>-0.012635858101546</v>
      </c>
      <c r="D6" s="21" t="n">
        <f aca="false">Datos!H14</f>
        <v>58.1062311827956</v>
      </c>
      <c r="E6" s="21" t="n">
        <f aca="false">Datos!H12</f>
        <v>-57.3400276497695</v>
      </c>
      <c r="F6" s="21" t="n">
        <f aca="false">Datos!H8</f>
        <v>9.68690215163929</v>
      </c>
      <c r="G6" s="21" t="n">
        <f aca="false">Datos!J8</f>
        <v>-0.0652841179146</v>
      </c>
      <c r="H6" s="21" t="n">
        <f aca="false">Datos!K7</f>
        <v>0.115224744248954</v>
      </c>
      <c r="I6" s="21" t="n">
        <f aca="false">IF($A6="2020Q2",1,0)</f>
        <v>0</v>
      </c>
      <c r="J6" s="21" t="n">
        <f aca="false">IF($A6="2021Q2",1,0)</f>
        <v>0</v>
      </c>
      <c r="K6" s="19" t="n">
        <v>1</v>
      </c>
      <c r="L6" s="19" t="n">
        <f aca="false">B6-($B$88+$B$89*C6+$B$90*D6+$B$91*E6+$B$92*F6+$B$93*G6+$B$94*H6+$B$95*I6+$B$96*J6)</f>
        <v>-0.00515464133793423</v>
      </c>
      <c r="M6" s="19" t="n">
        <f aca="false">L6^2</f>
        <v>2.65703273227404E-005</v>
      </c>
      <c r="N6" s="19" t="n">
        <f aca="false">K6*$L6</f>
        <v>-0.00515464133793423</v>
      </c>
      <c r="O6" s="19" t="n">
        <f aca="false">C6*$L6</f>
        <v>6.51333165105002E-005</v>
      </c>
      <c r="P6" s="19" t="n">
        <f aca="false">D6*$L6</f>
        <v>-0.299516781246402</v>
      </c>
      <c r="Q6" s="19" t="n">
        <f aca="false">E6*$L6</f>
        <v>0.295567276841794</v>
      </c>
      <c r="R6" s="19" t="n">
        <f aca="false">F6*$L6</f>
        <v>-0.049932506267364</v>
      </c>
      <c r="S6" s="19" t="n">
        <f aca="false">G6*$L6</f>
        <v>0.00033651621291317</v>
      </c>
      <c r="T6" s="19" t="n">
        <f aca="false">H6*$L6</f>
        <v>-0.00059394222985856</v>
      </c>
      <c r="U6" s="19" t="n">
        <f aca="false">I6*$L6</f>
        <v>-0</v>
      </c>
      <c r="V6" s="19" t="n">
        <f aca="false">J6*$L6</f>
        <v>-0</v>
      </c>
    </row>
    <row r="7" customFormat="false" ht="15" hidden="false" customHeight="false" outlineLevel="0" collapsed="false">
      <c r="A7" s="20" t="str">
        <f aca="false">Datos!A15</f>
        <v>2007Q3</v>
      </c>
      <c r="B7" s="21" t="n">
        <f aca="false">Datos!L15</f>
        <v>-0.0143158967408283</v>
      </c>
      <c r="C7" s="21" t="n">
        <f aca="false">Datos!I15</f>
        <v>-0.0246226187787558</v>
      </c>
      <c r="D7" s="21" t="n">
        <f aca="false">Datos!H15</f>
        <v>146.742396825397</v>
      </c>
      <c r="E7" s="21" t="n">
        <f aca="false">Datos!H13</f>
        <v>-71.4258225806452</v>
      </c>
      <c r="F7" s="21" t="n">
        <f aca="false">Datos!H9</f>
        <v>-29.0010684822845</v>
      </c>
      <c r="G7" s="21" t="n">
        <f aca="false">Datos!J9</f>
        <v>0.104633678332462</v>
      </c>
      <c r="H7" s="21" t="n">
        <f aca="false">Datos!K8</f>
        <v>0.0193530431424458</v>
      </c>
      <c r="I7" s="21" t="n">
        <f aca="false">IF($A7="2020Q2",1,0)</f>
        <v>0</v>
      </c>
      <c r="J7" s="21" t="n">
        <f aca="false">IF($A7="2021Q2",1,0)</f>
        <v>0</v>
      </c>
      <c r="K7" s="19" t="n">
        <v>1</v>
      </c>
      <c r="L7" s="19" t="n">
        <f aca="false">B7-($B$88+$B$89*C7+$B$90*D7+$B$91*E7+$B$92*F7+$B$93*G7+$B$94*H7+$B$95*I7+$B$96*J7)</f>
        <v>0.00177095505265582</v>
      </c>
      <c r="M7" s="19" t="n">
        <f aca="false">L7^2</f>
        <v>3.13628179852718E-006</v>
      </c>
      <c r="N7" s="19" t="n">
        <f aca="false">K7*$L7</f>
        <v>0.00177095505265582</v>
      </c>
      <c r="O7" s="19" t="n">
        <f aca="false">C7*$L7</f>
        <v>-4.36055511358556E-005</v>
      </c>
      <c r="P7" s="19" t="n">
        <f aca="false">D7*$L7</f>
        <v>0.259874189096762</v>
      </c>
      <c r="Q7" s="19" t="n">
        <f aca="false">E7*$L7</f>
        <v>-0.126491921389292</v>
      </c>
      <c r="R7" s="19" t="n">
        <f aca="false">F7*$L7</f>
        <v>-0.0513595887611192</v>
      </c>
      <c r="S7" s="19" t="n">
        <f aca="false">G7*$L7</f>
        <v>0.000185301541320838</v>
      </c>
      <c r="T7" s="19" t="n">
        <f aca="false">H7*$L7</f>
        <v>3.42733695373805E-005</v>
      </c>
      <c r="U7" s="19" t="n">
        <f aca="false">I7*$L7</f>
        <v>0</v>
      </c>
      <c r="V7" s="19" t="n">
        <f aca="false">J7*$L7</f>
        <v>0</v>
      </c>
    </row>
    <row r="8" customFormat="false" ht="15" hidden="false" customHeight="false" outlineLevel="0" collapsed="false">
      <c r="A8" s="20" t="str">
        <f aca="false">Datos!A16</f>
        <v>2007Q4</v>
      </c>
      <c r="B8" s="21" t="n">
        <f aca="false">Datos!L16</f>
        <v>0.00839550917295817</v>
      </c>
      <c r="C8" s="21" t="n">
        <f aca="false">Datos!I16</f>
        <v>-0.0513696334944869</v>
      </c>
      <c r="D8" s="21" t="n">
        <f aca="false">Datos!H16</f>
        <v>-28.2266763952893</v>
      </c>
      <c r="E8" s="21" t="n">
        <f aca="false">Datos!H14</f>
        <v>58.1062311827956</v>
      </c>
      <c r="F8" s="21" t="n">
        <f aca="false">Datos!H10</f>
        <v>-40.7013678955453</v>
      </c>
      <c r="G8" s="21" t="n">
        <f aca="false">Datos!J10</f>
        <v>-0.0328640375646361</v>
      </c>
      <c r="H8" s="21" t="n">
        <f aca="false">Datos!K9</f>
        <v>0.0252689346766117</v>
      </c>
      <c r="I8" s="21" t="n">
        <f aca="false">IF($A8="2020Q2",1,0)</f>
        <v>0</v>
      </c>
      <c r="J8" s="21" t="n">
        <f aca="false">IF($A8="2021Q2",1,0)</f>
        <v>0</v>
      </c>
      <c r="K8" s="19" t="n">
        <v>1</v>
      </c>
      <c r="L8" s="19" t="n">
        <f aca="false">B8-($B$88+$B$89*C8+$B$90*D8+$B$91*E8+$B$92*F8+$B$93*G8+$B$94*H8+$B$95*I8+$B$96*J8)</f>
        <v>0.014327905289543</v>
      </c>
      <c r="M8" s="19" t="n">
        <f aca="false">L8^2</f>
        <v>0.000205288869986113</v>
      </c>
      <c r="N8" s="19" t="n">
        <f aca="false">K8*$L8</f>
        <v>0.014327905289543</v>
      </c>
      <c r="O8" s="19" t="n">
        <f aca="false">C8*$L8</f>
        <v>-0.000736019243467542</v>
      </c>
      <c r="P8" s="19" t="n">
        <f aca="false">D8*$L8</f>
        <v>-0.404429146030283</v>
      </c>
      <c r="Q8" s="19" t="n">
        <f aca="false">E8*$L8</f>
        <v>0.832540577119383</v>
      </c>
      <c r="R8" s="19" t="n">
        <f aca="false">F8*$L8</f>
        <v>-0.583165344362217</v>
      </c>
      <c r="S8" s="19" t="n">
        <f aca="false">G8*$L8</f>
        <v>-0.000470872817658088</v>
      </c>
      <c r="T8" s="19" t="n">
        <f aca="false">H8*$L8</f>
        <v>0.000362050902814141</v>
      </c>
      <c r="U8" s="19" t="n">
        <f aca="false">I8*$L8</f>
        <v>0</v>
      </c>
      <c r="V8" s="19" t="n">
        <f aca="false">J8*$L8</f>
        <v>0</v>
      </c>
    </row>
    <row r="9" customFormat="false" ht="15" hidden="false" customHeight="false" outlineLevel="0" collapsed="false">
      <c r="A9" s="20" t="str">
        <f aca="false">Datos!A17</f>
        <v>2008Q1</v>
      </c>
      <c r="B9" s="21" t="n">
        <f aca="false">Datos!L17</f>
        <v>-0.0235503405334447</v>
      </c>
      <c r="C9" s="21" t="n">
        <f aca="false">Datos!I17</f>
        <v>-0.0322053955184198</v>
      </c>
      <c r="D9" s="21" t="n">
        <f aca="false">Datos!H17</f>
        <v>95.3370391327341</v>
      </c>
      <c r="E9" s="21" t="n">
        <f aca="false">Datos!H15</f>
        <v>146.742396825397</v>
      </c>
      <c r="F9" s="21" t="n">
        <f aca="false">Datos!H11</f>
        <v>-14.6685238095238</v>
      </c>
      <c r="G9" s="21" t="n">
        <f aca="false">Datos!J11</f>
        <v>0.0272371314829849</v>
      </c>
      <c r="H9" s="21" t="n">
        <f aca="false">Datos!K10</f>
        <v>0.000733575253602181</v>
      </c>
      <c r="I9" s="21" t="n">
        <f aca="false">IF($A9="2020Q2",1,0)</f>
        <v>0</v>
      </c>
      <c r="J9" s="21" t="n">
        <f aca="false">IF($A9="2021Q2",1,0)</f>
        <v>0</v>
      </c>
      <c r="K9" s="19" t="n">
        <v>1</v>
      </c>
      <c r="L9" s="19" t="n">
        <f aca="false">B9-($B$88+$B$89*C9+$B$90*D9+$B$91*E9+$B$92*F9+$B$93*G9+$B$94*H9+$B$95*I9+$B$96*J9)</f>
        <v>-0.00321562161864844</v>
      </c>
      <c r="M9" s="19" t="n">
        <f aca="false">L9^2</f>
        <v>1.03402223943192E-005</v>
      </c>
      <c r="N9" s="19" t="n">
        <f aca="false">K9*$L9</f>
        <v>-0.00321562161864844</v>
      </c>
      <c r="O9" s="19" t="n">
        <f aca="false">C9*$L9</f>
        <v>0.000103560366066155</v>
      </c>
      <c r="P9" s="19" t="n">
        <f aca="false">D9*$L9</f>
        <v>-0.306567844093152</v>
      </c>
      <c r="Q9" s="19" t="n">
        <f aca="false">E9*$L9</f>
        <v>-0.471868023604035</v>
      </c>
      <c r="R9" s="19" t="n">
        <f aca="false">F9*$L9</f>
        <v>0.0471684222755643</v>
      </c>
      <c r="S9" s="19" t="n">
        <f aca="false">G9*$L9</f>
        <v>-8.75843088266564E-005</v>
      </c>
      <c r="T9" s="19" t="n">
        <f aca="false">H9*$L9</f>
        <v>-2.35890044438869E-006</v>
      </c>
      <c r="U9" s="19" t="n">
        <f aca="false">I9*$L9</f>
        <v>-0</v>
      </c>
      <c r="V9" s="19" t="n">
        <f aca="false">J9*$L9</f>
        <v>-0</v>
      </c>
    </row>
    <row r="10" customFormat="false" ht="15" hidden="false" customHeight="false" outlineLevel="0" collapsed="false">
      <c r="A10" s="20" t="str">
        <f aca="false">Datos!A18</f>
        <v>2008Q2</v>
      </c>
      <c r="B10" s="21" t="n">
        <f aca="false">Datos!L18</f>
        <v>-0.0145962910187984</v>
      </c>
      <c r="C10" s="21" t="n">
        <f aca="false">Datos!I18</f>
        <v>-0.0472126174388314</v>
      </c>
      <c r="D10" s="21" t="n">
        <f aca="false">Datos!H18</f>
        <v>74.4147768954915</v>
      </c>
      <c r="E10" s="21" t="n">
        <f aca="false">Datos!H16</f>
        <v>-28.2266763952893</v>
      </c>
      <c r="F10" s="21" t="n">
        <f aca="false">Datos!H12</f>
        <v>-57.3400276497695</v>
      </c>
      <c r="G10" s="21" t="n">
        <f aca="false">Datos!J12</f>
        <v>0.0188405816005308</v>
      </c>
      <c r="H10" s="21" t="n">
        <f aca="false">Datos!K11</f>
        <v>-0.0492636656107994</v>
      </c>
      <c r="I10" s="21" t="n">
        <f aca="false">IF($A10="2020Q2",1,0)</f>
        <v>0</v>
      </c>
      <c r="J10" s="21" t="n">
        <f aca="false">IF($A10="2021Q2",1,0)</f>
        <v>0</v>
      </c>
      <c r="K10" s="19" t="n">
        <v>1</v>
      </c>
      <c r="L10" s="19" t="n">
        <f aca="false">B10-($B$88+$B$89*C10+$B$90*D10+$B$91*E10+$B$92*F10+$B$93*G10+$B$94*H10+$B$95*I10+$B$96*J10)</f>
        <v>0.00658809198066912</v>
      </c>
      <c r="M10" s="19" t="n">
        <f aca="false">L10^2</f>
        <v>4.34029559457568E-005</v>
      </c>
      <c r="N10" s="19" t="n">
        <f aca="false">K10*$L10</f>
        <v>0.00658809198066912</v>
      </c>
      <c r="O10" s="19" t="n">
        <f aca="false">C10*$L10</f>
        <v>-0.000311041066335165</v>
      </c>
      <c r="P10" s="19" t="n">
        <f aca="false">D10*$L10</f>
        <v>0.490251394908469</v>
      </c>
      <c r="Q10" s="19" t="n">
        <f aca="false">E10*$L10</f>
        <v>-0.185959940400748</v>
      </c>
      <c r="R10" s="19" t="n">
        <f aca="false">F10*$L10</f>
        <v>-0.377761376330792</v>
      </c>
      <c r="S10" s="19" t="n">
        <f aca="false">G10*$L10</f>
        <v>0.000124123484553599</v>
      </c>
      <c r="T10" s="19" t="n">
        <f aca="false">H10*$L10</f>
        <v>-0.000324553560348873</v>
      </c>
      <c r="U10" s="19" t="n">
        <f aca="false">I10*$L10</f>
        <v>0</v>
      </c>
      <c r="V10" s="19" t="n">
        <f aca="false">J10*$L10</f>
        <v>0</v>
      </c>
    </row>
    <row r="11" customFormat="false" ht="15" hidden="false" customHeight="false" outlineLevel="0" collapsed="false">
      <c r="A11" s="20" t="str">
        <f aca="false">Datos!A19</f>
        <v>2008Q3</v>
      </c>
      <c r="B11" s="21" t="n">
        <f aca="false">Datos!L19</f>
        <v>0.00553330668917318</v>
      </c>
      <c r="C11" s="21" t="n">
        <f aca="false">Datos!I19</f>
        <v>0.0103881918110503</v>
      </c>
      <c r="D11" s="21" t="n">
        <f aca="false">Datos!H19</f>
        <v>140.17396875</v>
      </c>
      <c r="E11" s="21" t="n">
        <f aca="false">Datos!H17</f>
        <v>95.3370391327341</v>
      </c>
      <c r="F11" s="21" t="n">
        <f aca="false">Datos!H13</f>
        <v>-71.4258225806452</v>
      </c>
      <c r="G11" s="21" t="n">
        <f aca="false">Datos!J13</f>
        <v>0.0352994903857049</v>
      </c>
      <c r="H11" s="21" t="n">
        <f aca="false">Datos!K12</f>
        <v>0.0102718216533466</v>
      </c>
      <c r="I11" s="21" t="n">
        <f aca="false">IF($A11="2020Q2",1,0)</f>
        <v>0</v>
      </c>
      <c r="J11" s="21" t="n">
        <f aca="false">IF($A11="2021Q2",1,0)</f>
        <v>0</v>
      </c>
      <c r="K11" s="19" t="n">
        <v>1</v>
      </c>
      <c r="L11" s="19" t="n">
        <f aca="false">B11-($B$88+$B$89*C11+$B$90*D11+$B$91*E11+$B$92*F11+$B$93*G11+$B$94*H11+$B$95*I11+$B$96*J11)</f>
        <v>0.0178949631673596</v>
      </c>
      <c r="M11" s="19" t="n">
        <f aca="false">L11^2</f>
        <v>0.000320229706761155</v>
      </c>
      <c r="N11" s="19" t="n">
        <f aca="false">K11*$L11</f>
        <v>0.0178949631673596</v>
      </c>
      <c r="O11" s="19" t="n">
        <f aca="false">C11*$L11</f>
        <v>0.000185896309834212</v>
      </c>
      <c r="P11" s="19" t="n">
        <f aca="false">D11*$L11</f>
        <v>2.50840800780386</v>
      </c>
      <c r="Q11" s="19" t="n">
        <f aca="false">E11*$L11</f>
        <v>1.70605280376539</v>
      </c>
      <c r="R11" s="19" t="n">
        <f aca="false">F11*$L11</f>
        <v>-1.27816246427901</v>
      </c>
      <c r="S11" s="19" t="n">
        <f aca="false">G11*$L11</f>
        <v>0.000631683080278752</v>
      </c>
      <c r="T11" s="19" t="n">
        <f aca="false">H11*$L11</f>
        <v>0.000183813870148324</v>
      </c>
      <c r="U11" s="19" t="n">
        <f aca="false">I11*$L11</f>
        <v>0</v>
      </c>
      <c r="V11" s="19" t="n">
        <f aca="false">J11*$L11</f>
        <v>0</v>
      </c>
    </row>
    <row r="12" customFormat="false" ht="15" hidden="false" customHeight="false" outlineLevel="0" collapsed="false">
      <c r="A12" s="20" t="str">
        <f aca="false">Datos!A20</f>
        <v>2008Q4</v>
      </c>
      <c r="B12" s="21" t="n">
        <f aca="false">Datos!L20</f>
        <v>-0.079850070278089</v>
      </c>
      <c r="C12" s="21" t="n">
        <f aca="false">Datos!I20</f>
        <v>-0.012294190622106</v>
      </c>
      <c r="D12" s="21" t="n">
        <f aca="false">Datos!H20</f>
        <v>999.763070060484</v>
      </c>
      <c r="E12" s="21" t="n">
        <f aca="false">Datos!H18</f>
        <v>74.4147768954915</v>
      </c>
      <c r="F12" s="21" t="n">
        <f aca="false">Datos!H14</f>
        <v>58.1062311827956</v>
      </c>
      <c r="G12" s="21" t="n">
        <f aca="false">Datos!J14</f>
        <v>0.00539921963636064</v>
      </c>
      <c r="H12" s="21" t="n">
        <f aca="false">Datos!K13</f>
        <v>0.0394713580665338</v>
      </c>
      <c r="I12" s="21" t="n">
        <f aca="false">IF($A12="2020Q2",1,0)</f>
        <v>0</v>
      </c>
      <c r="J12" s="21" t="n">
        <f aca="false">IF($A12="2021Q2",1,0)</f>
        <v>0</v>
      </c>
      <c r="K12" s="19" t="n">
        <v>1</v>
      </c>
      <c r="L12" s="19" t="n">
        <f aca="false">B12-($B$88+$B$89*C12+$B$90*D12+$B$91*E12+$B$92*F12+$B$93*G12+$B$94*H12+$B$95*I12+$B$96*J12)</f>
        <v>-0.0337097292141979</v>
      </c>
      <c r="M12" s="19" t="n">
        <f aca="false">L12^2</f>
        <v>0.00113634584369455</v>
      </c>
      <c r="N12" s="19" t="n">
        <f aca="false">K12*$L12</f>
        <v>-0.0337097292141979</v>
      </c>
      <c r="O12" s="19" t="n">
        <f aca="false">C12*$L12</f>
        <v>0.000414433836778925</v>
      </c>
      <c r="P12" s="19" t="n">
        <f aca="false">D12*$L12</f>
        <v>-33.7017423700941</v>
      </c>
      <c r="Q12" s="19" t="n">
        <f aca="false">E12*$L12</f>
        <v>-2.50850197868197</v>
      </c>
      <c r="R12" s="19" t="n">
        <f aca="false">F12*$L12</f>
        <v>-1.95874531882962</v>
      </c>
      <c r="S12" s="19" t="n">
        <f aca="false">G12*$L12</f>
        <v>-0.000182006231909697</v>
      </c>
      <c r="T12" s="19" t="n">
        <f aca="false">H12*$L12</f>
        <v>-0.0013305687921395</v>
      </c>
      <c r="U12" s="19" t="n">
        <f aca="false">I12*$L12</f>
        <v>-0</v>
      </c>
      <c r="V12" s="19" t="n">
        <f aca="false">J12*$L12</f>
        <v>-0</v>
      </c>
    </row>
    <row r="13" customFormat="false" ht="15" hidden="false" customHeight="false" outlineLevel="0" collapsed="false">
      <c r="A13" s="20" t="str">
        <f aca="false">Datos!A21</f>
        <v>2009Q1</v>
      </c>
      <c r="B13" s="21" t="n">
        <f aca="false">Datos!L21</f>
        <v>-0.0420976425988534</v>
      </c>
      <c r="C13" s="21" t="n">
        <f aca="false">Datos!I21</f>
        <v>-0.0506409298873551</v>
      </c>
      <c r="D13" s="21" t="n">
        <f aca="false">Datos!H21</f>
        <v>3.47016790058183</v>
      </c>
      <c r="E13" s="21" t="n">
        <f aca="false">Datos!H19</f>
        <v>140.17396875</v>
      </c>
      <c r="F13" s="21" t="n">
        <f aca="false">Datos!H15</f>
        <v>146.742396825397</v>
      </c>
      <c r="G13" s="21" t="n">
        <f aca="false">Datos!J15</f>
        <v>0.100083014779252</v>
      </c>
      <c r="H13" s="21" t="n">
        <f aca="false">Datos!K14</f>
        <v>-0.0416510073677663</v>
      </c>
      <c r="I13" s="21" t="n">
        <f aca="false">IF($A13="2020Q2",1,0)</f>
        <v>0</v>
      </c>
      <c r="J13" s="21" t="n">
        <f aca="false">IF($A13="2021Q2",1,0)</f>
        <v>0</v>
      </c>
      <c r="K13" s="19" t="n">
        <v>1</v>
      </c>
      <c r="L13" s="19" t="n">
        <f aca="false">B13-($B$88+$B$89*C13+$B$90*D13+$B$91*E13+$B$92*F13+$B$93*G13+$B$94*H13+$B$95*I13+$B$96*J13)</f>
        <v>-0.0147850263659586</v>
      </c>
      <c r="M13" s="19" t="n">
        <f aca="false">L13^2</f>
        <v>0.00021859700464209</v>
      </c>
      <c r="N13" s="19" t="n">
        <f aca="false">K13*$L13</f>
        <v>-0.0147850263659586</v>
      </c>
      <c r="O13" s="19" t="n">
        <f aca="false">C13*$L13</f>
        <v>0.000748727483581205</v>
      </c>
      <c r="P13" s="19" t="n">
        <f aca="false">D13*$L13</f>
        <v>-0.0513065239044054</v>
      </c>
      <c r="Q13" s="19" t="n">
        <f aca="false">E13*$L13</f>
        <v>-2.0724758237898</v>
      </c>
      <c r="R13" s="19" t="n">
        <f aca="false">F13*$L13</f>
        <v>-2.16959020606745</v>
      </c>
      <c r="S13" s="19" t="n">
        <f aca="false">G13*$L13</f>
        <v>-0.00147973001229587</v>
      </c>
      <c r="T13" s="19" t="n">
        <f aca="false">H13*$L13</f>
        <v>0.000615811242101159</v>
      </c>
      <c r="U13" s="19" t="n">
        <f aca="false">I13*$L13</f>
        <v>-0</v>
      </c>
      <c r="V13" s="19" t="n">
        <f aca="false">J13*$L13</f>
        <v>-0</v>
      </c>
    </row>
    <row r="14" customFormat="false" ht="15" hidden="false" customHeight="false" outlineLevel="0" collapsed="false">
      <c r="A14" s="20" t="str">
        <f aca="false">Datos!A22</f>
        <v>2009Q2</v>
      </c>
      <c r="B14" s="21" t="n">
        <f aca="false">Datos!L22</f>
        <v>-0.0508579200859648</v>
      </c>
      <c r="C14" s="21" t="n">
        <f aca="false">Datos!I22</f>
        <v>-0.0270336828188397</v>
      </c>
      <c r="D14" s="21" t="n">
        <f aca="false">Datos!H22</f>
        <v>-244.401219359875</v>
      </c>
      <c r="E14" s="21" t="n">
        <f aca="false">Datos!H20</f>
        <v>999.763070060484</v>
      </c>
      <c r="F14" s="21" t="n">
        <f aca="false">Datos!H16</f>
        <v>-28.2266763952893</v>
      </c>
      <c r="G14" s="21" t="n">
        <f aca="false">Datos!J16</f>
        <v>-0.0807503897728054</v>
      </c>
      <c r="H14" s="21" t="n">
        <f aca="false">Datos!K15</f>
        <v>-0.0183885313531229</v>
      </c>
      <c r="I14" s="21" t="n">
        <f aca="false">IF($A14="2020Q2",1,0)</f>
        <v>0</v>
      </c>
      <c r="J14" s="21" t="n">
        <f aca="false">IF($A14="2021Q2",1,0)</f>
        <v>0</v>
      </c>
      <c r="K14" s="19" t="n">
        <v>1</v>
      </c>
      <c r="L14" s="19" t="n">
        <f aca="false">B14-($B$88+$B$89*C14+$B$90*D14+$B$91*E14+$B$92*F14+$B$93*G14+$B$94*H14+$B$95*I14+$B$96*J14)</f>
        <v>-0.0141133793187223</v>
      </c>
      <c r="M14" s="19" t="n">
        <f aca="false">L14^2</f>
        <v>0.000199187475794138</v>
      </c>
      <c r="N14" s="19" t="n">
        <f aca="false">K14*$L14</f>
        <v>-0.0141133793187223</v>
      </c>
      <c r="O14" s="19" t="n">
        <f aca="false">C14*$L14</f>
        <v>0.00038153662000431</v>
      </c>
      <c r="P14" s="19" t="n">
        <f aca="false">D14*$L14</f>
        <v>3.44932711478417</v>
      </c>
      <c r="Q14" s="19" t="n">
        <f aca="false">E14*$L14</f>
        <v>-14.1100354366139</v>
      </c>
      <c r="R14" s="19" t="n">
        <f aca="false">F14*$L14</f>
        <v>0.398373790873543</v>
      </c>
      <c r="S14" s="19" t="n">
        <f aca="false">G14*$L14</f>
        <v>0.00113966088099828</v>
      </c>
      <c r="T14" s="19" t="n">
        <f aca="false">H14*$L14</f>
        <v>0.000259524318100841</v>
      </c>
      <c r="U14" s="19" t="n">
        <f aca="false">I14*$L14</f>
        <v>-0</v>
      </c>
      <c r="V14" s="19" t="n">
        <f aca="false">J14*$L14</f>
        <v>-0</v>
      </c>
    </row>
    <row r="15" customFormat="false" ht="15" hidden="false" customHeight="false" outlineLevel="0" collapsed="false">
      <c r="A15" s="20" t="str">
        <f aca="false">Datos!A23</f>
        <v>2009Q3</v>
      </c>
      <c r="B15" s="21" t="n">
        <f aca="false">Datos!L23</f>
        <v>0.0562336718856797</v>
      </c>
      <c r="C15" s="21" t="n">
        <f aca="false">Datos!I23</f>
        <v>0.0188952503887881</v>
      </c>
      <c r="D15" s="21" t="n">
        <f aca="false">Datos!H23</f>
        <v>-533.989581101191</v>
      </c>
      <c r="E15" s="21" t="n">
        <f aca="false">Datos!H21</f>
        <v>3.47016790058183</v>
      </c>
      <c r="F15" s="21" t="n">
        <f aca="false">Datos!H17</f>
        <v>95.3370391327341</v>
      </c>
      <c r="G15" s="21" t="n">
        <f aca="false">Datos!J17</f>
        <v>-0.0136163320117733</v>
      </c>
      <c r="H15" s="21" t="n">
        <f aca="false">Datos!K16</f>
        <v>0.126406856244862</v>
      </c>
      <c r="I15" s="21" t="n">
        <f aca="false">IF($A15="2020Q2",1,0)</f>
        <v>0</v>
      </c>
      <c r="J15" s="21" t="n">
        <f aca="false">IF($A15="2021Q2",1,0)</f>
        <v>0</v>
      </c>
      <c r="K15" s="19" t="n">
        <v>1</v>
      </c>
      <c r="L15" s="19" t="n">
        <f aca="false">B15-($B$88+$B$89*C15+$B$90*D15+$B$91*E15+$B$92*F15+$B$93*G15+$B$94*H15+$B$95*I15+$B$96*J15)</f>
        <v>0.00533063731880867</v>
      </c>
      <c r="M15" s="19" t="n">
        <f aca="false">L15^2</f>
        <v>2.84156942246757E-005</v>
      </c>
      <c r="N15" s="19" t="n">
        <f aca="false">K15*$L15</f>
        <v>0.00533063731880867</v>
      </c>
      <c r="O15" s="19" t="n">
        <f aca="false">C15*$L15</f>
        <v>0.000100723726870708</v>
      </c>
      <c r="P15" s="19" t="n">
        <f aca="false">D15*$L15</f>
        <v>-2.84650478887302</v>
      </c>
      <c r="Q15" s="19" t="n">
        <f aca="false">E15*$L15</f>
        <v>0.0184982065133734</v>
      </c>
      <c r="R15" s="19" t="n">
        <f aca="false">F15*$L15</f>
        <v>0.508207178665675</v>
      </c>
      <c r="S15" s="19" t="n">
        <f aca="false">G15*$L15</f>
        <v>-7.2583727567248E-005</v>
      </c>
      <c r="T15" s="19" t="n">
        <f aca="false">H15*$L15</f>
        <v>0.000673829105252146</v>
      </c>
      <c r="U15" s="19" t="n">
        <f aca="false">I15*$L15</f>
        <v>0</v>
      </c>
      <c r="V15" s="19" t="n">
        <f aca="false">J15*$L15</f>
        <v>0</v>
      </c>
    </row>
    <row r="16" customFormat="false" ht="15" hidden="false" customHeight="false" outlineLevel="0" collapsed="false">
      <c r="A16" s="20" t="str">
        <f aca="false">Datos!A24</f>
        <v>2009Q4</v>
      </c>
      <c r="B16" s="21" t="n">
        <f aca="false">Datos!L24</f>
        <v>0.0593317819018042</v>
      </c>
      <c r="C16" s="21" t="n">
        <f aca="false">Datos!I24</f>
        <v>0.0202660816321944</v>
      </c>
      <c r="D16" s="21" t="n">
        <f aca="false">Datos!H24</f>
        <v>-203.745835181452</v>
      </c>
      <c r="E16" s="21" t="n">
        <f aca="false">Datos!H22</f>
        <v>-244.401219359875</v>
      </c>
      <c r="F16" s="21" t="n">
        <f aca="false">Datos!H18</f>
        <v>74.4147768954915</v>
      </c>
      <c r="G16" s="21" t="n">
        <f aca="false">Datos!J18</f>
        <v>0.051677262796743</v>
      </c>
      <c r="H16" s="21" t="n">
        <f aca="false">Datos!K17</f>
        <v>0.0947144557948736</v>
      </c>
      <c r="I16" s="21" t="n">
        <f aca="false">IF($A16="2020Q2",1,0)</f>
        <v>0</v>
      </c>
      <c r="J16" s="21" t="n">
        <f aca="false">IF($A16="2021Q2",1,0)</f>
        <v>0</v>
      </c>
      <c r="K16" s="19" t="n">
        <v>1</v>
      </c>
      <c r="L16" s="19" t="n">
        <f aca="false">B16-($B$88+$B$89*C16+$B$90*D16+$B$91*E16+$B$92*F16+$B$93*G16+$B$94*H16+$B$95*I16+$B$96*J16)</f>
        <v>0.0229946947734001</v>
      </c>
      <c r="M16" s="19" t="n">
        <f aca="false">L16^2</f>
        <v>0.000528755987721834</v>
      </c>
      <c r="N16" s="19" t="n">
        <f aca="false">K16*$L16</f>
        <v>0.0229946947734001</v>
      </c>
      <c r="O16" s="19" t="n">
        <f aca="false">C16*$L16</f>
        <v>0.000466012361385121</v>
      </c>
      <c r="P16" s="19" t="n">
        <f aca="false">D16*$L16</f>
        <v>-4.68507329134896</v>
      </c>
      <c r="Q16" s="19" t="n">
        <f aca="false">E16*$L16</f>
        <v>-5.61993144142712</v>
      </c>
      <c r="R16" s="19" t="n">
        <f aca="false">F16*$L16</f>
        <v>1.71114508134249</v>
      </c>
      <c r="S16" s="19" t="n">
        <f aca="false">G16*$L16</f>
        <v>0.00118830288473589</v>
      </c>
      <c r="T16" s="19" t="n">
        <f aca="false">H16*$L16</f>
        <v>0.00217793000163181</v>
      </c>
      <c r="U16" s="19" t="n">
        <f aca="false">I16*$L16</f>
        <v>0</v>
      </c>
      <c r="V16" s="19" t="n">
        <f aca="false">J16*$L16</f>
        <v>0</v>
      </c>
    </row>
    <row r="17" customFormat="false" ht="15" hidden="false" customHeight="false" outlineLevel="0" collapsed="false">
      <c r="A17" s="20" t="str">
        <f aca="false">Datos!A25</f>
        <v>2010Q1</v>
      </c>
      <c r="B17" s="21" t="n">
        <f aca="false">Datos!L25</f>
        <v>0.0543127088139386</v>
      </c>
      <c r="C17" s="21" t="n">
        <f aca="false">Datos!I25</f>
        <v>0.0364851445863187</v>
      </c>
      <c r="D17" s="21" t="n">
        <f aca="false">Datos!H25</f>
        <v>15.4416356425168</v>
      </c>
      <c r="E17" s="21" t="n">
        <f aca="false">Datos!H23</f>
        <v>-533.989581101191</v>
      </c>
      <c r="F17" s="21" t="n">
        <f aca="false">Datos!H19</f>
        <v>140.17396875</v>
      </c>
      <c r="G17" s="21" t="n">
        <f aca="false">Datos!J19</f>
        <v>-0.0922660919721236</v>
      </c>
      <c r="H17" s="21" t="n">
        <f aca="false">Datos!K18</f>
        <v>-0.088947266354809</v>
      </c>
      <c r="I17" s="21" t="n">
        <f aca="false">IF($A17="2020Q2",1,0)</f>
        <v>0</v>
      </c>
      <c r="J17" s="21" t="n">
        <f aca="false">IF($A17="2021Q2",1,0)</f>
        <v>0</v>
      </c>
      <c r="K17" s="19" t="n">
        <v>1</v>
      </c>
      <c r="L17" s="19" t="n">
        <f aca="false">B17-($B$88+$B$89*C17+$B$90*D17+$B$91*E17+$B$92*F17+$B$93*G17+$B$94*H17+$B$95*I17+$B$96*J17)</f>
        <v>0.0198193199712303</v>
      </c>
      <c r="M17" s="19" t="n">
        <f aca="false">L17^2</f>
        <v>0.000392805444122009</v>
      </c>
      <c r="N17" s="19" t="n">
        <f aca="false">K17*$L17</f>
        <v>0.0198193199712303</v>
      </c>
      <c r="O17" s="19" t="n">
        <f aca="false">C17*$L17</f>
        <v>0.000723110754752852</v>
      </c>
      <c r="P17" s="19" t="n">
        <f aca="false">D17*$L17</f>
        <v>0.306042717678194</v>
      </c>
      <c r="Q17" s="19" t="n">
        <f aca="false">E17*$L17</f>
        <v>-10.5833103691477</v>
      </c>
      <c r="R17" s="19" t="n">
        <f aca="false">F17*$L17</f>
        <v>2.77815273829349</v>
      </c>
      <c r="S17" s="19" t="n">
        <f aca="false">G17*$L17</f>
        <v>-0.00182865119929048</v>
      </c>
      <c r="T17" s="19" t="n">
        <f aca="false">H17*$L17</f>
        <v>-0.00176287433245221</v>
      </c>
      <c r="U17" s="19" t="n">
        <f aca="false">I17*$L17</f>
        <v>0</v>
      </c>
      <c r="V17" s="19" t="n">
        <f aca="false">J17*$L17</f>
        <v>0</v>
      </c>
    </row>
    <row r="18" customFormat="false" ht="15" hidden="false" customHeight="false" outlineLevel="0" collapsed="false">
      <c r="A18" s="20" t="str">
        <f aca="false">Datos!A26</f>
        <v>2010Q2</v>
      </c>
      <c r="B18" s="21" t="n">
        <f aca="false">Datos!L26</f>
        <v>0.105309304015361</v>
      </c>
      <c r="C18" s="21" t="n">
        <f aca="false">Datos!I26</f>
        <v>0.115499149243793</v>
      </c>
      <c r="D18" s="21" t="n">
        <f aca="false">Datos!H26</f>
        <v>0.464510798855258</v>
      </c>
      <c r="E18" s="21" t="n">
        <f aca="false">Datos!H24</f>
        <v>-203.745835181452</v>
      </c>
      <c r="F18" s="21" t="n">
        <f aca="false">Datos!H20</f>
        <v>999.763070060484</v>
      </c>
      <c r="G18" s="21" t="n">
        <f aca="false">Datos!J20</f>
        <v>0.044032264635168</v>
      </c>
      <c r="H18" s="21" t="n">
        <f aca="false">Datos!K19</f>
        <v>0.0223520724544983</v>
      </c>
      <c r="I18" s="21" t="n">
        <f aca="false">IF($A18="2020Q2",1,0)</f>
        <v>0</v>
      </c>
      <c r="J18" s="21" t="n">
        <f aca="false">IF($A18="2021Q2",1,0)</f>
        <v>0</v>
      </c>
      <c r="K18" s="19" t="n">
        <v>1</v>
      </c>
      <c r="L18" s="19" t="n">
        <f aca="false">B18-($B$88+$B$89*C18+$B$90*D18+$B$91*E18+$B$92*F18+$B$93*G18+$B$94*H18+$B$95*I18+$B$96*J18)</f>
        <v>0.0421892990242675</v>
      </c>
      <c r="M18" s="19" t="n">
        <f aca="false">L18^2</f>
        <v>0.00177993695215905</v>
      </c>
      <c r="N18" s="19" t="n">
        <f aca="false">K18*$L18</f>
        <v>0.0421892990242675</v>
      </c>
      <c r="O18" s="19" t="n">
        <f aca="false">C18*$L18</f>
        <v>0.00487282814449488</v>
      </c>
      <c r="P18" s="19" t="n">
        <f aca="false">D18*$L18</f>
        <v>0.0195973849929058</v>
      </c>
      <c r="Q18" s="19" t="n">
        <f aca="false">E18*$L18</f>
        <v>-8.59589396541937</v>
      </c>
      <c r="R18" s="19" t="n">
        <f aca="false">F18*$L18</f>
        <v>42.1793031162014</v>
      </c>
      <c r="S18" s="19" t="n">
        <f aca="false">G18*$L18</f>
        <v>0.00185769037940878</v>
      </c>
      <c r="T18" s="19" t="n">
        <f aca="false">H18*$L18</f>
        <v>0.000943018268594921</v>
      </c>
      <c r="U18" s="19" t="n">
        <f aca="false">I18*$L18</f>
        <v>0</v>
      </c>
      <c r="V18" s="19" t="n">
        <f aca="false">J18*$L18</f>
        <v>0</v>
      </c>
    </row>
    <row r="19" customFormat="false" ht="15" hidden="false" customHeight="false" outlineLevel="0" collapsed="false">
      <c r="A19" s="20" t="str">
        <f aca="false">Datos!A27</f>
        <v>2010Q3</v>
      </c>
      <c r="B19" s="21" t="n">
        <f aca="false">Datos!L27</f>
        <v>-0.0673645714182929</v>
      </c>
      <c r="C19" s="21" t="n">
        <f aca="false">Datos!I27</f>
        <v>0.0131107735865699</v>
      </c>
      <c r="D19" s="21" t="n">
        <f aca="false">Datos!H27</f>
        <v>-22.7225300099209</v>
      </c>
      <c r="E19" s="21" t="n">
        <f aca="false">Datos!H25</f>
        <v>15.4416356425168</v>
      </c>
      <c r="F19" s="21" t="n">
        <f aca="false">Datos!H21</f>
        <v>3.47016790058183</v>
      </c>
      <c r="G19" s="21" t="n">
        <f aca="false">Datos!J21</f>
        <v>-0.0701582840739423</v>
      </c>
      <c r="H19" s="21" t="n">
        <f aca="false">Datos!K20</f>
        <v>-0.181715050328396</v>
      </c>
      <c r="I19" s="21" t="n">
        <f aca="false">IF($A19="2020Q2",1,0)</f>
        <v>0</v>
      </c>
      <c r="J19" s="21" t="n">
        <f aca="false">IF($A19="2021Q2",1,0)</f>
        <v>0</v>
      </c>
      <c r="K19" s="19" t="n">
        <v>1</v>
      </c>
      <c r="L19" s="19" t="n">
        <f aca="false">B19-($B$88+$B$89*C19+$B$90*D19+$B$91*E19+$B$92*F19+$B$93*G19+$B$94*H19+$B$95*I19+$B$96*J19)</f>
        <v>-0.0538586872417191</v>
      </c>
      <c r="M19" s="19" t="n">
        <f aca="false">L19^2</f>
        <v>0.00290075819140131</v>
      </c>
      <c r="N19" s="19" t="n">
        <f aca="false">K19*$L19</f>
        <v>-0.0538586872417191</v>
      </c>
      <c r="O19" s="19" t="n">
        <f aca="false">C19*$L19</f>
        <v>-0.000706129054096058</v>
      </c>
      <c r="P19" s="19" t="n">
        <f aca="false">D19*$L19</f>
        <v>1.22380563714491</v>
      </c>
      <c r="Q19" s="19" t="n">
        <f aca="false">E19*$L19</f>
        <v>-0.831666224570892</v>
      </c>
      <c r="R19" s="19" t="n">
        <f aca="false">F19*$L19</f>
        <v>-0.18689868763369</v>
      </c>
      <c r="S19" s="19" t="n">
        <f aca="false">G19*$L19</f>
        <v>0.00377863307935414</v>
      </c>
      <c r="T19" s="19" t="n">
        <f aca="false">H19*$L19</f>
        <v>0.00978693406275034</v>
      </c>
      <c r="U19" s="19" t="n">
        <f aca="false">I19*$L19</f>
        <v>-0</v>
      </c>
      <c r="V19" s="19" t="n">
        <f aca="false">J19*$L19</f>
        <v>-0</v>
      </c>
    </row>
    <row r="20" customFormat="false" ht="15" hidden="false" customHeight="false" outlineLevel="0" collapsed="false">
      <c r="A20" s="20" t="str">
        <f aca="false">Datos!A28</f>
        <v>2010Q4</v>
      </c>
      <c r="B20" s="21" t="n">
        <f aca="false">Datos!L28</f>
        <v>-0.00897949256805108</v>
      </c>
      <c r="C20" s="21" t="n">
        <f aca="false">Datos!I28</f>
        <v>0.0312470107223477</v>
      </c>
      <c r="D20" s="21" t="n">
        <f aca="false">Datos!H28</f>
        <v>-165.748584173387</v>
      </c>
      <c r="E20" s="21" t="n">
        <f aca="false">Datos!H26</f>
        <v>0.464510798855258</v>
      </c>
      <c r="F20" s="21" t="n">
        <f aca="false">Datos!H22</f>
        <v>-244.401219359875</v>
      </c>
      <c r="G20" s="21" t="n">
        <f aca="false">Datos!J22</f>
        <v>0.054123533141051</v>
      </c>
      <c r="H20" s="21" t="n">
        <f aca="false">Datos!K21</f>
        <v>-0.10171645872716</v>
      </c>
      <c r="I20" s="21" t="n">
        <f aca="false">IF($A20="2020Q2",1,0)</f>
        <v>0</v>
      </c>
      <c r="J20" s="21" t="n">
        <f aca="false">IF($A20="2021Q2",1,0)</f>
        <v>0</v>
      </c>
      <c r="K20" s="19" t="n">
        <v>1</v>
      </c>
      <c r="L20" s="19" t="n">
        <f aca="false">B20-($B$88+$B$89*C20+$B$90*D20+$B$91*E20+$B$92*F20+$B$93*G20+$B$94*H20+$B$95*I20+$B$96*J20)</f>
        <v>0.00192013760700034</v>
      </c>
      <c r="M20" s="19" t="n">
        <f aca="false">L20^2</f>
        <v>3.68692842981698E-006</v>
      </c>
      <c r="N20" s="19" t="n">
        <f aca="false">K20*$L20</f>
        <v>0.00192013760700034</v>
      </c>
      <c r="O20" s="19" t="n">
        <f aca="false">C20*$L20</f>
        <v>5.99985603943226E-005</v>
      </c>
      <c r="P20" s="19" t="n">
        <f aca="false">D20*$L20</f>
        <v>-0.318260089778381</v>
      </c>
      <c r="Q20" s="19" t="n">
        <f aca="false">E20*$L20</f>
        <v>0.00089192465373975</v>
      </c>
      <c r="R20" s="19" t="n">
        <f aca="false">F20*$L20</f>
        <v>-0.469283972489634</v>
      </c>
      <c r="S20" s="19" t="n">
        <f aca="false">G20*$L20</f>
        <v>0.000103924631407861</v>
      </c>
      <c r="T20" s="19" t="n">
        <f aca="false">H20*$L20</f>
        <v>-0.000195309597652918</v>
      </c>
      <c r="U20" s="19" t="n">
        <f aca="false">I20*$L20</f>
        <v>0</v>
      </c>
      <c r="V20" s="19" t="n">
        <f aca="false">J20*$L20</f>
        <v>0</v>
      </c>
    </row>
    <row r="21" customFormat="false" ht="15" hidden="false" customHeight="false" outlineLevel="0" collapsed="false">
      <c r="A21" s="20" t="str">
        <f aca="false">Datos!A29</f>
        <v>2011Q1</v>
      </c>
      <c r="B21" s="21" t="n">
        <f aca="false">Datos!L29</f>
        <v>-0.0031717685997612</v>
      </c>
      <c r="C21" s="21" t="n">
        <f aca="false">Datos!I29</f>
        <v>0.0422766191537938</v>
      </c>
      <c r="D21" s="21" t="n">
        <f aca="false">Datos!H29</f>
        <v>-12.9487096774192</v>
      </c>
      <c r="E21" s="21" t="n">
        <f aca="false">Datos!H27</f>
        <v>-22.7225300099209</v>
      </c>
      <c r="F21" s="21" t="n">
        <f aca="false">Datos!H23</f>
        <v>-533.989581101191</v>
      </c>
      <c r="G21" s="21" t="n">
        <f aca="false">Datos!J23</f>
        <v>-0.0490698977401611</v>
      </c>
      <c r="H21" s="21" t="n">
        <f aca="false">Datos!K22</f>
        <v>0.129643513362584</v>
      </c>
      <c r="I21" s="21" t="n">
        <f aca="false">IF($A21="2020Q2",1,0)</f>
        <v>0</v>
      </c>
      <c r="J21" s="21" t="n">
        <f aca="false">IF($A21="2021Q2",1,0)</f>
        <v>0</v>
      </c>
      <c r="K21" s="19" t="n">
        <v>1</v>
      </c>
      <c r="L21" s="19" t="n">
        <f aca="false">B21-($B$88+$B$89*C21+$B$90*D21+$B$91*E21+$B$92*F21+$B$93*G21+$B$94*H21+$B$95*I21+$B$96*J21)</f>
        <v>-0.0205560295507502</v>
      </c>
      <c r="M21" s="19" t="n">
        <f aca="false">L21^2</f>
        <v>0.000422550350891316</v>
      </c>
      <c r="N21" s="19" t="n">
        <f aca="false">K21*$L21</f>
        <v>-0.0205560295507502</v>
      </c>
      <c r="O21" s="19" t="n">
        <f aca="false">C21*$L21</f>
        <v>-0.000869039432631198</v>
      </c>
      <c r="P21" s="19" t="n">
        <f aca="false">D21*$L21</f>
        <v>0.266174058773114</v>
      </c>
      <c r="Q21" s="19" t="n">
        <f aca="false">E21*$L21</f>
        <v>0.467084998351742</v>
      </c>
      <c r="R21" s="19" t="n">
        <f aca="false">F21*$L21</f>
        <v>10.9767056089088</v>
      </c>
      <c r="S21" s="19" t="n">
        <f aca="false">G21*$L21</f>
        <v>0.00100868226799904</v>
      </c>
      <c r="T21" s="19" t="n">
        <f aca="false">H21*$L21</f>
        <v>-0.00266495589174437</v>
      </c>
      <c r="U21" s="19" t="n">
        <f aca="false">I21*$L21</f>
        <v>-0</v>
      </c>
      <c r="V21" s="19" t="n">
        <f aca="false">J21*$L21</f>
        <v>-0</v>
      </c>
    </row>
    <row r="22" customFormat="false" ht="15" hidden="false" customHeight="false" outlineLevel="0" collapsed="false">
      <c r="A22" s="20" t="str">
        <f aca="false">Datos!A30</f>
        <v>2011Q2</v>
      </c>
      <c r="B22" s="21" t="n">
        <f aca="false">Datos!L30</f>
        <v>-0.0384927248467331</v>
      </c>
      <c r="C22" s="21" t="n">
        <f aca="false">Datos!I30</f>
        <v>-0.0386592979395697</v>
      </c>
      <c r="D22" s="21" t="n">
        <f aca="false">Datos!H30</f>
        <v>41.5229032258063</v>
      </c>
      <c r="E22" s="21" t="n">
        <f aca="false">Datos!H28</f>
        <v>-165.748584173387</v>
      </c>
      <c r="F22" s="21" t="n">
        <f aca="false">Datos!H24</f>
        <v>-203.745835181452</v>
      </c>
      <c r="G22" s="21" t="n">
        <f aca="false">Datos!J24</f>
        <v>0.0211877049597919</v>
      </c>
      <c r="H22" s="21" t="n">
        <f aca="false">Datos!K23</f>
        <v>0.0271664532119418</v>
      </c>
      <c r="I22" s="21" t="n">
        <f aca="false">IF($A22="2020Q2",1,0)</f>
        <v>0</v>
      </c>
      <c r="J22" s="21" t="n">
        <f aca="false">IF($A22="2021Q2",1,0)</f>
        <v>0</v>
      </c>
      <c r="K22" s="19" t="n">
        <v>1</v>
      </c>
      <c r="L22" s="19" t="n">
        <f aca="false">B22-($B$88+$B$89*C22+$B$90*D22+$B$91*E22+$B$92*F22+$B$93*G22+$B$94*H22+$B$95*I22+$B$96*J22)</f>
        <v>-0.0328467554282077</v>
      </c>
      <c r="M22" s="19" t="n">
        <f aca="false">L22^2</f>
        <v>0.00107890934216049</v>
      </c>
      <c r="N22" s="19" t="n">
        <f aca="false">K22*$L22</f>
        <v>-0.0328467554282077</v>
      </c>
      <c r="O22" s="19" t="n">
        <f aca="false">C22*$L22</f>
        <v>0.00126983250444726</v>
      </c>
      <c r="P22" s="19" t="n">
        <f aca="false">D22*$L22</f>
        <v>-1.3638926469272</v>
      </c>
      <c r="Q22" s="19" t="n">
        <f aca="false">E22*$L22</f>
        <v>5.44430320691494</v>
      </c>
      <c r="R22" s="19" t="n">
        <f aca="false">F22*$L22</f>
        <v>6.69238961772105</v>
      </c>
      <c r="S22" s="19" t="n">
        <f aca="false">G22*$L22</f>
        <v>-0.000695947362899307</v>
      </c>
      <c r="T22" s="19" t="n">
        <f aca="false">H22*$L22</f>
        <v>-0.000892329844504498</v>
      </c>
      <c r="U22" s="19" t="n">
        <f aca="false">I22*$L22</f>
        <v>-0</v>
      </c>
      <c r="V22" s="19" t="n">
        <f aca="false">J22*$L22</f>
        <v>-0</v>
      </c>
    </row>
    <row r="23" customFormat="false" ht="15" hidden="false" customHeight="false" outlineLevel="0" collapsed="false">
      <c r="A23" s="20" t="str">
        <f aca="false">Datos!A31</f>
        <v>2011Q3</v>
      </c>
      <c r="B23" s="21" t="n">
        <f aca="false">Datos!L31</f>
        <v>0.0196602341504317</v>
      </c>
      <c r="C23" s="21" t="n">
        <f aca="false">Datos!I31</f>
        <v>0.0068203401084819</v>
      </c>
      <c r="D23" s="21" t="n">
        <f aca="false">Datos!H31</f>
        <v>158.444625</v>
      </c>
      <c r="E23" s="21" t="n">
        <f aca="false">Datos!H29</f>
        <v>-12.9487096774192</v>
      </c>
      <c r="F23" s="21" t="n">
        <f aca="false">Datos!H25</f>
        <v>15.4416356425168</v>
      </c>
      <c r="G23" s="21" t="n">
        <f aca="false">Datos!J25</f>
        <v>0.0221868916706847</v>
      </c>
      <c r="H23" s="21" t="n">
        <f aca="false">Datos!K24</f>
        <v>0.081172316441758</v>
      </c>
      <c r="I23" s="21" t="n">
        <f aca="false">IF($A23="2020Q2",1,0)</f>
        <v>0</v>
      </c>
      <c r="J23" s="21" t="n">
        <f aca="false">IF($A23="2021Q2",1,0)</f>
        <v>0</v>
      </c>
      <c r="K23" s="19" t="n">
        <v>1</v>
      </c>
      <c r="L23" s="19" t="n">
        <f aca="false">B23-($B$88+$B$89*C23+$B$90*D23+$B$91*E23+$B$92*F23+$B$93*G23+$B$94*H23+$B$95*I23+$B$96*J23)</f>
        <v>0.0151174464636183</v>
      </c>
      <c r="M23" s="19" t="n">
        <f aca="false">L23^2</f>
        <v>0.000228537187580366</v>
      </c>
      <c r="N23" s="19" t="n">
        <f aca="false">K23*$L23</f>
        <v>0.0151174464636183</v>
      </c>
      <c r="O23" s="19" t="n">
        <f aca="false">C23*$L23</f>
        <v>0.000103106126453644</v>
      </c>
      <c r="P23" s="19" t="n">
        <f aca="false">D23*$L23</f>
        <v>2.39527813588558</v>
      </c>
      <c r="Q23" s="19" t="n">
        <f aca="false">E23*$L23</f>
        <v>-0.195751425321321</v>
      </c>
      <c r="R23" s="19" t="n">
        <f aca="false">F23*$L23</f>
        <v>0.233438100136448</v>
      </c>
      <c r="S23" s="19" t="n">
        <f aca="false">G23*$L23</f>
        <v>0.000335409147025676</v>
      </c>
      <c r="T23" s="19" t="n">
        <f aca="false">H23*$L23</f>
        <v>0.00122711814813616</v>
      </c>
      <c r="U23" s="19" t="n">
        <f aca="false">I23*$L23</f>
        <v>0</v>
      </c>
      <c r="V23" s="19" t="n">
        <f aca="false">J23*$L23</f>
        <v>0</v>
      </c>
    </row>
    <row r="24" customFormat="false" ht="15" hidden="false" customHeight="false" outlineLevel="0" collapsed="false">
      <c r="A24" s="20" t="str">
        <f aca="false">Datos!A32</f>
        <v>2011Q4</v>
      </c>
      <c r="B24" s="21" t="n">
        <f aca="false">Datos!L32</f>
        <v>-0.0119223528865138</v>
      </c>
      <c r="C24" s="21" t="n">
        <f aca="false">Datos!I32</f>
        <v>-0.0270244482852387</v>
      </c>
      <c r="D24" s="21" t="n">
        <f aca="false">Datos!H32</f>
        <v>174.585041666667</v>
      </c>
      <c r="E24" s="21" t="n">
        <f aca="false">Datos!H30</f>
        <v>41.5229032258063</v>
      </c>
      <c r="F24" s="21" t="n">
        <f aca="false">Datos!H26</f>
        <v>0.464510798855258</v>
      </c>
      <c r="G24" s="21" t="n">
        <f aca="false">Datos!J26</f>
        <v>-0.0447960728624985</v>
      </c>
      <c r="H24" s="21" t="n">
        <f aca="false">Datos!K25</f>
        <v>0.00367116102547781</v>
      </c>
      <c r="I24" s="21" t="n">
        <f aca="false">IF($A24="2020Q2",1,0)</f>
        <v>0</v>
      </c>
      <c r="J24" s="21" t="n">
        <f aca="false">IF($A24="2021Q2",1,0)</f>
        <v>0</v>
      </c>
      <c r="K24" s="19" t="n">
        <v>1</v>
      </c>
      <c r="L24" s="19" t="n">
        <f aca="false">B24-($B$88+$B$89*C24+$B$90*D24+$B$91*E24+$B$92*F24+$B$93*G24+$B$94*H24+$B$95*I24+$B$96*J24)</f>
        <v>-0.00171414485572088</v>
      </c>
      <c r="M24" s="19" t="n">
        <f aca="false">L24^2</f>
        <v>2.93829258639434E-006</v>
      </c>
      <c r="N24" s="19" t="n">
        <f aca="false">K24*$L24</f>
        <v>-0.00171414485572088</v>
      </c>
      <c r="O24" s="19" t="n">
        <f aca="false">C24*$L24</f>
        <v>4.63238190068367E-005</v>
      </c>
      <c r="P24" s="19" t="n">
        <f aca="false">D24*$L24</f>
        <v>-0.299264051058731</v>
      </c>
      <c r="Q24" s="19" t="n">
        <f aca="false">E24*$L24</f>
        <v>-0.0711762709591116</v>
      </c>
      <c r="R24" s="19" t="n">
        <f aca="false">F24*$L24</f>
        <v>-0.000796238796284535</v>
      </c>
      <c r="S24" s="19" t="n">
        <f aca="false">G24*$L24</f>
        <v>7.67869578537493E-005</v>
      </c>
      <c r="T24" s="19" t="n">
        <f aca="false">H24*$L24</f>
        <v>-6.29290178634575E-006</v>
      </c>
      <c r="U24" s="19" t="n">
        <f aca="false">I24*$L24</f>
        <v>-0</v>
      </c>
      <c r="V24" s="19" t="n">
        <f aca="false">J24*$L24</f>
        <v>-0</v>
      </c>
    </row>
    <row r="25" customFormat="false" ht="15" hidden="false" customHeight="false" outlineLevel="0" collapsed="false">
      <c r="A25" s="20" t="str">
        <f aca="false">Datos!A33</f>
        <v>2012Q1</v>
      </c>
      <c r="B25" s="21" t="n">
        <f aca="false">Datos!L33</f>
        <v>-0.0365288496025893</v>
      </c>
      <c r="C25" s="21" t="n">
        <f aca="false">Datos!I33</f>
        <v>-0.0290398188694472</v>
      </c>
      <c r="D25" s="21" t="n">
        <f aca="false">Datos!H33</f>
        <v>-75.1010327956988</v>
      </c>
      <c r="E25" s="21" t="n">
        <f aca="false">Datos!H31</f>
        <v>158.444625</v>
      </c>
      <c r="F25" s="21" t="n">
        <f aca="false">Datos!H27</f>
        <v>-22.7225300099209</v>
      </c>
      <c r="G25" s="21" t="n">
        <f aca="false">Datos!J27</f>
        <v>0.0629084391155807</v>
      </c>
      <c r="H25" s="21" t="n">
        <f aca="false">Datos!K26</f>
        <v>-0.134873174066432</v>
      </c>
      <c r="I25" s="21" t="n">
        <f aca="false">IF($A25="2020Q2",1,0)</f>
        <v>0</v>
      </c>
      <c r="J25" s="21" t="n">
        <f aca="false">IF($A25="2021Q2",1,0)</f>
        <v>0</v>
      </c>
      <c r="K25" s="19" t="n">
        <v>1</v>
      </c>
      <c r="L25" s="19" t="n">
        <f aca="false">B25-($B$88+$B$89*C25+$B$90*D25+$B$91*E25+$B$92*F25+$B$93*G25+$B$94*H25+$B$95*I25+$B$96*J25)</f>
        <v>-0.00260844907767524</v>
      </c>
      <c r="M25" s="19" t="n">
        <f aca="false">L25^2</f>
        <v>6.80400659082481E-006</v>
      </c>
      <c r="N25" s="19" t="n">
        <f aca="false">K25*$L25</f>
        <v>-0.00260844907767524</v>
      </c>
      <c r="O25" s="19" t="n">
        <f aca="false">C25*$L25</f>
        <v>7.57488887458655E-005</v>
      </c>
      <c r="P25" s="19" t="n">
        <f aca="false">D25*$L25</f>
        <v>0.195897219728398</v>
      </c>
      <c r="Q25" s="19" t="n">
        <f aca="false">E25*$L25</f>
        <v>-0.413294735943849</v>
      </c>
      <c r="R25" s="19" t="n">
        <f aca="false">F25*$L25</f>
        <v>0.0592705624468261</v>
      </c>
      <c r="S25" s="19" t="n">
        <f aca="false">G25*$L25</f>
        <v>-0.000164093459989025</v>
      </c>
      <c r="T25" s="19" t="n">
        <f aca="false">H25*$L25</f>
        <v>0.000351809806496718</v>
      </c>
      <c r="U25" s="19" t="n">
        <f aca="false">I25*$L25</f>
        <v>-0</v>
      </c>
      <c r="V25" s="19" t="n">
        <f aca="false">J25*$L25</f>
        <v>-0</v>
      </c>
    </row>
    <row r="26" customFormat="false" ht="15" hidden="false" customHeight="false" outlineLevel="0" collapsed="false">
      <c r="A26" s="20" t="str">
        <f aca="false">Datos!A34</f>
        <v>2012Q2</v>
      </c>
      <c r="B26" s="21" t="n">
        <f aca="false">Datos!L34</f>
        <v>-0.0619600415532879</v>
      </c>
      <c r="C26" s="21" t="n">
        <f aca="false">Datos!I34</f>
        <v>-0.026110493572689</v>
      </c>
      <c r="D26" s="21" t="n">
        <f aca="false">Datos!H34</f>
        <v>231.838685176651</v>
      </c>
      <c r="E26" s="21" t="n">
        <f aca="false">Datos!H32</f>
        <v>174.585041666667</v>
      </c>
      <c r="F26" s="21" t="n">
        <f aca="false">Datos!H28</f>
        <v>-165.748584173387</v>
      </c>
      <c r="G26" s="21" t="n">
        <f aca="false">Datos!J28</f>
        <v>0.0406890191956908</v>
      </c>
      <c r="H26" s="21" t="n">
        <f aca="false">Datos!K27</f>
        <v>0.00395895744112517</v>
      </c>
      <c r="I26" s="21" t="n">
        <f aca="false">IF($A26="2020Q2",1,0)</f>
        <v>0</v>
      </c>
      <c r="J26" s="21" t="n">
        <f aca="false">IF($A26="2021Q2",1,0)</f>
        <v>0</v>
      </c>
      <c r="K26" s="19" t="n">
        <v>1</v>
      </c>
      <c r="L26" s="19" t="n">
        <f aca="false">B26-($B$88+$B$89*C26+$B$90*D26+$B$91*E26+$B$92*F26+$B$93*G26+$B$94*H26+$B$95*I26+$B$96*J26)</f>
        <v>-0.0297180636066817</v>
      </c>
      <c r="M26" s="19" t="n">
        <f aca="false">L26^2</f>
        <v>0.000883163304530778</v>
      </c>
      <c r="N26" s="19" t="n">
        <f aca="false">K26*$L26</f>
        <v>-0.0297180636066817</v>
      </c>
      <c r="O26" s="19" t="n">
        <f aca="false">C26*$L26</f>
        <v>0.000775953308795025</v>
      </c>
      <c r="P26" s="19" t="n">
        <f aca="false">D26*$L26</f>
        <v>-6.88979679256916</v>
      </c>
      <c r="Q26" s="19" t="n">
        <f aca="false">E26*$L26</f>
        <v>-5.18832937302517</v>
      </c>
      <c r="R26" s="19" t="n">
        <f aca="false">F26*$L26</f>
        <v>4.92572696718215</v>
      </c>
      <c r="S26" s="19" t="n">
        <f aca="false">G26*$L26</f>
        <v>-0.00120919886055103</v>
      </c>
      <c r="T26" s="19" t="n">
        <f aca="false">H26*$L26</f>
        <v>-0.000117652549051504</v>
      </c>
      <c r="U26" s="19" t="n">
        <f aca="false">I26*$L26</f>
        <v>-0</v>
      </c>
      <c r="V26" s="19" t="n">
        <f aca="false">J26*$L26</f>
        <v>-0</v>
      </c>
    </row>
    <row r="27" customFormat="false" ht="15" hidden="false" customHeight="false" outlineLevel="0" collapsed="false">
      <c r="A27" s="20" t="str">
        <f aca="false">Datos!A35</f>
        <v>2012Q3</v>
      </c>
      <c r="B27" s="21" t="n">
        <f aca="false">Datos!L35</f>
        <v>0.0351346302789751</v>
      </c>
      <c r="C27" s="21" t="n">
        <f aca="false">Datos!I35</f>
        <v>0.0386172859864582</v>
      </c>
      <c r="D27" s="21" t="n">
        <f aca="false">Datos!H35</f>
        <v>-43.7133031746029</v>
      </c>
      <c r="E27" s="21" t="n">
        <f aca="false">Datos!H33</f>
        <v>-75.1010327956988</v>
      </c>
      <c r="F27" s="21" t="n">
        <f aca="false">Datos!H29</f>
        <v>-12.9487096774192</v>
      </c>
      <c r="G27" s="21" t="n">
        <f aca="false">Datos!J29</f>
        <v>-0.0741697784354101</v>
      </c>
      <c r="H27" s="21" t="n">
        <f aca="false">Datos!K28</f>
        <v>0.05803748575736</v>
      </c>
      <c r="I27" s="21" t="n">
        <f aca="false">IF($A27="2020Q2",1,0)</f>
        <v>0</v>
      </c>
      <c r="J27" s="21" t="n">
        <f aca="false">IF($A27="2021Q2",1,0)</f>
        <v>0</v>
      </c>
      <c r="K27" s="19" t="n">
        <v>1</v>
      </c>
      <c r="L27" s="19" t="n">
        <f aca="false">B27-($B$88+$B$89*C27+$B$90*D27+$B$91*E27+$B$92*F27+$B$93*G27+$B$94*H27+$B$95*I27+$B$96*J27)</f>
        <v>0.00613654122834289</v>
      </c>
      <c r="M27" s="19" t="n">
        <f aca="false">L27^2</f>
        <v>3.7657138247152E-005</v>
      </c>
      <c r="N27" s="19" t="n">
        <f aca="false">K27*$L27</f>
        <v>0.00613654122834289</v>
      </c>
      <c r="O27" s="19" t="n">
        <f aca="false">C27*$L27</f>
        <v>0.000236976567582609</v>
      </c>
      <c r="P27" s="19" t="n">
        <f aca="false">D27*$L27</f>
        <v>-0.268248487158002</v>
      </c>
      <c r="Q27" s="19" t="n">
        <f aca="false">E27*$L27</f>
        <v>-0.460860584041937</v>
      </c>
      <c r="R27" s="19" t="n">
        <f aca="false">F27*$L27</f>
        <v>-0.0794602907893253</v>
      </c>
      <c r="S27" s="19" t="n">
        <f aca="false">G27*$L27</f>
        <v>-0.000455145903265951</v>
      </c>
      <c r="T27" s="19" t="n">
        <f aca="false">H27*$L27</f>
        <v>0.000356149424139403</v>
      </c>
      <c r="U27" s="19" t="n">
        <f aca="false">I27*$L27</f>
        <v>0</v>
      </c>
      <c r="V27" s="19" t="n">
        <f aca="false">J27*$L27</f>
        <v>0</v>
      </c>
    </row>
    <row r="28" customFormat="false" ht="15" hidden="false" customHeight="false" outlineLevel="0" collapsed="false">
      <c r="A28" s="20" t="str">
        <f aca="false">Datos!A36</f>
        <v>2012Q4</v>
      </c>
      <c r="B28" s="21" t="n">
        <f aca="false">Datos!L36</f>
        <v>0.0167409821196641</v>
      </c>
      <c r="C28" s="21" t="n">
        <f aca="false">Datos!I36</f>
        <v>0.0395024208900321</v>
      </c>
      <c r="D28" s="21" t="n">
        <f aca="false">Datos!H36</f>
        <v>16.4557341269839</v>
      </c>
      <c r="E28" s="21" t="n">
        <f aca="false">Datos!H34</f>
        <v>231.838685176651</v>
      </c>
      <c r="F28" s="21" t="n">
        <f aca="false">Datos!H30</f>
        <v>41.5229032258063</v>
      </c>
      <c r="G28" s="21" t="n">
        <f aca="false">Datos!J30</f>
        <v>0.0370188748562493</v>
      </c>
      <c r="H28" s="21" t="n">
        <f aca="false">Datos!K29</f>
        <v>0.0369403748928518</v>
      </c>
      <c r="I28" s="21" t="n">
        <f aca="false">IF($A28="2020Q2",1,0)</f>
        <v>0</v>
      </c>
      <c r="J28" s="21" t="n">
        <f aca="false">IF($A28="2021Q2",1,0)</f>
        <v>0</v>
      </c>
      <c r="K28" s="19" t="n">
        <v>1</v>
      </c>
      <c r="L28" s="19" t="n">
        <f aca="false">B28-($B$88+$B$89*C28+$B$90*D28+$B$91*E28+$B$92*F28+$B$93*G28+$B$94*H28+$B$95*I28+$B$96*J28)</f>
        <v>0.0170079143868744</v>
      </c>
      <c r="M28" s="19" t="n">
        <f aca="false">L28^2</f>
        <v>0.00028926915179125</v>
      </c>
      <c r="N28" s="19" t="n">
        <f aca="false">K28*$L28</f>
        <v>0.0170079143868744</v>
      </c>
      <c r="O28" s="19" t="n">
        <f aca="false">C28*$L28</f>
        <v>0.000671853792571945</v>
      </c>
      <c r="P28" s="19" t="n">
        <f aca="false">D28*$L28</f>
        <v>0.27987771720491</v>
      </c>
      <c r="Q28" s="19" t="n">
        <f aca="false">E28*$L28</f>
        <v>3.94309250905001</v>
      </c>
      <c r="R28" s="19" t="n">
        <f aca="false">F28*$L28</f>
        <v>0.706217983158985</v>
      </c>
      <c r="S28" s="19" t="n">
        <f aca="false">G28*$L28</f>
        <v>0.000629613854253507</v>
      </c>
      <c r="T28" s="19" t="n">
        <f aca="false">H28*$L28</f>
        <v>0.000628278733596669</v>
      </c>
      <c r="U28" s="19" t="n">
        <f aca="false">I28*$L28</f>
        <v>0</v>
      </c>
      <c r="V28" s="19" t="n">
        <f aca="false">J28*$L28</f>
        <v>0</v>
      </c>
    </row>
    <row r="29" customFormat="false" ht="15" hidden="false" customHeight="false" outlineLevel="0" collapsed="false">
      <c r="A29" s="20" t="str">
        <f aca="false">Datos!A37</f>
        <v>2013Q1</v>
      </c>
      <c r="B29" s="21" t="n">
        <f aca="false">Datos!L37</f>
        <v>0.000982211281734369</v>
      </c>
      <c r="C29" s="21" t="n">
        <f aca="false">Datos!I37</f>
        <v>-0.0136126649327899</v>
      </c>
      <c r="D29" s="21" t="n">
        <f aca="false">Datos!H37</f>
        <v>88.9247333333331</v>
      </c>
      <c r="E29" s="21" t="n">
        <f aca="false">Datos!H35</f>
        <v>-43.7133031746029</v>
      </c>
      <c r="F29" s="21" t="n">
        <f aca="false">Datos!H31</f>
        <v>158.444625</v>
      </c>
      <c r="G29" s="21" t="n">
        <f aca="false">Datos!J31</f>
        <v>0.0367630898891084</v>
      </c>
      <c r="H29" s="21" t="n">
        <f aca="false">Datos!K30</f>
        <v>0.0675225331288068</v>
      </c>
      <c r="I29" s="21" t="n">
        <f aca="false">IF($A29="2020Q2",1,0)</f>
        <v>0</v>
      </c>
      <c r="J29" s="21" t="n">
        <f aca="false">IF($A29="2021Q2",1,0)</f>
        <v>0</v>
      </c>
      <c r="K29" s="19" t="n">
        <v>1</v>
      </c>
      <c r="L29" s="19" t="n">
        <f aca="false">B29-($B$88+$B$89*C29+$B$90*D29+$B$91*E29+$B$92*F29+$B$93*G29+$B$94*H29+$B$95*I29+$B$96*J29)</f>
        <v>-0.00514612833090538</v>
      </c>
      <c r="M29" s="19" t="n">
        <f aca="false">L29^2</f>
        <v>2.6482636798147E-005</v>
      </c>
      <c r="N29" s="19" t="n">
        <f aca="false">K29*$L29</f>
        <v>-0.00514612833090538</v>
      </c>
      <c r="O29" s="19" t="n">
        <f aca="false">C29*$L29</f>
        <v>7.00525206697523E-005</v>
      </c>
      <c r="P29" s="19" t="n">
        <f aca="false">D29*$L29</f>
        <v>-0.457618089524872</v>
      </c>
      <c r="Q29" s="19" t="n">
        <f aca="false">E29*$L29</f>
        <v>0.22495426790428</v>
      </c>
      <c r="R29" s="19" t="n">
        <f aca="false">F29*$L29</f>
        <v>-0.815376373592179</v>
      </c>
      <c r="S29" s="19" t="n">
        <f aca="false">G29*$L29</f>
        <v>-0.000189187578409962</v>
      </c>
      <c r="T29" s="19" t="n">
        <f aca="false">H29*$L29</f>
        <v>-0.00034747962070865</v>
      </c>
      <c r="U29" s="19" t="n">
        <f aca="false">I29*$L29</f>
        <v>-0</v>
      </c>
      <c r="V29" s="19" t="n">
        <f aca="false">J29*$L29</f>
        <v>-0</v>
      </c>
    </row>
    <row r="30" customFormat="false" ht="15" hidden="false" customHeight="false" outlineLevel="0" collapsed="false">
      <c r="A30" s="20" t="str">
        <f aca="false">Datos!A38</f>
        <v>2013Q2</v>
      </c>
      <c r="B30" s="21" t="n">
        <f aca="false">Datos!L38</f>
        <v>0.0559199834902318</v>
      </c>
      <c r="C30" s="21" t="n">
        <f aca="false">Datos!I38</f>
        <v>0.000905918240426698</v>
      </c>
      <c r="D30" s="21" t="n">
        <f aca="false">Datos!H38</f>
        <v>74.8855166666669</v>
      </c>
      <c r="E30" s="21" t="n">
        <f aca="false">Datos!H36</f>
        <v>16.4557341269839</v>
      </c>
      <c r="F30" s="21" t="n">
        <f aca="false">Datos!H32</f>
        <v>174.585041666667</v>
      </c>
      <c r="G30" s="21" t="n">
        <f aca="false">Datos!J32</f>
        <v>-0.135501479583027</v>
      </c>
      <c r="H30" s="21" t="n">
        <f aca="false">Datos!K31</f>
        <v>-0.0288618479552661</v>
      </c>
      <c r="I30" s="21" t="n">
        <f aca="false">IF($A30="2020Q2",1,0)</f>
        <v>0</v>
      </c>
      <c r="J30" s="21" t="n">
        <f aca="false">IF($A30="2021Q2",1,0)</f>
        <v>0</v>
      </c>
      <c r="K30" s="19" t="n">
        <v>1</v>
      </c>
      <c r="L30" s="19" t="n">
        <f aca="false">B30-($B$88+$B$89*C30+$B$90*D30+$B$91*E30+$B$92*F30+$B$93*G30+$B$94*H30+$B$95*I30+$B$96*J30)</f>
        <v>0.0448625528907051</v>
      </c>
      <c r="M30" s="19" t="n">
        <f aca="false">L30^2</f>
        <v>0.00201264865187131</v>
      </c>
      <c r="N30" s="19" t="n">
        <f aca="false">K30*$L30</f>
        <v>0.0448625528907051</v>
      </c>
      <c r="O30" s="19" t="n">
        <f aca="false">C30*$L30</f>
        <v>4.06418049757972E-005</v>
      </c>
      <c r="P30" s="19" t="n">
        <f aca="false">D30*$L30</f>
        <v>3.35955545220612</v>
      </c>
      <c r="Q30" s="19" t="n">
        <f aca="false">E30*$L30</f>
        <v>0.738246242627195</v>
      </c>
      <c r="R30" s="19" t="n">
        <f aca="false">F30*$L30</f>
        <v>7.83233066569679</v>
      </c>
      <c r="S30" s="19" t="n">
        <f aca="false">G30*$L30</f>
        <v>-0.00607894229456233</v>
      </c>
      <c r="T30" s="19" t="n">
        <f aca="false">H30*$L30</f>
        <v>-0.00129481618041661</v>
      </c>
      <c r="U30" s="19" t="n">
        <f aca="false">I30*$L30</f>
        <v>0</v>
      </c>
      <c r="V30" s="19" t="n">
        <f aca="false">J30*$L30</f>
        <v>0</v>
      </c>
    </row>
    <row r="31" customFormat="false" ht="15" hidden="false" customHeight="false" outlineLevel="0" collapsed="false">
      <c r="A31" s="20" t="str">
        <f aca="false">Datos!A39</f>
        <v>2013Q3</v>
      </c>
      <c r="B31" s="21" t="n">
        <f aca="false">Datos!L39</f>
        <v>-0.0368763361961251</v>
      </c>
      <c r="C31" s="21" t="n">
        <f aca="false">Datos!I39</f>
        <v>-0.0669208551958795</v>
      </c>
      <c r="D31" s="21" t="n">
        <f aca="false">Datos!H39</f>
        <v>-109.725953125</v>
      </c>
      <c r="E31" s="21" t="n">
        <f aca="false">Datos!H37</f>
        <v>88.9247333333331</v>
      </c>
      <c r="F31" s="21" t="n">
        <f aca="false">Datos!H33</f>
        <v>-75.1010327956988</v>
      </c>
      <c r="G31" s="21" t="n">
        <f aca="false">Datos!J33</f>
        <v>0.0927807464043467</v>
      </c>
      <c r="H31" s="21" t="n">
        <f aca="false">Datos!K32</f>
        <v>-0.0632996042190603</v>
      </c>
      <c r="I31" s="21" t="n">
        <f aca="false">IF($A31="2020Q2",1,0)</f>
        <v>0</v>
      </c>
      <c r="J31" s="21" t="n">
        <f aca="false">IF($A31="2021Q2",1,0)</f>
        <v>0</v>
      </c>
      <c r="K31" s="19" t="n">
        <v>1</v>
      </c>
      <c r="L31" s="19" t="n">
        <f aca="false">B31-($B$88+$B$89*C31+$B$90*D31+$B$91*E31+$B$92*F31+$B$93*G31+$B$94*H31+$B$95*I31+$B$96*J31)</f>
        <v>-0.00520983502461817</v>
      </c>
      <c r="M31" s="19" t="n">
        <f aca="false">L31^2</f>
        <v>2.71423809837382E-005</v>
      </c>
      <c r="N31" s="19" t="n">
        <f aca="false">K31*$L31</f>
        <v>-0.00520983502461817</v>
      </c>
      <c r="O31" s="19" t="n">
        <f aca="false">C31*$L31</f>
        <v>0.000348646615276894</v>
      </c>
      <c r="P31" s="19" t="n">
        <f aca="false">D31*$L31</f>
        <v>0.571654113700236</v>
      </c>
      <c r="Q31" s="19" t="n">
        <f aca="false">E31*$L31</f>
        <v>-0.463283190274829</v>
      </c>
      <c r="R31" s="19" t="n">
        <f aca="false">F31*$L31</f>
        <v>0.391263991044029</v>
      </c>
      <c r="S31" s="19" t="n">
        <f aca="false">G31*$L31</f>
        <v>-0.000483372382227581</v>
      </c>
      <c r="T31" s="19" t="n">
        <f aca="false">H31*$L31</f>
        <v>0.000329780495104928</v>
      </c>
      <c r="U31" s="19" t="n">
        <f aca="false">I31*$L31</f>
        <v>-0</v>
      </c>
      <c r="V31" s="19" t="n">
        <f aca="false">J31*$L31</f>
        <v>-0</v>
      </c>
    </row>
    <row r="32" customFormat="false" ht="15" hidden="false" customHeight="false" outlineLevel="0" collapsed="false">
      <c r="A32" s="20" t="str">
        <f aca="false">Datos!A40</f>
        <v>2013Q4</v>
      </c>
      <c r="B32" s="21" t="n">
        <f aca="false">Datos!L40</f>
        <v>-0.0260941044948726</v>
      </c>
      <c r="C32" s="21" t="n">
        <f aca="false">Datos!I40</f>
        <v>-0.0573108864708702</v>
      </c>
      <c r="D32" s="21" t="n">
        <f aca="false">Datos!H40</f>
        <v>-236.474292776639</v>
      </c>
      <c r="E32" s="21" t="n">
        <f aca="false">Datos!H38</f>
        <v>74.8855166666669</v>
      </c>
      <c r="F32" s="21" t="n">
        <f aca="false">Datos!H34</f>
        <v>231.838685176651</v>
      </c>
      <c r="G32" s="21" t="n">
        <f aca="false">Datos!J34</f>
        <v>-0.0400600353414598</v>
      </c>
      <c r="H32" s="21" t="n">
        <f aca="false">Datos!K33</f>
        <v>-0.0212380852307825</v>
      </c>
      <c r="I32" s="21" t="n">
        <f aca="false">IF($A32="2020Q2",1,0)</f>
        <v>0</v>
      </c>
      <c r="J32" s="21" t="n">
        <f aca="false">IF($A32="2021Q2",1,0)</f>
        <v>0</v>
      </c>
      <c r="K32" s="19" t="n">
        <v>1</v>
      </c>
      <c r="L32" s="19" t="n">
        <f aca="false">B32-($B$88+$B$89*C32+$B$90*D32+$B$91*E32+$B$92*F32+$B$93*G32+$B$94*H32+$B$95*I32+$B$96*J32)</f>
        <v>-0.0306049803954064</v>
      </c>
      <c r="M32" s="19" t="n">
        <f aca="false">L32^2</f>
        <v>0.000936664825003208</v>
      </c>
      <c r="N32" s="19" t="n">
        <f aca="false">K32*$L32</f>
        <v>-0.0306049803954064</v>
      </c>
      <c r="O32" s="19" t="n">
        <f aca="false">C32*$L32</f>
        <v>0.00175399855688434</v>
      </c>
      <c r="P32" s="19" t="n">
        <f aca="false">D32*$L32</f>
        <v>7.23729109444662</v>
      </c>
      <c r="Q32" s="19" t="n">
        <f aca="false">E32*$L32</f>
        <v>-2.29186976948322</v>
      </c>
      <c r="R32" s="19" t="n">
        <f aca="false">F32*$L32</f>
        <v>-7.09541841472819</v>
      </c>
      <c r="S32" s="19" t="n">
        <f aca="false">G32*$L32</f>
        <v>0.00122603659626466</v>
      </c>
      <c r="T32" s="19" t="n">
        <f aca="false">H32*$L32</f>
        <v>0.000649991182124069</v>
      </c>
      <c r="U32" s="19" t="n">
        <f aca="false">I32*$L32</f>
        <v>-0</v>
      </c>
      <c r="V32" s="19" t="n">
        <f aca="false">J32*$L32</f>
        <v>-0</v>
      </c>
    </row>
    <row r="33" customFormat="false" ht="15" hidden="false" customHeight="false" outlineLevel="0" collapsed="false">
      <c r="A33" s="20" t="str">
        <f aca="false">Datos!A41</f>
        <v>2014Q1</v>
      </c>
      <c r="B33" s="21" t="n">
        <f aca="false">Datos!L41</f>
        <v>-0.00838007808506247</v>
      </c>
      <c r="C33" s="21" t="n">
        <f aca="false">Datos!I41</f>
        <v>-0.0958800124314026</v>
      </c>
      <c r="D33" s="21" t="n">
        <f aca="false">Datos!H41</f>
        <v>71.9946229508196</v>
      </c>
      <c r="E33" s="21" t="n">
        <f aca="false">Datos!H39</f>
        <v>-109.725953125</v>
      </c>
      <c r="F33" s="21" t="n">
        <f aca="false">Datos!H35</f>
        <v>-43.7133031746029</v>
      </c>
      <c r="G33" s="21" t="n">
        <f aca="false">Datos!J35</f>
        <v>-0.067078079606848</v>
      </c>
      <c r="H33" s="21" t="n">
        <f aca="false">Datos!K34</f>
        <v>-0.0420035680408851</v>
      </c>
      <c r="I33" s="21" t="n">
        <f aca="false">IF($A33="2020Q2",1,0)</f>
        <v>0</v>
      </c>
      <c r="J33" s="21" t="n">
        <f aca="false">IF($A33="2021Q2",1,0)</f>
        <v>0</v>
      </c>
      <c r="K33" s="19" t="n">
        <v>1</v>
      </c>
      <c r="L33" s="19" t="n">
        <f aca="false">B33-($B$88+$B$89*C33+$B$90*D33+$B$91*E33+$B$92*F33+$B$93*G33+$B$94*H33+$B$95*I33+$B$96*J33)</f>
        <v>0.009237988725991</v>
      </c>
      <c r="M33" s="19" t="n">
        <f aca="false">L33^2</f>
        <v>8.53404357015368E-005</v>
      </c>
      <c r="N33" s="19" t="n">
        <f aca="false">K33*$L33</f>
        <v>0.009237988725991</v>
      </c>
      <c r="O33" s="19" t="n">
        <f aca="false">C33*$L33</f>
        <v>-0.000885738473889174</v>
      </c>
      <c r="P33" s="19" t="n">
        <f aca="false">D33*$L33</f>
        <v>0.665085515151644</v>
      </c>
      <c r="Q33" s="19" t="n">
        <f aca="false">E33*$L33</f>
        <v>-1.01364711791737</v>
      </c>
      <c r="R33" s="19" t="n">
        <f aca="false">F33*$L33</f>
        <v>-0.403823001902808</v>
      </c>
      <c r="S33" s="19" t="n">
        <f aca="false">G33*$L33</f>
        <v>-0.000619666543169189</v>
      </c>
      <c r="T33" s="19" t="n">
        <f aca="false">H33*$L33</f>
        <v>-0.000388028488013093</v>
      </c>
      <c r="U33" s="19" t="n">
        <f aca="false">I33*$L33</f>
        <v>0</v>
      </c>
      <c r="V33" s="19" t="n">
        <f aca="false">J33*$L33</f>
        <v>0</v>
      </c>
    </row>
    <row r="34" customFormat="false" ht="15" hidden="false" customHeight="false" outlineLevel="0" collapsed="false">
      <c r="A34" s="20" t="str">
        <f aca="false">Datos!A42</f>
        <v>2014Q2</v>
      </c>
      <c r="B34" s="21" t="n">
        <f aca="false">Datos!L42</f>
        <v>-0.0115991030912197</v>
      </c>
      <c r="C34" s="21" t="n">
        <f aca="false">Datos!I42</f>
        <v>-0.0333671304691989</v>
      </c>
      <c r="D34" s="21" t="n">
        <f aca="false">Datos!H42</f>
        <v>-143.202551652355</v>
      </c>
      <c r="E34" s="21" t="n">
        <f aca="false">Datos!H40</f>
        <v>-236.474292776639</v>
      </c>
      <c r="F34" s="21" t="n">
        <f aca="false">Datos!H36</f>
        <v>16.4557341269839</v>
      </c>
      <c r="G34" s="21" t="n">
        <f aca="false">Datos!J36</f>
        <v>0.0542645345476518</v>
      </c>
      <c r="H34" s="21" t="n">
        <f aca="false">Datos!K35</f>
        <v>0.079458812069766</v>
      </c>
      <c r="I34" s="21" t="n">
        <f aca="false">IF($A34="2020Q2",1,0)</f>
        <v>0</v>
      </c>
      <c r="J34" s="21" t="n">
        <f aca="false">IF($A34="2021Q2",1,0)</f>
        <v>0</v>
      </c>
      <c r="K34" s="19" t="n">
        <v>1</v>
      </c>
      <c r="L34" s="19" t="n">
        <f aca="false">B34-($B$88+$B$89*C34+$B$90*D34+$B$91*E34+$B$92*F34+$B$93*G34+$B$94*H34+$B$95*I34+$B$96*J34)</f>
        <v>-0.029567698355837</v>
      </c>
      <c r="M34" s="19" t="n">
        <f aca="false">L34^2</f>
        <v>0.000874248786061768</v>
      </c>
      <c r="N34" s="19" t="n">
        <f aca="false">K34*$L34</f>
        <v>-0.029567698355837</v>
      </c>
      <c r="O34" s="19" t="n">
        <f aca="false">C34*$L34</f>
        <v>0.000986589248713132</v>
      </c>
      <c r="P34" s="19" t="n">
        <f aca="false">D34*$L34</f>
        <v>4.23416985104302</v>
      </c>
      <c r="Q34" s="19" t="n">
        <f aca="false">E34*$L34</f>
        <v>6.99200055772956</v>
      </c>
      <c r="R34" s="19" t="n">
        <f aca="false">F34*$L34</f>
        <v>-0.486558182890513</v>
      </c>
      <c r="S34" s="19" t="n">
        <f aca="false">G34*$L34</f>
        <v>-0.00160447738892487</v>
      </c>
      <c r="T34" s="19" t="n">
        <f aca="false">H34*$L34</f>
        <v>-0.00234941418699198</v>
      </c>
      <c r="U34" s="19" t="n">
        <f aca="false">I34*$L34</f>
        <v>-0</v>
      </c>
      <c r="V34" s="19" t="n">
        <f aca="false">J34*$L34</f>
        <v>-0</v>
      </c>
    </row>
    <row r="35" customFormat="false" ht="15" hidden="false" customHeight="false" outlineLevel="0" collapsed="false">
      <c r="A35" s="20" t="str">
        <f aca="false">Datos!A43</f>
        <v>2014Q3</v>
      </c>
      <c r="B35" s="21" t="n">
        <f aca="false">Datos!L43</f>
        <v>-0.021895763616679</v>
      </c>
      <c r="C35" s="21" t="n">
        <f aca="false">Datos!I43</f>
        <v>-0.00270570265133011</v>
      </c>
      <c r="D35" s="21" t="n">
        <f aca="false">Datos!H43</f>
        <v>-73.5206691468252</v>
      </c>
      <c r="E35" s="21" t="n">
        <f aca="false">Datos!H41</f>
        <v>71.9946229508196</v>
      </c>
      <c r="F35" s="21" t="n">
        <f aca="false">Datos!H37</f>
        <v>88.9247333333331</v>
      </c>
      <c r="G35" s="21" t="n">
        <f aca="false">Datos!J37</f>
        <v>-0.0125683284799909</v>
      </c>
      <c r="H35" s="21" t="n">
        <f aca="false">Datos!K36</f>
        <v>-0.0215673319846723</v>
      </c>
      <c r="I35" s="21" t="n">
        <f aca="false">IF($A35="2020Q2",1,0)</f>
        <v>0</v>
      </c>
      <c r="J35" s="21" t="n">
        <f aca="false">IF($A35="2021Q2",1,0)</f>
        <v>0</v>
      </c>
      <c r="K35" s="19" t="n">
        <v>1</v>
      </c>
      <c r="L35" s="19" t="n">
        <f aca="false">B35-($B$88+$B$89*C35+$B$90*D35+$B$91*E35+$B$92*F35+$B$93*G35+$B$94*H35+$B$95*I35+$B$96*J35)</f>
        <v>-0.0231924400337385</v>
      </c>
      <c r="M35" s="19" t="n">
        <f aca="false">L35^2</f>
        <v>0.000537889274718555</v>
      </c>
      <c r="N35" s="19" t="n">
        <f aca="false">K35*$L35</f>
        <v>-0.0231924400337385</v>
      </c>
      <c r="O35" s="19" t="n">
        <f aca="false">C35*$L35</f>
        <v>6.27518464901007E-005</v>
      </c>
      <c r="P35" s="19" t="n">
        <f aca="false">D35*$L35</f>
        <v>1.70512371042807</v>
      </c>
      <c r="Q35" s="19" t="n">
        <f aca="false">E35*$L35</f>
        <v>-1.6697309755385</v>
      </c>
      <c r="R35" s="19" t="n">
        <f aca="false">F35*$L35</f>
        <v>-2.06238154534951</v>
      </c>
      <c r="S35" s="19" t="n">
        <f aca="false">G35*$L35</f>
        <v>0.000291490204596516</v>
      </c>
      <c r="T35" s="19" t="n">
        <f aca="false">H35*$L35</f>
        <v>0.000500199053742242</v>
      </c>
      <c r="U35" s="19" t="n">
        <f aca="false">I35*$L35</f>
        <v>-0</v>
      </c>
      <c r="V35" s="19" t="n">
        <f aca="false">J35*$L35</f>
        <v>-0</v>
      </c>
    </row>
    <row r="36" customFormat="false" ht="15" hidden="false" customHeight="false" outlineLevel="0" collapsed="false">
      <c r="A36" s="20" t="str">
        <f aca="false">Datos!A44</f>
        <v>2014Q4</v>
      </c>
      <c r="B36" s="21" t="n">
        <f aca="false">Datos!L44</f>
        <v>0.0142278491595248</v>
      </c>
      <c r="C36" s="21" t="n">
        <f aca="false">Datos!I44</f>
        <v>0.0206592277311123</v>
      </c>
      <c r="D36" s="21" t="n">
        <f aca="false">Datos!H44</f>
        <v>21.0197781762296</v>
      </c>
      <c r="E36" s="21" t="n">
        <f aca="false">Datos!H42</f>
        <v>-143.202551652355</v>
      </c>
      <c r="F36" s="21" t="n">
        <f aca="false">Datos!H38</f>
        <v>74.8855166666669</v>
      </c>
      <c r="G36" s="21" t="n">
        <f aca="false">Datos!J38</f>
        <v>0.0292871541298152</v>
      </c>
      <c r="H36" s="21" t="n">
        <f aca="false">Datos!K37</f>
        <v>-0.0867445085368881</v>
      </c>
      <c r="I36" s="21" t="n">
        <f aca="false">IF($A36="2020Q2",1,0)</f>
        <v>0</v>
      </c>
      <c r="J36" s="21" t="n">
        <f aca="false">IF($A36="2021Q2",1,0)</f>
        <v>0</v>
      </c>
      <c r="K36" s="19" t="n">
        <v>1</v>
      </c>
      <c r="L36" s="19" t="n">
        <f aca="false">B36-($B$88+$B$89*C36+$B$90*D36+$B$91*E36+$B$92*F36+$B$93*G36+$B$94*H36+$B$95*I36+$B$96*J36)</f>
        <v>0.0153610339954173</v>
      </c>
      <c r="M36" s="19" t="n">
        <f aca="false">L36^2</f>
        <v>0.000235961365408365</v>
      </c>
      <c r="N36" s="19" t="n">
        <f aca="false">K36*$L36</f>
        <v>0.0153610339954173</v>
      </c>
      <c r="O36" s="19" t="n">
        <f aca="false">C36*$L36</f>
        <v>0.000317347099496683</v>
      </c>
      <c r="P36" s="19" t="n">
        <f aca="false">D36*$L36</f>
        <v>0.322885527141193</v>
      </c>
      <c r="Q36" s="19" t="n">
        <f aca="false">E36*$L36</f>
        <v>-2.19973926416233</v>
      </c>
      <c r="R36" s="19" t="n">
        <f aca="false">F36*$L36</f>
        <v>1.15031896728106</v>
      </c>
      <c r="S36" s="19" t="n">
        <f aca="false">G36*$L36</f>
        <v>0.000449880970217116</v>
      </c>
      <c r="T36" s="19" t="n">
        <f aca="false">H36*$L36</f>
        <v>-0.0013324853445509</v>
      </c>
      <c r="U36" s="19" t="n">
        <f aca="false">I36*$L36</f>
        <v>0</v>
      </c>
      <c r="V36" s="19" t="n">
        <f aca="false">J36*$L36</f>
        <v>0</v>
      </c>
    </row>
    <row r="37" customFormat="false" ht="15" hidden="false" customHeight="false" outlineLevel="0" collapsed="false">
      <c r="A37" s="20" t="str">
        <f aca="false">Datos!A45</f>
        <v>2015Q1</v>
      </c>
      <c r="B37" s="21" t="n">
        <f aca="false">Datos!L45</f>
        <v>0.0306663908660249</v>
      </c>
      <c r="C37" s="21" t="n">
        <f aca="false">Datos!I45</f>
        <v>0.12737234338906</v>
      </c>
      <c r="D37" s="21" t="n">
        <f aca="false">Datos!H45</f>
        <v>-63.2494918032786</v>
      </c>
      <c r="E37" s="21" t="n">
        <f aca="false">Datos!H43</f>
        <v>-73.5206691468252</v>
      </c>
      <c r="F37" s="21" t="n">
        <f aca="false">Datos!H39</f>
        <v>-109.725953125</v>
      </c>
      <c r="G37" s="21" t="n">
        <f aca="false">Datos!J39</f>
        <v>0.0770487894176897</v>
      </c>
      <c r="H37" s="21" t="n">
        <f aca="false">Datos!K38</f>
        <v>0.0123174371873954</v>
      </c>
      <c r="I37" s="21" t="n">
        <f aca="false">IF($A37="2020Q2",1,0)</f>
        <v>0</v>
      </c>
      <c r="J37" s="21" t="n">
        <f aca="false">IF($A37="2021Q2",1,0)</f>
        <v>0</v>
      </c>
      <c r="K37" s="19" t="n">
        <v>1</v>
      </c>
      <c r="L37" s="19" t="n">
        <f aca="false">B37-($B$88+$B$89*C37+$B$90*D37+$B$91*E37+$B$92*F37+$B$93*G37+$B$94*H37+$B$95*I37+$B$96*J37)</f>
        <v>0.00592783521535712</v>
      </c>
      <c r="M37" s="19" t="n">
        <f aca="false">L37^2</f>
        <v>3.5139230340428E-005</v>
      </c>
      <c r="N37" s="19" t="n">
        <f aca="false">K37*$L37</f>
        <v>0.00592783521535712</v>
      </c>
      <c r="O37" s="19" t="n">
        <f aca="false">C37*$L37</f>
        <v>0.000755042262604229</v>
      </c>
      <c r="P37" s="19" t="n">
        <f aca="false">D37*$L37</f>
        <v>-0.374932564864916</v>
      </c>
      <c r="Q37" s="19" t="n">
        <f aca="false">E37*$L37</f>
        <v>-0.43581841162517</v>
      </c>
      <c r="R37" s="19" t="n">
        <f aca="false">F37*$L37</f>
        <v>-0.650437368972999</v>
      </c>
      <c r="S37" s="19" t="n">
        <f aca="false">G37*$L37</f>
        <v>0.000456732527210816</v>
      </c>
      <c r="T37" s="19" t="n">
        <f aca="false">H37*$L37</f>
        <v>7.3015737922392E-005</v>
      </c>
      <c r="U37" s="19" t="n">
        <f aca="false">I37*$L37</f>
        <v>0</v>
      </c>
      <c r="V37" s="19" t="n">
        <f aca="false">J37*$L37</f>
        <v>0</v>
      </c>
    </row>
    <row r="38" customFormat="false" ht="15" hidden="false" customHeight="false" outlineLevel="0" collapsed="false">
      <c r="A38" s="20" t="str">
        <f aca="false">Datos!A46</f>
        <v>2015Q2</v>
      </c>
      <c r="B38" s="21" t="n">
        <f aca="false">Datos!L46</f>
        <v>0.0378012308454139</v>
      </c>
      <c r="C38" s="21" t="n">
        <f aca="false">Datos!I46</f>
        <v>0.079305358514979</v>
      </c>
      <c r="D38" s="21" t="n">
        <f aca="false">Datos!H46</f>
        <v>-69.448288776797</v>
      </c>
      <c r="E38" s="21" t="n">
        <f aca="false">Datos!H44</f>
        <v>21.0197781762296</v>
      </c>
      <c r="F38" s="21" t="n">
        <f aca="false">Datos!H40</f>
        <v>-236.474292776639</v>
      </c>
      <c r="G38" s="21" t="n">
        <f aca="false">Datos!J40</f>
        <v>-0.031577165647831</v>
      </c>
      <c r="H38" s="21" t="n">
        <f aca="false">Datos!K39</f>
        <v>-0.0661301293821577</v>
      </c>
      <c r="I38" s="21" t="n">
        <f aca="false">IF($A38="2020Q2",1,0)</f>
        <v>0</v>
      </c>
      <c r="J38" s="21" t="n">
        <f aca="false">IF($A38="2021Q2",1,0)</f>
        <v>0</v>
      </c>
      <c r="K38" s="19" t="n">
        <v>1</v>
      </c>
      <c r="L38" s="19" t="n">
        <f aca="false">B38-($B$88+$B$89*C38+$B$90*D38+$B$91*E38+$B$92*F38+$B$93*G38+$B$94*H38+$B$95*I38+$B$96*J38)</f>
        <v>0.0310919764874503</v>
      </c>
      <c r="M38" s="19" t="n">
        <f aca="false">L38^2</f>
        <v>0.00096671100189616</v>
      </c>
      <c r="N38" s="19" t="n">
        <f aca="false">K38*$L38</f>
        <v>0.0310919764874503</v>
      </c>
      <c r="O38" s="19" t="n">
        <f aca="false">C38*$L38</f>
        <v>0.00246576034227654</v>
      </c>
      <c r="P38" s="19" t="n">
        <f aca="false">D38*$L38</f>
        <v>-2.15928456174183</v>
      </c>
      <c r="Q38" s="19" t="n">
        <f aca="false">E38*$L38</f>
        <v>0.65354644882675</v>
      </c>
      <c r="R38" s="19" t="n">
        <f aca="false">F38*$L38</f>
        <v>-7.35245315089769</v>
      </c>
      <c r="S38" s="19" t="n">
        <f aca="false">G38*$L38</f>
        <v>-0.000981796491862683</v>
      </c>
      <c r="T38" s="19" t="n">
        <f aca="false">H38*$L38</f>
        <v>-0.00205611642786209</v>
      </c>
      <c r="U38" s="19" t="n">
        <f aca="false">I38*$L38</f>
        <v>0</v>
      </c>
      <c r="V38" s="19" t="n">
        <f aca="false">J38*$L38</f>
        <v>0</v>
      </c>
    </row>
    <row r="39" customFormat="false" ht="15" hidden="false" customHeight="false" outlineLevel="0" collapsed="false">
      <c r="A39" s="20" t="str">
        <f aca="false">Datos!A47</f>
        <v>2015Q3</v>
      </c>
      <c r="B39" s="21" t="n">
        <f aca="false">Datos!L47</f>
        <v>-0.000648620462658789</v>
      </c>
      <c r="C39" s="21" t="n">
        <f aca="false">Datos!I47</f>
        <v>-0.0219317664243788</v>
      </c>
      <c r="D39" s="21" t="n">
        <f aca="false">Datos!H47</f>
        <v>-12.3885780885781</v>
      </c>
      <c r="E39" s="21" t="n">
        <f aca="false">Datos!H45</f>
        <v>-63.2494918032786</v>
      </c>
      <c r="F39" s="21" t="n">
        <f aca="false">Datos!H41</f>
        <v>71.9946229508196</v>
      </c>
      <c r="G39" s="21" t="n">
        <f aca="false">Datos!J41</f>
        <v>0.0530334992950312</v>
      </c>
      <c r="H39" s="21" t="n">
        <f aca="false">Datos!K40</f>
        <v>-0.0319000966767005</v>
      </c>
      <c r="I39" s="21" t="n">
        <f aca="false">IF($A39="2020Q2",1,0)</f>
        <v>0</v>
      </c>
      <c r="J39" s="21" t="n">
        <f aca="false">IF($A39="2021Q2",1,0)</f>
        <v>0</v>
      </c>
      <c r="K39" s="19" t="n">
        <v>1</v>
      </c>
      <c r="L39" s="19" t="n">
        <f aca="false">B39-($B$88+$B$89*C39+$B$90*D39+$B$91*E39+$B$92*F39+$B$93*G39+$B$94*H39+$B$95*I39+$B$96*J39)</f>
        <v>0.00661151348705423</v>
      </c>
      <c r="M39" s="19" t="n">
        <f aca="false">L39^2</f>
        <v>4.37121105894999E-005</v>
      </c>
      <c r="N39" s="19" t="n">
        <f aca="false">K39*$L39</f>
        <v>0.00661151348705423</v>
      </c>
      <c r="O39" s="19" t="n">
        <f aca="false">C39*$L39</f>
        <v>-0.000145002169509703</v>
      </c>
      <c r="P39" s="19" t="n">
        <f aca="false">D39*$L39</f>
        <v>-0.0819072511180588</v>
      </c>
      <c r="Q39" s="19" t="n">
        <f aca="false">E39*$L39</f>
        <v>-0.418174868106702</v>
      </c>
      <c r="R39" s="19" t="n">
        <f aca="false">F39*$L39</f>
        <v>0.475993420634727</v>
      </c>
      <c r="S39" s="19" t="n">
        <f aca="false">G39*$L39</f>
        <v>0.000350631695854779</v>
      </c>
      <c r="T39" s="19" t="n">
        <f aca="false">H39*$L39</f>
        <v>-0.000210907919416339</v>
      </c>
      <c r="U39" s="19" t="n">
        <f aca="false">I39*$L39</f>
        <v>0</v>
      </c>
      <c r="V39" s="19" t="n">
        <f aca="false">J39*$L39</f>
        <v>0</v>
      </c>
    </row>
    <row r="40" customFormat="false" ht="15" hidden="false" customHeight="false" outlineLevel="0" collapsed="false">
      <c r="A40" s="20" t="str">
        <f aca="false">Datos!A48</f>
        <v>2015Q4</v>
      </c>
      <c r="B40" s="21" t="n">
        <f aca="false">Datos!L48</f>
        <v>-0.014934690706373</v>
      </c>
      <c r="C40" s="21" t="n">
        <f aca="false">Datos!I48</f>
        <v>0.00284689976009123</v>
      </c>
      <c r="D40" s="21" t="n">
        <f aca="false">Datos!H48</f>
        <v>-78.2729603729604</v>
      </c>
      <c r="E40" s="21" t="n">
        <f aca="false">Datos!H46</f>
        <v>-69.448288776797</v>
      </c>
      <c r="F40" s="21" t="n">
        <f aca="false">Datos!H42</f>
        <v>-143.202551652355</v>
      </c>
      <c r="G40" s="21" t="n">
        <f aca="false">Datos!J42</f>
        <v>0.067920751391922</v>
      </c>
      <c r="H40" s="21" t="n">
        <f aca="false">Datos!K41</f>
        <v>0.0671200742533991</v>
      </c>
      <c r="I40" s="21" t="n">
        <f aca="false">IF($A40="2020Q2",1,0)</f>
        <v>0</v>
      </c>
      <c r="J40" s="21" t="n">
        <f aca="false">IF($A40="2021Q2",1,0)</f>
        <v>0</v>
      </c>
      <c r="K40" s="19" t="n">
        <v>1</v>
      </c>
      <c r="L40" s="19" t="n">
        <f aca="false">B40-($B$88+$B$89*C40+$B$90*D40+$B$91*E40+$B$92*F40+$B$93*G40+$B$94*H40+$B$95*I40+$B$96*J40)</f>
        <v>-0.021586438540341</v>
      </c>
      <c r="M40" s="19" t="n">
        <f aca="false">L40^2</f>
        <v>0.000465974328855919</v>
      </c>
      <c r="N40" s="19" t="n">
        <f aca="false">K40*$L40</f>
        <v>-0.021586438540341</v>
      </c>
      <c r="O40" s="19" t="n">
        <f aca="false">C40*$L40</f>
        <v>-6.14544267017209E-005</v>
      </c>
      <c r="P40" s="19" t="n">
        <f aca="false">D40*$L40</f>
        <v>1.68963444846145</v>
      </c>
      <c r="Q40" s="19" t="n">
        <f aca="false">E40*$L40</f>
        <v>1.49914121741218</v>
      </c>
      <c r="R40" s="19" t="n">
        <f aca="false">F40*$L40</f>
        <v>3.09123308006358</v>
      </c>
      <c r="S40" s="19" t="n">
        <f aca="false">G40*$L40</f>
        <v>-0.0014661671255355</v>
      </c>
      <c r="T40" s="19" t="n">
        <f aca="false">H40*$L40</f>
        <v>-0.00144888335769412</v>
      </c>
      <c r="U40" s="19" t="n">
        <f aca="false">I40*$L40</f>
        <v>-0</v>
      </c>
      <c r="V40" s="19" t="n">
        <f aca="false">J40*$L40</f>
        <v>-0</v>
      </c>
    </row>
    <row r="41" customFormat="false" ht="15" hidden="false" customHeight="false" outlineLevel="0" collapsed="false">
      <c r="A41" s="20" t="str">
        <f aca="false">Datos!A49</f>
        <v>2016Q1</v>
      </c>
      <c r="B41" s="21" t="n">
        <f aca="false">Datos!L49</f>
        <v>-0.0174400837015445</v>
      </c>
      <c r="C41" s="21" t="n">
        <f aca="false">Datos!I49</f>
        <v>-0.114795786877596</v>
      </c>
      <c r="D41" s="21" t="n">
        <f aca="false">Datos!H49</f>
        <v>-38.2862026862027</v>
      </c>
      <c r="E41" s="21" t="n">
        <f aca="false">Datos!H47</f>
        <v>-12.3885780885781</v>
      </c>
      <c r="F41" s="21" t="n">
        <f aca="false">Datos!H43</f>
        <v>-73.5206691468252</v>
      </c>
      <c r="G41" s="21" t="n">
        <f aca="false">Datos!J43</f>
        <v>-0.0382165552288544</v>
      </c>
      <c r="H41" s="21" t="n">
        <f aca="false">Datos!K42</f>
        <v>0.0831122793228319</v>
      </c>
      <c r="I41" s="21" t="n">
        <f aca="false">IF($A41="2020Q2",1,0)</f>
        <v>0</v>
      </c>
      <c r="J41" s="21" t="n">
        <f aca="false">IF($A41="2021Q2",1,0)</f>
        <v>0</v>
      </c>
      <c r="K41" s="19" t="n">
        <v>1</v>
      </c>
      <c r="L41" s="19" t="n">
        <f aca="false">B41-($B$88+$B$89*C41+$B$90*D41+$B$91*E41+$B$92*F41+$B$93*G41+$B$94*H41+$B$95*I41+$B$96*J41)</f>
        <v>-0.00948491573725772</v>
      </c>
      <c r="M41" s="19" t="n">
        <f aca="false">L41^2</f>
        <v>8.99636265428791E-005</v>
      </c>
      <c r="N41" s="19" t="n">
        <f aca="false">K41*$L41</f>
        <v>-0.00948491573725772</v>
      </c>
      <c r="O41" s="19" t="n">
        <f aca="false">C41*$L41</f>
        <v>0.00108882836552619</v>
      </c>
      <c r="P41" s="19" t="n">
        <f aca="false">D41*$L41</f>
        <v>0.363141406378202</v>
      </c>
      <c r="Q41" s="19" t="n">
        <f aca="false">E41*$L41</f>
        <v>0.117504619274601</v>
      </c>
      <c r="R41" s="19" t="n">
        <f aca="false">F41*$L41</f>
        <v>0.69733735180444</v>
      </c>
      <c r="S41" s="19" t="n">
        <f aca="false">G41*$L41</f>
        <v>0.00036248080611394</v>
      </c>
      <c r="T41" s="19" t="n">
        <f aca="false">H41*$L41</f>
        <v>-0.000788312966108488</v>
      </c>
      <c r="U41" s="19" t="n">
        <f aca="false">I41*$L41</f>
        <v>-0</v>
      </c>
      <c r="V41" s="19" t="n">
        <f aca="false">J41*$L41</f>
        <v>-0</v>
      </c>
    </row>
    <row r="42" customFormat="false" ht="15" hidden="false" customHeight="false" outlineLevel="0" collapsed="false">
      <c r="A42" s="20" t="str">
        <f aca="false">Datos!A50</f>
        <v>2016Q2</v>
      </c>
      <c r="B42" s="21" t="n">
        <f aca="false">Datos!L50</f>
        <v>-0.0458755219268234</v>
      </c>
      <c r="C42" s="21" t="n">
        <f aca="false">Datos!I50</f>
        <v>-0.0963649166129051</v>
      </c>
      <c r="D42" s="21" t="n">
        <f aca="false">Datos!H50</f>
        <v>-20.156746031746</v>
      </c>
      <c r="E42" s="21" t="n">
        <f aca="false">Datos!H48</f>
        <v>-78.2729603729604</v>
      </c>
      <c r="F42" s="21" t="n">
        <f aca="false">Datos!H44</f>
        <v>21.0197781762296</v>
      </c>
      <c r="G42" s="21" t="n">
        <f aca="false">Datos!J44</f>
        <v>-0.0169003162690849</v>
      </c>
      <c r="H42" s="21" t="n">
        <f aca="false">Datos!K43</f>
        <v>-0.0497386703925971</v>
      </c>
      <c r="I42" s="21" t="n">
        <f aca="false">IF($A42="2020Q2",1,0)</f>
        <v>0</v>
      </c>
      <c r="J42" s="21" t="n">
        <f aca="false">IF($A42="2021Q2",1,0)</f>
        <v>0</v>
      </c>
      <c r="K42" s="19" t="n">
        <v>1</v>
      </c>
      <c r="L42" s="19" t="n">
        <f aca="false">B42-($B$88+$B$89*C42+$B$90*D42+$B$91*E42+$B$92*F42+$B$93*G42+$B$94*H42+$B$95*I42+$B$96*J42)</f>
        <v>-0.0270969533514863</v>
      </c>
      <c r="M42" s="19" t="n">
        <f aca="false">L42^2</f>
        <v>0.000734244880932626</v>
      </c>
      <c r="N42" s="19" t="n">
        <f aca="false">K42*$L42</f>
        <v>-0.0270969533514863</v>
      </c>
      <c r="O42" s="19" t="n">
        <f aca="false">C42*$L42</f>
        <v>0.00261119565017976</v>
      </c>
      <c r="P42" s="19" t="n">
        <f aca="false">D42*$L42</f>
        <v>0.546186406939979</v>
      </c>
      <c r="Q42" s="19" t="n">
        <f aca="false">E42*$L42</f>
        <v>2.12095875590884</v>
      </c>
      <c r="R42" s="19" t="n">
        <f aca="false">F42*$L42</f>
        <v>-0.569571948699883</v>
      </c>
      <c r="S42" s="19" t="n">
        <f aca="false">G42*$L42</f>
        <v>0.000457947081568759</v>
      </c>
      <c r="T42" s="19" t="n">
        <f aca="false">H42*$L42</f>
        <v>0.00134776643139316</v>
      </c>
      <c r="U42" s="19" t="n">
        <f aca="false">I42*$L42</f>
        <v>-0</v>
      </c>
      <c r="V42" s="19" t="n">
        <f aca="false">J42*$L42</f>
        <v>-0</v>
      </c>
    </row>
    <row r="43" customFormat="false" ht="15" hidden="false" customHeight="false" outlineLevel="0" collapsed="false">
      <c r="A43" s="20" t="str">
        <f aca="false">Datos!A51</f>
        <v>2016Q3</v>
      </c>
      <c r="B43" s="21" t="n">
        <f aca="false">Datos!L51</f>
        <v>0.0053164079552358</v>
      </c>
      <c r="C43" s="21" t="n">
        <f aca="false">Datos!I51</f>
        <v>0.0125883030332315</v>
      </c>
      <c r="D43" s="21" t="n">
        <f aca="false">Datos!H51</f>
        <v>51.5281007751937</v>
      </c>
      <c r="E43" s="21" t="n">
        <f aca="false">Datos!H49</f>
        <v>-38.2862026862027</v>
      </c>
      <c r="F43" s="21" t="n">
        <f aca="false">Datos!H45</f>
        <v>-63.2494918032786</v>
      </c>
      <c r="G43" s="21" t="n">
        <f aca="false">Datos!J45</f>
        <v>-0.0227808354678118</v>
      </c>
      <c r="H43" s="21" t="n">
        <f aca="false">Datos!K44</f>
        <v>-0.0545195466572687</v>
      </c>
      <c r="I43" s="21" t="n">
        <f aca="false">IF($A43="2020Q2",1,0)</f>
        <v>0</v>
      </c>
      <c r="J43" s="21" t="n">
        <f aca="false">IF($A43="2021Q2",1,0)</f>
        <v>0</v>
      </c>
      <c r="K43" s="19" t="n">
        <v>1</v>
      </c>
      <c r="L43" s="19" t="n">
        <f aca="false">B43-($B$88+$B$89*C43+$B$90*D43+$B$91*E43+$B$92*F43+$B$93*G43+$B$94*H43+$B$95*I43+$B$96*J43)</f>
        <v>0.00943337300379882</v>
      </c>
      <c r="M43" s="19" t="n">
        <f aca="false">L43^2</f>
        <v>8.89885262288003E-005</v>
      </c>
      <c r="N43" s="19" t="n">
        <f aca="false">K43*$L43</f>
        <v>0.00943337300379882</v>
      </c>
      <c r="O43" s="19" t="n">
        <f aca="false">C43*$L43</f>
        <v>0.000118750157997325</v>
      </c>
      <c r="P43" s="19" t="n">
        <f aca="false">D43*$L43</f>
        <v>0.486083794789737</v>
      </c>
      <c r="Q43" s="19" t="n">
        <f aca="false">E43*$L43</f>
        <v>-0.361168030837994</v>
      </c>
      <c r="R43" s="19" t="n">
        <f aca="false">F43*$L43</f>
        <v>-0.596656048481043</v>
      </c>
      <c r="S43" s="19" t="n">
        <f aca="false">G43*$L43</f>
        <v>-0.000214900118306038</v>
      </c>
      <c r="T43" s="19" t="n">
        <f aca="false">H43*$L43</f>
        <v>-0.000514303219616028</v>
      </c>
      <c r="U43" s="19" t="n">
        <f aca="false">I43*$L43</f>
        <v>0</v>
      </c>
      <c r="V43" s="19" t="n">
        <f aca="false">J43*$L43</f>
        <v>0</v>
      </c>
    </row>
    <row r="44" customFormat="false" ht="15" hidden="false" customHeight="false" outlineLevel="0" collapsed="false">
      <c r="A44" s="20" t="str">
        <f aca="false">Datos!A52</f>
        <v>2016Q4</v>
      </c>
      <c r="B44" s="21" t="n">
        <f aca="false">Datos!L52</f>
        <v>0.0183393045899268</v>
      </c>
      <c r="C44" s="21" t="n">
        <f aca="false">Datos!I52</f>
        <v>0.0215081148240396</v>
      </c>
      <c r="D44" s="21" t="n">
        <f aca="false">Datos!H52</f>
        <v>-26.5005366726296</v>
      </c>
      <c r="E44" s="21" t="n">
        <f aca="false">Datos!H50</f>
        <v>-20.156746031746</v>
      </c>
      <c r="F44" s="21" t="n">
        <f aca="false">Datos!H46</f>
        <v>-69.448288776797</v>
      </c>
      <c r="G44" s="21" t="n">
        <f aca="false">Datos!J46</f>
        <v>-0.00580415466024192</v>
      </c>
      <c r="H44" s="21" t="n">
        <f aca="false">Datos!K45</f>
        <v>0.0452568848055677</v>
      </c>
      <c r="I44" s="21" t="n">
        <f aca="false">IF($A44="2020Q2",1,0)</f>
        <v>0</v>
      </c>
      <c r="J44" s="21" t="n">
        <f aca="false">IF($A44="2021Q2",1,0)</f>
        <v>0</v>
      </c>
      <c r="K44" s="19" t="n">
        <v>1</v>
      </c>
      <c r="L44" s="19" t="n">
        <f aca="false">B44-($B$88+$B$89*C44+$B$90*D44+$B$91*E44+$B$92*F44+$B$93*G44+$B$94*H44+$B$95*I44+$B$96*J44)</f>
        <v>0.00628719614483017</v>
      </c>
      <c r="M44" s="19" t="n">
        <f aca="false">L44^2</f>
        <v>3.95288353635673E-005</v>
      </c>
      <c r="N44" s="19" t="n">
        <f aca="false">K44*$L44</f>
        <v>0.00628719614483017</v>
      </c>
      <c r="O44" s="19" t="n">
        <f aca="false">C44*$L44</f>
        <v>0.000135225736604266</v>
      </c>
      <c r="P44" s="19" t="n">
        <f aca="false">D44*$L44</f>
        <v>-0.166614072004087</v>
      </c>
      <c r="Q44" s="19" t="n">
        <f aca="false">E44*$L44</f>
        <v>-0.126729415943114</v>
      </c>
      <c r="R44" s="19" t="n">
        <f aca="false">F44*$L44</f>
        <v>-0.43663501346253</v>
      </c>
      <c r="S44" s="19" t="n">
        <f aca="false">G44*$L44</f>
        <v>-3.64918588038711E-005</v>
      </c>
      <c r="T44" s="19" t="n">
        <f aca="false">H44*$L44</f>
        <v>0.000284538911676588</v>
      </c>
      <c r="U44" s="19" t="n">
        <f aca="false">I44*$L44</f>
        <v>0</v>
      </c>
      <c r="V44" s="19" t="n">
        <f aca="false">J44*$L44</f>
        <v>0</v>
      </c>
    </row>
    <row r="45" customFormat="false" ht="15" hidden="false" customHeight="false" outlineLevel="0" collapsed="false">
      <c r="A45" s="20" t="str">
        <f aca="false">Datos!A53</f>
        <v>2017Q1</v>
      </c>
      <c r="B45" s="21" t="n">
        <f aca="false">Datos!L53</f>
        <v>0.0205296747532824</v>
      </c>
      <c r="C45" s="21" t="n">
        <f aca="false">Datos!I53</f>
        <v>0.0929246843768103</v>
      </c>
      <c r="D45" s="21" t="n">
        <f aca="false">Datos!H53</f>
        <v>-15.9076923076924</v>
      </c>
      <c r="E45" s="21" t="n">
        <f aca="false">Datos!H51</f>
        <v>51.5281007751937</v>
      </c>
      <c r="F45" s="21" t="n">
        <f aca="false">Datos!H47</f>
        <v>-12.3885780885781</v>
      </c>
      <c r="G45" s="21" t="n">
        <f aca="false">Datos!J47</f>
        <v>-0.0725670071793785</v>
      </c>
      <c r="H45" s="21" t="n">
        <f aca="false">Datos!K46</f>
        <v>-0.0840598834733707</v>
      </c>
      <c r="I45" s="21" t="n">
        <f aca="false">IF($A45="2020Q2",1,0)</f>
        <v>0</v>
      </c>
      <c r="J45" s="21" t="n">
        <f aca="false">IF($A45="2021Q2",1,0)</f>
        <v>0</v>
      </c>
      <c r="K45" s="19" t="n">
        <v>1</v>
      </c>
      <c r="L45" s="19" t="n">
        <f aca="false">B45-($B$88+$B$89*C45+$B$90*D45+$B$91*E45+$B$92*F45+$B$93*G45+$B$94*H45+$B$95*I45+$B$96*J45)</f>
        <v>0.00677644655496034</v>
      </c>
      <c r="M45" s="19" t="n">
        <f aca="false">L45^2</f>
        <v>4.59202279122338E-005</v>
      </c>
      <c r="N45" s="19" t="n">
        <f aca="false">K45*$L45</f>
        <v>0.00677644655496034</v>
      </c>
      <c r="O45" s="19" t="n">
        <f aca="false">C45*$L45</f>
        <v>0.000629699157316013</v>
      </c>
      <c r="P45" s="19" t="n">
        <f aca="false">D45*$L45</f>
        <v>-0.107797626735831</v>
      </c>
      <c r="Q45" s="19" t="n">
        <f aca="false">E45*$L45</f>
        <v>0.349177420981711</v>
      </c>
      <c r="R45" s="19" t="n">
        <f aca="false">F45*$L45</f>
        <v>-0.0839505373092024</v>
      </c>
      <c r="S45" s="19" t="n">
        <f aca="false">G45*$L45</f>
        <v>-0.000491746445804482</v>
      </c>
      <c r="T45" s="19" t="n">
        <f aca="false">H45*$L45</f>
        <v>-0.00056962730777349</v>
      </c>
      <c r="U45" s="19" t="n">
        <f aca="false">I45*$L45</f>
        <v>0</v>
      </c>
      <c r="V45" s="19" t="n">
        <f aca="false">J45*$L45</f>
        <v>0</v>
      </c>
    </row>
    <row r="46" customFormat="false" ht="15" hidden="false" customHeight="false" outlineLevel="0" collapsed="false">
      <c r="A46" s="20" t="str">
        <f aca="false">Datos!A54</f>
        <v>2017Q2</v>
      </c>
      <c r="B46" s="21" t="n">
        <f aca="false">Datos!L54</f>
        <v>0.0176690432523345</v>
      </c>
      <c r="C46" s="21" t="n">
        <f aca="false">Datos!I54</f>
        <v>0.0763750387701306</v>
      </c>
      <c r="D46" s="21" t="n">
        <f aca="false">Datos!H54</f>
        <v>-40.3959134615384</v>
      </c>
      <c r="E46" s="21" t="n">
        <f aca="false">Datos!H52</f>
        <v>-26.5005366726296</v>
      </c>
      <c r="F46" s="21" t="n">
        <f aca="false">Datos!H48</f>
        <v>-78.2729603729604</v>
      </c>
      <c r="G46" s="21" t="n">
        <f aca="false">Datos!J48</f>
        <v>-0.0214726951640203</v>
      </c>
      <c r="H46" s="21" t="n">
        <f aca="false">Datos!K47</f>
        <v>0.0549125616583312</v>
      </c>
      <c r="I46" s="21" t="n">
        <f aca="false">IF($A46="2020Q2",1,0)</f>
        <v>0</v>
      </c>
      <c r="J46" s="21" t="n">
        <f aca="false">IF($A46="2021Q2",1,0)</f>
        <v>0</v>
      </c>
      <c r="K46" s="19" t="n">
        <v>1</v>
      </c>
      <c r="L46" s="19" t="n">
        <f aca="false">B46-($B$88+$B$89*C46+$B$90*D46+$B$91*E46+$B$92*F46+$B$93*G46+$B$94*H46+$B$95*I46+$B$96*J46)</f>
        <v>-0.00923709690810919</v>
      </c>
      <c r="M46" s="19" t="n">
        <f aca="false">L46^2</f>
        <v>8.53239592898003E-005</v>
      </c>
      <c r="N46" s="19" t="n">
        <f aca="false">K46*$L46</f>
        <v>-0.00923709690810919</v>
      </c>
      <c r="O46" s="19" t="n">
        <f aca="false">C46*$L46</f>
        <v>-0.000705483634480293</v>
      </c>
      <c r="P46" s="19" t="n">
        <f aca="false">D46*$L46</f>
        <v>0.373140967335823</v>
      </c>
      <c r="Q46" s="19" t="n">
        <f aca="false">E46*$L46</f>
        <v>0.244788025361981</v>
      </c>
      <c r="R46" s="19" t="n">
        <f aca="false">F46*$L46</f>
        <v>0.723014920249625</v>
      </c>
      <c r="S46" s="19" t="n">
        <f aca="false">G46*$L46</f>
        <v>0.000198345366108343</v>
      </c>
      <c r="T46" s="19" t="n">
        <f aca="false">H46*$L46</f>
        <v>-0.000507232653510526</v>
      </c>
      <c r="U46" s="19" t="n">
        <f aca="false">I46*$L46</f>
        <v>-0</v>
      </c>
      <c r="V46" s="19" t="n">
        <f aca="false">J46*$L46</f>
        <v>-0</v>
      </c>
    </row>
    <row r="47" customFormat="false" ht="15" hidden="false" customHeight="false" outlineLevel="0" collapsed="false">
      <c r="A47" s="20" t="str">
        <f aca="false">Datos!A55</f>
        <v>2017Q3</v>
      </c>
      <c r="B47" s="21" t="n">
        <f aca="false">Datos!L55</f>
        <v>0.0152402515595023</v>
      </c>
      <c r="C47" s="21" t="n">
        <f aca="false">Datos!I55</f>
        <v>-0.0381479768126187</v>
      </c>
      <c r="D47" s="21" t="n">
        <f aca="false">Datos!H55</f>
        <v>0.498765624999805</v>
      </c>
      <c r="E47" s="21" t="n">
        <f aca="false">Datos!H53</f>
        <v>-15.9076923076924</v>
      </c>
      <c r="F47" s="21" t="n">
        <f aca="false">Datos!H49</f>
        <v>-38.2862026862027</v>
      </c>
      <c r="G47" s="21" t="n">
        <f aca="false">Datos!J49</f>
        <v>-0.013556503122827</v>
      </c>
      <c r="H47" s="21" t="n">
        <f aca="false">Datos!K48</f>
        <v>0.0929604971038175</v>
      </c>
      <c r="I47" s="21" t="n">
        <f aca="false">IF($A47="2020Q2",1,0)</f>
        <v>0</v>
      </c>
      <c r="J47" s="21" t="n">
        <f aca="false">IF($A47="2021Q2",1,0)</f>
        <v>0</v>
      </c>
      <c r="K47" s="19" t="n">
        <v>1</v>
      </c>
      <c r="L47" s="19" t="n">
        <f aca="false">B47-($B$88+$B$89*C47+$B$90*D47+$B$91*E47+$B$92*F47+$B$93*G47+$B$94*H47+$B$95*I47+$B$96*J47)</f>
        <v>0.00898948918897049</v>
      </c>
      <c r="M47" s="19" t="n">
        <f aca="false">L47^2</f>
        <v>8.08109158786173E-005</v>
      </c>
      <c r="N47" s="19" t="n">
        <f aca="false">K47*$L47</f>
        <v>0.00898948918897049</v>
      </c>
      <c r="O47" s="19" t="n">
        <f aca="false">C47*$L47</f>
        <v>-0.000342930825138133</v>
      </c>
      <c r="P47" s="19" t="n">
        <f aca="false">D47*$L47</f>
        <v>0.00448364819376586</v>
      </c>
      <c r="Q47" s="19" t="n">
        <f aca="false">E47*$L47</f>
        <v>-0.14300202802147</v>
      </c>
      <c r="R47" s="19" t="n">
        <f aca="false">F47*$L47</f>
        <v>-0.344173405134352</v>
      </c>
      <c r="S47" s="19" t="n">
        <f aca="false">G47*$L47</f>
        <v>-0.000121866038262898</v>
      </c>
      <c r="T47" s="19" t="n">
        <f aca="false">H47*$L47</f>
        <v>0.00083566738371609</v>
      </c>
      <c r="U47" s="19" t="n">
        <f aca="false">I47*$L47</f>
        <v>0</v>
      </c>
      <c r="V47" s="19" t="n">
        <f aca="false">J47*$L47</f>
        <v>0</v>
      </c>
    </row>
    <row r="48" customFormat="false" ht="15" hidden="false" customHeight="false" outlineLevel="0" collapsed="false">
      <c r="A48" s="20" t="str">
        <f aca="false">Datos!A56</f>
        <v>2017Q4</v>
      </c>
      <c r="B48" s="21" t="n">
        <f aca="false">Datos!L56</f>
        <v>0.00682076262777875</v>
      </c>
      <c r="C48" s="21" t="n">
        <f aca="false">Datos!I56</f>
        <v>-0.00847913753638218</v>
      </c>
      <c r="D48" s="21" t="n">
        <f aca="false">Datos!H56</f>
        <v>-54.5718281249997</v>
      </c>
      <c r="E48" s="21" t="n">
        <f aca="false">Datos!H54</f>
        <v>-40.3959134615384</v>
      </c>
      <c r="F48" s="21" t="n">
        <f aca="false">Datos!H50</f>
        <v>-20.156746031746</v>
      </c>
      <c r="G48" s="21" t="n">
        <f aca="false">Datos!J50</f>
        <v>-0.0260787645308853</v>
      </c>
      <c r="H48" s="21" t="n">
        <f aca="false">Datos!K49</f>
        <v>-0.0501806657673727</v>
      </c>
      <c r="I48" s="21" t="n">
        <f aca="false">IF($A48="2020Q2",1,0)</f>
        <v>0</v>
      </c>
      <c r="J48" s="21" t="n">
        <f aca="false">IF($A48="2021Q2",1,0)</f>
        <v>0</v>
      </c>
      <c r="K48" s="19" t="n">
        <v>1</v>
      </c>
      <c r="L48" s="19" t="n">
        <f aca="false">B48-($B$88+$B$89*C48+$B$90*D48+$B$91*E48+$B$92*F48+$B$93*G48+$B$94*H48+$B$95*I48+$B$96*J48)</f>
        <v>0.00799371428296438</v>
      </c>
      <c r="M48" s="19" t="n">
        <f aca="false">L48^2</f>
        <v>6.38994680376687E-005</v>
      </c>
      <c r="N48" s="19" t="n">
        <f aca="false">K48*$L48</f>
        <v>0.00799371428296438</v>
      </c>
      <c r="O48" s="19" t="n">
        <f aca="false">C48*$L48</f>
        <v>-6.77798028317976E-005</v>
      </c>
      <c r="P48" s="19" t="n">
        <f aca="false">D48*$L48</f>
        <v>-0.436231601930287</v>
      </c>
      <c r="Q48" s="19" t="n">
        <f aca="false">E48*$L48</f>
        <v>-0.322913390410892</v>
      </c>
      <c r="R48" s="19" t="n">
        <f aca="false">F48*$L48</f>
        <v>-0.161127268652054</v>
      </c>
      <c r="S48" s="19" t="n">
        <f aca="false">G48*$L48</f>
        <v>-0.000208466192512603</v>
      </c>
      <c r="T48" s="19" t="n">
        <f aca="false">H48*$L48</f>
        <v>-0.000401129904673308</v>
      </c>
      <c r="U48" s="19" t="n">
        <f aca="false">I48*$L48</f>
        <v>0</v>
      </c>
      <c r="V48" s="19" t="n">
        <f aca="false">J48*$L48</f>
        <v>0</v>
      </c>
    </row>
    <row r="49" customFormat="false" ht="15" hidden="false" customHeight="false" outlineLevel="0" collapsed="false">
      <c r="A49" s="20" t="str">
        <f aca="false">Datos!A57</f>
        <v>2018Q1</v>
      </c>
      <c r="B49" s="21" t="n">
        <f aca="false">Datos!L57</f>
        <v>-0.00734944608262711</v>
      </c>
      <c r="C49" s="21" t="n">
        <f aca="false">Datos!I57</f>
        <v>0.015677961339587</v>
      </c>
      <c r="D49" s="21" t="n">
        <f aca="false">Datos!H57</f>
        <v>28.5320987903223</v>
      </c>
      <c r="E49" s="21" t="n">
        <f aca="false">Datos!H55</f>
        <v>0.498765624999805</v>
      </c>
      <c r="F49" s="21" t="n">
        <f aca="false">Datos!H51</f>
        <v>51.5281007751937</v>
      </c>
      <c r="G49" s="21" t="n">
        <f aca="false">Datos!J51</f>
        <v>0.0942185203778218</v>
      </c>
      <c r="H49" s="21" t="n">
        <f aca="false">Datos!K50</f>
        <v>0.114909941997091</v>
      </c>
      <c r="I49" s="21" t="n">
        <f aca="false">IF($A49="2020Q2",1,0)</f>
        <v>0</v>
      </c>
      <c r="J49" s="21" t="n">
        <f aca="false">IF($A49="2021Q2",1,0)</f>
        <v>0</v>
      </c>
      <c r="K49" s="19" t="n">
        <v>1</v>
      </c>
      <c r="L49" s="19" t="n">
        <f aca="false">B49-($B$88+$B$89*C49+$B$90*D49+$B$91*E49+$B$92*F49+$B$93*G49+$B$94*H49+$B$95*I49+$B$96*J49)</f>
        <v>-0.0179017267554233</v>
      </c>
      <c r="M49" s="19" t="n">
        <f aca="false">L49^2</f>
        <v>0.000320471820825839</v>
      </c>
      <c r="N49" s="19" t="n">
        <f aca="false">K49*$L49</f>
        <v>-0.0179017267554233</v>
      </c>
      <c r="O49" s="19" t="n">
        <f aca="false">C49*$L49</f>
        <v>-0.000280662579983377</v>
      </c>
      <c r="P49" s="19" t="n">
        <f aca="false">D49*$L49</f>
        <v>-0.510773836303094</v>
      </c>
      <c r="Q49" s="19" t="n">
        <f aca="false">E49*$L49</f>
        <v>-0.00892876593374445</v>
      </c>
      <c r="R49" s="19" t="n">
        <f aca="false">F49*$L49</f>
        <v>-0.922441980303435</v>
      </c>
      <c r="S49" s="19" t="n">
        <f aca="false">G49*$L49</f>
        <v>-0.00168667420710405</v>
      </c>
      <c r="T49" s="19" t="n">
        <f aca="false">H49*$L49</f>
        <v>-0.00205708638311346</v>
      </c>
      <c r="U49" s="19" t="n">
        <f aca="false">I49*$L49</f>
        <v>-0</v>
      </c>
      <c r="V49" s="19" t="n">
        <f aca="false">J49*$L49</f>
        <v>-0</v>
      </c>
    </row>
    <row r="50" customFormat="false" ht="15" hidden="false" customHeight="false" outlineLevel="0" collapsed="false">
      <c r="A50" s="20" t="str">
        <f aca="false">Datos!A58</f>
        <v>2018Q2</v>
      </c>
      <c r="B50" s="21" t="n">
        <f aca="false">Datos!L58</f>
        <v>-0.0777683962553631</v>
      </c>
      <c r="C50" s="21" t="n">
        <f aca="false">Datos!I58</f>
        <v>-0.0742810049049096</v>
      </c>
      <c r="D50" s="21" t="n">
        <f aca="false">Datos!H58</f>
        <v>77.2218156327545</v>
      </c>
      <c r="E50" s="21" t="n">
        <f aca="false">Datos!H56</f>
        <v>-54.5718281249997</v>
      </c>
      <c r="F50" s="21" t="n">
        <f aca="false">Datos!H52</f>
        <v>-26.5005366726296</v>
      </c>
      <c r="G50" s="21" t="n">
        <f aca="false">Datos!J52</f>
        <v>0.241810567395166</v>
      </c>
      <c r="H50" s="21" t="n">
        <f aca="false">Datos!K51</f>
        <v>0.0078308829818691</v>
      </c>
      <c r="I50" s="21" t="n">
        <f aca="false">IF($A50="2020Q2",1,0)</f>
        <v>0</v>
      </c>
      <c r="J50" s="21" t="n">
        <f aca="false">IF($A50="2021Q2",1,0)</f>
        <v>0</v>
      </c>
      <c r="K50" s="19" t="n">
        <v>1</v>
      </c>
      <c r="L50" s="19" t="n">
        <f aca="false">B50-($B$88+$B$89*C50+$B$90*D50+$B$91*E50+$B$92*F50+$B$93*G50+$B$94*H50+$B$95*I50+$B$96*J50)</f>
        <v>-0.0392595544943266</v>
      </c>
      <c r="M50" s="19" t="n">
        <f aca="false">L50^2</f>
        <v>0.001541312619093</v>
      </c>
      <c r="N50" s="19" t="n">
        <f aca="false">K50*$L50</f>
        <v>-0.0392595544943266</v>
      </c>
      <c r="O50" s="19" t="n">
        <f aca="false">C50*$L50</f>
        <v>0.00291623915995764</v>
      </c>
      <c r="P50" s="19" t="n">
        <f aca="false">D50*$L50</f>
        <v>-3.03169407898497</v>
      </c>
      <c r="Q50" s="19" t="n">
        <f aca="false">E50*$L50</f>
        <v>2.14246566012845</v>
      </c>
      <c r="R50" s="19" t="n">
        <f aca="false">F50*$L50</f>
        <v>1.040399263628</v>
      </c>
      <c r="S50" s="19" t="n">
        <f aca="false">G50*$L50</f>
        <v>-0.00949337514795454</v>
      </c>
      <c r="T50" s="19" t="n">
        <f aca="false">H50*$L50</f>
        <v>-0.000307436977165385</v>
      </c>
      <c r="U50" s="19" t="n">
        <f aca="false">I50*$L50</f>
        <v>-0</v>
      </c>
      <c r="V50" s="19" t="n">
        <f aca="false">J50*$L50</f>
        <v>-0</v>
      </c>
    </row>
    <row r="51" customFormat="false" ht="15" hidden="false" customHeight="false" outlineLevel="0" collapsed="false">
      <c r="A51" s="20" t="str">
        <f aca="false">Datos!A59</f>
        <v>2018Q3</v>
      </c>
      <c r="B51" s="21" t="n">
        <f aca="false">Datos!L59</f>
        <v>0.00509659019999231</v>
      </c>
      <c r="C51" s="21" t="n">
        <f aca="false">Datos!I59</f>
        <v>0.0297586266112664</v>
      </c>
      <c r="D51" s="21" t="n">
        <f aca="false">Datos!H59</f>
        <v>166.169284270953</v>
      </c>
      <c r="E51" s="21" t="n">
        <f aca="false">Datos!H57</f>
        <v>28.5320987903223</v>
      </c>
      <c r="F51" s="21" t="n">
        <f aca="false">Datos!H53</f>
        <v>-15.9076923076924</v>
      </c>
      <c r="G51" s="21" t="n">
        <f aca="false">Datos!J53</f>
        <v>-0.24283692228193</v>
      </c>
      <c r="H51" s="21" t="n">
        <f aca="false">Datos!K52</f>
        <v>-0.0600242033998368</v>
      </c>
      <c r="I51" s="21" t="n">
        <f aca="false">IF($A51="2020Q2",1,0)</f>
        <v>0</v>
      </c>
      <c r="J51" s="21" t="n">
        <f aca="false">IF($A51="2021Q2",1,0)</f>
        <v>0</v>
      </c>
      <c r="K51" s="19" t="n">
        <v>1</v>
      </c>
      <c r="L51" s="19" t="n">
        <f aca="false">B51-($B$88+$B$89*C51+$B$90*D51+$B$91*E51+$B$92*F51+$B$93*G51+$B$94*H51+$B$95*I51+$B$96*J51)</f>
        <v>-0.0074888231797719</v>
      </c>
      <c r="M51" s="19" t="n">
        <f aca="false">L51^2</f>
        <v>5.60824726178889E-005</v>
      </c>
      <c r="N51" s="19" t="n">
        <f aca="false">K51*$L51</f>
        <v>-0.0074888231797719</v>
      </c>
      <c r="O51" s="19" t="n">
        <f aca="false">C51*$L51</f>
        <v>-0.000222857092764629</v>
      </c>
      <c r="P51" s="19" t="n">
        <f aca="false">D51*$L51</f>
        <v>-1.24441238781442</v>
      </c>
      <c r="Q51" s="19" t="n">
        <f aca="false">E51*$L51</f>
        <v>-0.213671842788507</v>
      </c>
      <c r="R51" s="19" t="n">
        <f aca="false">F51*$L51</f>
        <v>0.119129894890526</v>
      </c>
      <c r="S51" s="19" t="n">
        <f aca="false">G51*$L51</f>
        <v>0.00181856277248938</v>
      </c>
      <c r="T51" s="19" t="n">
        <f aca="false">H51*$L51</f>
        <v>0.000449510645768041</v>
      </c>
      <c r="U51" s="19" t="n">
        <f aca="false">I51*$L51</f>
        <v>-0</v>
      </c>
      <c r="V51" s="19" t="n">
        <f aca="false">J51*$L51</f>
        <v>-0</v>
      </c>
    </row>
    <row r="52" customFormat="false" ht="15" hidden="false" customHeight="false" outlineLevel="0" collapsed="false">
      <c r="A52" s="20" t="str">
        <f aca="false">Datos!A60</f>
        <v>2018Q4</v>
      </c>
      <c r="B52" s="21" t="n">
        <f aca="false">Datos!L60</f>
        <v>-0.0287029877961243</v>
      </c>
      <c r="C52" s="21" t="n">
        <f aca="false">Datos!I60</f>
        <v>-0.0501462610157425</v>
      </c>
      <c r="D52" s="21" t="n">
        <f aca="false">Datos!H60</f>
        <v>56.51817630597</v>
      </c>
      <c r="E52" s="21" t="n">
        <f aca="false">Datos!H58</f>
        <v>77.2218156327545</v>
      </c>
      <c r="F52" s="21" t="n">
        <f aca="false">Datos!H54</f>
        <v>-40.3959134615384</v>
      </c>
      <c r="G52" s="21" t="n">
        <f aca="false">Datos!J54</f>
        <v>-0.0647458372468179</v>
      </c>
      <c r="H52" s="21" t="n">
        <f aca="false">Datos!K53</f>
        <v>-0.035749043779608</v>
      </c>
      <c r="I52" s="21" t="n">
        <f aca="false">IF($A52="2020Q2",1,0)</f>
        <v>0</v>
      </c>
      <c r="J52" s="21" t="n">
        <f aca="false">IF($A52="2021Q2",1,0)</f>
        <v>0</v>
      </c>
      <c r="K52" s="19" t="n">
        <v>1</v>
      </c>
      <c r="L52" s="19" t="n">
        <f aca="false">B52-($B$88+$B$89*C52+$B$90*D52+$B$91*E52+$B$92*F52+$B$93*G52+$B$94*H52+$B$95*I52+$B$96*J52)</f>
        <v>-0.0130193462461881</v>
      </c>
      <c r="M52" s="19" t="n">
        <f aca="false">L52^2</f>
        <v>0.000169503376678131</v>
      </c>
      <c r="N52" s="19" t="n">
        <f aca="false">K52*$L52</f>
        <v>-0.0130193462461881</v>
      </c>
      <c r="O52" s="19" t="n">
        <f aca="false">C52*$L52</f>
        <v>0.000652871535115673</v>
      </c>
      <c r="P52" s="19" t="n">
        <f aca="false">D52*$L52</f>
        <v>-0.735829706530525</v>
      </c>
      <c r="Q52" s="19" t="n">
        <f aca="false">E52*$L52</f>
        <v>-1.00537755548213</v>
      </c>
      <c r="R52" s="19" t="n">
        <f aca="false">F52*$L52</f>
        <v>0.525928384286817</v>
      </c>
      <c r="S52" s="19" t="n">
        <f aca="false">G52*$L52</f>
        <v>0.000842948473115661</v>
      </c>
      <c r="T52" s="19" t="n">
        <f aca="false">H52*$L52</f>
        <v>0.000465429178936851</v>
      </c>
      <c r="U52" s="19" t="n">
        <f aca="false">I52*$L52</f>
        <v>-0</v>
      </c>
      <c r="V52" s="19" t="n">
        <f aca="false">J52*$L52</f>
        <v>-0</v>
      </c>
    </row>
    <row r="53" customFormat="false" ht="15" hidden="false" customHeight="false" outlineLevel="0" collapsed="false">
      <c r="A53" s="20" t="str">
        <f aca="false">Datos!A61</f>
        <v>2019Q1</v>
      </c>
      <c r="B53" s="21" t="n">
        <f aca="false">Datos!L61</f>
        <v>0.00476013768269978</v>
      </c>
      <c r="C53" s="21" t="n">
        <f aca="false">Datos!I61</f>
        <v>-0.0500271266876492</v>
      </c>
      <c r="D53" s="21" t="n">
        <f aca="false">Datos!H61</f>
        <v>19.2017013888889</v>
      </c>
      <c r="E53" s="21" t="n">
        <f aca="false">Datos!H59</f>
        <v>166.169284270953</v>
      </c>
      <c r="F53" s="21" t="n">
        <f aca="false">Datos!H55</f>
        <v>0.498765624999805</v>
      </c>
      <c r="G53" s="21" t="n">
        <f aca="false">Datos!J55</f>
        <v>-0.0931139816863711</v>
      </c>
      <c r="H53" s="21" t="n">
        <f aca="false">Datos!K54</f>
        <v>-0.0598239352005628</v>
      </c>
      <c r="I53" s="21" t="n">
        <f aca="false">IF($A53="2020Q2",1,0)</f>
        <v>0</v>
      </c>
      <c r="J53" s="21" t="n">
        <f aca="false">IF($A53="2021Q2",1,0)</f>
        <v>0</v>
      </c>
      <c r="K53" s="19" t="n">
        <v>1</v>
      </c>
      <c r="L53" s="19" t="n">
        <f aca="false">B53-($B$88+$B$89*C53+$B$90*D53+$B$91*E53+$B$92*F53+$B$93*G53+$B$94*H53+$B$95*I53+$B$96*J53)</f>
        <v>0.0221948477756755</v>
      </c>
      <c r="M53" s="19" t="n">
        <f aca="false">L53^2</f>
        <v>0.000492611267785409</v>
      </c>
      <c r="N53" s="19" t="n">
        <f aca="false">K53*$L53</f>
        <v>0.0221948477756755</v>
      </c>
      <c r="O53" s="19" t="n">
        <f aca="false">C53*$L53</f>
        <v>-0.00111034446148681</v>
      </c>
      <c r="P53" s="19" t="n">
        <f aca="false">D53*$L53</f>
        <v>0.426178839360366</v>
      </c>
      <c r="Q53" s="19" t="n">
        <f aca="false">E53*$L53</f>
        <v>3.68810196938676</v>
      </c>
      <c r="R53" s="19" t="n">
        <f aca="false">F53*$L53</f>
        <v>0.0110700271226104</v>
      </c>
      <c r="S53" s="19" t="n">
        <f aca="false">G53*$L53</f>
        <v>-0.00206665064931605</v>
      </c>
      <c r="T53" s="19" t="n">
        <f aca="false">H53*$L53</f>
        <v>-0.00132778313511837</v>
      </c>
      <c r="U53" s="19" t="n">
        <f aca="false">I53*$L53</f>
        <v>0</v>
      </c>
      <c r="V53" s="19" t="n">
        <f aca="false">J53*$L53</f>
        <v>0</v>
      </c>
    </row>
    <row r="54" customFormat="false" ht="15" hidden="false" customHeight="false" outlineLevel="0" collapsed="false">
      <c r="A54" s="20" t="str">
        <f aca="false">Datos!A62</f>
        <v>2019Q2</v>
      </c>
      <c r="B54" s="21" t="n">
        <f aca="false">Datos!L62</f>
        <v>0.0644654529234107</v>
      </c>
      <c r="C54" s="21" t="n">
        <f aca="false">Datos!I62</f>
        <v>0.000114296886335796</v>
      </c>
      <c r="D54" s="21" t="n">
        <f aca="false">Datos!H62</f>
        <v>162.790259661836</v>
      </c>
      <c r="E54" s="21" t="n">
        <f aca="false">Datos!H60</f>
        <v>56.51817630597</v>
      </c>
      <c r="F54" s="21" t="n">
        <f aca="false">Datos!H56</f>
        <v>-54.5718281249997</v>
      </c>
      <c r="G54" s="21" t="n">
        <f aca="false">Datos!J56</f>
        <v>-0.0800850350667679</v>
      </c>
      <c r="H54" s="21" t="n">
        <f aca="false">Datos!K55</f>
        <v>-0.0336017376367385</v>
      </c>
      <c r="I54" s="21" t="n">
        <f aca="false">IF($A54="2020Q2",1,0)</f>
        <v>0</v>
      </c>
      <c r="J54" s="21" t="n">
        <f aca="false">IF($A54="2021Q2",1,0)</f>
        <v>0</v>
      </c>
      <c r="K54" s="19" t="n">
        <v>1</v>
      </c>
      <c r="L54" s="19" t="n">
        <f aca="false">B54-($B$88+$B$89*C54+$B$90*D54+$B$91*E54+$B$92*F54+$B$93*G54+$B$94*H54+$B$95*I54+$B$96*J54)</f>
        <v>0.0724437145130971</v>
      </c>
      <c r="M54" s="19" t="n">
        <f aca="false">L54^2</f>
        <v>0.00524809177245511</v>
      </c>
      <c r="N54" s="19" t="n">
        <f aca="false">K54*$L54</f>
        <v>0.0724437145130971</v>
      </c>
      <c r="O54" s="19" t="n">
        <f aca="false">C54*$L54</f>
        <v>8.28009100344633E-006</v>
      </c>
      <c r="P54" s="19" t="n">
        <f aca="false">D54*$L54</f>
        <v>11.793131096455</v>
      </c>
      <c r="Q54" s="19" t="n">
        <f aca="false">E54*$L54</f>
        <v>4.09438662911058</v>
      </c>
      <c r="R54" s="19" t="n">
        <f aca="false">F54*$L54</f>
        <v>-3.95338593714528</v>
      </c>
      <c r="S54" s="19" t="n">
        <f aca="false">G54*$L54</f>
        <v>-0.0058016574171483</v>
      </c>
      <c r="T54" s="19" t="n">
        <f aca="false">H54*$L54</f>
        <v>-0.00243423468849987</v>
      </c>
      <c r="U54" s="19" t="n">
        <f aca="false">I54*$L54</f>
        <v>0</v>
      </c>
      <c r="V54" s="19" t="n">
        <f aca="false">J54*$L54</f>
        <v>0</v>
      </c>
    </row>
    <row r="55" customFormat="false" ht="15" hidden="false" customHeight="false" outlineLevel="0" collapsed="false">
      <c r="A55" s="20" t="str">
        <f aca="false">Datos!A63</f>
        <v>2019Q3</v>
      </c>
      <c r="B55" s="21" t="n">
        <f aca="false">Datos!L63</f>
        <v>-0.0233553605717005</v>
      </c>
      <c r="C55" s="21" t="n">
        <f aca="false">Datos!I63</f>
        <v>-0.0239132057868301</v>
      </c>
      <c r="D55" s="21" t="n">
        <f aca="false">Datos!H63</f>
        <v>679.618686815129</v>
      </c>
      <c r="E55" s="21" t="n">
        <f aca="false">Datos!H61</f>
        <v>19.2017013888889</v>
      </c>
      <c r="F55" s="21" t="n">
        <f aca="false">Datos!H57</f>
        <v>28.5320987903223</v>
      </c>
      <c r="G55" s="21" t="n">
        <f aca="false">Datos!J57</f>
        <v>0.072575912604689</v>
      </c>
      <c r="H55" s="21" t="n">
        <f aca="false">Datos!K56</f>
        <v>0.0834781752199751</v>
      </c>
      <c r="I55" s="21" t="n">
        <f aca="false">IF($A55="2020Q2",1,0)</f>
        <v>0</v>
      </c>
      <c r="J55" s="21" t="n">
        <f aca="false">IF($A55="2021Q2",1,0)</f>
        <v>0</v>
      </c>
      <c r="K55" s="19" t="n">
        <v>1</v>
      </c>
      <c r="L55" s="19" t="n">
        <f aca="false">B55-($B$88+$B$89*C55+$B$90*D55+$B$91*E55+$B$92*F55+$B$93*G55+$B$94*H55+$B$95*I55+$B$96*J55)</f>
        <v>0.00883131690981184</v>
      </c>
      <c r="M55" s="19" t="n">
        <f aca="false">L55^2</f>
        <v>7.79921583615285E-005</v>
      </c>
      <c r="N55" s="19" t="n">
        <f aca="false">K55*$L55</f>
        <v>0.00883131690981184</v>
      </c>
      <c r="O55" s="19" t="n">
        <f aca="false">C55*$L55</f>
        <v>-0.000211185098633043</v>
      </c>
      <c r="P55" s="19" t="n">
        <f aca="false">D55*$L55</f>
        <v>6.00192800109457</v>
      </c>
      <c r="Q55" s="19" t="n">
        <f aca="false">E55*$L55</f>
        <v>0.169576310172852</v>
      </c>
      <c r="R55" s="19" t="n">
        <f aca="false">F55*$L55</f>
        <v>0.251976006519395</v>
      </c>
      <c r="S55" s="19" t="n">
        <f aca="false">G55*$L55</f>
        <v>0.000640940884230816</v>
      </c>
      <c r="T55" s="19" t="n">
        <f aca="false">H55*$L55</f>
        <v>0.000737222220420402</v>
      </c>
      <c r="U55" s="19" t="n">
        <f aca="false">I55*$L55</f>
        <v>0</v>
      </c>
      <c r="V55" s="19" t="n">
        <f aca="false">J55*$L55</f>
        <v>0</v>
      </c>
    </row>
    <row r="56" customFormat="false" ht="15" hidden="false" customHeight="false" outlineLevel="0" collapsed="false">
      <c r="A56" s="20" t="str">
        <f aca="false">Datos!A64</f>
        <v>2019Q4</v>
      </c>
      <c r="B56" s="21" t="n">
        <f aca="false">Datos!L64</f>
        <v>0.00677873424048458</v>
      </c>
      <c r="C56" s="21" t="n">
        <f aca="false">Datos!I64</f>
        <v>-0.0444370543348369</v>
      </c>
      <c r="D56" s="21" t="n">
        <f aca="false">Datos!H64</f>
        <v>598.881251590669</v>
      </c>
      <c r="E56" s="21" t="n">
        <f aca="false">Datos!H62</f>
        <v>162.790259661836</v>
      </c>
      <c r="F56" s="21" t="n">
        <f aca="false">Datos!H58</f>
        <v>77.2218156327545</v>
      </c>
      <c r="G56" s="21" t="n">
        <f aca="false">Datos!J58</f>
        <v>0.016146963656916</v>
      </c>
      <c r="H56" s="21" t="n">
        <f aca="false">Datos!K57</f>
        <v>0.0156446596022237</v>
      </c>
      <c r="I56" s="21" t="n">
        <f aca="false">IF($A56="2020Q2",1,0)</f>
        <v>0</v>
      </c>
      <c r="J56" s="21" t="n">
        <f aca="false">IF($A56="2021Q2",1,0)</f>
        <v>0</v>
      </c>
      <c r="K56" s="19" t="n">
        <v>1</v>
      </c>
      <c r="L56" s="19" t="n">
        <f aca="false">B56-($B$88+$B$89*C56+$B$90*D56+$B$91*E56+$B$92*F56+$B$93*G56+$B$94*H56+$B$95*I56+$B$96*J56)</f>
        <v>0.0484732082263305</v>
      </c>
      <c r="M56" s="19" t="n">
        <f aca="false">L56^2</f>
        <v>0.00234965191575319</v>
      </c>
      <c r="N56" s="19" t="n">
        <f aca="false">K56*$L56</f>
        <v>0.0484732082263305</v>
      </c>
      <c r="O56" s="19" t="n">
        <f aca="false">C56*$L56</f>
        <v>-0.00215400658773731</v>
      </c>
      <c r="P56" s="19" t="n">
        <f aca="false">D56*$L56</f>
        <v>29.0296956111999</v>
      </c>
      <c r="Q56" s="19" t="n">
        <f aca="false">E56*$L56</f>
        <v>7.89096615380657</v>
      </c>
      <c r="R56" s="19" t="n">
        <f aca="false">F56*$L56</f>
        <v>3.74318914878181</v>
      </c>
      <c r="S56" s="19" t="n">
        <f aca="false">G56*$L56</f>
        <v>0.00078269513156468</v>
      </c>
      <c r="T56" s="19" t="n">
        <f aca="false">H56*$L56</f>
        <v>0.000758346842528651</v>
      </c>
      <c r="U56" s="19" t="n">
        <f aca="false">I56*$L56</f>
        <v>0</v>
      </c>
      <c r="V56" s="19" t="n">
        <f aca="false">J56*$L56</f>
        <v>0</v>
      </c>
    </row>
    <row r="57" customFormat="false" ht="15" hidden="false" customHeight="false" outlineLevel="0" collapsed="false">
      <c r="A57" s="20" t="str">
        <f aca="false">Datos!A65</f>
        <v>2020Q1</v>
      </c>
      <c r="B57" s="21" t="n">
        <f aca="false">Datos!L65</f>
        <v>-0.0395022691914131</v>
      </c>
      <c r="C57" s="21" t="n">
        <f aca="false">Datos!I65</f>
        <v>0.114946009672505</v>
      </c>
      <c r="D57" s="21" t="n">
        <f aca="false">Datos!H65</f>
        <v>187.118199188056</v>
      </c>
      <c r="E57" s="21" t="n">
        <f aca="false">Datos!H63</f>
        <v>679.618686815129</v>
      </c>
      <c r="F57" s="21" t="n">
        <f aca="false">Datos!H59</f>
        <v>166.169284270953</v>
      </c>
      <c r="G57" s="21" t="n">
        <f aca="false">Datos!J59</f>
        <v>0.0202539754709583</v>
      </c>
      <c r="H57" s="21" t="n">
        <f aca="false">Datos!K58</f>
        <v>0.0616247472334126</v>
      </c>
      <c r="I57" s="21" t="n">
        <f aca="false">IF($A57="2020Q2",1,0)</f>
        <v>0</v>
      </c>
      <c r="J57" s="21" t="n">
        <f aca="false">IF($A57="2021Q2",1,0)</f>
        <v>0</v>
      </c>
      <c r="K57" s="19" t="n">
        <v>1</v>
      </c>
      <c r="L57" s="19" t="n">
        <f aca="false">B57-($B$88+$B$89*C57+$B$90*D57+$B$91*E57+$B$92*F57+$B$93*G57+$B$94*H57+$B$95*I57+$B$96*J57)</f>
        <v>-0.0338873017523178</v>
      </c>
      <c r="M57" s="19" t="n">
        <f aca="false">L57^2</f>
        <v>0.00114834922005264</v>
      </c>
      <c r="N57" s="19" t="n">
        <f aca="false">K57*$L57</f>
        <v>-0.0338873017523178</v>
      </c>
      <c r="O57" s="19" t="n">
        <f aca="false">C57*$L57</f>
        <v>-0.00389521011499701</v>
      </c>
      <c r="P57" s="19" t="n">
        <f aca="false">D57*$L57</f>
        <v>-6.34093087923596</v>
      </c>
      <c r="Q57" s="19" t="n">
        <f aca="false">E57*$L57</f>
        <v>-23.0304435166183</v>
      </c>
      <c r="R57" s="19" t="n">
        <f aca="false">F57*$L57</f>
        <v>-5.63102867805647</v>
      </c>
      <c r="S57" s="19" t="n">
        <f aca="false">G57*$L57</f>
        <v>-0.000686352578468408</v>
      </c>
      <c r="T57" s="19" t="n">
        <f aca="false">H57*$L57</f>
        <v>-0.00208829640490897</v>
      </c>
      <c r="U57" s="19" t="n">
        <f aca="false">I57*$L57</f>
        <v>-0</v>
      </c>
      <c r="V57" s="19" t="n">
        <f aca="false">J57*$L57</f>
        <v>-0</v>
      </c>
    </row>
    <row r="58" customFormat="false" ht="15" hidden="false" customHeight="false" outlineLevel="0" collapsed="false">
      <c r="A58" s="20" t="str">
        <f aca="false">Datos!A66</f>
        <v>2020Q2</v>
      </c>
      <c r="B58" s="21" t="n">
        <f aca="false">Datos!L66</f>
        <v>-0.139171243799252</v>
      </c>
      <c r="C58" s="21" t="n">
        <f aca="false">Datos!I66</f>
        <v>0.262181063646304</v>
      </c>
      <c r="D58" s="21" t="n">
        <f aca="false">Datos!H66</f>
        <v>756.86685274431</v>
      </c>
      <c r="E58" s="21" t="n">
        <f aca="false">Datos!H64</f>
        <v>598.881251590669</v>
      </c>
      <c r="F58" s="21" t="n">
        <f aca="false">Datos!H60</f>
        <v>56.51817630597</v>
      </c>
      <c r="G58" s="21" t="n">
        <f aca="false">Datos!J60</f>
        <v>0.0511719688039525</v>
      </c>
      <c r="H58" s="21" t="n">
        <f aca="false">Datos!K59</f>
        <v>-0.0680385631508205</v>
      </c>
      <c r="I58" s="21" t="n">
        <f aca="false">IF($A58="2020Q2",1,0)</f>
        <v>1</v>
      </c>
      <c r="J58" s="21" t="n">
        <f aca="false">IF($A58="2021Q2",1,0)</f>
        <v>0</v>
      </c>
      <c r="K58" s="19" t="n">
        <v>1</v>
      </c>
      <c r="L58" s="19" t="n">
        <f aca="false">B58-($B$88+$B$89*C58+$B$90*D58+$B$91*E58+$B$92*F58+$B$93*G58+$B$94*H58+$B$95*I58+$B$96*J58)</f>
        <v>0</v>
      </c>
      <c r="M58" s="19" t="n">
        <f aca="false">L58^2</f>
        <v>0</v>
      </c>
      <c r="N58" s="19" t="n">
        <f aca="false">K58*$L58</f>
        <v>0</v>
      </c>
      <c r="O58" s="19" t="n">
        <f aca="false">C58*$L58</f>
        <v>0</v>
      </c>
      <c r="P58" s="19" t="n">
        <f aca="false">D58*$L58</f>
        <v>0</v>
      </c>
      <c r="Q58" s="19" t="n">
        <f aca="false">E58*$L58</f>
        <v>0</v>
      </c>
      <c r="R58" s="19" t="n">
        <f aca="false">F58*$L58</f>
        <v>0</v>
      </c>
      <c r="S58" s="19" t="n">
        <f aca="false">G58*$L58</f>
        <v>0</v>
      </c>
      <c r="T58" s="19" t="n">
        <f aca="false">H58*$L58</f>
        <v>-0</v>
      </c>
      <c r="U58" s="19" t="n">
        <f aca="false">I58*$L58</f>
        <v>0</v>
      </c>
      <c r="V58" s="19" t="n">
        <f aca="false">J58*$L58</f>
        <v>0</v>
      </c>
    </row>
    <row r="59" customFormat="false" ht="15" hidden="false" customHeight="false" outlineLevel="0" collapsed="false">
      <c r="A59" s="20" t="str">
        <f aca="false">Datos!A67</f>
        <v>2020Q3</v>
      </c>
      <c r="B59" s="21" t="n">
        <f aca="false">Datos!L67</f>
        <v>0.0874942776266831</v>
      </c>
      <c r="C59" s="21" t="n">
        <f aca="false">Datos!I67</f>
        <v>0.119661051181248</v>
      </c>
      <c r="D59" s="21" t="n">
        <f aca="false">Datos!H67</f>
        <v>-1097.40393434344</v>
      </c>
      <c r="E59" s="21" t="n">
        <f aca="false">Datos!H65</f>
        <v>187.118199188056</v>
      </c>
      <c r="F59" s="21" t="n">
        <f aca="false">Datos!H61</f>
        <v>19.2017013888889</v>
      </c>
      <c r="G59" s="21" t="n">
        <f aca="false">Datos!J61</f>
        <v>0.0364106470243743</v>
      </c>
      <c r="H59" s="21" t="n">
        <f aca="false">Datos!K60</f>
        <v>-0.0795880772476278</v>
      </c>
      <c r="I59" s="21" t="n">
        <f aca="false">IF($A59="2020Q2",1,0)</f>
        <v>0</v>
      </c>
      <c r="J59" s="21" t="n">
        <f aca="false">IF($A59="2021Q2",1,0)</f>
        <v>0</v>
      </c>
      <c r="K59" s="19" t="n">
        <v>1</v>
      </c>
      <c r="L59" s="19" t="n">
        <f aca="false">B59-($B$88+$B$89*C59+$B$90*D59+$B$91*E59+$B$92*F59+$B$93*G59+$B$94*H59+$B$95*I59+$B$96*J59)</f>
        <v>0.0324073972746139</v>
      </c>
      <c r="M59" s="19" t="n">
        <f aca="false">L59^2</f>
        <v>0.00105023939811465</v>
      </c>
      <c r="N59" s="19" t="n">
        <f aca="false">K59*$L59</f>
        <v>0.0324073972746139</v>
      </c>
      <c r="O59" s="19" t="n">
        <f aca="false">C59*$L59</f>
        <v>0.00387790322392861</v>
      </c>
      <c r="P59" s="19" t="n">
        <f aca="false">D59*$L59</f>
        <v>-35.564005270992</v>
      </c>
      <c r="Q59" s="19" t="n">
        <f aca="false">E59*$L59</f>
        <v>6.06401381839766</v>
      </c>
      <c r="R59" s="19" t="n">
        <f aca="false">F59*$L59</f>
        <v>0.622277165258227</v>
      </c>
      <c r="S59" s="19" t="n">
        <f aca="false">G59*$L59</f>
        <v>0.00117997430314464</v>
      </c>
      <c r="T59" s="19" t="n">
        <f aca="false">H59*$L59</f>
        <v>-0.00257924243768653</v>
      </c>
      <c r="U59" s="19" t="n">
        <f aca="false">I59*$L59</f>
        <v>0</v>
      </c>
      <c r="V59" s="19" t="n">
        <f aca="false">J59*$L59</f>
        <v>0</v>
      </c>
    </row>
    <row r="60" customFormat="false" ht="15" hidden="false" customHeight="false" outlineLevel="0" collapsed="false">
      <c r="A60" s="20" t="str">
        <f aca="false">Datos!A68</f>
        <v>2020Q4</v>
      </c>
      <c r="B60" s="21" t="n">
        <f aca="false">Datos!L68</f>
        <v>0.0587946679950591</v>
      </c>
      <c r="C60" s="21" t="n">
        <f aca="false">Datos!I68</f>
        <v>0.0642375050953509</v>
      </c>
      <c r="D60" s="21" t="n">
        <f aca="false">Datos!H68</f>
        <v>-606.890139160839</v>
      </c>
      <c r="E60" s="21" t="n">
        <f aca="false">Datos!H66</f>
        <v>756.86685274431</v>
      </c>
      <c r="F60" s="21" t="n">
        <f aca="false">Datos!H62</f>
        <v>162.790259661836</v>
      </c>
      <c r="G60" s="21" t="n">
        <f aca="false">Datos!J62</f>
        <v>0.0549585965392439</v>
      </c>
      <c r="H60" s="21" t="n">
        <f aca="false">Datos!K61</f>
        <v>0.0351944925910753</v>
      </c>
      <c r="I60" s="21" t="n">
        <f aca="false">IF($A60="2020Q2",1,0)</f>
        <v>0</v>
      </c>
      <c r="J60" s="21" t="n">
        <f aca="false">IF($A60="2021Q2",1,0)</f>
        <v>0</v>
      </c>
      <c r="K60" s="19" t="n">
        <v>1</v>
      </c>
      <c r="L60" s="19" t="n">
        <f aca="false">B60-($B$88+$B$89*C60+$B$90*D60+$B$91*E60+$B$92*F60+$B$93*G60+$B$94*H60+$B$95*I60+$B$96*J60)</f>
        <v>0.0479707575402456</v>
      </c>
      <c r="M60" s="19" t="n">
        <f aca="false">L60^2</f>
        <v>0.00230119357898503</v>
      </c>
      <c r="N60" s="19" t="n">
        <f aca="false">K60*$L60</f>
        <v>0.0479707575402456</v>
      </c>
      <c r="O60" s="19" t="n">
        <f aca="false">C60*$L60</f>
        <v>0.00308152178191937</v>
      </c>
      <c r="P60" s="19" t="n">
        <f aca="false">D60*$L60</f>
        <v>-29.1129797192505</v>
      </c>
      <c r="Q60" s="19" t="n">
        <f aca="false">E60*$L60</f>
        <v>36.307476283246</v>
      </c>
      <c r="R60" s="19" t="n">
        <f aca="false">F60*$L60</f>
        <v>7.80917207615154</v>
      </c>
      <c r="S60" s="19" t="n">
        <f aca="false">G60*$L60</f>
        <v>0.00263640550933625</v>
      </c>
      <c r="T60" s="19" t="n">
        <f aca="false">H60*$L60</f>
        <v>0.00168830647083844</v>
      </c>
      <c r="U60" s="19" t="n">
        <f aca="false">I60*$L60</f>
        <v>0</v>
      </c>
      <c r="V60" s="19" t="n">
        <f aca="false">J60*$L60</f>
        <v>0</v>
      </c>
    </row>
    <row r="61" customFormat="false" ht="15" hidden="false" customHeight="false" outlineLevel="0" collapsed="false">
      <c r="A61" s="20" t="str">
        <f aca="false">Datos!A69</f>
        <v>2021Q1</v>
      </c>
      <c r="B61" s="21" t="n">
        <f aca="false">Datos!L69</f>
        <v>0.0754590025589087</v>
      </c>
      <c r="C61" s="21" t="n">
        <f aca="false">Datos!I69</f>
        <v>-0.193638860735541</v>
      </c>
      <c r="D61" s="21" t="n">
        <f aca="false">Datos!H69</f>
        <v>100.224470329671</v>
      </c>
      <c r="E61" s="21" t="n">
        <f aca="false">Datos!H67</f>
        <v>-1097.40393434344</v>
      </c>
      <c r="F61" s="21" t="n">
        <f aca="false">Datos!H63</f>
        <v>679.618686815129</v>
      </c>
      <c r="G61" s="21" t="n">
        <f aca="false">Datos!J63</f>
        <v>0.088789332367494</v>
      </c>
      <c r="H61" s="21" t="n">
        <f aca="false">Datos!K62</f>
        <v>-0.0270236391269938</v>
      </c>
      <c r="I61" s="21" t="n">
        <f aca="false">IF($A61="2020Q2",1,0)</f>
        <v>0</v>
      </c>
      <c r="J61" s="21" t="n">
        <f aca="false">IF($A61="2021Q2",1,0)</f>
        <v>0</v>
      </c>
      <c r="K61" s="19" t="n">
        <v>1</v>
      </c>
      <c r="L61" s="19" t="n">
        <f aca="false">B61-($B$88+$B$89*C61+$B$90*D61+$B$91*E61+$B$92*F61+$B$93*G61+$B$94*H61+$B$95*I61+$B$96*J61)</f>
        <v>0.0585922734008216</v>
      </c>
      <c r="M61" s="19" t="n">
        <f aca="false">L61^2</f>
        <v>0.00343305450227662</v>
      </c>
      <c r="N61" s="19" t="n">
        <f aca="false">K61*$L61</f>
        <v>0.0585922734008216</v>
      </c>
      <c r="O61" s="19" t="n">
        <f aca="false">C61*$L61</f>
        <v>-0.0113457410692405</v>
      </c>
      <c r="P61" s="19" t="n">
        <f aca="false">D61*$L61</f>
        <v>5.87237956700861</v>
      </c>
      <c r="Q61" s="19" t="n">
        <f aca="false">E61*$L61</f>
        <v>-64.2993913521878</v>
      </c>
      <c r="R61" s="19" t="n">
        <f aca="false">F61*$L61</f>
        <v>39.8204039061794</v>
      </c>
      <c r="S61" s="19" t="n">
        <f aca="false">G61*$L61</f>
        <v>0.00520236883715263</v>
      </c>
      <c r="T61" s="19" t="n">
        <f aca="false">H61*$L61</f>
        <v>-0.00158337645201396</v>
      </c>
      <c r="U61" s="19" t="n">
        <f aca="false">I61*$L61</f>
        <v>0</v>
      </c>
      <c r="V61" s="19" t="n">
        <f aca="false">J61*$L61</f>
        <v>0</v>
      </c>
    </row>
    <row r="62" customFormat="false" ht="15" hidden="false" customHeight="false" outlineLevel="0" collapsed="false">
      <c r="A62" s="20" t="str">
        <f aca="false">Datos!A70</f>
        <v>2021Q2</v>
      </c>
      <c r="B62" s="21" t="n">
        <f aca="false">Datos!L70</f>
        <v>0.154973600001828</v>
      </c>
      <c r="C62" s="21" t="n">
        <f aca="false">Datos!I70</f>
        <v>-0.244749418467121</v>
      </c>
      <c r="D62" s="21" t="n">
        <f aca="false">Datos!H70</f>
        <v>51.4231142857141</v>
      </c>
      <c r="E62" s="21" t="n">
        <f aca="false">Datos!H68</f>
        <v>-606.890139160839</v>
      </c>
      <c r="F62" s="21" t="n">
        <f aca="false">Datos!H64</f>
        <v>598.881251590669</v>
      </c>
      <c r="G62" s="21" t="n">
        <f aca="false">Datos!J64</f>
        <v>-0.0976170322305177</v>
      </c>
      <c r="H62" s="21" t="n">
        <f aca="false">Datos!K63</f>
        <v>0.0668497563295599</v>
      </c>
      <c r="I62" s="21" t="n">
        <f aca="false">IF($A62="2020Q2",1,0)</f>
        <v>0</v>
      </c>
      <c r="J62" s="21" t="n">
        <f aca="false">IF($A62="2021Q2",1,0)</f>
        <v>1</v>
      </c>
      <c r="K62" s="19" t="n">
        <v>1</v>
      </c>
      <c r="L62" s="19" t="n">
        <f aca="false">B62-($B$88+$B$89*C62+$B$90*D62+$B$91*E62+$B$92*F62+$B$93*G62+$B$94*H62+$B$95*I62+$B$96*J62)</f>
        <v>0</v>
      </c>
      <c r="M62" s="19" t="n">
        <f aca="false">L62^2</f>
        <v>0</v>
      </c>
      <c r="N62" s="19" t="n">
        <f aca="false">K62*$L62</f>
        <v>0</v>
      </c>
      <c r="O62" s="19" t="n">
        <f aca="false">C62*$L62</f>
        <v>-0</v>
      </c>
      <c r="P62" s="19" t="n">
        <f aca="false">D62*$L62</f>
        <v>0</v>
      </c>
      <c r="Q62" s="19" t="n">
        <f aca="false">E62*$L62</f>
        <v>-0</v>
      </c>
      <c r="R62" s="19" t="n">
        <f aca="false">F62*$L62</f>
        <v>0</v>
      </c>
      <c r="S62" s="19" t="n">
        <f aca="false">G62*$L62</f>
        <v>-0</v>
      </c>
      <c r="T62" s="19" t="n">
        <f aca="false">H62*$L62</f>
        <v>0</v>
      </c>
      <c r="U62" s="19" t="n">
        <f aca="false">I62*$L62</f>
        <v>0</v>
      </c>
      <c r="V62" s="19" t="n">
        <f aca="false">J62*$L62</f>
        <v>0</v>
      </c>
    </row>
    <row r="63" customFormat="false" ht="15" hidden="false" customHeight="false" outlineLevel="0" collapsed="false">
      <c r="A63" s="20" t="str">
        <f aca="false">Datos!A71</f>
        <v>2021Q3</v>
      </c>
      <c r="B63" s="21" t="n">
        <f aca="false">Datos!L71</f>
        <v>-0.0691542511309424</v>
      </c>
      <c r="C63" s="21" t="n">
        <f aca="false">Datos!I71</f>
        <v>0.0155375869236292</v>
      </c>
      <c r="D63" s="21" t="n">
        <f aca="false">Datos!H71</f>
        <v>24.6869913043479</v>
      </c>
      <c r="E63" s="21" t="n">
        <f aca="false">Datos!H69</f>
        <v>100.224470329671</v>
      </c>
      <c r="F63" s="21" t="n">
        <f aca="false">Datos!H65</f>
        <v>187.118199188056</v>
      </c>
      <c r="G63" s="21" t="n">
        <f aca="false">Datos!J65</f>
        <v>0.221076901929335</v>
      </c>
      <c r="H63" s="21" t="n">
        <f aca="false">Datos!K64</f>
        <v>0.0445321255864519</v>
      </c>
      <c r="I63" s="21" t="n">
        <f aca="false">IF($A63="2020Q2",1,0)</f>
        <v>0</v>
      </c>
      <c r="J63" s="21" t="n">
        <f aca="false">IF($A63="2021Q2",1,0)</f>
        <v>0</v>
      </c>
      <c r="K63" s="19" t="n">
        <v>1</v>
      </c>
      <c r="L63" s="19" t="n">
        <f aca="false">B63-($B$88+$B$89*C63+$B$90*D63+$B$91*E63+$B$92*F63+$B$93*G63+$B$94*H63+$B$95*I63+$B$96*J63)</f>
        <v>-0.0575574052519838</v>
      </c>
      <c r="M63" s="19" t="n">
        <f aca="false">L63^2</f>
        <v>0.00331285489934109</v>
      </c>
      <c r="N63" s="19" t="n">
        <f aca="false">K63*$L63</f>
        <v>-0.0575574052519838</v>
      </c>
      <c r="O63" s="19" t="n">
        <f aca="false">C63*$L63</f>
        <v>-0.000894303187201248</v>
      </c>
      <c r="P63" s="19" t="n">
        <f aca="false">D63*$L63</f>
        <v>-1.42091916295655</v>
      </c>
      <c r="Q63" s="19" t="n">
        <f aca="false">E63*$L63</f>
        <v>-5.7686604549303</v>
      </c>
      <c r="R63" s="19" t="n">
        <f aca="false">F63*$L63</f>
        <v>-10.7700380206884</v>
      </c>
      <c r="S63" s="19" t="n">
        <f aca="false">G63*$L63</f>
        <v>-0.0127246128361998</v>
      </c>
      <c r="T63" s="19" t="n">
        <f aca="false">H63*$L63</f>
        <v>-0.00256315359911165</v>
      </c>
      <c r="U63" s="19" t="n">
        <f aca="false">I63*$L63</f>
        <v>-0</v>
      </c>
      <c r="V63" s="19" t="n">
        <f aca="false">J63*$L63</f>
        <v>-0</v>
      </c>
    </row>
    <row r="64" customFormat="false" ht="15" hidden="false" customHeight="false" outlineLevel="0" collapsed="false">
      <c r="A64" s="20" t="str">
        <f aca="false">Datos!A72</f>
        <v>2021Q4</v>
      </c>
      <c r="B64" s="21" t="n">
        <f aca="false">Datos!L72</f>
        <v>-0.0345042172539505</v>
      </c>
      <c r="C64" s="21" t="n">
        <f aca="false">Datos!I72</f>
        <v>0.0372511420898235</v>
      </c>
      <c r="D64" s="21" t="n">
        <f aca="false">Datos!H72</f>
        <v>144.162478260869</v>
      </c>
      <c r="E64" s="21" t="n">
        <f aca="false">Datos!H70</f>
        <v>51.4231142857141</v>
      </c>
      <c r="F64" s="21" t="n">
        <f aca="false">Datos!H66</f>
        <v>756.86685274431</v>
      </c>
      <c r="G64" s="21" t="n">
        <f aca="false">Datos!J66</f>
        <v>0.295953407381194</v>
      </c>
      <c r="H64" s="21" t="n">
        <f aca="false">Datos!K65</f>
        <v>-0.0349380110691591</v>
      </c>
      <c r="I64" s="21" t="n">
        <f aca="false">IF($A64="2020Q2",1,0)</f>
        <v>0</v>
      </c>
      <c r="J64" s="21" t="n">
        <f aca="false">IF($A64="2021Q2",1,0)</f>
        <v>0</v>
      </c>
      <c r="K64" s="19" t="n">
        <v>1</v>
      </c>
      <c r="L64" s="19" t="n">
        <f aca="false">B64-($B$88+$B$89*C64+$B$90*D64+$B$91*E64+$B$92*F64+$B$93*G64+$B$94*H64+$B$95*I64+$B$96*J64)</f>
        <v>-0.0233026079180526</v>
      </c>
      <c r="M64" s="19" t="n">
        <f aca="false">L64^2</f>
        <v>0.00054301153578249</v>
      </c>
      <c r="N64" s="19" t="n">
        <f aca="false">K64*$L64</f>
        <v>-0.0233026079180526</v>
      </c>
      <c r="O64" s="19" t="n">
        <f aca="false">C64*$L64</f>
        <v>-0.000868048758618825</v>
      </c>
      <c r="P64" s="19" t="n">
        <f aca="false">D64*$L64</f>
        <v>-3.35936170740782</v>
      </c>
      <c r="Q64" s="19" t="n">
        <f aca="false">E64*$L64</f>
        <v>-1.19829267012521</v>
      </c>
      <c r="R64" s="19" t="n">
        <f aca="false">F64*$L64</f>
        <v>-17.6369715156711</v>
      </c>
      <c r="S64" s="19" t="n">
        <f aca="false">G64*$L64</f>
        <v>-0.00689648621421567</v>
      </c>
      <c r="T64" s="19" t="n">
        <f aca="false">H64*$L64</f>
        <v>0.000814146773381197</v>
      </c>
      <c r="U64" s="19" t="n">
        <f aca="false">I64*$L64</f>
        <v>-0</v>
      </c>
      <c r="V64" s="19" t="n">
        <f aca="false">J64*$L64</f>
        <v>-0</v>
      </c>
    </row>
    <row r="65" customFormat="false" ht="15" hidden="false" customHeight="false" outlineLevel="0" collapsed="false">
      <c r="A65" s="20" t="str">
        <f aca="false">Datos!A73</f>
        <v>2022Q1</v>
      </c>
      <c r="B65" s="21" t="n">
        <f aca="false">Datos!L73</f>
        <v>-0.0150273006931949</v>
      </c>
      <c r="C65" s="21" t="n">
        <f aca="false">Datos!I73</f>
        <v>0.0355016157142883</v>
      </c>
      <c r="D65" s="21" t="n">
        <f aca="false">Datos!H73</f>
        <v>94.729852657005</v>
      </c>
      <c r="E65" s="21" t="n">
        <f aca="false">Datos!H71</f>
        <v>24.6869913043479</v>
      </c>
      <c r="F65" s="21" t="n">
        <f aca="false">Datos!H67</f>
        <v>-1097.40393434344</v>
      </c>
      <c r="G65" s="21" t="n">
        <f aca="false">Datos!J67</f>
        <v>-0.245003429458452</v>
      </c>
      <c r="H65" s="21" t="n">
        <f aca="false">Datos!K66</f>
        <v>-0.0474907628165441</v>
      </c>
      <c r="I65" s="21" t="n">
        <f aca="false">IF($A65="2020Q2",1,0)</f>
        <v>0</v>
      </c>
      <c r="J65" s="21" t="n">
        <f aca="false">IF($A65="2021Q2",1,0)</f>
        <v>0</v>
      </c>
      <c r="K65" s="19" t="n">
        <v>1</v>
      </c>
      <c r="L65" s="19" t="n">
        <f aca="false">B65-($B$88+$B$89*C65+$B$90*D65+$B$91*E65+$B$92*F65+$B$93*G65+$B$94*H65+$B$95*I65+$B$96*J65)</f>
        <v>-0.00198802363262688</v>
      </c>
      <c r="M65" s="19" t="n">
        <f aca="false">L65^2</f>
        <v>3.95223796388296E-006</v>
      </c>
      <c r="N65" s="19" t="n">
        <f aca="false">K65*$L65</f>
        <v>-0.00198802363262688</v>
      </c>
      <c r="O65" s="19" t="n">
        <f aca="false">C65*$L65</f>
        <v>-7.05780510364429E-005</v>
      </c>
      <c r="P65" s="19" t="n">
        <f aca="false">D65*$L65</f>
        <v>-0.188325185797388</v>
      </c>
      <c r="Q65" s="19" t="n">
        <f aca="false">E65*$L65</f>
        <v>-0.0490783221314978</v>
      </c>
      <c r="R65" s="19" t="n">
        <f aca="false">F65*$L65</f>
        <v>2.18166495601246</v>
      </c>
      <c r="S65" s="19" t="n">
        <f aca="false">G65*$L65</f>
        <v>0.000487072607838035</v>
      </c>
      <c r="T65" s="19" t="n">
        <f aca="false">H65*$L65</f>
        <v>9.44127588107673E-005</v>
      </c>
      <c r="U65" s="19" t="n">
        <f aca="false">I65*$L65</f>
        <v>-0</v>
      </c>
      <c r="V65" s="19" t="n">
        <f aca="false">J65*$L65</f>
        <v>-0</v>
      </c>
    </row>
    <row r="66" customFormat="false" ht="15" hidden="false" customHeight="false" outlineLevel="0" collapsed="false">
      <c r="A66" s="20" t="str">
        <f aca="false">Datos!A74</f>
        <v>2022Q2</v>
      </c>
      <c r="B66" s="21" t="n">
        <f aca="false">Datos!L74</f>
        <v>0.0126863059008944</v>
      </c>
      <c r="C66" s="21" t="n">
        <f aca="false">Datos!I74</f>
        <v>-0.00674178026505711</v>
      </c>
      <c r="D66" s="21" t="n">
        <f aca="false">Datos!H74</f>
        <v>111.567003052503</v>
      </c>
      <c r="E66" s="21" t="n">
        <f aca="false">Datos!H72</f>
        <v>144.162478260869</v>
      </c>
      <c r="F66" s="21" t="n">
        <f aca="false">Datos!H68</f>
        <v>-606.890139160839</v>
      </c>
      <c r="G66" s="21" t="n">
        <f aca="false">Datos!J68</f>
        <v>-0.131027789991017</v>
      </c>
      <c r="H66" s="21" t="n">
        <f aca="false">Datos!K67</f>
        <v>0.0306557066678773</v>
      </c>
      <c r="I66" s="21" t="n">
        <f aca="false">IF($A66="2020Q2",1,0)</f>
        <v>0</v>
      </c>
      <c r="J66" s="21" t="n">
        <f aca="false">IF($A66="2021Q2",1,0)</f>
        <v>0</v>
      </c>
      <c r="K66" s="19" t="n">
        <v>1</v>
      </c>
      <c r="L66" s="19" t="n">
        <f aca="false">B66-($B$88+$B$89*C66+$B$90*D66+$B$91*E66+$B$92*F66+$B$93*G66+$B$94*H66+$B$95*I66+$B$96*J66)</f>
        <v>0.0268863182823095</v>
      </c>
      <c r="M66" s="19" t="n">
        <f aca="false">L66^2</f>
        <v>0.000722874110777651</v>
      </c>
      <c r="N66" s="19" t="n">
        <f aca="false">K66*$L66</f>
        <v>0.0268863182823095</v>
      </c>
      <c r="O66" s="19" t="n">
        <f aca="false">C66*$L66</f>
        <v>-0.000181261649995718</v>
      </c>
      <c r="P66" s="19" t="n">
        <f aca="false">D66*$L66</f>
        <v>2.99962595387299</v>
      </c>
      <c r="Q66" s="19" t="n">
        <f aca="false">E66*$L66</f>
        <v>3.87599827488825</v>
      </c>
      <c r="R66" s="19" t="n">
        <f aca="false">F66*$L66</f>
        <v>-16.3170414438734</v>
      </c>
      <c r="S66" s="19" t="n">
        <f aca="false">G66*$L66</f>
        <v>-0.00352285486552608</v>
      </c>
      <c r="T66" s="19" t="n">
        <f aca="false">H66*$L66</f>
        <v>0.000824219086641668</v>
      </c>
      <c r="U66" s="19" t="n">
        <f aca="false">I66*$L66</f>
        <v>0</v>
      </c>
      <c r="V66" s="19" t="n">
        <f aca="false">J66*$L66</f>
        <v>0</v>
      </c>
    </row>
    <row r="67" customFormat="false" ht="15" hidden="false" customHeight="false" outlineLevel="0" collapsed="false">
      <c r="A67" s="20" t="str">
        <f aca="false">Datos!A75</f>
        <v>2022Q3</v>
      </c>
      <c r="B67" s="21" t="n">
        <f aca="false">Datos!L75</f>
        <v>-0.0144559309870564</v>
      </c>
      <c r="C67" s="21" t="n">
        <f aca="false">Datos!I75</f>
        <v>-0.0371795981009521</v>
      </c>
      <c r="D67" s="21" t="n">
        <f aca="false">Datos!H75</f>
        <v>613.427821391941</v>
      </c>
      <c r="E67" s="21" t="n">
        <f aca="false">Datos!H73</f>
        <v>94.729852657005</v>
      </c>
      <c r="F67" s="21" t="n">
        <f aca="false">Datos!H69</f>
        <v>100.224470329671</v>
      </c>
      <c r="G67" s="21" t="n">
        <f aca="false">Datos!J69</f>
        <v>-0.0811045233564329</v>
      </c>
      <c r="H67" s="21" t="n">
        <f aca="false">Datos!K68</f>
        <v>0.0276558919383922</v>
      </c>
      <c r="I67" s="21" t="n">
        <f aca="false">IF($A67="2020Q2",1,0)</f>
        <v>0</v>
      </c>
      <c r="J67" s="21" t="n">
        <f aca="false">IF($A67="2021Q2",1,0)</f>
        <v>0</v>
      </c>
      <c r="K67" s="19" t="n">
        <v>1</v>
      </c>
      <c r="L67" s="19" t="n">
        <f aca="false">B67-($B$88+$B$89*C67+$B$90*D67+$B$91*E67+$B$92*F67+$B$93*G67+$B$94*H67+$B$95*I67+$B$96*J67)</f>
        <v>0.0115382969578647</v>
      </c>
      <c r="M67" s="19" t="n">
        <f aca="false">L67^2</f>
        <v>0.000133132296687869</v>
      </c>
      <c r="N67" s="19" t="n">
        <f aca="false">K67*$L67</f>
        <v>0.0115382969578647</v>
      </c>
      <c r="O67" s="19" t="n">
        <f aca="false">C67*$L67</f>
        <v>-0.000428989243662846</v>
      </c>
      <c r="P67" s="19" t="n">
        <f aca="false">D67*$L67</f>
        <v>7.07791236543618</v>
      </c>
      <c r="Q67" s="19" t="n">
        <f aca="false">E67*$L67</f>
        <v>1.09302117073129</v>
      </c>
      <c r="R67" s="19" t="n">
        <f aca="false">F67*$L67</f>
        <v>1.15641970110844</v>
      </c>
      <c r="S67" s="19" t="n">
        <f aca="false">G67*$L67</f>
        <v>-0.000935808075112593</v>
      </c>
      <c r="T67" s="19" t="n">
        <f aca="false">H67*$L67</f>
        <v>0.000319101893819785</v>
      </c>
      <c r="U67" s="19" t="n">
        <f aca="false">I67*$L67</f>
        <v>0</v>
      </c>
      <c r="V67" s="19" t="n">
        <f aca="false">J67*$L67</f>
        <v>0</v>
      </c>
    </row>
    <row r="68" customFormat="false" ht="15" hidden="false" customHeight="false" outlineLevel="0" collapsed="false">
      <c r="A68" s="20" t="str">
        <f aca="false">Datos!A76</f>
        <v>2022Q4</v>
      </c>
      <c r="B68" s="21" t="n">
        <f aca="false">Datos!L76</f>
        <v>-0.042989937364541</v>
      </c>
      <c r="C68" s="21" t="n">
        <f aca="false">Datos!I76</f>
        <v>-0.0252636786491897</v>
      </c>
      <c r="D68" s="21" t="n">
        <f aca="false">Datos!H76</f>
        <v>-69.2846118840562</v>
      </c>
      <c r="E68" s="21" t="n">
        <f aca="false">Datos!H74</f>
        <v>111.567003052503</v>
      </c>
      <c r="F68" s="21" t="n">
        <f aca="false">Datos!H70</f>
        <v>51.4231142857141</v>
      </c>
      <c r="G68" s="21" t="n">
        <f aca="false">Datos!J70</f>
        <v>-0.164266961512105</v>
      </c>
      <c r="H68" s="21" t="n">
        <f aca="false">Datos!K69</f>
        <v>0.0884101043961178</v>
      </c>
      <c r="I68" s="21" t="n">
        <f aca="false">IF($A68="2020Q2",1,0)</f>
        <v>0</v>
      </c>
      <c r="J68" s="21" t="n">
        <f aca="false">IF($A68="2021Q2",1,0)</f>
        <v>0</v>
      </c>
      <c r="K68" s="19" t="n">
        <v>1</v>
      </c>
      <c r="L68" s="19" t="n">
        <f aca="false">B68-($B$88+$B$89*C68+$B$90*D68+$B$91*E68+$B$92*F68+$B$93*G68+$B$94*H68+$B$95*I68+$B$96*J68)</f>
        <v>-0.0656163256257987</v>
      </c>
      <c r="M68" s="19" t="n">
        <f aca="false">L68^2</f>
        <v>0.00430550218863084</v>
      </c>
      <c r="N68" s="19" t="n">
        <f aca="false">K68*$L68</f>
        <v>-0.0656163256257987</v>
      </c>
      <c r="O68" s="19" t="n">
        <f aca="false">C68*$L68</f>
        <v>0.00165770976475077</v>
      </c>
      <c r="P68" s="19" t="n">
        <f aca="false">D68*$L68</f>
        <v>4.54620165424131</v>
      </c>
      <c r="Q68" s="19" t="n">
        <f aca="false">E68*$L68</f>
        <v>-7.32061680138751</v>
      </c>
      <c r="R68" s="19" t="n">
        <f aca="false">F68*$L68</f>
        <v>-3.37419581166407</v>
      </c>
      <c r="S68" s="19" t="n">
        <f aca="false">G68*$L68</f>
        <v>0.0107785944361388</v>
      </c>
      <c r="T68" s="19" t="n">
        <f aca="false">H68*$L68</f>
        <v>-0.00580114619866652</v>
      </c>
      <c r="U68" s="19" t="n">
        <f aca="false">I68*$L68</f>
        <v>-0</v>
      </c>
      <c r="V68" s="19" t="n">
        <f aca="false">J68*$L68</f>
        <v>-0</v>
      </c>
    </row>
    <row r="69" customFormat="false" ht="15" hidden="false" customHeight="false" outlineLevel="0" collapsed="false">
      <c r="A69" s="20" t="str">
        <f aca="false">Datos!A77</f>
        <v>2023Q1</v>
      </c>
      <c r="B69" s="21" t="n">
        <f aca="false">Datos!L77</f>
        <v>-0.0147344524955975</v>
      </c>
      <c r="C69" s="21" t="n">
        <f aca="false">Datos!I77</f>
        <v>-0.00518521666359616</v>
      </c>
      <c r="D69" s="21" t="n">
        <f aca="false">Datos!H77</f>
        <v>-376.758957004832</v>
      </c>
      <c r="E69" s="21" t="n">
        <f aca="false">Datos!H75</f>
        <v>613.427821391941</v>
      </c>
      <c r="F69" s="21" t="n">
        <f aca="false">Datos!H71</f>
        <v>24.6869913043479</v>
      </c>
      <c r="G69" s="21" t="n">
        <f aca="false">Datos!J71</f>
        <v>0.249643026411689</v>
      </c>
      <c r="H69" s="21" t="n">
        <f aca="false">Datos!K70</f>
        <v>0.025645645716768</v>
      </c>
      <c r="I69" s="21" t="n">
        <f aca="false">IF($A69="2020Q2",1,0)</f>
        <v>0</v>
      </c>
      <c r="J69" s="21" t="n">
        <f aca="false">IF($A69="2021Q2",1,0)</f>
        <v>0</v>
      </c>
      <c r="K69" s="19" t="n">
        <v>1</v>
      </c>
      <c r="L69" s="19" t="n">
        <f aca="false">B69-($B$88+$B$89*C69+$B$90*D69+$B$91*E69+$B$92*F69+$B$93*G69+$B$94*H69+$B$95*I69+$B$96*J69)</f>
        <v>0.0168971460266742</v>
      </c>
      <c r="M69" s="19" t="n">
        <f aca="false">L69^2</f>
        <v>0.000285513543846753</v>
      </c>
      <c r="N69" s="19" t="n">
        <f aca="false">K69*$L69</f>
        <v>0.0168971460266742</v>
      </c>
      <c r="O69" s="19" t="n">
        <f aca="false">C69*$L69</f>
        <v>-8.7615363144729E-005</v>
      </c>
      <c r="P69" s="19" t="n">
        <f aca="false">D69*$L69</f>
        <v>-6.36615111336813</v>
      </c>
      <c r="Q69" s="19" t="n">
        <f aca="false">E69*$L69</f>
        <v>10.3651794748843</v>
      </c>
      <c r="R69" s="19" t="n">
        <f aca="false">F69*$L69</f>
        <v>0.417139697028803</v>
      </c>
      <c r="S69" s="19" t="n">
        <f aca="false">G69*$L69</f>
        <v>0.00421825467181921</v>
      </c>
      <c r="T69" s="19" t="n">
        <f aca="false">H69*$L69</f>
        <v>0.000433338220624581</v>
      </c>
      <c r="U69" s="19" t="n">
        <f aca="false">I69*$L69</f>
        <v>0</v>
      </c>
      <c r="V69" s="19" t="n">
        <f aca="false">J69*$L69</f>
        <v>0</v>
      </c>
    </row>
    <row r="70" customFormat="false" ht="15" hidden="false" customHeight="false" outlineLevel="0" collapsed="false">
      <c r="A70" s="20" t="str">
        <f aca="false">Datos!A78</f>
        <v>2023Q2</v>
      </c>
      <c r="B70" s="21" t="n">
        <f aca="false">Datos!L78</f>
        <v>-0.0658685480975044</v>
      </c>
      <c r="C70" s="21" t="n">
        <f aca="false">Datos!I78</f>
        <v>-0.0211814413429257</v>
      </c>
      <c r="D70" s="21" t="n">
        <f aca="false">Datos!H78</f>
        <v>396.345972839506</v>
      </c>
      <c r="E70" s="21" t="n">
        <f aca="false">Datos!H76</f>
        <v>-69.2846118840562</v>
      </c>
      <c r="F70" s="21" t="n">
        <f aca="false">Datos!H72</f>
        <v>144.162478260869</v>
      </c>
      <c r="G70" s="21" t="n">
        <f aca="false">Datos!J72</f>
        <v>0.284553859686216</v>
      </c>
      <c r="H70" s="21" t="n">
        <f aca="false">Datos!K71</f>
        <v>-0.065948233834193</v>
      </c>
      <c r="I70" s="21" t="n">
        <f aca="false">IF($A70="2020Q2",1,0)</f>
        <v>0</v>
      </c>
      <c r="J70" s="21" t="n">
        <f aca="false">IF($A70="2021Q2",1,0)</f>
        <v>0</v>
      </c>
      <c r="K70" s="19" t="n">
        <v>1</v>
      </c>
      <c r="L70" s="19" t="n">
        <f aca="false">B70-($B$88+$B$89*C70+$B$90*D70+$B$91*E70+$B$92*F70+$B$93*G70+$B$94*H70+$B$95*I70+$B$96*J70)</f>
        <v>-0.0150979569930501</v>
      </c>
      <c r="M70" s="19" t="n">
        <f aca="false">L70^2</f>
        <v>0.00022794830536399</v>
      </c>
      <c r="N70" s="19" t="n">
        <f aca="false">K70*$L70</f>
        <v>-0.0150979569930501</v>
      </c>
      <c r="O70" s="19" t="n">
        <f aca="false">C70*$L70</f>
        <v>0.000319796490446304</v>
      </c>
      <c r="P70" s="19" t="n">
        <f aca="false">D70*$L70</f>
        <v>-5.98401445229945</v>
      </c>
      <c r="Q70" s="19" t="n">
        <f aca="false">E70*$L70</f>
        <v>1.04605609050565</v>
      </c>
      <c r="R70" s="19" t="n">
        <f aca="false">F70*$L70</f>
        <v>-2.17655889679412</v>
      </c>
      <c r="S70" s="19" t="n">
        <f aca="false">G70*$L70</f>
        <v>-0.0042961819357489</v>
      </c>
      <c r="T70" s="19" t="n">
        <f aca="false">H70*$L70</f>
        <v>0.000995683598196256</v>
      </c>
      <c r="U70" s="19" t="n">
        <f aca="false">I70*$L70</f>
        <v>-0</v>
      </c>
      <c r="V70" s="19" t="n">
        <f aca="false">J70*$L70</f>
        <v>-0</v>
      </c>
    </row>
    <row r="71" customFormat="false" ht="15" hidden="false" customHeight="false" outlineLevel="0" collapsed="false">
      <c r="A71" s="20" t="str">
        <f aca="false">Datos!A79</f>
        <v>2023Q3</v>
      </c>
      <c r="B71" s="21" t="n">
        <f aca="false">Datos!L79</f>
        <v>0.0512569990728792</v>
      </c>
      <c r="C71" s="21" t="n">
        <f aca="false">Datos!I79</f>
        <v>-0.0552380565995734</v>
      </c>
      <c r="D71" s="21" t="n">
        <f aca="false">Datos!H79</f>
        <v>-393.961216440069</v>
      </c>
      <c r="E71" s="21" t="n">
        <f aca="false">Datos!H77</f>
        <v>-376.758957004832</v>
      </c>
      <c r="F71" s="21" t="n">
        <f aca="false">Datos!H73</f>
        <v>94.729852657005</v>
      </c>
      <c r="G71" s="21" t="n">
        <f aca="false">Datos!J73</f>
        <v>-0.167076079806291</v>
      </c>
      <c r="H71" s="21" t="n">
        <f aca="false">Datos!K72</f>
        <v>-0.0279737231897952</v>
      </c>
      <c r="I71" s="21" t="n">
        <f aca="false">IF($A71="2020Q2",1,0)</f>
        <v>0</v>
      </c>
      <c r="J71" s="21" t="n">
        <f aca="false">IF($A71="2021Q2",1,0)</f>
        <v>0</v>
      </c>
      <c r="K71" s="19" t="n">
        <v>1</v>
      </c>
      <c r="L71" s="19" t="n">
        <f aca="false">B71-($B$88+$B$89*C71+$B$90*D71+$B$91*E71+$B$92*F71+$B$93*G71+$B$94*H71+$B$95*I71+$B$96*J71)</f>
        <v>0.00996810815795369</v>
      </c>
      <c r="M71" s="19" t="n">
        <f aca="false">L71^2</f>
        <v>9.93631802486629E-005</v>
      </c>
      <c r="N71" s="19" t="n">
        <f aca="false">K71*$L71</f>
        <v>0.00996810815795369</v>
      </c>
      <c r="O71" s="19" t="n">
        <f aca="false">C71*$L71</f>
        <v>-0.000550618922619715</v>
      </c>
      <c r="P71" s="19" t="n">
        <f aca="false">D71*$L71</f>
        <v>-3.92704801551361</v>
      </c>
      <c r="Q71" s="19" t="n">
        <f aca="false">E71*$L71</f>
        <v>-3.75557403290199</v>
      </c>
      <c r="R71" s="19" t="n">
        <f aca="false">F71*$L71</f>
        <v>0.944277417072043</v>
      </c>
      <c r="S71" s="19" t="n">
        <f aca="false">G71*$L71</f>
        <v>-0.00166543243411601</v>
      </c>
      <c r="T71" s="19" t="n">
        <f aca="false">H71*$L71</f>
        <v>-0.000278845098336536</v>
      </c>
      <c r="U71" s="19" t="n">
        <f aca="false">I71*$L71</f>
        <v>0</v>
      </c>
      <c r="V71" s="19" t="n">
        <f aca="false">J71*$L71</f>
        <v>0</v>
      </c>
    </row>
    <row r="72" customFormat="false" ht="15" hidden="false" customHeight="false" outlineLevel="0" collapsed="false">
      <c r="A72" s="20" t="str">
        <f aca="false">Datos!A80</f>
        <v>2023Q4</v>
      </c>
      <c r="B72" s="21" t="n">
        <f aca="false">Datos!L80</f>
        <v>-0.0116681302350901</v>
      </c>
      <c r="C72" s="21" t="n">
        <f aca="false">Datos!I80</f>
        <v>-0.104830369197381</v>
      </c>
      <c r="D72" s="21" t="n">
        <f aca="false">Datos!H80</f>
        <v>122.080899625603</v>
      </c>
      <c r="E72" s="21" t="n">
        <f aca="false">Datos!H78</f>
        <v>396.345972839506</v>
      </c>
      <c r="F72" s="21" t="n">
        <f aca="false">Datos!H74</f>
        <v>111.567003052503</v>
      </c>
      <c r="G72" s="21" t="n">
        <f aca="false">Datos!J74</f>
        <v>0.169220698210594</v>
      </c>
      <c r="H72" s="21" t="n">
        <f aca="false">Datos!K73</f>
        <v>-0.0135796367455427</v>
      </c>
      <c r="I72" s="21" t="n">
        <f aca="false">IF($A72="2020Q2",1,0)</f>
        <v>0</v>
      </c>
      <c r="J72" s="21" t="n">
        <f aca="false">IF($A72="2021Q2",1,0)</f>
        <v>0</v>
      </c>
      <c r="K72" s="19" t="n">
        <v>1</v>
      </c>
      <c r="L72" s="19" t="n">
        <f aca="false">B72-($B$88+$B$89*C72+$B$90*D72+$B$91*E72+$B$92*F72+$B$93*G72+$B$94*H72+$B$95*I72+$B$96*J72)</f>
        <v>0.0487269994315639</v>
      </c>
      <c r="M72" s="19" t="n">
        <f aca="false">L72^2</f>
        <v>0.00237432047360363</v>
      </c>
      <c r="N72" s="19" t="n">
        <f aca="false">K72*$L72</f>
        <v>0.0487269994315639</v>
      </c>
      <c r="O72" s="19" t="n">
        <f aca="false">C72*$L72</f>
        <v>-0.00510806934029142</v>
      </c>
      <c r="P72" s="19" t="n">
        <f aca="false">D72*$L72</f>
        <v>5.94863592666156</v>
      </c>
      <c r="Q72" s="19" t="n">
        <f aca="false">E72*$L72</f>
        <v>19.3127499932533</v>
      </c>
      <c r="R72" s="19" t="n">
        <f aca="false">F72*$L72</f>
        <v>5.4363252943206</v>
      </c>
      <c r="S72" s="19" t="n">
        <f aca="false">G72*$L72</f>
        <v>0.00824561686551647</v>
      </c>
      <c r="T72" s="19" t="n">
        <f aca="false">H72*$L72</f>
        <v>-0.000661694951980906</v>
      </c>
      <c r="U72" s="19" t="n">
        <f aca="false">I72*$L72</f>
        <v>0</v>
      </c>
      <c r="V72" s="19" t="n">
        <f aca="false">J72*$L72</f>
        <v>0</v>
      </c>
    </row>
    <row r="73" customFormat="false" ht="15" hidden="false" customHeight="false" outlineLevel="0" collapsed="false">
      <c r="A73" s="20" t="str">
        <f aca="false">Datos!A81</f>
        <v>2024Q1</v>
      </c>
      <c r="B73" s="21" t="n">
        <f aca="false">Datos!L81</f>
        <v>-0.0324571770905033</v>
      </c>
      <c r="C73" s="21" t="n">
        <f aca="false">Datos!I81</f>
        <v>-0.0995297912662513</v>
      </c>
      <c r="D73" s="21" t="n">
        <f aca="false">Datos!H81</f>
        <v>-454.938553802817</v>
      </c>
      <c r="E73" s="21" t="n">
        <f aca="false">Datos!H79</f>
        <v>-393.961216440069</v>
      </c>
      <c r="F73" s="21" t="n">
        <f aca="false">Datos!H75</f>
        <v>613.427821391941</v>
      </c>
      <c r="G73" s="21" t="n">
        <f aca="false">Datos!J75</f>
        <v>-0.0735093011783898</v>
      </c>
      <c r="H73" s="21" t="n">
        <f aca="false">Datos!K74</f>
        <v>-0.0666502884026636</v>
      </c>
      <c r="I73" s="21" t="n">
        <f aca="false">IF($A73="2020Q2",1,0)</f>
        <v>0</v>
      </c>
      <c r="J73" s="21" t="n">
        <f aca="false">IF($A73="2021Q2",1,0)</f>
        <v>0</v>
      </c>
      <c r="K73" s="19" t="n">
        <v>1</v>
      </c>
      <c r="L73" s="19" t="n">
        <f aca="false">B73-($B$88+$B$89*C73+$B$90*D73+$B$91*E73+$B$92*F73+$B$93*G73+$B$94*H73+$B$95*I73+$B$96*J73)</f>
        <v>-0.0696262423899167</v>
      </c>
      <c r="M73" s="19" t="n">
        <f aca="false">L73^2</f>
        <v>0.00484781362933943</v>
      </c>
      <c r="N73" s="19" t="n">
        <f aca="false">K73*$L73</f>
        <v>-0.0696262423899167</v>
      </c>
      <c r="O73" s="19" t="n">
        <f aca="false">C73*$L73</f>
        <v>0.00692988537172183</v>
      </c>
      <c r="P73" s="19" t="n">
        <f aca="false">D73*$L73</f>
        <v>31.6756620195931</v>
      </c>
      <c r="Q73" s="19" t="n">
        <f aca="false">E73*$L73</f>
        <v>27.4300391480827</v>
      </c>
      <c r="R73" s="19" t="n">
        <f aca="false">F73*$L73</f>
        <v>-42.7106741809538</v>
      </c>
      <c r="S73" s="19" t="n">
        <f aca="false">G73*$L73</f>
        <v>0.00511817642175996</v>
      </c>
      <c r="T73" s="19" t="n">
        <f aca="false">H73*$L73</f>
        <v>0.00464060913568171</v>
      </c>
      <c r="U73" s="19" t="n">
        <f aca="false">I73*$L73</f>
        <v>-0</v>
      </c>
      <c r="V73" s="19" t="n">
        <f aca="false">J73*$L73</f>
        <v>-0</v>
      </c>
    </row>
    <row r="74" customFormat="false" ht="15" hidden="false" customHeight="false" outlineLevel="0" collapsed="false">
      <c r="A74" s="20" t="str">
        <f aca="false">Datos!A82</f>
        <v>2024Q2</v>
      </c>
      <c r="B74" s="21" t="n">
        <f aca="false">Datos!L82</f>
        <v>0.0387840333974563</v>
      </c>
      <c r="C74" s="21" t="n">
        <f aca="false">Datos!I82</f>
        <v>0.0839810999883668</v>
      </c>
      <c r="D74" s="21" t="n">
        <f aca="false">Datos!H82</f>
        <v>-411.750199402986</v>
      </c>
      <c r="E74" s="21" t="n">
        <f aca="false">Datos!H80</f>
        <v>122.080899625603</v>
      </c>
      <c r="F74" s="21" t="n">
        <f aca="false">Datos!H76</f>
        <v>-69.2846118840562</v>
      </c>
      <c r="G74" s="21" t="n">
        <f aca="false">Datos!J76</f>
        <v>-0.0738502184948509</v>
      </c>
      <c r="H74" s="21" t="n">
        <f aca="false">Datos!K75</f>
        <v>-0.0294452458384041</v>
      </c>
      <c r="I74" s="21" t="n">
        <f aca="false">IF($A74="2020Q2",1,0)</f>
        <v>0</v>
      </c>
      <c r="J74" s="21" t="n">
        <f aca="false">IF($A74="2021Q2",1,0)</f>
        <v>0</v>
      </c>
      <c r="K74" s="19" t="n">
        <v>1</v>
      </c>
      <c r="L74" s="19" t="n">
        <f aca="false">B74-($B$88+$B$89*C74+$B$90*D74+$B$91*E74+$B$92*F74+$B$93*G74+$B$94*H74+$B$95*I74+$B$96*J74)</f>
        <v>0.0058121725423415</v>
      </c>
      <c r="M74" s="19" t="n">
        <f aca="false">L74^2</f>
        <v>3.37813496619485E-005</v>
      </c>
      <c r="N74" s="19" t="n">
        <f aca="false">K74*$L74</f>
        <v>0.0058121725423415</v>
      </c>
      <c r="O74" s="19" t="n">
        <f aca="false">C74*$L74</f>
        <v>0.000488112643428022</v>
      </c>
      <c r="P74" s="19" t="n">
        <f aca="false">D74*$L74</f>
        <v>-2.39316320327367</v>
      </c>
      <c r="Q74" s="19" t="n">
        <f aca="false">E74*$L74</f>
        <v>0.709555252748278</v>
      </c>
      <c r="R74" s="19" t="n">
        <f aca="false">F74*$L74</f>
        <v>-0.402694118799299</v>
      </c>
      <c r="S74" s="19" t="n">
        <f aca="false">G74*$L74</f>
        <v>-0.000429230212181693</v>
      </c>
      <c r="T74" s="19" t="n">
        <f aca="false">H74*$L74</f>
        <v>-0.000171140849364468</v>
      </c>
      <c r="U74" s="19" t="n">
        <f aca="false">I74*$L74</f>
        <v>0</v>
      </c>
      <c r="V74" s="19" t="n">
        <f aca="false">J74*$L74</f>
        <v>0</v>
      </c>
    </row>
    <row r="75" customFormat="false" ht="15" hidden="false" customHeight="false" outlineLevel="0" collapsed="false">
      <c r="A75" s="20" t="str">
        <f aca="false">Datos!A83</f>
        <v>2024Q3</v>
      </c>
      <c r="B75" s="21" t="n">
        <f aca="false">Datos!L83</f>
        <v>-0.00853767280644247</v>
      </c>
      <c r="C75" s="21" t="n">
        <f aca="false">Datos!I83</f>
        <v>0.0583938784085901</v>
      </c>
      <c r="D75" s="21" t="n">
        <f aca="false">Datos!H83</f>
        <v>140.77357394844</v>
      </c>
      <c r="E75" s="21" t="n">
        <f aca="false">Datos!H81</f>
        <v>-454.938553802817</v>
      </c>
      <c r="F75" s="21" t="n">
        <f aca="false">Datos!H77</f>
        <v>-376.758957004832</v>
      </c>
      <c r="G75" s="21" t="n">
        <f aca="false">Datos!J77</f>
        <v>0.367099592287782</v>
      </c>
      <c r="H75" s="21" t="n">
        <f aca="false">Datos!K76</f>
        <v>0.11290837336386</v>
      </c>
      <c r="I75" s="21" t="n">
        <f aca="false">IF($A75="2020Q2",1,0)</f>
        <v>0</v>
      </c>
      <c r="J75" s="21" t="n">
        <f aca="false">IF($A75="2021Q2",1,0)</f>
        <v>0</v>
      </c>
      <c r="K75" s="19" t="n">
        <v>1</v>
      </c>
      <c r="L75" s="19" t="n">
        <f aca="false">B75-($B$88+$B$89*C75+$B$90*D75+$B$91*E75+$B$92*F75+$B$93*G75+$B$94*H75+$B$95*I75+$B$96*J75)</f>
        <v>-0.00527962610526246</v>
      </c>
      <c r="M75" s="19" t="n">
        <f aca="false">L75^2</f>
        <v>2.78744518113689E-005</v>
      </c>
      <c r="N75" s="19" t="n">
        <f aca="false">K75*$L75</f>
        <v>-0.00527962610526246</v>
      </c>
      <c r="O75" s="19" t="n">
        <f aca="false">C75*$L75</f>
        <v>-0.000308297844833514</v>
      </c>
      <c r="P75" s="19" t="n">
        <f aca="false">D75*$L75</f>
        <v>-0.743231835949279</v>
      </c>
      <c r="Q75" s="19" t="n">
        <f aca="false">E75*$L75</f>
        <v>2.4019054649477</v>
      </c>
      <c r="R75" s="19" t="n">
        <f aca="false">F75*$L75</f>
        <v>1.98914642479417</v>
      </c>
      <c r="S75" s="19" t="n">
        <f aca="false">G75*$L75</f>
        <v>-0.00193814859067378</v>
      </c>
      <c r="T75" s="19" t="n">
        <f aca="false">H75*$L75</f>
        <v>-0.000596113995514554</v>
      </c>
      <c r="U75" s="19" t="n">
        <f aca="false">I75*$L75</f>
        <v>-0</v>
      </c>
      <c r="V75" s="19" t="n">
        <f aca="false">J75*$L75</f>
        <v>-0</v>
      </c>
    </row>
    <row r="76" customFormat="false" ht="15" hidden="false" customHeight="false" outlineLevel="0" collapsed="false">
      <c r="A76" s="20" t="str">
        <f aca="false">Datos!A84</f>
        <v>2024Q4</v>
      </c>
      <c r="B76" s="21" t="n">
        <f aca="false">Datos!L84</f>
        <v>0.0457536331016225</v>
      </c>
      <c r="C76" s="21" t="n">
        <f aca="false">Datos!I84</f>
        <v>0.209850652496816</v>
      </c>
      <c r="D76" s="21" t="n">
        <f aca="false">Datos!H84</f>
        <v>-564.145454545455</v>
      </c>
      <c r="E76" s="21" t="n">
        <f aca="false">Datos!H82</f>
        <v>-411.750199402986</v>
      </c>
      <c r="F76" s="21" t="n">
        <f aca="false">Datos!H78</f>
        <v>396.345972839506</v>
      </c>
      <c r="G76" s="21" t="n">
        <f aca="false">Datos!J78</f>
        <v>-0.00797161018467474</v>
      </c>
      <c r="H76" s="21" t="n">
        <f aca="false">Datos!K77</f>
        <v>-0.11679097674453</v>
      </c>
      <c r="I76" s="21" t="n">
        <f aca="false">IF($A76="2020Q2",1,0)</f>
        <v>0</v>
      </c>
      <c r="J76" s="21" t="n">
        <f aca="false">IF($A76="2021Q2",1,0)</f>
        <v>0</v>
      </c>
      <c r="K76" s="19" t="n">
        <v>1</v>
      </c>
      <c r="L76" s="19" t="n">
        <f aca="false">B76-($B$88+$B$89*C76+$B$90*D76+$B$91*E76+$B$92*F76+$B$93*G76+$B$94*H76+$B$95*I76+$B$96*J76)</f>
        <v>-0.042066905205565</v>
      </c>
      <c r="M76" s="19" t="n">
        <f aca="false">L76^2</f>
        <v>0.001769624513574</v>
      </c>
      <c r="N76" s="19" t="n">
        <f aca="false">K76*$L76</f>
        <v>-0.042066905205565</v>
      </c>
      <c r="O76" s="19" t="n">
        <f aca="false">C76*$L76</f>
        <v>-0.00882776750590953</v>
      </c>
      <c r="P76" s="19" t="n">
        <f aca="false">D76*$L76</f>
        <v>23.7318533585141</v>
      </c>
      <c r="Q76" s="19" t="n">
        <f aca="false">E76*$L76</f>
        <v>17.3210566066579</v>
      </c>
      <c r="R76" s="19" t="n">
        <f aca="false">F76*$L76</f>
        <v>-16.673048468047</v>
      </c>
      <c r="S76" s="19" t="n">
        <f aca="false">G76*$L76</f>
        <v>0.000335340969974429</v>
      </c>
      <c r="T76" s="19" t="n">
        <f aca="false">H76*$L76</f>
        <v>0.00491303494757749</v>
      </c>
      <c r="U76" s="19" t="n">
        <f aca="false">I76*$L76</f>
        <v>-0</v>
      </c>
      <c r="V76" s="19" t="n">
        <f aca="false">J76*$L76</f>
        <v>-0</v>
      </c>
    </row>
    <row r="77" customFormat="false" ht="15" hidden="false" customHeight="false" outlineLevel="0" collapsed="false">
      <c r="A77" s="20" t="str">
        <f aca="false">Datos!A85</f>
        <v>2025Q1</v>
      </c>
      <c r="B77" s="21" t="n">
        <f aca="false">Datos!L85</f>
        <v>0.031991780460181</v>
      </c>
      <c r="C77" s="21" t="n">
        <f aca="false">Datos!I85</f>
        <v>0.248983047054301</v>
      </c>
      <c r="D77" s="21" t="n">
        <f aca="false">Datos!H85</f>
        <v>-235.861538461538</v>
      </c>
      <c r="E77" s="21" t="n">
        <f aca="false">Datos!H83</f>
        <v>140.77357394844</v>
      </c>
      <c r="F77" s="21" t="n">
        <f aca="false">Datos!H79</f>
        <v>-393.961216440069</v>
      </c>
      <c r="G77" s="21" t="n">
        <f aca="false">Datos!J79</f>
        <v>0.183376294592147</v>
      </c>
      <c r="H77" s="21" t="n">
        <f aca="false">Datos!K78</f>
        <v>0.0155541344453244</v>
      </c>
      <c r="I77" s="21" t="n">
        <f aca="false">IF($A77="2020Q2",1,0)</f>
        <v>0</v>
      </c>
      <c r="J77" s="21" t="n">
        <f aca="false">IF($A77="2021Q2",1,0)</f>
        <v>0</v>
      </c>
      <c r="K77" s="19" t="n">
        <v>1</v>
      </c>
      <c r="L77" s="19" t="n">
        <f aca="false">B77-($B$88+$B$89*C77+$B$90*D77+$B$91*E77+$B$92*F77+$B$93*G77+$B$94*H77+$B$95*I77+$B$96*J77)</f>
        <v>0.00243088803866459</v>
      </c>
      <c r="M77" s="19" t="n">
        <f aca="false">L77^2</f>
        <v>5.90921665652258E-006</v>
      </c>
      <c r="N77" s="19" t="n">
        <f aca="false">K77*$L77</f>
        <v>0.00243088803866459</v>
      </c>
      <c r="O77" s="19" t="n">
        <f aca="false">C77*$L77</f>
        <v>0.000605249910914564</v>
      </c>
      <c r="P77" s="19" t="n">
        <f aca="false">D77*$L77</f>
        <v>-0.573352992627182</v>
      </c>
      <c r="Q77" s="19" t="n">
        <f aca="false">E77*$L77</f>
        <v>0.342204797071328</v>
      </c>
      <c r="R77" s="19" t="n">
        <f aca="false">F77*$L77</f>
        <v>-0.957675608741915</v>
      </c>
      <c r="S77" s="19" t="n">
        <f aca="false">G77*$L77</f>
        <v>0.000445767241098684</v>
      </c>
      <c r="T77" s="19" t="n">
        <f aca="false">H77*$L77</f>
        <v>3.781035937492E-005</v>
      </c>
      <c r="U77" s="19" t="n">
        <f aca="false">I77*$L77</f>
        <v>0</v>
      </c>
      <c r="V77" s="19" t="n">
        <f aca="false">J77*$L77</f>
        <v>0</v>
      </c>
    </row>
    <row r="78" customFormat="false" ht="15" hidden="false" customHeight="false" outlineLevel="0" collapsed="false">
      <c r="A78" s="20" t="str">
        <f aca="false">Datos!A86</f>
        <v>2025Q2</v>
      </c>
      <c r="B78" s="21" t="n">
        <f aca="false">Datos!L86</f>
        <v>0.005439399321155</v>
      </c>
      <c r="C78" s="21" t="n">
        <f aca="false">Datos!I86</f>
        <v>-0.0247458039655413</v>
      </c>
      <c r="D78" s="21" t="n">
        <f aca="false">Datos!H86</f>
        <v>39.3076923076923</v>
      </c>
      <c r="E78" s="21" t="n">
        <f aca="false">Datos!H84</f>
        <v>-564.145454545455</v>
      </c>
      <c r="F78" s="21" t="n">
        <f aca="false">Datos!H80</f>
        <v>122.080899625603</v>
      </c>
      <c r="G78" s="21" t="n">
        <f aca="false">Datos!J80</f>
        <v>0.44451895067595</v>
      </c>
      <c r="H78" s="21" t="n">
        <f aca="false">Datos!K79</f>
        <v>0.0783071254305534</v>
      </c>
      <c r="I78" s="21" t="n">
        <f aca="false">IF($A78="2020Q2",1,0)</f>
        <v>0</v>
      </c>
      <c r="J78" s="21" t="n">
        <f aca="false">IF($A78="2021Q2",1,0)</f>
        <v>0</v>
      </c>
      <c r="K78" s="19" t="n">
        <v>1</v>
      </c>
      <c r="L78" s="19" t="n">
        <f aca="false">B78-($B$88+$B$89*C78+$B$90*D78+$B$91*E78+$B$92*F78+$B$93*G78+$B$94*H78+$B$95*I78+$B$96*J78)</f>
        <v>0.0130257667580139</v>
      </c>
      <c r="M78" s="19" t="n">
        <f aca="false">L78^2</f>
        <v>0.000169670599634179</v>
      </c>
      <c r="N78" s="19" t="n">
        <f aca="false">K78*$L78</f>
        <v>0.0130257667580139</v>
      </c>
      <c r="O78" s="19" t="n">
        <f aca="false">C78*$L78</f>
        <v>-0.000322333070694676</v>
      </c>
      <c r="P78" s="19" t="n">
        <f aca="false">D78*$L78</f>
        <v>0.512012831795776</v>
      </c>
      <c r="Q78" s="19" t="n">
        <f aca="false">E78*$L78</f>
        <v>-7.34842710850282</v>
      </c>
      <c r="R78" s="19" t="n">
        <f aca="false">F78*$L78</f>
        <v>1.59019732413161</v>
      </c>
      <c r="S78" s="19" t="n">
        <f aca="false">G78*$L78</f>
        <v>0.005790200171022</v>
      </c>
      <c r="T78" s="19" t="n">
        <f aca="false">H78*$L78</f>
        <v>0.00102001035134893</v>
      </c>
      <c r="U78" s="19" t="n">
        <f aca="false">I78*$L78</f>
        <v>0</v>
      </c>
      <c r="V78" s="19" t="n">
        <f aca="false">J78*$L78</f>
        <v>0</v>
      </c>
    </row>
    <row r="79" customFormat="false" ht="15" hidden="false" customHeight="false" outlineLevel="0" collapsed="false">
      <c r="A79" s="20" t="str">
        <f aca="false">Datos!A87</f>
        <v>2025Q3</v>
      </c>
      <c r="B79" s="21" t="n">
        <f aca="false">Datos!L87</f>
        <v>-0.0312450961083366</v>
      </c>
      <c r="C79" s="21" t="n">
        <f aca="false">Datos!I87</f>
        <v>-0.0607636894755312</v>
      </c>
      <c r="D79" s="21" t="n">
        <f aca="false">Datos!H87</f>
        <v>142.307692307692</v>
      </c>
      <c r="E79" s="21" t="n">
        <f aca="false">Datos!H85</f>
        <v>-235.861538461538</v>
      </c>
      <c r="F79" s="21" t="n">
        <f aca="false">Datos!H81</f>
        <v>-454.938553802817</v>
      </c>
      <c r="G79" s="21" t="n">
        <f aca="false">Datos!J81</f>
        <v>-0.185892833904252</v>
      </c>
      <c r="H79" s="21" t="n">
        <f aca="false">Datos!K80</f>
        <v>-0.105805285831385</v>
      </c>
      <c r="I79" s="21" t="n">
        <f aca="false">IF($A79="2020Q2",1,0)</f>
        <v>0</v>
      </c>
      <c r="J79" s="21" t="n">
        <f aca="false">IF($A79="2021Q2",1,0)</f>
        <v>0</v>
      </c>
      <c r="K79" s="19" t="n">
        <v>1</v>
      </c>
      <c r="L79" s="19" t="n">
        <f aca="false">B79-($B$88+$B$89*C79+$B$90*D79+$B$91*E79+$B$92*F79+$B$93*G79+$B$94*H79+$B$95*I79+$B$96*J79)</f>
        <v>-0.0142468670869832</v>
      </c>
      <c r="M79" s="19" t="n">
        <f aca="false">L79^2</f>
        <v>0.000202973221794164</v>
      </c>
      <c r="N79" s="19" t="n">
        <f aca="false">K79*$L79</f>
        <v>-0.0142468670869832</v>
      </c>
      <c r="O79" s="19" t="n">
        <f aca="false">C79*$L79</f>
        <v>0.00086569220767261</v>
      </c>
      <c r="P79" s="19" t="n">
        <f aca="false">D79*$L79</f>
        <v>-2.02743877776299</v>
      </c>
      <c r="Q79" s="19" t="n">
        <f aca="false">E79*$L79</f>
        <v>3.3602879893929</v>
      </c>
      <c r="R79" s="19" t="n">
        <f aca="false">F79*$L79</f>
        <v>6.48144910877307</v>
      </c>
      <c r="S79" s="19" t="n">
        <f aca="false">G79*$L79</f>
        <v>0.00264839049705652</v>
      </c>
      <c r="T79" s="19" t="n">
        <f aca="false">H79*$L79</f>
        <v>0.00150739384434001</v>
      </c>
      <c r="U79" s="19" t="n">
        <f aca="false">I79*$L79</f>
        <v>-0</v>
      </c>
      <c r="V79" s="19" t="n">
        <f aca="false">J79*$L79</f>
        <v>-0</v>
      </c>
    </row>
    <row r="80" customFormat="false" ht="15" hidden="false" customHeight="false" outlineLevel="0" collapsed="false">
      <c r="A80" s="20" t="str">
        <f aca="false">Datos!A88</f>
        <v>2025Q4</v>
      </c>
      <c r="B80" s="21" t="n">
        <f aca="false">Datos!L88</f>
        <v>-0.0119885377129245</v>
      </c>
      <c r="C80" s="21" t="n">
        <f aca="false">Datos!I88</f>
        <v>-0.0750355248434347</v>
      </c>
      <c r="D80" s="21" t="n">
        <f aca="false">Datos!H88</f>
        <v>-113.153846153846</v>
      </c>
      <c r="E80" s="21" t="n">
        <f aca="false">Datos!H86</f>
        <v>39.3076923076923</v>
      </c>
      <c r="F80" s="21" t="n">
        <f aca="false">Datos!H82</f>
        <v>-411.750199402986</v>
      </c>
      <c r="G80" s="21" t="n">
        <f aca="false">Datos!J82</f>
        <v>0.211724770440168</v>
      </c>
      <c r="H80" s="21" t="n">
        <f aca="false">Datos!K81</f>
        <v>0.0467744313554986</v>
      </c>
      <c r="I80" s="21" t="n">
        <f aca="false">IF($A80="2020Q2",1,0)</f>
        <v>0</v>
      </c>
      <c r="J80" s="21" t="n">
        <f aca="false">IF($A80="2021Q2",1,0)</f>
        <v>0</v>
      </c>
      <c r="K80" s="19" t="n">
        <v>1</v>
      </c>
      <c r="L80" s="19" t="n">
        <f aca="false">B80-($B$88+$B$89*C80+$B$90*D80+$B$91*E80+$B$92*F80+$B$93*G80+$B$94*H80+$B$95*I80+$B$96*J80)</f>
        <v>0.0255807341977618</v>
      </c>
      <c r="M80" s="19" t="n">
        <f aca="false">L80^2</f>
        <v>0.000654373962096538</v>
      </c>
      <c r="N80" s="19" t="n">
        <f aca="false">K80*$L80</f>
        <v>0.0255807341977618</v>
      </c>
      <c r="O80" s="19" t="n">
        <f aca="false">C80*$L80</f>
        <v>-0.00191946381640945</v>
      </c>
      <c r="P80" s="19" t="n">
        <f aca="false">D80*$L80</f>
        <v>-2.89455846191597</v>
      </c>
      <c r="Q80" s="19" t="n">
        <f aca="false">E80*$L80</f>
        <v>1.00551962885048</v>
      </c>
      <c r="R80" s="19" t="n">
        <f aca="false">F80*$L80</f>
        <v>-10.5328724068032</v>
      </c>
      <c r="S80" s="19" t="n">
        <f aca="false">G80*$L80</f>
        <v>0.00541607507571206</v>
      </c>
      <c r="T80" s="19" t="n">
        <f aca="false">H80*$L80</f>
        <v>0.00119652429575646</v>
      </c>
      <c r="U80" s="19" t="n">
        <f aca="false">I80*$L80</f>
        <v>0</v>
      </c>
      <c r="V80" s="19" t="n">
        <f aca="false">J80*$L80</f>
        <v>0</v>
      </c>
    </row>
    <row r="81" customFormat="false" ht="15" hidden="false" customHeight="false" outlineLevel="0" collapsed="false">
      <c r="A81" s="20" t="str">
        <f aca="false">Datos!A89</f>
        <v>2026Q1</v>
      </c>
      <c r="B81" s="21" t="n">
        <f aca="false">Datos!L89</f>
        <v>0.00411353813353888</v>
      </c>
      <c r="C81" s="21" t="n">
        <f aca="false">Datos!I89</f>
        <v>-0.0996496025806773</v>
      </c>
      <c r="D81" s="21" t="n">
        <f aca="false">Datos!H89</f>
        <v>-216.777777777778</v>
      </c>
      <c r="E81" s="21" t="n">
        <f aca="false">Datos!H87</f>
        <v>142.307692307692</v>
      </c>
      <c r="F81" s="21" t="n">
        <f aca="false">Datos!H83</f>
        <v>140.77357394844</v>
      </c>
      <c r="G81" s="21" t="n">
        <f aca="false">Datos!J83</f>
        <v>-0.11430199205953</v>
      </c>
      <c r="H81" s="21" t="n">
        <f aca="false">Datos!K82</f>
        <v>0.0075734886805694</v>
      </c>
      <c r="I81" s="21" t="n">
        <f aca="false">IF($A81="2020Q2",1,0)</f>
        <v>0</v>
      </c>
      <c r="J81" s="21" t="n">
        <f aca="false">IF($A81="2021Q2",1,0)</f>
        <v>0</v>
      </c>
      <c r="K81" s="19" t="n">
        <v>1</v>
      </c>
      <c r="L81" s="19" t="n">
        <f aca="false">B81-($B$88+$B$89*C81+$B$90*D81+$B$91*E81+$B$92*F81+$B$93*G81+$B$94*H81+$B$95*I81+$B$96*J81)</f>
        <v>0.00429475465617016</v>
      </c>
      <c r="M81" s="19" t="n">
        <f aca="false">L81^2</f>
        <v>1.84449175566952E-005</v>
      </c>
      <c r="N81" s="19" t="n">
        <f aca="false">K81*$L81</f>
        <v>0.00429475465617016</v>
      </c>
      <c r="O81" s="19" t="n">
        <f aca="false">C81*$L81</f>
        <v>-0.000427970594668869</v>
      </c>
      <c r="P81" s="19" t="n">
        <f aca="false">D81*$L81</f>
        <v>-0.931007370465331</v>
      </c>
      <c r="Q81" s="19" t="n">
        <f aca="false">E81*$L81</f>
        <v>0.611176624147292</v>
      </c>
      <c r="R81" s="19" t="n">
        <f aca="false">F81*$L81</f>
        <v>0.604587962180776</v>
      </c>
      <c r="S81" s="19" t="n">
        <f aca="false">G81*$L81</f>
        <v>-0.00049089901260719</v>
      </c>
      <c r="T81" s="19" t="n">
        <f aca="false">H81*$L81</f>
        <v>3.25262757743274E-005</v>
      </c>
      <c r="U81" s="19" t="n">
        <f aca="false">I81*$L81</f>
        <v>0</v>
      </c>
      <c r="V81" s="19" t="n">
        <f aca="false">J81*$L81</f>
        <v>0</v>
      </c>
    </row>
    <row r="86" customFormat="false" ht="15" hidden="false" customHeight="false" outlineLevel="0" collapsed="false">
      <c r="A86" s="22" t="s">
        <v>157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customFormat="false" ht="15" hidden="false" customHeight="false" outlineLevel="0" collapsed="false">
      <c r="A87" s="15" t="s">
        <v>28</v>
      </c>
      <c r="B87" s="15" t="s">
        <v>29</v>
      </c>
      <c r="C87" s="15" t="s">
        <v>158</v>
      </c>
      <c r="D87" s="15" t="s">
        <v>159</v>
      </c>
      <c r="E87" s="15" t="s">
        <v>26</v>
      </c>
      <c r="G87" s="11" t="s">
        <v>160</v>
      </c>
      <c r="H87" s="24" t="n">
        <f aca="false">INDEX(LINEST($B$6:$B$81,$C$6:$J$81,TRUE(),TRUE()),4,2)</f>
        <v>67</v>
      </c>
    </row>
    <row r="88" customFormat="false" ht="15" hidden="false" customHeight="false" outlineLevel="0" collapsed="false">
      <c r="A88" s="25" t="s">
        <v>161</v>
      </c>
      <c r="B88" s="26" t="n">
        <f aca="false">INDEX(LINEST($B$6:$B$81,$C$6:$J$81,TRUE(),TRUE()),1,9)</f>
        <v>0.000851918294594057</v>
      </c>
      <c r="C88" s="8" t="n">
        <f aca="false">INDEX(LINEST($B$6:$B$81,$C$6:$J$81,TRUE(),TRUE()),2,9)</f>
        <v>0.00340779492217652</v>
      </c>
      <c r="D88" s="5" t="n">
        <f aca="false">B88/C88</f>
        <v>0.249991068726033</v>
      </c>
      <c r="E88" s="7" t="n">
        <f aca="false">TDIST(ABS(D88),$H$87,2)</f>
        <v>0.803359186373184</v>
      </c>
    </row>
    <row r="89" customFormat="false" ht="15" hidden="false" customHeight="false" outlineLevel="0" collapsed="false">
      <c r="A89" s="25" t="s">
        <v>141</v>
      </c>
      <c r="B89" s="26" t="n">
        <f aca="false">INDEX(LINEST($B$6:$B$81,$C$6:$J$81,TRUE(),TRUE()),1,8)</f>
        <v>0.207108930100318</v>
      </c>
      <c r="C89" s="8" t="n">
        <f aca="false">INDEX(LINEST($B$6:$B$81,$C$6:$J$81,TRUE(),TRUE()),2,8)</f>
        <v>0.0507685689947167</v>
      </c>
      <c r="D89" s="5" t="n">
        <f aca="false">B89/C89</f>
        <v>4.07947149587516</v>
      </c>
      <c r="E89" s="7" t="n">
        <f aca="false">TDIST(ABS(D89),$H$87,2)</f>
        <v>0.000122372360918321</v>
      </c>
    </row>
    <row r="90" customFormat="false" ht="15" hidden="false" customHeight="false" outlineLevel="0" collapsed="false">
      <c r="A90" s="25" t="s">
        <v>142</v>
      </c>
      <c r="B90" s="26" t="n">
        <f aca="false">INDEX(LINEST($B$6:$B$81,$C$6:$J$81,TRUE(),TRUE()),1,7)</f>
        <v>-4.73636659616789E-005</v>
      </c>
      <c r="C90" s="8" t="n">
        <f aca="false">INDEX(LINEST($B$6:$B$81,$C$6:$J$81,TRUE(),TRUE()),2,7)</f>
        <v>1.25329836134237E-005</v>
      </c>
      <c r="D90" s="5" t="n">
        <f aca="false">B90/C90</f>
        <v>-3.77912135071726</v>
      </c>
      <c r="E90" s="7" t="n">
        <f aca="false">TDIST(ABS(D90),$H$87,2)</f>
        <v>0.000337182485466478</v>
      </c>
    </row>
    <row r="91" customFormat="false" ht="15" hidden="false" customHeight="false" outlineLevel="0" collapsed="false">
      <c r="A91" s="25" t="s">
        <v>143</v>
      </c>
      <c r="B91" s="26" t="n">
        <f aca="false">INDEX(LINEST($B$6:$B$81,$C$6:$J$81,TRUE(),TRUE()),1,6)</f>
        <v>-4.8035176052899E-005</v>
      </c>
      <c r="C91" s="8" t="n">
        <f aca="false">INDEX(LINEST($B$6:$B$81,$C$6:$J$81,TRUE(),TRUE()),2,6)</f>
        <v>1.24398896995583E-005</v>
      </c>
      <c r="D91" s="5" t="n">
        <f aca="false">B91/C91</f>
        <v>-3.86138279462436</v>
      </c>
      <c r="E91" s="7" t="n">
        <f aca="false">TDIST(ABS(D91),$H$87,2)</f>
        <v>0.000256496996403276</v>
      </c>
    </row>
    <row r="92" customFormat="false" ht="15" hidden="false" customHeight="false" outlineLevel="0" collapsed="false">
      <c r="A92" s="25" t="s">
        <v>144</v>
      </c>
      <c r="B92" s="26" t="n">
        <f aca="false">INDEX(LINEST($B$6:$B$81,$C$6:$J$81,TRUE(),TRUE()),1,5)</f>
        <v>2.98310952942435E-005</v>
      </c>
      <c r="C92" s="8" t="n">
        <f aca="false">INDEX(LINEST($B$6:$B$81,$C$6:$J$81,TRUE(),TRUE()),2,5)</f>
        <v>1.27145606687247E-005</v>
      </c>
      <c r="D92" s="5" t="n">
        <f aca="false">B92/C92</f>
        <v>2.34621518363762</v>
      </c>
      <c r="E92" s="7" t="n">
        <f aca="false">TDIST(ABS(D92),$H$87,2)</f>
        <v>0.0219317704354399</v>
      </c>
    </row>
    <row r="93" customFormat="false" ht="15" hidden="false" customHeight="false" outlineLevel="0" collapsed="false">
      <c r="A93" s="25" t="s">
        <v>145</v>
      </c>
      <c r="B93" s="26" t="n">
        <f aca="false">INDEX(LINEST($B$6:$B$81,$C$6:$J$81,TRUE(),TRUE()),1,4)</f>
        <v>-0.0959199493008989</v>
      </c>
      <c r="C93" s="8" t="n">
        <f aca="false">INDEX(LINEST($B$6:$B$81,$C$6:$J$81,TRUE(),TRUE()),2,4)</f>
        <v>0.0281958638523903</v>
      </c>
      <c r="D93" s="5" t="n">
        <f aca="false">B93/C93</f>
        <v>-3.4019156073052</v>
      </c>
      <c r="E93" s="7" t="n">
        <f aca="false">TDIST(ABS(D93),$H$87,2)</f>
        <v>0.0011325945333279</v>
      </c>
    </row>
    <row r="94" customFormat="false" ht="15" hidden="false" customHeight="false" outlineLevel="0" collapsed="false">
      <c r="A94" s="25" t="s">
        <v>146</v>
      </c>
      <c r="B94" s="26" t="n">
        <f aca="false">INDEX(LINEST($B$6:$B$81,$C$6:$J$81,TRUE(),TRUE()),1,3)</f>
        <v>0.133399733885349</v>
      </c>
      <c r="C94" s="8" t="n">
        <f aca="false">INDEX(LINEST($B$6:$B$81,$C$6:$J$81,TRUE(),TRUE()),2,3)</f>
        <v>0.0528046441232566</v>
      </c>
      <c r="D94" s="5" t="n">
        <f aca="false">B94/C94</f>
        <v>2.52628790706301</v>
      </c>
      <c r="E94" s="7" t="n">
        <f aca="false">TDIST(ABS(D94),$H$87,2)</f>
        <v>0.0138967954609152</v>
      </c>
    </row>
    <row r="95" customFormat="false" ht="15" hidden="false" customHeight="false" outlineLevel="0" collapsed="false">
      <c r="A95" s="25" t="s">
        <v>178</v>
      </c>
      <c r="B95" s="26" t="n">
        <f aca="false">INDEX(LINEST($B$6:$B$81,$C$6:$J$81,TRUE(),TRUE()),1,2)</f>
        <v>-0.117409106764086</v>
      </c>
      <c r="C95" s="8" t="n">
        <f aca="false">INDEX(LINEST($B$6:$B$81,$C$6:$J$81,TRUE(),TRUE()),2,2)</f>
        <v>0.0354300334037974</v>
      </c>
      <c r="D95" s="5" t="n">
        <f aca="false">B95/C95</f>
        <v>-3.31382997656168</v>
      </c>
      <c r="E95" s="7" t="n">
        <f aca="false">TDIST(ABS(D95),$H$87,2)</f>
        <v>0.00148710741539442</v>
      </c>
    </row>
    <row r="96" customFormat="false" ht="15" hidden="false" customHeight="false" outlineLevel="0" collapsed="false">
      <c r="A96" s="25" t="s">
        <v>179</v>
      </c>
      <c r="B96" s="26" t="n">
        <f aca="false">INDEX(LINEST($B$6:$B$81,$C$6:$J$81,TRUE(),TRUE()),1,1)</f>
        <v>0.141948540263757</v>
      </c>
      <c r="C96" s="8" t="n">
        <f aca="false">INDEX(LINEST($B$6:$B$81,$C$6:$J$81,TRUE(),TRUE()),2,1)</f>
        <v>0.0330680788817478</v>
      </c>
      <c r="D96" s="5" t="n">
        <f aca="false">B96/C96</f>
        <v>4.29261526716952</v>
      </c>
      <c r="E96" s="7" t="n">
        <f aca="false">TDIST(ABS(D96),$H$87,2)</f>
        <v>5.82092480436527E-005</v>
      </c>
    </row>
    <row r="98" customFormat="false" ht="15" hidden="false" customHeight="false" outlineLevel="0" collapsed="false">
      <c r="A98" s="22" t="s">
        <v>162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customFormat="false" ht="15" hidden="false" customHeight="false" outlineLevel="0" collapsed="false">
      <c r="A99" s="25" t="s">
        <v>163</v>
      </c>
      <c r="B99" s="5" t="n">
        <f aca="false">COUNT($B$6:$B$81)</f>
        <v>76</v>
      </c>
    </row>
    <row r="100" customFormat="false" ht="15" hidden="false" customHeight="false" outlineLevel="0" collapsed="false">
      <c r="A100" s="25" t="s">
        <v>9</v>
      </c>
      <c r="B100" s="5" t="n">
        <v>9</v>
      </c>
    </row>
    <row r="101" customFormat="false" ht="15" hidden="false" customHeight="false" outlineLevel="0" collapsed="false">
      <c r="A101" s="25" t="s">
        <v>10</v>
      </c>
      <c r="B101" s="6" t="n">
        <f aca="false">INDEX(LINEST($B$6:$B$81,$C$6:$J$81,TRUE(),TRUE()),3,1)</f>
        <v>0.63678404403911</v>
      </c>
    </row>
    <row r="102" customFormat="false" ht="15" hidden="false" customHeight="false" outlineLevel="0" collapsed="false">
      <c r="A102" s="25" t="s">
        <v>11</v>
      </c>
      <c r="B102" s="27" t="n">
        <f aca="false">1-(1-B101)*(B99-1)/(B99-B100)</f>
        <v>0.593414974670645</v>
      </c>
    </row>
    <row r="103" customFormat="false" ht="15" hidden="false" customHeight="false" outlineLevel="0" collapsed="false">
      <c r="A103" s="25" t="s">
        <v>12</v>
      </c>
      <c r="B103" s="8" t="n">
        <f aca="false">INDEX(LINEST($B$6:$B$81,$C$6:$J$81,TRUE(),TRUE()),5,2)</f>
        <v>0.0561513748665623</v>
      </c>
    </row>
    <row r="104" customFormat="false" ht="15" hidden="false" customHeight="false" outlineLevel="0" collapsed="false">
      <c r="A104" s="25" t="s">
        <v>164</v>
      </c>
      <c r="B104" s="6" t="n">
        <f aca="false">-B99/2*(LN(2*PI())+LN(B103/B99)+1)</f>
        <v>166.157294682146</v>
      </c>
    </row>
    <row r="105" customFormat="false" ht="15" hidden="false" customHeight="false" outlineLevel="0" collapsed="false">
      <c r="A105" s="25" t="s">
        <v>13</v>
      </c>
      <c r="B105" s="28" t="n">
        <f aca="false">-2*B104+2*B100</f>
        <v>-314.314589364292</v>
      </c>
    </row>
    <row r="106" customFormat="false" ht="15" hidden="false" customHeight="false" outlineLevel="0" collapsed="false">
      <c r="A106" s="25" t="s">
        <v>14</v>
      </c>
      <c r="B106" s="28" t="n">
        <f aca="false">-2*B104+LN(B99)*B100</f>
        <v>-293.337989301715</v>
      </c>
    </row>
    <row r="108" customFormat="false" ht="15" hidden="false" customHeight="false" outlineLevel="0" collapsed="false">
      <c r="A108" s="10" t="s">
        <v>15</v>
      </c>
      <c r="B108" s="29" t="n">
        <f aca="false">SUMXMY2(L7:L81,L6:L80)/SUMSQ(L6:L81)</f>
        <v>1.9633108623866</v>
      </c>
    </row>
    <row r="110" customFormat="false" ht="15" hidden="false" customHeight="false" outlineLevel="0" collapsed="false">
      <c r="A110" s="22" t="s">
        <v>165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customFormat="false" ht="15" hidden="false" customHeight="false" outlineLevel="0" collapsed="false">
      <c r="A111" s="2" t="s">
        <v>166</v>
      </c>
    </row>
    <row r="112" customFormat="false" ht="15" hidden="false" customHeight="false" outlineLevel="0" collapsed="false">
      <c r="A112" s="10" t="s">
        <v>167</v>
      </c>
    </row>
    <row r="113" customFormat="false" ht="15" hidden="false" customHeight="false" outlineLevel="0" collapsed="false">
      <c r="B113" s="30" t="n">
        <f aca="false">SUMPRODUCT($K$6:$K$81,$K$6:$K$81)</f>
        <v>76</v>
      </c>
      <c r="C113" s="30" t="n">
        <f aca="false">SUMPRODUCT($K$6:$K$81,$C$6:$C$81)</f>
        <v>-0.121233612767257</v>
      </c>
      <c r="D113" s="30" t="n">
        <f aca="false">SUMPRODUCT($K$6:$K$81,$D$6:$D$81)</f>
        <v>325.942786738351</v>
      </c>
      <c r="E113" s="30" t="n">
        <f aca="false">SUMPRODUCT($K$6:$K$81,$E$6:$E$81)</f>
        <v>527.108560439561</v>
      </c>
      <c r="F113" s="30" t="n">
        <f aca="false">SUMPRODUCT($K$6:$K$81,$F$6:$F$81)</f>
        <v>1070.81611079546</v>
      </c>
      <c r="G113" s="30" t="n">
        <f aca="false">SUMPRODUCT($K$6:$K$81,$G$6:$G$81)</f>
        <v>1.2903791864309</v>
      </c>
      <c r="H113" s="30" t="n">
        <f aca="false">SUMPRODUCT($K$6:$K$81,$H$6:$H$81)</f>
        <v>0.0713274305954488</v>
      </c>
      <c r="I113" s="30" t="n">
        <f aca="false">SUMPRODUCT($K$6:$K$81,$I$6:$I$81)</f>
        <v>1</v>
      </c>
      <c r="J113" s="30" t="n">
        <f aca="false">SUMPRODUCT($K$6:$K$81,$J$6:$J$81)</f>
        <v>1</v>
      </c>
    </row>
    <row r="114" customFormat="false" ht="15" hidden="false" customHeight="false" outlineLevel="0" collapsed="false">
      <c r="B114" s="30" t="n">
        <f aca="false">SUMPRODUCT($C$6:$C$81,$K$6:$K$81)</f>
        <v>-0.121233612767257</v>
      </c>
      <c r="C114" s="30" t="n">
        <f aca="false">SUMPRODUCT($C$6:$C$81,$C$6:$C$81)</f>
        <v>0.493963661653485</v>
      </c>
      <c r="D114" s="30" t="n">
        <f aca="false">SUMPRODUCT($C$6:$C$81,$D$6:$D$81)</f>
        <v>-213.844074053853</v>
      </c>
      <c r="E114" s="30" t="n">
        <f aca="false">SUMPRODUCT($C$6:$C$81,$E$6:$E$81)</f>
        <v>536.092904308499</v>
      </c>
      <c r="F114" s="30" t="n">
        <f aca="false">SUMPRODUCT($C$6:$C$81,$F$6:$F$81)</f>
        <v>-258.35726775354</v>
      </c>
      <c r="G114" s="30" t="n">
        <f aca="false">SUMPRODUCT($C$6:$C$81,$G$6:$G$81)</f>
        <v>0.0704398903859033</v>
      </c>
      <c r="H114" s="30" t="n">
        <f aca="false">SUMPRODUCT($C$6:$C$81,$H$6:$H$81)</f>
        <v>-0.036860379912551</v>
      </c>
      <c r="I114" s="30" t="n">
        <f aca="false">SUMPRODUCT($C$6:$C$81,$I$6:$I$81)</f>
        <v>0.262181063646304</v>
      </c>
      <c r="J114" s="30" t="n">
        <f aca="false">SUMPRODUCT($C$6:$C$81,$J$6:$J$81)</f>
        <v>-0.244749418467121</v>
      </c>
    </row>
    <row r="115" customFormat="false" ht="15" hidden="false" customHeight="false" outlineLevel="0" collapsed="false">
      <c r="B115" s="30" t="n">
        <f aca="false">SUMPRODUCT($D$6:$D$81,$K$6:$K$81)</f>
        <v>325.942786738351</v>
      </c>
      <c r="C115" s="30" t="n">
        <f aca="false">SUMPRODUCT($D$6:$D$81,$C$6:$C$81)</f>
        <v>-213.844074053853</v>
      </c>
      <c r="D115" s="30" t="n">
        <f aca="false">SUMPRODUCT($D$6:$D$81,$D$6:$D$81)</f>
        <v>6554410.02196266</v>
      </c>
      <c r="E115" s="30" t="n">
        <f aca="false">SUMPRODUCT($D$6:$D$81,$E$6:$E$81)</f>
        <v>6110.73710727444</v>
      </c>
      <c r="F115" s="30" t="n">
        <f aca="false">SUMPRODUCT($D$6:$D$81,$F$6:$F$81)</f>
        <v>-350848.584297187</v>
      </c>
      <c r="G115" s="30" t="n">
        <f aca="false">SUMPRODUCT($D$6:$D$81,$G$6:$G$81)</f>
        <v>157.921881700649</v>
      </c>
      <c r="H115" s="30" t="n">
        <f aca="false">SUMPRODUCT($D$6:$D$81,$H$6:$H$81)</f>
        <v>160.36468791988</v>
      </c>
      <c r="I115" s="30" t="n">
        <f aca="false">SUMPRODUCT($D$6:$D$81,$I$6:$I$81)</f>
        <v>756.86685274431</v>
      </c>
      <c r="J115" s="30" t="n">
        <f aca="false">SUMPRODUCT($D$6:$D$81,$J$6:$J$81)</f>
        <v>51.4231142857141</v>
      </c>
    </row>
    <row r="116" customFormat="false" ht="15" hidden="false" customHeight="false" outlineLevel="0" collapsed="false">
      <c r="B116" s="30" t="n">
        <f aca="false">SUMPRODUCT($E$6:$E$81,$K$6:$K$81)</f>
        <v>527.108560439561</v>
      </c>
      <c r="C116" s="30" t="n">
        <f aca="false">SUMPRODUCT($E$6:$E$81,$C$6:$C$81)</f>
        <v>536.092904308499</v>
      </c>
      <c r="D116" s="30" t="n">
        <f aca="false">SUMPRODUCT($E$6:$E$81,$D$6:$D$81)</f>
        <v>6110.73710727444</v>
      </c>
      <c r="E116" s="30" t="n">
        <f aca="false">SUMPRODUCT($E$6:$E$81,$E$6:$E$81)</f>
        <v>6503003.15102718</v>
      </c>
      <c r="F116" s="30" t="n">
        <f aca="false">SUMPRODUCT($E$6:$E$81,$F$6:$F$81)</f>
        <v>-1377315.04912634</v>
      </c>
      <c r="G116" s="30" t="n">
        <f aca="false">SUMPRODUCT($E$6:$E$81,$G$6:$G$81)</f>
        <v>-103.939166691169</v>
      </c>
      <c r="H116" s="30" t="n">
        <f aca="false">SUMPRODUCT($E$6:$E$81,$H$6:$H$81)</f>
        <v>-14.3096811472102</v>
      </c>
      <c r="I116" s="30" t="n">
        <f aca="false">SUMPRODUCT($E$6:$E$81,$I$6:$I$81)</f>
        <v>598.881251590669</v>
      </c>
      <c r="J116" s="30" t="n">
        <f aca="false">SUMPRODUCT($E$6:$E$81,$J$6:$J$81)</f>
        <v>-606.890139160839</v>
      </c>
    </row>
    <row r="117" customFormat="false" ht="15" hidden="false" customHeight="false" outlineLevel="0" collapsed="false">
      <c r="B117" s="30" t="n">
        <f aca="false">SUMPRODUCT($F$6:$F$81,$K$6:$K$81)</f>
        <v>1070.81611079546</v>
      </c>
      <c r="C117" s="30" t="n">
        <f aca="false">SUMPRODUCT($F$6:$F$81,$C$6:$C$81)</f>
        <v>-258.35726775354</v>
      </c>
      <c r="D117" s="30" t="n">
        <f aca="false">SUMPRODUCT($F$6:$F$81,$D$6:$D$81)</f>
        <v>-350848.584297187</v>
      </c>
      <c r="E117" s="30" t="n">
        <f aca="false">SUMPRODUCT($F$6:$F$81,$E$6:$E$81)</f>
        <v>-1377315.04912634</v>
      </c>
      <c r="F117" s="30" t="n">
        <f aca="false">SUMPRODUCT($F$6:$F$81,$F$6:$F$81)</f>
        <v>6110122.48283867</v>
      </c>
      <c r="G117" s="30" t="n">
        <f aca="false">SUMPRODUCT($F$6:$F$81,$G$6:$G$81)</f>
        <v>479.134334705858</v>
      </c>
      <c r="H117" s="30" t="n">
        <f aca="false">SUMPRODUCT($F$6:$F$81,$H$6:$H$81)</f>
        <v>-67.7085780845978</v>
      </c>
      <c r="I117" s="30" t="n">
        <f aca="false">SUMPRODUCT($F$6:$F$81,$I$6:$I$81)</f>
        <v>56.51817630597</v>
      </c>
      <c r="J117" s="30" t="n">
        <f aca="false">SUMPRODUCT($F$6:$F$81,$J$6:$J$81)</f>
        <v>598.881251590669</v>
      </c>
    </row>
    <row r="118" customFormat="false" ht="15" hidden="false" customHeight="false" outlineLevel="0" collapsed="false">
      <c r="B118" s="30" t="n">
        <f aca="false">SUMPRODUCT($G$6:$G$81,$K$6:$K$81)</f>
        <v>1.2903791864309</v>
      </c>
      <c r="C118" s="30" t="n">
        <f aca="false">SUMPRODUCT($G$6:$G$81,$C$6:$C$81)</f>
        <v>0.0704398903859033</v>
      </c>
      <c r="D118" s="30" t="n">
        <f aca="false">SUMPRODUCT($G$6:$G$81,$D$6:$D$81)</f>
        <v>157.921881700649</v>
      </c>
      <c r="E118" s="30" t="n">
        <f aca="false">SUMPRODUCT($G$6:$G$81,$E$6:$E$81)</f>
        <v>-103.939166691169</v>
      </c>
      <c r="F118" s="30" t="n">
        <f aca="false">SUMPRODUCT($G$6:$G$81,$F$6:$F$81)</f>
        <v>479.134334705858</v>
      </c>
      <c r="G118" s="30" t="n">
        <f aca="false">SUMPRODUCT($G$6:$G$81,$G$6:$G$81)</f>
        <v>1.22816223067722</v>
      </c>
      <c r="H118" s="30" t="n">
        <f aca="false">SUMPRODUCT($G$6:$G$81,$H$6:$H$81)</f>
        <v>0.138854123435612</v>
      </c>
      <c r="I118" s="30" t="n">
        <f aca="false">SUMPRODUCT($G$6:$G$81,$I$6:$I$81)</f>
        <v>0.0511719688039525</v>
      </c>
      <c r="J118" s="30" t="n">
        <f aca="false">SUMPRODUCT($G$6:$G$81,$J$6:$J$81)</f>
        <v>-0.0976170322305177</v>
      </c>
    </row>
    <row r="119" customFormat="false" ht="15" hidden="false" customHeight="false" outlineLevel="0" collapsed="false">
      <c r="B119" s="30" t="n">
        <f aca="false">SUMPRODUCT($H$6:$H$81,$K$6:$K$81)</f>
        <v>0.0713274305954488</v>
      </c>
      <c r="C119" s="30" t="n">
        <f aca="false">SUMPRODUCT($H$6:$H$81,$C$6:$C$81)</f>
        <v>-0.036860379912551</v>
      </c>
      <c r="D119" s="30" t="n">
        <f aca="false">SUMPRODUCT($H$6:$H$81,$D$6:$D$81)</f>
        <v>160.36468791988</v>
      </c>
      <c r="E119" s="30" t="n">
        <f aca="false">SUMPRODUCT($H$6:$H$81,$E$6:$E$81)</f>
        <v>-14.3096811472102</v>
      </c>
      <c r="F119" s="30" t="n">
        <f aca="false">SUMPRODUCT($H$6:$H$81,$F$6:$F$81)</f>
        <v>-67.7085780845978</v>
      </c>
      <c r="G119" s="30" t="n">
        <f aca="false">SUMPRODUCT($H$6:$H$81,$G$6:$G$81)</f>
        <v>0.138854123435612</v>
      </c>
      <c r="H119" s="30" t="n">
        <f aca="false">SUMPRODUCT($H$6:$H$81,$H$6:$H$81)</f>
        <v>0.339609588911864</v>
      </c>
      <c r="I119" s="30" t="n">
        <f aca="false">SUMPRODUCT($H$6:$H$81,$I$6:$I$81)</f>
        <v>-0.0680385631508205</v>
      </c>
      <c r="J119" s="30" t="n">
        <f aca="false">SUMPRODUCT($H$6:$H$81,$J$6:$J$81)</f>
        <v>0.0668497563295599</v>
      </c>
    </row>
    <row r="120" customFormat="false" ht="15" hidden="false" customHeight="false" outlineLevel="0" collapsed="false">
      <c r="B120" s="30" t="n">
        <f aca="false">SUMPRODUCT($I$6:$I$81,$K$6:$K$81)</f>
        <v>1</v>
      </c>
      <c r="C120" s="30" t="n">
        <f aca="false">SUMPRODUCT($I$6:$I$81,$C$6:$C$81)</f>
        <v>0.262181063646304</v>
      </c>
      <c r="D120" s="30" t="n">
        <f aca="false">SUMPRODUCT($I$6:$I$81,$D$6:$D$81)</f>
        <v>756.86685274431</v>
      </c>
      <c r="E120" s="30" t="n">
        <f aca="false">SUMPRODUCT($I$6:$I$81,$E$6:$E$81)</f>
        <v>598.881251590669</v>
      </c>
      <c r="F120" s="30" t="n">
        <f aca="false">SUMPRODUCT($I$6:$I$81,$F$6:$F$81)</f>
        <v>56.51817630597</v>
      </c>
      <c r="G120" s="30" t="n">
        <f aca="false">SUMPRODUCT($I$6:$I$81,$G$6:$G$81)</f>
        <v>0.0511719688039525</v>
      </c>
      <c r="H120" s="30" t="n">
        <f aca="false">SUMPRODUCT($I$6:$I$81,$H$6:$H$81)</f>
        <v>-0.0680385631508205</v>
      </c>
      <c r="I120" s="30" t="n">
        <f aca="false">SUMPRODUCT($I$6:$I$81,$I$6:$I$81)</f>
        <v>1</v>
      </c>
      <c r="J120" s="30" t="n">
        <f aca="false">SUMPRODUCT($I$6:$I$81,$J$6:$J$81)</f>
        <v>0</v>
      </c>
    </row>
    <row r="121" customFormat="false" ht="15" hidden="false" customHeight="false" outlineLevel="0" collapsed="false">
      <c r="B121" s="30" t="n">
        <f aca="false">SUMPRODUCT($J$6:$J$81,$K$6:$K$81)</f>
        <v>1</v>
      </c>
      <c r="C121" s="30" t="n">
        <f aca="false">SUMPRODUCT($J$6:$J$81,$C$6:$C$81)</f>
        <v>-0.244749418467121</v>
      </c>
      <c r="D121" s="30" t="n">
        <f aca="false">SUMPRODUCT($J$6:$J$81,$D$6:$D$81)</f>
        <v>51.4231142857141</v>
      </c>
      <c r="E121" s="30" t="n">
        <f aca="false">SUMPRODUCT($J$6:$J$81,$E$6:$E$81)</f>
        <v>-606.890139160839</v>
      </c>
      <c r="F121" s="30" t="n">
        <f aca="false">SUMPRODUCT($J$6:$J$81,$F$6:$F$81)</f>
        <v>598.881251590669</v>
      </c>
      <c r="G121" s="30" t="n">
        <f aca="false">SUMPRODUCT($J$6:$J$81,$G$6:$G$81)</f>
        <v>-0.0976170322305177</v>
      </c>
      <c r="H121" s="30" t="n">
        <f aca="false">SUMPRODUCT($J$6:$J$81,$H$6:$H$81)</f>
        <v>0.0668497563295599</v>
      </c>
      <c r="I121" s="30" t="n">
        <f aca="false">SUMPRODUCT($J$6:$J$81,$I$6:$I$81)</f>
        <v>0</v>
      </c>
      <c r="J121" s="30" t="n">
        <f aca="false">SUMPRODUCT($J$6:$J$81,$J$6:$J$81)</f>
        <v>1</v>
      </c>
    </row>
    <row r="122" customFormat="false" ht="15" hidden="false" customHeight="false" outlineLevel="0" collapsed="false">
      <c r="A122" s="10" t="s">
        <v>168</v>
      </c>
    </row>
    <row r="123" customFormat="false" ht="15" hidden="false" customHeight="false" outlineLevel="0" collapsed="false">
      <c r="B123" s="30" t="n">
        <f aca="false">INDEX(MINVERSE($B$113:$J$121),1,1)</f>
        <v>0.0138567477531409</v>
      </c>
      <c r="C123" s="30" t="n">
        <f aca="false">INDEX(MINVERSE($B$113:$J$121),1,2)</f>
        <v>0.0104392737884976</v>
      </c>
      <c r="D123" s="30" t="n">
        <f aca="false">INDEX(MINVERSE($B$113:$J$121),1,3)</f>
        <v>1.9267239498035E-006</v>
      </c>
      <c r="E123" s="30" t="n">
        <f aca="false">INDEX(MINVERSE($B$113:$J$121),1,4)</f>
        <v>-2.05777308938404E-006</v>
      </c>
      <c r="F123" s="30" t="n">
        <f aca="false">INDEX(MINVERSE($B$113:$J$121),1,5)</f>
        <v>6.32201542867552E-007</v>
      </c>
      <c r="G123" s="30" t="n">
        <f aca="false">INDEX(MINVERSE($B$113:$J$121),1,6)</f>
        <v>-0.016812374488538</v>
      </c>
      <c r="H123" s="30" t="n">
        <f aca="false">INDEX(MINVERSE($B$113:$J$121),1,7)</f>
        <v>0.00401694662149626</v>
      </c>
      <c r="I123" s="30" t="n">
        <f aca="false">INDEX(MINVERSE($B$113:$J$121),1,8)</f>
        <v>-0.0157217407264718</v>
      </c>
      <c r="J123" s="30" t="n">
        <f aca="false">INDEX(MINVERSE($B$113:$J$121),1,9)</f>
        <v>-0.0149379815630375</v>
      </c>
    </row>
    <row r="124" customFormat="false" ht="15" hidden="false" customHeight="false" outlineLevel="0" collapsed="false">
      <c r="B124" s="30" t="n">
        <f aca="false">INDEX(MINVERSE($B$113:$J$121),2,1)</f>
        <v>0.0104392737884974</v>
      </c>
      <c r="C124" s="30" t="n">
        <f aca="false">INDEX(MINVERSE($B$113:$J$121),2,2)</f>
        <v>3.07541871345189</v>
      </c>
      <c r="D124" s="30" t="n">
        <f aca="false">INDEX(MINVERSE($B$113:$J$121),2,3)</f>
        <v>0.00020823201290846</v>
      </c>
      <c r="E124" s="30" t="n">
        <f aca="false">INDEX(MINVERSE($B$113:$J$121),2,4)</f>
        <v>-0.000100022497160669</v>
      </c>
      <c r="F124" s="30" t="n">
        <f aca="false">INDEX(MINVERSE($B$113:$J$121),2,5)</f>
        <v>8.0101146281554E-005</v>
      </c>
      <c r="G124" s="30" t="n">
        <f aca="false">INDEX(MINVERSE($B$113:$J$121),2,6)</f>
        <v>-0.169278899366471</v>
      </c>
      <c r="H124" s="30" t="n">
        <f aca="false">INDEX(MINVERSE($B$113:$J$121),2,7)</f>
        <v>0.0128545240783307</v>
      </c>
      <c r="I124" s="30" t="n">
        <f aca="false">INDEX(MINVERSE($B$113:$J$121),2,8)</f>
        <v>-0.90944836600492</v>
      </c>
      <c r="J124" s="30" t="n">
        <f aca="false">INDEX(MINVERSE($B$113:$J$121),2,9)</f>
        <v>0.605502161736248</v>
      </c>
    </row>
    <row r="125" customFormat="false" ht="15" hidden="false" customHeight="false" outlineLevel="0" collapsed="false">
      <c r="B125" s="30" t="n">
        <f aca="false">INDEX(MINVERSE($B$113:$J$121),3,1)</f>
        <v>1.92672394980351E-006</v>
      </c>
      <c r="C125" s="30" t="n">
        <f aca="false">INDEX(MINVERSE($B$113:$J$121),3,2)</f>
        <v>0.00020823201290846</v>
      </c>
      <c r="D125" s="30" t="n">
        <f aca="false">INDEX(MINVERSE($B$113:$J$121),3,3)</f>
        <v>1.8742320144521E-007</v>
      </c>
      <c r="E125" s="30" t="n">
        <f aca="false">INDEX(MINVERSE($B$113:$J$121),3,4)</f>
        <v>9.11677111200773E-009</v>
      </c>
      <c r="F125" s="30" t="n">
        <f aca="false">INDEX(MINVERSE($B$113:$J$121),3,5)</f>
        <v>2.01154526139404E-008</v>
      </c>
      <c r="G125" s="30" t="n">
        <f aca="false">INDEX(MINVERSE($B$113:$J$121),3,6)</f>
        <v>-2.17606885793468E-005</v>
      </c>
      <c r="H125" s="30" t="n">
        <f aca="false">INDEX(MINVERSE($B$113:$J$121),3,7)</f>
        <v>-0.00010266108301589</v>
      </c>
      <c r="I125" s="30" t="n">
        <f aca="false">INDEX(MINVERSE($B$113:$J$121),3,8)</f>
        <v>-0.000210843750482561</v>
      </c>
      <c r="J125" s="30" t="n">
        <f aca="false">INDEX(MINVERSE($B$113:$J$121),3,9)</f>
        <v>3.76248210049157E-005</v>
      </c>
    </row>
    <row r="126" customFormat="false" ht="15" hidden="false" customHeight="false" outlineLevel="0" collapsed="false">
      <c r="B126" s="30" t="n">
        <f aca="false">INDEX(MINVERSE($B$113:$J$121),4,1)</f>
        <v>-2.05777308938392E-006</v>
      </c>
      <c r="C126" s="30" t="n">
        <f aca="false">INDEX(MINVERSE($B$113:$J$121),4,2)</f>
        <v>-0.000100022497160669</v>
      </c>
      <c r="D126" s="30" t="n">
        <f aca="false">INDEX(MINVERSE($B$113:$J$121),4,3)</f>
        <v>9.11677111200775E-009</v>
      </c>
      <c r="E126" s="30" t="n">
        <f aca="false">INDEX(MINVERSE($B$113:$J$121),4,4)</f>
        <v>1.84649215785543E-007</v>
      </c>
      <c r="F126" s="30" t="n">
        <f aca="false">INDEX(MINVERSE($B$113:$J$121),4,5)</f>
        <v>2.8979372085489E-008</v>
      </c>
      <c r="G126" s="30" t="n">
        <f aca="false">INDEX(MINVERSE($B$113:$J$121),4,6)</f>
        <v>2.64170307340753E-005</v>
      </c>
      <c r="H126" s="30" t="n">
        <f aca="false">INDEX(MINVERSE($B$113:$J$121),4,7)</f>
        <v>-4.63268239252265E-005</v>
      </c>
      <c r="I126" s="30" t="n">
        <f aca="false">INDEX(MINVERSE($B$113:$J$121),4,8)</f>
        <v>-9.53430407986841E-005</v>
      </c>
      <c r="J126" s="30" t="n">
        <f aca="false">INDEX(MINVERSE($B$113:$J$121),4,9)</f>
        <v>7.74907869835568E-005</v>
      </c>
    </row>
    <row r="127" customFormat="false" ht="15" hidden="false" customHeight="false" outlineLevel="0" collapsed="false">
      <c r="B127" s="30" t="n">
        <f aca="false">INDEX(MINVERSE($B$113:$J$121),5,1)</f>
        <v>6.32201542867512E-007</v>
      </c>
      <c r="C127" s="30" t="n">
        <f aca="false">INDEX(MINVERSE($B$113:$J$121),5,2)</f>
        <v>8.01011462815561E-005</v>
      </c>
      <c r="D127" s="30" t="n">
        <f aca="false">INDEX(MINVERSE($B$113:$J$121),5,3)</f>
        <v>2.01154526139405E-008</v>
      </c>
      <c r="E127" s="30" t="n">
        <f aca="false">INDEX(MINVERSE($B$113:$J$121),5,4)</f>
        <v>2.89793720854889E-008</v>
      </c>
      <c r="F127" s="30" t="n">
        <f aca="false">INDEX(MINVERSE($B$113:$J$121),5,5)</f>
        <v>1.92893292045846E-007</v>
      </c>
      <c r="G127" s="30" t="n">
        <f aca="false">INDEX(MINVERSE($B$113:$J$121),5,6)</f>
        <v>-9.5616453605491E-005</v>
      </c>
      <c r="H127" s="30" t="n">
        <f aca="false">INDEX(MINVERSE($B$113:$J$121),5,7)</f>
        <v>8.56483830847269E-005</v>
      </c>
      <c r="I127" s="30" t="n">
        <f aca="false">INDEX(MINVERSE($B$113:$J$121),5,8)</f>
        <v>-5.43948291963293E-005</v>
      </c>
      <c r="J127" s="30" t="n">
        <f aca="false">INDEX(MINVERSE($B$113:$J$121),5,9)</f>
        <v>-9.50541407692966E-005</v>
      </c>
    </row>
    <row r="128" customFormat="false" ht="15" hidden="false" customHeight="false" outlineLevel="0" collapsed="false">
      <c r="B128" s="30" t="n">
        <f aca="false">INDEX(MINVERSE($B$113:$J$121),6,1)</f>
        <v>-0.016812374488538</v>
      </c>
      <c r="C128" s="30" t="n">
        <f aca="false">INDEX(MINVERSE($B$113:$J$121),6,2)</f>
        <v>-0.169278899366471</v>
      </c>
      <c r="D128" s="30" t="n">
        <f aca="false">INDEX(MINVERSE($B$113:$J$121),6,3)</f>
        <v>-2.17606885793468E-005</v>
      </c>
      <c r="E128" s="30" t="n">
        <f aca="false">INDEX(MINVERSE($B$113:$J$121),6,4)</f>
        <v>2.64170307340755E-005</v>
      </c>
      <c r="F128" s="30" t="n">
        <f aca="false">INDEX(MINVERSE($B$113:$J$121),6,5)</f>
        <v>-9.56164536054907E-005</v>
      </c>
      <c r="G128" s="30" t="n">
        <f aca="false">INDEX(MINVERSE($B$113:$J$121),6,6)</f>
        <v>0.948604581779325</v>
      </c>
      <c r="H128" s="30" t="n">
        <f aca="false">INDEX(MINVERSE($B$113:$J$121),6,7)</f>
        <v>-0.446613759297118</v>
      </c>
      <c r="I128" s="30" t="n">
        <f aca="false">INDEX(MINVERSE($B$113:$J$121),6,8)</f>
        <v>-0.0116814791228516</v>
      </c>
      <c r="J128" s="30" t="n">
        <f aca="false">INDEX(MINVERSE($B$113:$J$121),6,9)</f>
        <v>0.172251586567938</v>
      </c>
    </row>
    <row r="129" customFormat="false" ht="15" hidden="false" customHeight="false" outlineLevel="0" collapsed="false">
      <c r="B129" s="30" t="n">
        <f aca="false">INDEX(MINVERSE($B$113:$J$121),7,1)</f>
        <v>0.0040169466214962</v>
      </c>
      <c r="C129" s="30" t="n">
        <f aca="false">INDEX(MINVERSE($B$113:$J$121),7,2)</f>
        <v>0.0128545240783305</v>
      </c>
      <c r="D129" s="30" t="n">
        <f aca="false">INDEX(MINVERSE($B$113:$J$121),7,3)</f>
        <v>-0.00010266108301589</v>
      </c>
      <c r="E129" s="30" t="n">
        <f aca="false">INDEX(MINVERSE($B$113:$J$121),7,4)</f>
        <v>-4.63268239252265E-005</v>
      </c>
      <c r="F129" s="30" t="n">
        <f aca="false">INDEX(MINVERSE($B$113:$J$121),7,5)</f>
        <v>8.56483830847268E-005</v>
      </c>
      <c r="G129" s="30" t="n">
        <f aca="false">INDEX(MINVERSE($B$113:$J$121),7,6)</f>
        <v>-0.446613759297118</v>
      </c>
      <c r="H129" s="30" t="n">
        <f aca="false">INDEX(MINVERSE($B$113:$J$121),7,7)</f>
        <v>3.32704479614019</v>
      </c>
      <c r="I129" s="30" t="n">
        <f aca="false">INDEX(MINVERSE($B$113:$J$121),7,8)</f>
        <v>0.342438640089556</v>
      </c>
      <c r="J129" s="30" t="n">
        <f aca="false">INDEX(MINVERSE($B$113:$J$121),7,9)</f>
        <v>-0.341009403856792</v>
      </c>
    </row>
    <row r="130" customFormat="false" ht="15" hidden="false" customHeight="false" outlineLevel="0" collapsed="false">
      <c r="B130" s="30" t="n">
        <f aca="false">INDEX(MINVERSE($B$113:$J$121),8,1)</f>
        <v>-0.0157217407264718</v>
      </c>
      <c r="C130" s="30" t="n">
        <f aca="false">INDEX(MINVERSE($B$113:$J$121),8,2)</f>
        <v>-0.909448366004921</v>
      </c>
      <c r="D130" s="30" t="n">
        <f aca="false">INDEX(MINVERSE($B$113:$J$121),8,3)</f>
        <v>-0.000210843750482561</v>
      </c>
      <c r="E130" s="30" t="n">
        <f aca="false">INDEX(MINVERSE($B$113:$J$121),8,4)</f>
        <v>-9.53430407986839E-005</v>
      </c>
      <c r="F130" s="30" t="n">
        <f aca="false">INDEX(MINVERSE($B$113:$J$121),8,5)</f>
        <v>-5.43948291963287E-005</v>
      </c>
      <c r="G130" s="30" t="n">
        <f aca="false">INDEX(MINVERSE($B$113:$J$121),8,6)</f>
        <v>-0.0116814791228515</v>
      </c>
      <c r="H130" s="30" t="n">
        <f aca="false">INDEX(MINVERSE($B$113:$J$121),8,7)</f>
        <v>0.342438640089556</v>
      </c>
      <c r="I130" s="30" t="n">
        <f aca="false">INDEX(MINVERSE($B$113:$J$121),8,8)</f>
        <v>1.49781277998048</v>
      </c>
      <c r="J130" s="30" t="n">
        <f aca="false">INDEX(MINVERSE($B$113:$J$121),8,9)</f>
        <v>-0.245341934582634</v>
      </c>
    </row>
    <row r="131" customFormat="false" ht="15" hidden="false" customHeight="false" outlineLevel="0" collapsed="false">
      <c r="B131" s="30" t="n">
        <f aca="false">INDEX(MINVERSE($B$113:$J$121),9,1)</f>
        <v>-0.0149379815630375</v>
      </c>
      <c r="C131" s="30" t="n">
        <f aca="false">INDEX(MINVERSE($B$113:$J$121),9,2)</f>
        <v>0.605502161736247</v>
      </c>
      <c r="D131" s="30" t="n">
        <f aca="false">INDEX(MINVERSE($B$113:$J$121),9,3)</f>
        <v>3.76248210049157E-005</v>
      </c>
      <c r="E131" s="30" t="n">
        <f aca="false">INDEX(MINVERSE($B$113:$J$121),9,4)</f>
        <v>7.7490786983557E-005</v>
      </c>
      <c r="F131" s="30" t="n">
        <f aca="false">INDEX(MINVERSE($B$113:$J$121),9,5)</f>
        <v>-9.50541407692969E-005</v>
      </c>
      <c r="G131" s="30" t="n">
        <f aca="false">INDEX(MINVERSE($B$113:$J$121),9,6)</f>
        <v>0.172251586567938</v>
      </c>
      <c r="H131" s="30" t="n">
        <f aca="false">INDEX(MINVERSE($B$113:$J$121),9,7)</f>
        <v>-0.341009403856792</v>
      </c>
      <c r="I131" s="30" t="n">
        <f aca="false">INDEX(MINVERSE($B$113:$J$121),9,8)</f>
        <v>-0.245341934582634</v>
      </c>
      <c r="J131" s="30" t="n">
        <f aca="false">INDEX(MINVERSE($B$113:$J$121),9,9)</f>
        <v>1.30476511957865</v>
      </c>
    </row>
    <row r="132" customFormat="false" ht="15" hidden="false" customHeight="false" outlineLevel="0" collapsed="false">
      <c r="A132" s="10" t="s">
        <v>169</v>
      </c>
    </row>
    <row r="133" customFormat="false" ht="15" hidden="false" customHeight="false" outlineLevel="0" collapsed="false">
      <c r="B133" s="30" t="n">
        <f aca="false">SUMPRODUCT($N$6:$N$81,$N$6:$N$81)</f>
        <v>0.0561513748665623</v>
      </c>
      <c r="C133" s="30" t="n">
        <f aca="false">SUMPRODUCT($N$6:$N$81,$O$6:$O$81)</f>
        <v>-0.000868313005358362</v>
      </c>
      <c r="D133" s="30" t="n">
        <f aca="false">SUMPRODUCT($N$6:$N$81,$P$6:$P$81)</f>
        <v>-1.63824185708106</v>
      </c>
      <c r="E133" s="30" t="n">
        <f aca="false">SUMPRODUCT($N$6:$N$81,$Q$6:$Q$81)</f>
        <v>-1.56061559762323</v>
      </c>
      <c r="F133" s="30" t="n">
        <f aca="false">SUMPRODUCT($N$6:$N$81,$R$6:$R$81)</f>
        <v>8.94980520733887</v>
      </c>
      <c r="G133" s="30" t="n">
        <f aca="false">SUMPRODUCT($N$6:$N$81,$S$6:$S$81)</f>
        <v>0.000510223006581349</v>
      </c>
      <c r="H133" s="30" t="n">
        <f aca="false">SUMPRODUCT($N$6:$N$81,$T$6:$T$81)</f>
        <v>-0.000574530886909439</v>
      </c>
      <c r="I133" s="30" t="n">
        <f aca="false">SUMPRODUCT($N$6:$N$81,$U$6:$U$81)</f>
        <v>0</v>
      </c>
      <c r="J133" s="30" t="n">
        <f aca="false">SUMPRODUCT($N$6:$N$81,$V$6:$V$81)</f>
        <v>0</v>
      </c>
    </row>
    <row r="134" customFormat="false" ht="15" hidden="false" customHeight="false" outlineLevel="0" collapsed="false">
      <c r="B134" s="30" t="n">
        <f aca="false">SUMPRODUCT($O$6:$O$81,$N$6:$N$81)</f>
        <v>-0.000868313005358362</v>
      </c>
      <c r="C134" s="30" t="n">
        <f aca="false">SUMPRODUCT($O$6:$O$81,$O$6:$O$81)</f>
        <v>0.000396666002404812</v>
      </c>
      <c r="D134" s="30" t="n">
        <f aca="false">SUMPRODUCT($O$6:$O$81,$P$6:$P$81)</f>
        <v>-0.360756975386984</v>
      </c>
      <c r="E134" s="30" t="n">
        <f aca="false">SUMPRODUCT($O$6:$O$81,$Q$6:$Q$81)</f>
        <v>0.829990610403</v>
      </c>
      <c r="F134" s="30" t="n">
        <f aca="false">SUMPRODUCT($O$6:$O$81,$R$6:$R$81)</f>
        <v>-0.36274262551521</v>
      </c>
      <c r="G134" s="30" t="n">
        <f aca="false">SUMPRODUCT($O$6:$O$81,$S$6:$S$81)</f>
        <v>-5.06757268481277E-005</v>
      </c>
      <c r="H134" s="30" t="n">
        <f aca="false">SUMPRODUCT($O$6:$O$81,$T$6:$T$81)</f>
        <v>-7.20898699232403E-007</v>
      </c>
      <c r="I134" s="30" t="n">
        <f aca="false">SUMPRODUCT($O$6:$O$81,$U$6:$U$81)</f>
        <v>0</v>
      </c>
      <c r="J134" s="30" t="n">
        <f aca="false">SUMPRODUCT($O$6:$O$81,$V$6:$V$81)</f>
        <v>0</v>
      </c>
    </row>
    <row r="135" customFormat="false" ht="15" hidden="false" customHeight="false" outlineLevel="0" collapsed="false">
      <c r="B135" s="30" t="n">
        <f aca="false">SUMPRODUCT($P$6:$P$81,$N$6:$N$81)</f>
        <v>-1.63824185708106</v>
      </c>
      <c r="C135" s="30" t="n">
        <f aca="false">SUMPRODUCT($P$6:$P$81,$O$6:$O$81)</f>
        <v>-0.360756975386984</v>
      </c>
      <c r="D135" s="30" t="n">
        <f aca="false">SUMPRODUCT($P$6:$P$81,$P$6:$P$81)</f>
        <v>6359.72576358267</v>
      </c>
      <c r="E135" s="30" t="n">
        <f aca="false">SUMPRODUCT($P$6:$P$81,$Q$6:$Q$81)</f>
        <v>192.425560978628</v>
      </c>
      <c r="F135" s="30" t="n">
        <f aca="false">SUMPRODUCT($P$6:$P$81,$R$6:$R$81)</f>
        <v>-1584.91807032157</v>
      </c>
      <c r="G135" s="30" t="n">
        <f aca="false">SUMPRODUCT($P$6:$P$81,$S$6:$S$81)</f>
        <v>0.185185218910493</v>
      </c>
      <c r="H135" s="30" t="n">
        <f aca="false">SUMPRODUCT($P$6:$P$81,$T$6:$T$81)</f>
        <v>0.313807150523928</v>
      </c>
      <c r="I135" s="30" t="n">
        <f aca="false">SUMPRODUCT($P$6:$P$81,$U$6:$U$81)</f>
        <v>0</v>
      </c>
      <c r="J135" s="30" t="n">
        <f aca="false">SUMPRODUCT($P$6:$P$81,$V$6:$V$81)</f>
        <v>0</v>
      </c>
    </row>
    <row r="136" customFormat="false" ht="15" hidden="false" customHeight="false" outlineLevel="0" collapsed="false">
      <c r="B136" s="30" t="n">
        <f aca="false">SUMPRODUCT($Q$6:$Q$81,$N$6:$N$81)</f>
        <v>-1.56061559762323</v>
      </c>
      <c r="C136" s="30" t="n">
        <f aca="false">SUMPRODUCT($Q$6:$Q$81,$O$6:$O$81)</f>
        <v>0.829990610403</v>
      </c>
      <c r="D136" s="30" t="n">
        <f aca="false">SUMPRODUCT($Q$6:$Q$81,$P$6:$P$81)</f>
        <v>192.425560978628</v>
      </c>
      <c r="E136" s="30" t="n">
        <f aca="false">SUMPRODUCT($Q$6:$Q$81,$Q$6:$Q$81)</f>
        <v>8419.94002656605</v>
      </c>
      <c r="F136" s="30" t="n">
        <f aca="false">SUMPRODUCT($Q$6:$Q$81,$R$6:$R$81)</f>
        <v>-3797.86293956034</v>
      </c>
      <c r="G136" s="30" t="n">
        <f aca="false">SUMPRODUCT($Q$6:$Q$81,$S$6:$S$81)</f>
        <v>0.00932170109623983</v>
      </c>
      <c r="H136" s="30" t="n">
        <f aca="false">SUMPRODUCT($Q$6:$Q$81,$T$6:$T$81)</f>
        <v>0.416909681860834</v>
      </c>
      <c r="I136" s="30" t="n">
        <f aca="false">SUMPRODUCT($Q$6:$Q$81,$U$6:$U$81)</f>
        <v>0</v>
      </c>
      <c r="J136" s="30" t="n">
        <f aca="false">SUMPRODUCT($Q$6:$Q$81,$V$6:$V$81)</f>
        <v>0</v>
      </c>
    </row>
    <row r="137" customFormat="false" ht="15" hidden="false" customHeight="false" outlineLevel="0" collapsed="false">
      <c r="B137" s="30" t="n">
        <f aca="false">SUMPRODUCT($R$6:$R$81,$N$6:$N$81)</f>
        <v>8.94980520733887</v>
      </c>
      <c r="C137" s="30" t="n">
        <f aca="false">SUMPRODUCT($R$6:$R$81,$O$6:$O$81)</f>
        <v>-0.36274262551521</v>
      </c>
      <c r="D137" s="30" t="n">
        <f aca="false">SUMPRODUCT($R$6:$R$81,$P$6:$P$81)</f>
        <v>-1584.91807032157</v>
      </c>
      <c r="E137" s="30" t="n">
        <f aca="false">SUMPRODUCT($R$6:$R$81,$Q$6:$Q$81)</f>
        <v>-3797.86293956034</v>
      </c>
      <c r="F137" s="30" t="n">
        <f aca="false">SUMPRODUCT($R$6:$R$81,$R$6:$R$81)</f>
        <v>6895.84796546125</v>
      </c>
      <c r="G137" s="30" t="n">
        <f aca="false">SUMPRODUCT($R$6:$R$81,$S$6:$S$81)</f>
        <v>0.352043703939853</v>
      </c>
      <c r="H137" s="30" t="n">
        <f aca="false">SUMPRODUCT($R$6:$R$81,$T$6:$T$81)</f>
        <v>-0.297150866776428</v>
      </c>
      <c r="I137" s="30" t="n">
        <f aca="false">SUMPRODUCT($R$6:$R$81,$U$6:$U$81)</f>
        <v>0</v>
      </c>
      <c r="J137" s="30" t="n">
        <f aca="false">SUMPRODUCT($R$6:$R$81,$V$6:$V$81)</f>
        <v>0</v>
      </c>
    </row>
    <row r="138" customFormat="false" ht="15" hidden="false" customHeight="false" outlineLevel="0" collapsed="false">
      <c r="B138" s="30" t="n">
        <f aca="false">SUMPRODUCT($S$6:$S$81,$N$6:$N$81)</f>
        <v>0.000510223006581349</v>
      </c>
      <c r="C138" s="30" t="n">
        <f aca="false">SUMPRODUCT($S$6:$S$81,$O$6:$O$81)</f>
        <v>-5.06757268481277E-005</v>
      </c>
      <c r="D138" s="30" t="n">
        <f aca="false">SUMPRODUCT($S$6:$S$81,$P$6:$P$81)</f>
        <v>0.185185218910493</v>
      </c>
      <c r="E138" s="30" t="n">
        <f aca="false">SUMPRODUCT($S$6:$S$81,$Q$6:$Q$81)</f>
        <v>0.00932170109623983</v>
      </c>
      <c r="F138" s="30" t="n">
        <f aca="false">SUMPRODUCT($S$6:$S$81,$R$6:$R$81)</f>
        <v>0.352043703939853</v>
      </c>
      <c r="G138" s="30" t="n">
        <f aca="false">SUMPRODUCT($S$6:$S$81,$S$6:$S$81)</f>
        <v>0.000795247557940353</v>
      </c>
      <c r="H138" s="30" t="n">
        <f aca="false">SUMPRODUCT($S$6:$S$81,$T$6:$T$81)</f>
        <v>7.63187148083349E-005</v>
      </c>
      <c r="I138" s="30" t="n">
        <f aca="false">SUMPRODUCT($S$6:$S$81,$U$6:$U$81)</f>
        <v>0</v>
      </c>
      <c r="J138" s="30" t="n">
        <f aca="false">SUMPRODUCT($S$6:$S$81,$V$6:$V$81)</f>
        <v>0</v>
      </c>
    </row>
    <row r="139" customFormat="false" ht="15" hidden="false" customHeight="false" outlineLevel="0" collapsed="false">
      <c r="B139" s="30" t="n">
        <f aca="false">SUMPRODUCT($T$6:$T$81,$N$6:$N$81)</f>
        <v>-0.000574530886909439</v>
      </c>
      <c r="C139" s="30" t="n">
        <f aca="false">SUMPRODUCT($T$6:$T$81,$O$6:$O$81)</f>
        <v>-7.20898699232403E-007</v>
      </c>
      <c r="D139" s="30" t="n">
        <f aca="false">SUMPRODUCT($T$6:$T$81,$P$6:$P$81)</f>
        <v>0.313807150523928</v>
      </c>
      <c r="E139" s="30" t="n">
        <f aca="false">SUMPRODUCT($T$6:$T$81,$Q$6:$Q$81)</f>
        <v>0.416909681860834</v>
      </c>
      <c r="F139" s="30" t="n">
        <f aca="false">SUMPRODUCT($T$6:$T$81,$R$6:$R$81)</f>
        <v>-0.297150866776428</v>
      </c>
      <c r="G139" s="30" t="n">
        <f aca="false">SUMPRODUCT($T$6:$T$81,$S$6:$S$81)</f>
        <v>7.63187148083349E-005</v>
      </c>
      <c r="H139" s="30" t="n">
        <f aca="false">SUMPRODUCT($T$6:$T$81,$T$6:$T$81)</f>
        <v>0.000262644913780477</v>
      </c>
      <c r="I139" s="30" t="n">
        <f aca="false">SUMPRODUCT($T$6:$T$81,$U$6:$U$81)</f>
        <v>0</v>
      </c>
      <c r="J139" s="30" t="n">
        <f aca="false">SUMPRODUCT($T$6:$T$81,$V$6:$V$81)</f>
        <v>0</v>
      </c>
    </row>
    <row r="140" customFormat="false" ht="15" hidden="false" customHeight="false" outlineLevel="0" collapsed="false">
      <c r="B140" s="30" t="n">
        <f aca="false">SUMPRODUCT($U$6:$U$81,$N$6:$N$81)</f>
        <v>0</v>
      </c>
      <c r="C140" s="30" t="n">
        <f aca="false">SUMPRODUCT($U$6:$U$81,$O$6:$O$81)</f>
        <v>0</v>
      </c>
      <c r="D140" s="30" t="n">
        <f aca="false">SUMPRODUCT($U$6:$U$81,$P$6:$P$81)</f>
        <v>0</v>
      </c>
      <c r="E140" s="30" t="n">
        <f aca="false">SUMPRODUCT($U$6:$U$81,$Q$6:$Q$81)</f>
        <v>0</v>
      </c>
      <c r="F140" s="30" t="n">
        <f aca="false">SUMPRODUCT($U$6:$U$81,$R$6:$R$81)</f>
        <v>0</v>
      </c>
      <c r="G140" s="30" t="n">
        <f aca="false">SUMPRODUCT($U$6:$U$81,$S$6:$S$81)</f>
        <v>0</v>
      </c>
      <c r="H140" s="30" t="n">
        <f aca="false">SUMPRODUCT($U$6:$U$81,$T$6:$T$81)</f>
        <v>0</v>
      </c>
      <c r="I140" s="30" t="n">
        <f aca="false">SUMPRODUCT($U$6:$U$81,$U$6:$U$81)</f>
        <v>0</v>
      </c>
      <c r="J140" s="30" t="n">
        <f aca="false">SUMPRODUCT($U$6:$U$81,$V$6:$V$81)</f>
        <v>0</v>
      </c>
    </row>
    <row r="141" customFormat="false" ht="15" hidden="false" customHeight="false" outlineLevel="0" collapsed="false">
      <c r="B141" s="30" t="n">
        <f aca="false">SUMPRODUCT($V$6:$V$81,$N$6:$N$81)</f>
        <v>0</v>
      </c>
      <c r="C141" s="30" t="n">
        <f aca="false">SUMPRODUCT($V$6:$V$81,$O$6:$O$81)</f>
        <v>0</v>
      </c>
      <c r="D141" s="30" t="n">
        <f aca="false">SUMPRODUCT($V$6:$V$81,$P$6:$P$81)</f>
        <v>0</v>
      </c>
      <c r="E141" s="30" t="n">
        <f aca="false">SUMPRODUCT($V$6:$V$81,$Q$6:$Q$81)</f>
        <v>0</v>
      </c>
      <c r="F141" s="30" t="n">
        <f aca="false">SUMPRODUCT($V$6:$V$81,$R$6:$R$81)</f>
        <v>0</v>
      </c>
      <c r="G141" s="30" t="n">
        <f aca="false">SUMPRODUCT($V$6:$V$81,$S$6:$S$81)</f>
        <v>0</v>
      </c>
      <c r="H141" s="30" t="n">
        <f aca="false">SUMPRODUCT($V$6:$V$81,$T$6:$T$81)</f>
        <v>0</v>
      </c>
      <c r="I141" s="30" t="n">
        <f aca="false">SUMPRODUCT($V$6:$V$81,$U$6:$U$81)</f>
        <v>0</v>
      </c>
      <c r="J141" s="30" t="n">
        <f aca="false">SUMPRODUCT($V$6:$V$81,$V$6:$V$81)</f>
        <v>0</v>
      </c>
    </row>
    <row r="142" customFormat="false" ht="15" hidden="false" customHeight="false" outlineLevel="0" collapsed="false">
      <c r="A142" s="10" t="s">
        <v>170</v>
      </c>
    </row>
    <row r="143" customFormat="false" ht="15" hidden="false" customHeight="false" outlineLevel="0" collapsed="false">
      <c r="B143" s="30" t="n">
        <f aca="false">SUMPRODUCT($N$7:$N$81,$N$6:$N$80)</f>
        <v>0.00100756513739064</v>
      </c>
      <c r="C143" s="30" t="n">
        <f aca="false">SUMPRODUCT($N$7:$N$81,$O$6:$O$80)</f>
        <v>0.00066401631092528</v>
      </c>
      <c r="D143" s="30" t="n">
        <f aca="false">SUMPRODUCT($N$7:$N$81,$P$6:$P$80)</f>
        <v>-4.49714383655489</v>
      </c>
      <c r="E143" s="30" t="n">
        <f aca="false">SUMPRODUCT($N$7:$N$81,$Q$6:$Q$80)</f>
        <v>0.712542409345892</v>
      </c>
      <c r="F143" s="30" t="n">
        <f aca="false">SUMPRODUCT($N$7:$N$81,$R$6:$R$80)</f>
        <v>-2.76972171940312</v>
      </c>
      <c r="G143" s="30" t="n">
        <f aca="false">SUMPRODUCT($N$7:$N$81,$S$6:$S$80)</f>
        <v>-2.52470421749886E-005</v>
      </c>
      <c r="H143" s="30" t="n">
        <f aca="false">SUMPRODUCT($N$7:$N$81,$T$6:$T$80)</f>
        <v>0.000162349614485797</v>
      </c>
      <c r="I143" s="30" t="n">
        <f aca="false">SUMPRODUCT($N$7:$N$81,$U$6:$U$80)</f>
        <v>0</v>
      </c>
      <c r="J143" s="30" t="n">
        <f aca="false">SUMPRODUCT($N$7:$N$81,$V$6:$V$80)</f>
        <v>0</v>
      </c>
    </row>
    <row r="144" customFormat="false" ht="15" hidden="false" customHeight="false" outlineLevel="0" collapsed="false">
      <c r="B144" s="30" t="n">
        <f aca="false">SUMPRODUCT($O$7:$O$81,$N$6:$N$80)</f>
        <v>-0.000293248142114998</v>
      </c>
      <c r="C144" s="30" t="n">
        <f aca="false">SUMPRODUCT($O$7:$O$81,$O$6:$O$80)</f>
        <v>-4.64442655836409E-005</v>
      </c>
      <c r="D144" s="30" t="n">
        <f aca="false">SUMPRODUCT($O$7:$O$81,$P$6:$P$80)</f>
        <v>0.179979957924135</v>
      </c>
      <c r="E144" s="30" t="n">
        <f aca="false">SUMPRODUCT($O$7:$O$81,$Q$6:$Q$80)</f>
        <v>-0.327698748765598</v>
      </c>
      <c r="F144" s="30" t="n">
        <f aca="false">SUMPRODUCT($O$7:$O$81,$R$6:$R$80)</f>
        <v>-0.0933161435799134</v>
      </c>
      <c r="G144" s="30" t="n">
        <f aca="false">SUMPRODUCT($O$7:$O$81,$S$6:$S$80)</f>
        <v>5.26090373094089E-005</v>
      </c>
      <c r="H144" s="30" t="n">
        <f aca="false">SUMPRODUCT($O$7:$O$81,$T$6:$T$80)</f>
        <v>-4.42789849962031E-005</v>
      </c>
      <c r="I144" s="30" t="n">
        <f aca="false">SUMPRODUCT($O$7:$O$81,$U$6:$U$80)</f>
        <v>0</v>
      </c>
      <c r="J144" s="30" t="n">
        <f aca="false">SUMPRODUCT($O$7:$O$81,$V$6:$V$80)</f>
        <v>0</v>
      </c>
    </row>
    <row r="145" customFormat="false" ht="15" hidden="false" customHeight="false" outlineLevel="0" collapsed="false">
      <c r="B145" s="30" t="n">
        <f aca="false">SUMPRODUCT($P$7:$P$81,$N$6:$N$80)</f>
        <v>1.85349395473304</v>
      </c>
      <c r="C145" s="30" t="n">
        <f aca="false">SUMPRODUCT($P$7:$P$81,$O$6:$O$80)</f>
        <v>-0.292459242590547</v>
      </c>
      <c r="D145" s="30" t="n">
        <f aca="false">SUMPRODUCT($P$7:$P$81,$P$6:$P$80)</f>
        <v>1031.63906332466</v>
      </c>
      <c r="E145" s="30" t="n">
        <f aca="false">SUMPRODUCT($P$7:$P$81,$Q$6:$Q$80)</f>
        <v>647.536421340545</v>
      </c>
      <c r="F145" s="30" t="n">
        <f aca="false">SUMPRODUCT($P$7:$P$81,$R$6:$R$80)</f>
        <v>360.221768077562</v>
      </c>
      <c r="G145" s="30" t="n">
        <f aca="false">SUMPRODUCT($P$7:$P$81,$S$6:$S$80)</f>
        <v>0.0176367345552883</v>
      </c>
      <c r="H145" s="30" t="n">
        <f aca="false">SUMPRODUCT($P$7:$P$81,$T$6:$T$80)</f>
        <v>0.0493126840701076</v>
      </c>
      <c r="I145" s="30" t="n">
        <f aca="false">SUMPRODUCT($P$7:$P$81,$U$6:$U$80)</f>
        <v>0</v>
      </c>
      <c r="J145" s="30" t="n">
        <f aca="false">SUMPRODUCT($P$7:$P$81,$V$6:$V$80)</f>
        <v>0</v>
      </c>
    </row>
    <row r="146" customFormat="false" ht="15" hidden="false" customHeight="false" outlineLevel="0" collapsed="false">
      <c r="B146" s="30" t="n">
        <f aca="false">SUMPRODUCT($Q$7:$Q$81,$N$6:$N$80)</f>
        <v>-2.22762219138946</v>
      </c>
      <c r="C146" s="30" t="n">
        <f aca="false">SUMPRODUCT($Q$7:$Q$81,$O$6:$O$80)</f>
        <v>-0.193918248297449</v>
      </c>
      <c r="D146" s="30" t="n">
        <f aca="false">SUMPRODUCT($Q$7:$Q$81,$P$6:$P$80)</f>
        <v>193.862906618499</v>
      </c>
      <c r="E146" s="30" t="n">
        <f aca="false">SUMPRODUCT($Q$7:$Q$81,$Q$6:$Q$80)</f>
        <v>-1666.78474974712</v>
      </c>
      <c r="F146" s="30" t="n">
        <f aca="false">SUMPRODUCT($Q$7:$Q$81,$R$6:$R$80)</f>
        <v>-395.458603340339</v>
      </c>
      <c r="G146" s="30" t="n">
        <f aca="false">SUMPRODUCT($Q$7:$Q$81,$S$6:$S$80)</f>
        <v>0.217923817555526</v>
      </c>
      <c r="H146" s="30" t="n">
        <f aca="false">SUMPRODUCT($Q$7:$Q$81,$T$6:$T$80)</f>
        <v>-0.344621569831555</v>
      </c>
      <c r="I146" s="30" t="n">
        <f aca="false">SUMPRODUCT($Q$7:$Q$81,$U$6:$U$80)</f>
        <v>0</v>
      </c>
      <c r="J146" s="30" t="n">
        <f aca="false">SUMPRODUCT($Q$7:$Q$81,$V$6:$V$80)</f>
        <v>0</v>
      </c>
    </row>
    <row r="147" customFormat="false" ht="15" hidden="false" customHeight="false" outlineLevel="0" collapsed="false">
      <c r="B147" s="30" t="n">
        <f aca="false">SUMPRODUCT($R$7:$R$81,$N$6:$N$80)</f>
        <v>1.97072317916798</v>
      </c>
      <c r="C147" s="30" t="n">
        <f aca="false">SUMPRODUCT($R$7:$R$81,$O$6:$O$80)</f>
        <v>0.417049849379705</v>
      </c>
      <c r="D147" s="30" t="n">
        <f aca="false">SUMPRODUCT($R$7:$R$81,$P$6:$P$80)</f>
        <v>-1800.72475266115</v>
      </c>
      <c r="E147" s="30" t="n">
        <f aca="false">SUMPRODUCT($R$7:$R$81,$Q$6:$Q$80)</f>
        <v>46.9021181908052</v>
      </c>
      <c r="F147" s="30" t="n">
        <f aca="false">SUMPRODUCT($R$7:$R$81,$R$6:$R$80)</f>
        <v>279.507145467893</v>
      </c>
      <c r="G147" s="30" t="n">
        <f aca="false">SUMPRODUCT($R$7:$R$81,$S$6:$S$80)</f>
        <v>-0.0824295968564097</v>
      </c>
      <c r="H147" s="30" t="n">
        <f aca="false">SUMPRODUCT($R$7:$R$81,$T$6:$T$80)</f>
        <v>0.022489996459988</v>
      </c>
      <c r="I147" s="30" t="n">
        <f aca="false">SUMPRODUCT($R$7:$R$81,$U$6:$U$80)</f>
        <v>0</v>
      </c>
      <c r="J147" s="30" t="n">
        <f aca="false">SUMPRODUCT($R$7:$R$81,$V$6:$V$80)</f>
        <v>0</v>
      </c>
    </row>
    <row r="148" customFormat="false" ht="15" hidden="false" customHeight="false" outlineLevel="0" collapsed="false">
      <c r="B148" s="30" t="n">
        <f aca="false">SUMPRODUCT($S$7:$S$81,$N$6:$N$80)</f>
        <v>0.00098003203023209</v>
      </c>
      <c r="C148" s="30" t="n">
        <f aca="false">SUMPRODUCT($S$7:$S$81,$O$6:$O$80)</f>
        <v>3.95247797460527E-005</v>
      </c>
      <c r="D148" s="30" t="n">
        <f aca="false">SUMPRODUCT($S$7:$S$81,$P$6:$P$80)</f>
        <v>-0.0721202816314685</v>
      </c>
      <c r="E148" s="30" t="n">
        <f aca="false">SUMPRODUCT($S$7:$S$81,$Q$6:$Q$80)</f>
        <v>0.187012077024227</v>
      </c>
      <c r="F148" s="30" t="n">
        <f aca="false">SUMPRODUCT($S$7:$S$81,$R$6:$R$80)</f>
        <v>0.366854694172138</v>
      </c>
      <c r="G148" s="30" t="n">
        <f aca="false">SUMPRODUCT($S$7:$S$81,$S$6:$S$80)</f>
        <v>0.000192056751014563</v>
      </c>
      <c r="H148" s="30" t="n">
        <f aca="false">SUMPRODUCT($S$7:$S$81,$T$6:$T$80)</f>
        <v>2.66595836543749E-005</v>
      </c>
      <c r="I148" s="30" t="n">
        <f aca="false">SUMPRODUCT($S$7:$S$81,$U$6:$U$80)</f>
        <v>0</v>
      </c>
      <c r="J148" s="30" t="n">
        <f aca="false">SUMPRODUCT($S$7:$S$81,$V$6:$V$80)</f>
        <v>0</v>
      </c>
    </row>
    <row r="149" customFormat="false" ht="15" hidden="false" customHeight="false" outlineLevel="0" collapsed="false">
      <c r="B149" s="30" t="n">
        <f aca="false">SUMPRODUCT($T$7:$T$81,$N$6:$N$80)</f>
        <v>0.000276223585869218</v>
      </c>
      <c r="C149" s="30" t="n">
        <f aca="false">SUMPRODUCT($T$7:$T$81,$O$6:$O$80)</f>
        <v>3.59400029595552E-005</v>
      </c>
      <c r="D149" s="30" t="n">
        <f aca="false">SUMPRODUCT($T$7:$T$81,$P$6:$P$80)</f>
        <v>-0.110321938622053</v>
      </c>
      <c r="E149" s="30" t="n">
        <f aca="false">SUMPRODUCT($T$7:$T$81,$Q$6:$Q$80)</f>
        <v>-0.0642304957845867</v>
      </c>
      <c r="F149" s="30" t="n">
        <f aca="false">SUMPRODUCT($T$7:$T$81,$R$6:$R$80)</f>
        <v>0.434504547209023</v>
      </c>
      <c r="G149" s="30" t="n">
        <f aca="false">SUMPRODUCT($T$7:$T$81,$S$6:$S$80)</f>
        <v>4.78053831373247E-005</v>
      </c>
      <c r="H149" s="30" t="n">
        <f aca="false">SUMPRODUCT($T$7:$T$81,$T$6:$T$80)</f>
        <v>-1.21300200084873E-005</v>
      </c>
      <c r="I149" s="30" t="n">
        <f aca="false">SUMPRODUCT($T$7:$T$81,$U$6:$U$80)</f>
        <v>0</v>
      </c>
      <c r="J149" s="30" t="n">
        <f aca="false">SUMPRODUCT($T$7:$T$81,$V$6:$V$80)</f>
        <v>0</v>
      </c>
    </row>
    <row r="150" customFormat="false" ht="15" hidden="false" customHeight="false" outlineLevel="0" collapsed="false">
      <c r="B150" s="30" t="n">
        <f aca="false">SUMPRODUCT($U$7:$U$81,$N$6:$N$80)</f>
        <v>0</v>
      </c>
      <c r="C150" s="30" t="n">
        <f aca="false">SUMPRODUCT($U$7:$U$81,$O$6:$O$80)</f>
        <v>0</v>
      </c>
      <c r="D150" s="30" t="n">
        <f aca="false">SUMPRODUCT($U$7:$U$81,$P$6:$P$80)</f>
        <v>0</v>
      </c>
      <c r="E150" s="30" t="n">
        <f aca="false">SUMPRODUCT($U$7:$U$81,$Q$6:$Q$80)</f>
        <v>0</v>
      </c>
      <c r="F150" s="30" t="n">
        <f aca="false">SUMPRODUCT($U$7:$U$81,$R$6:$R$80)</f>
        <v>0</v>
      </c>
      <c r="G150" s="30" t="n">
        <f aca="false">SUMPRODUCT($U$7:$U$81,$S$6:$S$80)</f>
        <v>0</v>
      </c>
      <c r="H150" s="30" t="n">
        <f aca="false">SUMPRODUCT($U$7:$U$81,$T$6:$T$80)</f>
        <v>0</v>
      </c>
      <c r="I150" s="30" t="n">
        <f aca="false">SUMPRODUCT($U$7:$U$81,$U$6:$U$80)</f>
        <v>0</v>
      </c>
      <c r="J150" s="30" t="n">
        <f aca="false">SUMPRODUCT($U$7:$U$81,$V$6:$V$80)</f>
        <v>0</v>
      </c>
    </row>
    <row r="151" customFormat="false" ht="15" hidden="false" customHeight="false" outlineLevel="0" collapsed="false">
      <c r="B151" s="30" t="n">
        <f aca="false">SUMPRODUCT($V$7:$V$81,$N$6:$N$80)</f>
        <v>0</v>
      </c>
      <c r="C151" s="30" t="n">
        <f aca="false">SUMPRODUCT($V$7:$V$81,$O$6:$O$80)</f>
        <v>0</v>
      </c>
      <c r="D151" s="30" t="n">
        <f aca="false">SUMPRODUCT($V$7:$V$81,$P$6:$P$80)</f>
        <v>0</v>
      </c>
      <c r="E151" s="30" t="n">
        <f aca="false">SUMPRODUCT($V$7:$V$81,$Q$6:$Q$80)</f>
        <v>0</v>
      </c>
      <c r="F151" s="30" t="n">
        <f aca="false">SUMPRODUCT($V$7:$V$81,$R$6:$R$80)</f>
        <v>0</v>
      </c>
      <c r="G151" s="30" t="n">
        <f aca="false">SUMPRODUCT($V$7:$V$81,$S$6:$S$80)</f>
        <v>0</v>
      </c>
      <c r="H151" s="30" t="n">
        <f aca="false">SUMPRODUCT($V$7:$V$81,$T$6:$T$80)</f>
        <v>0</v>
      </c>
      <c r="I151" s="30" t="n">
        <f aca="false">SUMPRODUCT($V$7:$V$81,$U$6:$U$80)</f>
        <v>0</v>
      </c>
      <c r="J151" s="30" t="n">
        <f aca="false">SUMPRODUCT($V$7:$V$81,$V$6:$V$80)</f>
        <v>0</v>
      </c>
    </row>
    <row r="152" customFormat="false" ht="15" hidden="false" customHeight="false" outlineLevel="0" collapsed="false">
      <c r="A152" s="10" t="s">
        <v>171</v>
      </c>
    </row>
    <row r="153" customFormat="false" ht="15" hidden="false" customHeight="false" outlineLevel="0" collapsed="false">
      <c r="B153" s="30" t="n">
        <f aca="false">SUMPRODUCT($N$8:$N$81,$N$6:$N$79)</f>
        <v>-0.0029452803143973</v>
      </c>
      <c r="C153" s="30" t="n">
        <f aca="false">SUMPRODUCT($N$8:$N$81,$O$6:$O$79)</f>
        <v>0.00058136364846742</v>
      </c>
      <c r="D153" s="30" t="n">
        <f aca="false">SUMPRODUCT($N$8:$N$81,$P$6:$P$79)</f>
        <v>-2.42209907528158</v>
      </c>
      <c r="E153" s="30" t="n">
        <f aca="false">SUMPRODUCT($N$8:$N$81,$Q$6:$Q$79)</f>
        <v>3.86698720071865</v>
      </c>
      <c r="F153" s="30" t="n">
        <f aca="false">SUMPRODUCT($N$8:$N$81,$R$6:$R$79)</f>
        <v>-1.46787526148886</v>
      </c>
      <c r="G153" s="30" t="n">
        <f aca="false">SUMPRODUCT($N$8:$N$81,$S$6:$S$79)</f>
        <v>2.64150308107209E-005</v>
      </c>
      <c r="H153" s="30" t="n">
        <f aca="false">SUMPRODUCT($N$8:$N$81,$T$6:$T$79)</f>
        <v>4.7703838065596E-005</v>
      </c>
      <c r="I153" s="30" t="n">
        <f aca="false">SUMPRODUCT($N$8:$N$81,$U$6:$U$79)</f>
        <v>0</v>
      </c>
      <c r="J153" s="30" t="n">
        <f aca="false">SUMPRODUCT($N$8:$N$81,$V$6:$V$79)</f>
        <v>0</v>
      </c>
    </row>
    <row r="154" customFormat="false" ht="15" hidden="false" customHeight="false" outlineLevel="0" collapsed="false">
      <c r="B154" s="30" t="n">
        <f aca="false">SUMPRODUCT($O$8:$O$81,$N$6:$N$79)</f>
        <v>-0.000452686759775198</v>
      </c>
      <c r="C154" s="30" t="n">
        <f aca="false">SUMPRODUCT($O$8:$O$81,$O$6:$O$79)</f>
        <v>-4.98421536287489E-005</v>
      </c>
      <c r="D154" s="30" t="n">
        <f aca="false">SUMPRODUCT($O$8:$O$81,$P$6:$P$79)</f>
        <v>0.322824608997306</v>
      </c>
      <c r="E154" s="30" t="n">
        <f aca="false">SUMPRODUCT($O$8:$O$81,$Q$6:$Q$79)</f>
        <v>-0.17057265117384</v>
      </c>
      <c r="F154" s="30" t="n">
        <f aca="false">SUMPRODUCT($O$8:$O$81,$R$6:$R$79)</f>
        <v>-0.016835299792004</v>
      </c>
      <c r="G154" s="30" t="n">
        <f aca="false">SUMPRODUCT($O$8:$O$81,$S$6:$S$79)</f>
        <v>-2.54550351837586E-005</v>
      </c>
      <c r="H154" s="30" t="n">
        <f aca="false">SUMPRODUCT($O$8:$O$81,$T$6:$T$79)</f>
        <v>4.70950874716922E-006</v>
      </c>
      <c r="I154" s="30" t="n">
        <f aca="false">SUMPRODUCT($O$8:$O$81,$U$6:$U$79)</f>
        <v>0</v>
      </c>
      <c r="J154" s="30" t="n">
        <f aca="false">SUMPRODUCT($O$8:$O$81,$V$6:$V$79)</f>
        <v>0</v>
      </c>
    </row>
    <row r="155" customFormat="false" ht="15" hidden="false" customHeight="false" outlineLevel="0" collapsed="false">
      <c r="B155" s="30" t="n">
        <f aca="false">SUMPRODUCT($P$8:$P$81,$N$6:$N$79)</f>
        <v>3.9170160076166</v>
      </c>
      <c r="C155" s="30" t="n">
        <f aca="false">SUMPRODUCT($P$8:$P$81,$O$6:$O$79)</f>
        <v>0.182710829874357</v>
      </c>
      <c r="D155" s="30" t="n">
        <f aca="false">SUMPRODUCT($P$8:$P$81,$P$6:$P$79)</f>
        <v>-68.7266546683665</v>
      </c>
      <c r="E155" s="30" t="n">
        <f aca="false">SUMPRODUCT($P$8:$P$81,$Q$6:$Q$79)</f>
        <v>1019.78558273816</v>
      </c>
      <c r="F155" s="30" t="n">
        <f aca="false">SUMPRODUCT($P$8:$P$81,$R$6:$R$79)</f>
        <v>-9.8426578778147</v>
      </c>
      <c r="G155" s="30" t="n">
        <f aca="false">SUMPRODUCT($P$8:$P$81,$S$6:$S$79)</f>
        <v>-0.425919034213319</v>
      </c>
      <c r="H155" s="30" t="n">
        <f aca="false">SUMPRODUCT($P$8:$P$81,$T$6:$T$79)</f>
        <v>0.00574589354069947</v>
      </c>
      <c r="I155" s="30" t="n">
        <f aca="false">SUMPRODUCT($P$8:$P$81,$U$6:$U$79)</f>
        <v>0</v>
      </c>
      <c r="J155" s="30" t="n">
        <f aca="false">SUMPRODUCT($P$8:$P$81,$V$6:$V$79)</f>
        <v>0</v>
      </c>
    </row>
    <row r="156" customFormat="false" ht="15" hidden="false" customHeight="false" outlineLevel="0" collapsed="false">
      <c r="B156" s="30" t="n">
        <f aca="false">SUMPRODUCT($Q$8:$Q$81,$N$6:$N$79)</f>
        <v>-2.42209907528158</v>
      </c>
      <c r="C156" s="30" t="n">
        <f aca="false">SUMPRODUCT($Q$8:$Q$81,$O$6:$O$79)</f>
        <v>-0.124343532069027</v>
      </c>
      <c r="D156" s="30" t="n">
        <f aca="false">SUMPRODUCT($Q$8:$Q$81,$P$6:$P$79)</f>
        <v>2392.39395473036</v>
      </c>
      <c r="E156" s="30" t="n">
        <f aca="false">SUMPRODUCT($Q$8:$Q$81,$Q$6:$Q$79)</f>
        <v>-205.082347542503</v>
      </c>
      <c r="F156" s="30" t="n">
        <f aca="false">SUMPRODUCT($Q$8:$Q$81,$R$6:$R$79)</f>
        <v>-322.599970277857</v>
      </c>
      <c r="G156" s="30" t="n">
        <f aca="false">SUMPRODUCT($Q$8:$Q$81,$S$6:$S$79)</f>
        <v>-0.270649931076182</v>
      </c>
      <c r="H156" s="30" t="n">
        <f aca="false">SUMPRODUCT($Q$8:$Q$81,$T$6:$T$79)</f>
        <v>0.109803946197095</v>
      </c>
      <c r="I156" s="30" t="n">
        <f aca="false">SUMPRODUCT($Q$8:$Q$81,$U$6:$U$79)</f>
        <v>0</v>
      </c>
      <c r="J156" s="30" t="n">
        <f aca="false">SUMPRODUCT($Q$8:$Q$81,$V$6:$V$79)</f>
        <v>0</v>
      </c>
    </row>
    <row r="157" customFormat="false" ht="15" hidden="false" customHeight="false" outlineLevel="0" collapsed="false">
      <c r="B157" s="30" t="n">
        <f aca="false">SUMPRODUCT($R$8:$R$81,$N$6:$N$79)</f>
        <v>0.329417987810636</v>
      </c>
      <c r="C157" s="30" t="n">
        <f aca="false">SUMPRODUCT($R$8:$R$81,$O$6:$O$79)</f>
        <v>0.332982517152599</v>
      </c>
      <c r="D157" s="30" t="n">
        <f aca="false">SUMPRODUCT($R$8:$R$81,$P$6:$P$79)</f>
        <v>-1427.3913573859</v>
      </c>
      <c r="E157" s="30" t="n">
        <f aca="false">SUMPRODUCT($R$8:$R$81,$Q$6:$Q$79)</f>
        <v>1048.62657833481</v>
      </c>
      <c r="F157" s="30" t="n">
        <f aca="false">SUMPRODUCT($R$8:$R$81,$R$6:$R$79)</f>
        <v>-297.474281324866</v>
      </c>
      <c r="G157" s="30" t="n">
        <f aca="false">SUMPRODUCT($R$8:$R$81,$S$6:$S$79)</f>
        <v>0.173950229225464</v>
      </c>
      <c r="H157" s="30" t="n">
        <f aca="false">SUMPRODUCT($R$8:$R$81,$T$6:$T$79)</f>
        <v>0.131407957954491</v>
      </c>
      <c r="I157" s="30" t="n">
        <f aca="false">SUMPRODUCT($R$8:$R$81,$U$6:$U$79)</f>
        <v>0</v>
      </c>
      <c r="J157" s="30" t="n">
        <f aca="false">SUMPRODUCT($R$8:$R$81,$V$6:$V$79)</f>
        <v>0</v>
      </c>
    </row>
    <row r="158" customFormat="false" ht="15" hidden="false" customHeight="false" outlineLevel="0" collapsed="false">
      <c r="B158" s="30" t="n">
        <f aca="false">SUMPRODUCT($S$8:$S$81,$N$6:$N$79)</f>
        <v>-0.000220890144757043</v>
      </c>
      <c r="C158" s="30" t="n">
        <f aca="false">SUMPRODUCT($S$8:$S$81,$O$6:$O$79)</f>
        <v>8.10950499177852E-005</v>
      </c>
      <c r="D158" s="30" t="n">
        <f aca="false">SUMPRODUCT($S$8:$S$81,$P$6:$P$79)</f>
        <v>-0.231591700506497</v>
      </c>
      <c r="E158" s="30" t="n">
        <f aca="false">SUMPRODUCT($S$8:$S$81,$Q$6:$Q$79)</f>
        <v>0.798056433639705</v>
      </c>
      <c r="F158" s="30" t="n">
        <f aca="false">SUMPRODUCT($S$8:$S$81,$R$6:$R$79)</f>
        <v>-0.591891085299355</v>
      </c>
      <c r="G158" s="30" t="n">
        <f aca="false">SUMPRODUCT($S$8:$S$81,$S$6:$S$79)</f>
        <v>-0.00020163360862799</v>
      </c>
      <c r="H158" s="30" t="n">
        <f aca="false">SUMPRODUCT($S$8:$S$81,$T$6:$T$79)</f>
        <v>5.75209122916552E-005</v>
      </c>
      <c r="I158" s="30" t="n">
        <f aca="false">SUMPRODUCT($S$8:$S$81,$U$6:$U$79)</f>
        <v>0</v>
      </c>
      <c r="J158" s="30" t="n">
        <f aca="false">SUMPRODUCT($S$8:$S$81,$V$6:$V$79)</f>
        <v>0</v>
      </c>
    </row>
    <row r="159" customFormat="false" ht="15" hidden="false" customHeight="false" outlineLevel="0" collapsed="false">
      <c r="B159" s="30" t="n">
        <f aca="false">SUMPRODUCT($T$8:$T$81,$N$6:$N$79)</f>
        <v>3.22658257771349E-005</v>
      </c>
      <c r="C159" s="30" t="n">
        <f aca="false">SUMPRODUCT($T$8:$T$81,$O$6:$O$79)</f>
        <v>2.24421325848857E-005</v>
      </c>
      <c r="D159" s="30" t="n">
        <f aca="false">SUMPRODUCT($T$8:$T$81,$P$6:$P$79)</f>
        <v>0.0041421731906927</v>
      </c>
      <c r="E159" s="30" t="n">
        <f aca="false">SUMPRODUCT($T$8:$T$81,$Q$6:$Q$79)</f>
        <v>0.0243351040698058</v>
      </c>
      <c r="F159" s="30" t="n">
        <f aca="false">SUMPRODUCT($T$8:$T$81,$R$6:$R$79)</f>
        <v>0.0649331857000034</v>
      </c>
      <c r="G159" s="30" t="n">
        <f aca="false">SUMPRODUCT($T$8:$T$81,$S$6:$S$79)</f>
        <v>-4.31603211657661E-005</v>
      </c>
      <c r="H159" s="30" t="n">
        <f aca="false">SUMPRODUCT($T$8:$T$81,$T$6:$T$79)</f>
        <v>-4.48478820454233E-005</v>
      </c>
      <c r="I159" s="30" t="n">
        <f aca="false">SUMPRODUCT($T$8:$T$81,$U$6:$U$79)</f>
        <v>0</v>
      </c>
      <c r="J159" s="30" t="n">
        <f aca="false">SUMPRODUCT($T$8:$T$81,$V$6:$V$79)</f>
        <v>0</v>
      </c>
    </row>
    <row r="160" customFormat="false" ht="15" hidden="false" customHeight="false" outlineLevel="0" collapsed="false">
      <c r="B160" s="30" t="n">
        <f aca="false">SUMPRODUCT($U$8:$U$81,$N$6:$N$79)</f>
        <v>0</v>
      </c>
      <c r="C160" s="30" t="n">
        <f aca="false">SUMPRODUCT($U$8:$U$81,$O$6:$O$79)</f>
        <v>0</v>
      </c>
      <c r="D160" s="30" t="n">
        <f aca="false">SUMPRODUCT($U$8:$U$81,$P$6:$P$79)</f>
        <v>0</v>
      </c>
      <c r="E160" s="30" t="n">
        <f aca="false">SUMPRODUCT($U$8:$U$81,$Q$6:$Q$79)</f>
        <v>0</v>
      </c>
      <c r="F160" s="30" t="n">
        <f aca="false">SUMPRODUCT($U$8:$U$81,$R$6:$R$79)</f>
        <v>0</v>
      </c>
      <c r="G160" s="30" t="n">
        <f aca="false">SUMPRODUCT($U$8:$U$81,$S$6:$S$79)</f>
        <v>0</v>
      </c>
      <c r="H160" s="30" t="n">
        <f aca="false">SUMPRODUCT($U$8:$U$81,$T$6:$T$79)</f>
        <v>0</v>
      </c>
      <c r="I160" s="30" t="n">
        <f aca="false">SUMPRODUCT($U$8:$U$81,$U$6:$U$79)</f>
        <v>0</v>
      </c>
      <c r="J160" s="30" t="n">
        <f aca="false">SUMPRODUCT($U$8:$U$81,$V$6:$V$79)</f>
        <v>0</v>
      </c>
    </row>
    <row r="161" customFormat="false" ht="15" hidden="false" customHeight="false" outlineLevel="0" collapsed="false">
      <c r="B161" s="30" t="n">
        <f aca="false">SUMPRODUCT($V$8:$V$81,$N$6:$N$79)</f>
        <v>0</v>
      </c>
      <c r="C161" s="30" t="n">
        <f aca="false">SUMPRODUCT($V$8:$V$81,$O$6:$O$79)</f>
        <v>0</v>
      </c>
      <c r="D161" s="30" t="n">
        <f aca="false">SUMPRODUCT($V$8:$V$81,$P$6:$P$79)</f>
        <v>0</v>
      </c>
      <c r="E161" s="30" t="n">
        <f aca="false">SUMPRODUCT($V$8:$V$81,$Q$6:$Q$79)</f>
        <v>0</v>
      </c>
      <c r="F161" s="30" t="n">
        <f aca="false">SUMPRODUCT($V$8:$V$81,$R$6:$R$79)</f>
        <v>0</v>
      </c>
      <c r="G161" s="30" t="n">
        <f aca="false">SUMPRODUCT($V$8:$V$81,$S$6:$S$79)</f>
        <v>0</v>
      </c>
      <c r="H161" s="30" t="n">
        <f aca="false">SUMPRODUCT($V$8:$V$81,$T$6:$T$79)</f>
        <v>0</v>
      </c>
      <c r="I161" s="30" t="n">
        <f aca="false">SUMPRODUCT($V$8:$V$81,$U$6:$U$79)</f>
        <v>0</v>
      </c>
      <c r="J161" s="30" t="n">
        <f aca="false">SUMPRODUCT($V$8:$V$81,$V$6:$V$79)</f>
        <v>0</v>
      </c>
    </row>
    <row r="162" customFormat="false" ht="15" hidden="false" customHeight="false" outlineLevel="0" collapsed="false">
      <c r="A162" s="10" t="s">
        <v>172</v>
      </c>
    </row>
    <row r="163" customFormat="false" ht="15" hidden="false" customHeight="false" outlineLevel="0" collapsed="false">
      <c r="B163" s="30" t="n">
        <f aca="false">SUMPRODUCT($N$9:$N$81,$N$6:$N$78)</f>
        <v>-0.00498335891764491</v>
      </c>
      <c r="C163" s="30" t="n">
        <f aca="false">SUMPRODUCT($N$9:$N$81,$O$6:$O$78)</f>
        <v>-0.000452889297607198</v>
      </c>
      <c r="D163" s="30" t="n">
        <f aca="false">SUMPRODUCT($N$9:$N$81,$P$6:$P$78)</f>
        <v>-0.196189046983613</v>
      </c>
      <c r="E163" s="30" t="n">
        <f aca="false">SUMPRODUCT($N$9:$N$81,$Q$6:$Q$78)</f>
        <v>-2.44720402234151</v>
      </c>
      <c r="F163" s="30" t="n">
        <f aca="false">SUMPRODUCT($N$9:$N$81,$R$6:$R$78)</f>
        <v>-0.877431311719208</v>
      </c>
      <c r="G163" s="30" t="n">
        <f aca="false">SUMPRODUCT($N$9:$N$81,$S$6:$S$78)</f>
        <v>-0.000762872431375571</v>
      </c>
      <c r="H163" s="30" t="n">
        <f aca="false">SUMPRODUCT($N$9:$N$81,$T$6:$T$78)</f>
        <v>-0.000956319351097664</v>
      </c>
      <c r="I163" s="30" t="n">
        <f aca="false">SUMPRODUCT($N$9:$N$81,$U$6:$U$78)</f>
        <v>0</v>
      </c>
      <c r="J163" s="30" t="n">
        <f aca="false">SUMPRODUCT($N$9:$N$81,$V$6:$V$78)</f>
        <v>0</v>
      </c>
    </row>
    <row r="164" customFormat="false" ht="15" hidden="false" customHeight="false" outlineLevel="0" collapsed="false">
      <c r="B164" s="30" t="n">
        <f aca="false">SUMPRODUCT($O$9:$O$81,$N$6:$N$78)</f>
        <v>-5.81193564216837E-005</v>
      </c>
      <c r="C164" s="30" t="n">
        <f aca="false">SUMPRODUCT($O$9:$O$81,$O$6:$O$78)</f>
        <v>-8.03536692469552E-005</v>
      </c>
      <c r="D164" s="30" t="n">
        <f aca="false">SUMPRODUCT($O$9:$O$81,$P$6:$P$78)</f>
        <v>-0.205866204800142</v>
      </c>
      <c r="E164" s="30" t="n">
        <f aca="false">SUMPRODUCT($O$9:$O$81,$Q$6:$Q$78)</f>
        <v>-0.314790125799461</v>
      </c>
      <c r="F164" s="30" t="n">
        <f aca="false">SUMPRODUCT($O$9:$O$81,$R$6:$R$78)</f>
        <v>0.273523857842949</v>
      </c>
      <c r="G164" s="30" t="n">
        <f aca="false">SUMPRODUCT($O$9:$O$81,$S$6:$S$78)</f>
        <v>-6.58275231970391E-005</v>
      </c>
      <c r="H164" s="30" t="n">
        <f aca="false">SUMPRODUCT($O$9:$O$81,$T$6:$T$78)</f>
        <v>-5.4745375817839E-006</v>
      </c>
      <c r="I164" s="30" t="n">
        <f aca="false">SUMPRODUCT($O$9:$O$81,$U$6:$U$78)</f>
        <v>0</v>
      </c>
      <c r="J164" s="30" t="n">
        <f aca="false">SUMPRODUCT($O$9:$O$81,$V$6:$V$78)</f>
        <v>0</v>
      </c>
    </row>
    <row r="165" customFormat="false" ht="15" hidden="false" customHeight="false" outlineLevel="0" collapsed="false">
      <c r="B165" s="30" t="n">
        <f aca="false">SUMPRODUCT($P$9:$P$81,$N$6:$N$78)</f>
        <v>-2.95884013589174</v>
      </c>
      <c r="C165" s="30" t="n">
        <f aca="false">SUMPRODUCT($P$9:$P$81,$O$6:$O$78)</f>
        <v>0.37857441689536</v>
      </c>
      <c r="D165" s="30" t="n">
        <f aca="false">SUMPRODUCT($P$9:$P$81,$P$6:$P$78)</f>
        <v>-432.258776499383</v>
      </c>
      <c r="E165" s="30" t="n">
        <f aca="false">SUMPRODUCT($P$9:$P$81,$Q$6:$Q$78)</f>
        <v>1345.33163044033</v>
      </c>
      <c r="F165" s="30" t="n">
        <f aca="false">SUMPRODUCT($P$9:$P$81,$R$6:$R$78)</f>
        <v>-1163.80795592199</v>
      </c>
      <c r="G165" s="30" t="n">
        <f aca="false">SUMPRODUCT($P$9:$P$81,$S$6:$S$78)</f>
        <v>-0.126691973134448</v>
      </c>
      <c r="H165" s="30" t="n">
        <f aca="false">SUMPRODUCT($P$9:$P$81,$T$6:$T$78)</f>
        <v>0.153531792134584</v>
      </c>
      <c r="I165" s="30" t="n">
        <f aca="false">SUMPRODUCT($P$9:$P$81,$U$6:$U$78)</f>
        <v>0</v>
      </c>
      <c r="J165" s="30" t="n">
        <f aca="false">SUMPRODUCT($P$9:$P$81,$V$6:$V$78)</f>
        <v>0</v>
      </c>
    </row>
    <row r="166" customFormat="false" ht="15" hidden="false" customHeight="false" outlineLevel="0" collapsed="false">
      <c r="B166" s="30" t="n">
        <f aca="false">SUMPRODUCT($Q$9:$Q$81,$N$6:$N$78)</f>
        <v>-4.31950588777046</v>
      </c>
      <c r="C166" s="30" t="n">
        <f aca="false">SUMPRODUCT($Q$9:$Q$81,$O$6:$O$78)</f>
        <v>-0.0957359002662552</v>
      </c>
      <c r="D166" s="30" t="n">
        <f aca="false">SUMPRODUCT($Q$9:$Q$81,$P$6:$P$78)</f>
        <v>128.628023621241</v>
      </c>
      <c r="E166" s="30" t="n">
        <f aca="false">SUMPRODUCT($Q$9:$Q$81,$Q$6:$Q$78)</f>
        <v>-23.0559246562667</v>
      </c>
      <c r="F166" s="30" t="n">
        <f aca="false">SUMPRODUCT($Q$9:$Q$81,$R$6:$R$78)</f>
        <v>-1219.1161708491</v>
      </c>
      <c r="G166" s="30" t="n">
        <f aca="false">SUMPRODUCT($Q$9:$Q$81,$S$6:$S$78)</f>
        <v>0.0110055760433216</v>
      </c>
      <c r="H166" s="30" t="n">
        <f aca="false">SUMPRODUCT($Q$9:$Q$81,$T$6:$T$78)</f>
        <v>0.168999130580522</v>
      </c>
      <c r="I166" s="30" t="n">
        <f aca="false">SUMPRODUCT($Q$9:$Q$81,$U$6:$U$78)</f>
        <v>0</v>
      </c>
      <c r="J166" s="30" t="n">
        <f aca="false">SUMPRODUCT($Q$9:$Q$81,$V$6:$V$78)</f>
        <v>0</v>
      </c>
    </row>
    <row r="167" customFormat="false" ht="15" hidden="false" customHeight="false" outlineLevel="0" collapsed="false">
      <c r="B167" s="30" t="n">
        <f aca="false">SUMPRODUCT($R$9:$R$81,$N$6:$N$78)</f>
        <v>1.16839988204297</v>
      </c>
      <c r="C167" s="30" t="n">
        <f aca="false">SUMPRODUCT($R$9:$R$81,$O$6:$O$78)</f>
        <v>-1.91180499100479E-005</v>
      </c>
      <c r="D167" s="30" t="n">
        <f aca="false">SUMPRODUCT($R$9:$R$81,$P$6:$P$78)</f>
        <v>-137.917709346952</v>
      </c>
      <c r="E167" s="30" t="n">
        <f aca="false">SUMPRODUCT($R$9:$R$81,$Q$6:$Q$78)</f>
        <v>217.48881377832</v>
      </c>
      <c r="F167" s="30" t="n">
        <f aca="false">SUMPRODUCT($R$9:$R$81,$R$6:$R$78)</f>
        <v>551.056119875896</v>
      </c>
      <c r="G167" s="30" t="n">
        <f aca="false">SUMPRODUCT($R$9:$R$81,$S$6:$S$78)</f>
        <v>0.281557233766927</v>
      </c>
      <c r="H167" s="30" t="n">
        <f aca="false">SUMPRODUCT($R$9:$R$81,$T$6:$T$78)</f>
        <v>0.063619216081887</v>
      </c>
      <c r="I167" s="30" t="n">
        <f aca="false">SUMPRODUCT($R$9:$R$81,$U$6:$U$78)</f>
        <v>0</v>
      </c>
      <c r="J167" s="30" t="n">
        <f aca="false">SUMPRODUCT($R$9:$R$81,$V$6:$V$78)</f>
        <v>0</v>
      </c>
    </row>
    <row r="168" customFormat="false" ht="15" hidden="false" customHeight="false" outlineLevel="0" collapsed="false">
      <c r="B168" s="30" t="n">
        <f aca="false">SUMPRODUCT($S$9:$S$81,$N$6:$N$78)</f>
        <v>-0.000685738062433683</v>
      </c>
      <c r="C168" s="30" t="n">
        <f aca="false">SUMPRODUCT($S$9:$S$81,$O$6:$O$78)</f>
        <v>2.24065327537131E-005</v>
      </c>
      <c r="D168" s="30" t="n">
        <f aca="false">SUMPRODUCT($S$9:$S$81,$P$6:$P$78)</f>
        <v>0.276446117476638</v>
      </c>
      <c r="E168" s="30" t="n">
        <f aca="false">SUMPRODUCT($S$9:$S$81,$Q$6:$Q$78)</f>
        <v>0.10077988113383</v>
      </c>
      <c r="F168" s="30" t="n">
        <f aca="false">SUMPRODUCT($S$9:$S$81,$R$6:$R$78)</f>
        <v>-0.409180990187069</v>
      </c>
      <c r="G168" s="30" t="n">
        <f aca="false">SUMPRODUCT($S$9:$S$81,$S$6:$S$78)</f>
        <v>-3.82803454687811E-005</v>
      </c>
      <c r="H168" s="30" t="n">
        <f aca="false">SUMPRODUCT($S$9:$S$81,$T$6:$T$78)</f>
        <v>1.35886058917514E-005</v>
      </c>
      <c r="I168" s="30" t="n">
        <f aca="false">SUMPRODUCT($S$9:$S$81,$U$6:$U$78)</f>
        <v>0</v>
      </c>
      <c r="J168" s="30" t="n">
        <f aca="false">SUMPRODUCT($S$9:$S$81,$V$6:$V$78)</f>
        <v>0</v>
      </c>
    </row>
    <row r="169" customFormat="false" ht="15" hidden="false" customHeight="false" outlineLevel="0" collapsed="false">
      <c r="B169" s="30" t="n">
        <f aca="false">SUMPRODUCT($T$9:$T$81,$N$6:$N$78)</f>
        <v>-0.000695613299477894</v>
      </c>
      <c r="C169" s="30" t="n">
        <f aca="false">SUMPRODUCT($T$9:$T$81,$O$6:$O$78)</f>
        <v>-6.42002702195671E-006</v>
      </c>
      <c r="D169" s="30" t="n">
        <f aca="false">SUMPRODUCT($T$9:$T$81,$P$6:$P$78)</f>
        <v>0.0657010054211356</v>
      </c>
      <c r="E169" s="30" t="n">
        <f aca="false">SUMPRODUCT($T$9:$T$81,$Q$6:$Q$78)</f>
        <v>-0.064461840910804</v>
      </c>
      <c r="F169" s="30" t="n">
        <f aca="false">SUMPRODUCT($T$9:$T$81,$R$6:$R$78)</f>
        <v>-0.381561342640003</v>
      </c>
      <c r="G169" s="30" t="n">
        <f aca="false">SUMPRODUCT($T$9:$T$81,$S$6:$S$78)</f>
        <v>-6.67209572176412E-006</v>
      </c>
      <c r="H169" s="30" t="n">
        <f aca="false">SUMPRODUCT($T$9:$T$81,$T$6:$T$78)</f>
        <v>3.80257244182761E-005</v>
      </c>
      <c r="I169" s="30" t="n">
        <f aca="false">SUMPRODUCT($T$9:$T$81,$U$6:$U$78)</f>
        <v>0</v>
      </c>
      <c r="J169" s="30" t="n">
        <f aca="false">SUMPRODUCT($T$9:$T$81,$V$6:$V$78)</f>
        <v>0</v>
      </c>
    </row>
    <row r="170" customFormat="false" ht="15" hidden="false" customHeight="false" outlineLevel="0" collapsed="false">
      <c r="B170" s="30" t="n">
        <f aca="false">SUMPRODUCT($U$9:$U$81,$N$6:$N$78)</f>
        <v>0</v>
      </c>
      <c r="C170" s="30" t="n">
        <f aca="false">SUMPRODUCT($U$9:$U$81,$O$6:$O$78)</f>
        <v>0</v>
      </c>
      <c r="D170" s="30" t="n">
        <f aca="false">SUMPRODUCT($U$9:$U$81,$P$6:$P$78)</f>
        <v>0</v>
      </c>
      <c r="E170" s="30" t="n">
        <f aca="false">SUMPRODUCT($U$9:$U$81,$Q$6:$Q$78)</f>
        <v>0</v>
      </c>
      <c r="F170" s="30" t="n">
        <f aca="false">SUMPRODUCT($U$9:$U$81,$R$6:$R$78)</f>
        <v>0</v>
      </c>
      <c r="G170" s="30" t="n">
        <f aca="false">SUMPRODUCT($U$9:$U$81,$S$6:$S$78)</f>
        <v>0</v>
      </c>
      <c r="H170" s="30" t="n">
        <f aca="false">SUMPRODUCT($U$9:$U$81,$T$6:$T$78)</f>
        <v>0</v>
      </c>
      <c r="I170" s="30" t="n">
        <f aca="false">SUMPRODUCT($U$9:$U$81,$U$6:$U$78)</f>
        <v>0</v>
      </c>
      <c r="J170" s="30" t="n">
        <f aca="false">SUMPRODUCT($U$9:$U$81,$V$6:$V$78)</f>
        <v>0</v>
      </c>
    </row>
    <row r="171" customFormat="false" ht="15" hidden="false" customHeight="false" outlineLevel="0" collapsed="false">
      <c r="B171" s="30" t="n">
        <f aca="false">SUMPRODUCT($V$9:$V$81,$N$6:$N$78)</f>
        <v>0</v>
      </c>
      <c r="C171" s="30" t="n">
        <f aca="false">SUMPRODUCT($V$9:$V$81,$O$6:$O$78)</f>
        <v>0</v>
      </c>
      <c r="D171" s="30" t="n">
        <f aca="false">SUMPRODUCT($V$9:$V$81,$P$6:$P$78)</f>
        <v>0</v>
      </c>
      <c r="E171" s="30" t="n">
        <f aca="false">SUMPRODUCT($V$9:$V$81,$Q$6:$Q$78)</f>
        <v>0</v>
      </c>
      <c r="F171" s="30" t="n">
        <f aca="false">SUMPRODUCT($V$9:$V$81,$R$6:$R$78)</f>
        <v>0</v>
      </c>
      <c r="G171" s="30" t="n">
        <f aca="false">SUMPRODUCT($V$9:$V$81,$S$6:$S$78)</f>
        <v>0</v>
      </c>
      <c r="H171" s="30" t="n">
        <f aca="false">SUMPRODUCT($V$9:$V$81,$T$6:$T$78)</f>
        <v>0</v>
      </c>
      <c r="I171" s="30" t="n">
        <f aca="false">SUMPRODUCT($V$9:$V$81,$U$6:$U$78)</f>
        <v>0</v>
      </c>
      <c r="J171" s="30" t="n">
        <f aca="false">SUMPRODUCT($V$9:$V$81,$V$6:$V$78)</f>
        <v>0</v>
      </c>
    </row>
    <row r="172" customFormat="false" ht="15" hidden="false" customHeight="false" outlineLevel="0" collapsed="false">
      <c r="A172" s="10" t="s">
        <v>173</v>
      </c>
    </row>
    <row r="173" customFormat="false" ht="15" hidden="false" customHeight="false" outlineLevel="0" collapsed="false">
      <c r="B173" s="30" t="n">
        <f aca="false">SUMPRODUCT($N$10:$N$81,$N$6:$N$77)</f>
        <v>-0.0236572778687448</v>
      </c>
      <c r="C173" s="30" t="n">
        <f aca="false">SUMPRODUCT($N$10:$N$81,$O$6:$O$77)</f>
        <v>-0.000359748167632191</v>
      </c>
      <c r="D173" s="30" t="n">
        <f aca="false">SUMPRODUCT($N$10:$N$81,$P$6:$P$77)</f>
        <v>4.4098179101013</v>
      </c>
      <c r="E173" s="30" t="n">
        <f aca="false">SUMPRODUCT($N$10:$N$81,$Q$6:$Q$77)</f>
        <v>-4.04892455519892</v>
      </c>
      <c r="F173" s="30" t="n">
        <f aca="false">SUMPRODUCT($N$10:$N$81,$R$6:$R$77)</f>
        <v>-1.79337229683614</v>
      </c>
      <c r="G173" s="30" t="n">
        <f aca="false">SUMPRODUCT($N$10:$N$81,$S$6:$S$77)</f>
        <v>-0.000255192452230869</v>
      </c>
      <c r="H173" s="30" t="n">
        <f aca="false">SUMPRODUCT($N$10:$N$81,$T$6:$T$77)</f>
        <v>-7.45587632654283E-006</v>
      </c>
      <c r="I173" s="30" t="n">
        <f aca="false">SUMPRODUCT($N$10:$N$81,$U$6:$U$77)</f>
        <v>0</v>
      </c>
      <c r="J173" s="30" t="n">
        <f aca="false">SUMPRODUCT($N$10:$N$81,$V$6:$V$77)</f>
        <v>0</v>
      </c>
    </row>
    <row r="174" customFormat="false" ht="15" hidden="false" customHeight="false" outlineLevel="0" collapsed="false">
      <c r="B174" s="30" t="n">
        <f aca="false">SUMPRODUCT($O$10:$O$81,$N$6:$N$77)</f>
        <v>0.000481044520023383</v>
      </c>
      <c r="C174" s="30" t="n">
        <f aca="false">SUMPRODUCT($O$10:$O$81,$O$6:$O$77)</f>
        <v>0.000106701089834952</v>
      </c>
      <c r="D174" s="30" t="n">
        <f aca="false">SUMPRODUCT($O$10:$O$81,$P$6:$P$77)</f>
        <v>0.100343371310077</v>
      </c>
      <c r="E174" s="30" t="n">
        <f aca="false">SUMPRODUCT($O$10:$O$81,$Q$6:$Q$77)</f>
        <v>0.122573585601301</v>
      </c>
      <c r="F174" s="30" t="n">
        <f aca="false">SUMPRODUCT($O$10:$O$81,$R$6:$R$77)</f>
        <v>0.0606422325675993</v>
      </c>
      <c r="G174" s="30" t="n">
        <f aca="false">SUMPRODUCT($O$10:$O$81,$S$6:$S$77)</f>
        <v>-9.18886220094906E-005</v>
      </c>
      <c r="H174" s="30" t="n">
        <f aca="false">SUMPRODUCT($O$10:$O$81,$T$6:$T$77)</f>
        <v>6.06361077109368E-005</v>
      </c>
      <c r="I174" s="30" t="n">
        <f aca="false">SUMPRODUCT($O$10:$O$81,$U$6:$U$77)</f>
        <v>0</v>
      </c>
      <c r="J174" s="30" t="n">
        <f aca="false">SUMPRODUCT($O$10:$O$81,$V$6:$V$77)</f>
        <v>0</v>
      </c>
    </row>
    <row r="175" customFormat="false" ht="15" hidden="false" customHeight="false" outlineLevel="0" collapsed="false">
      <c r="B175" s="30" t="n">
        <f aca="false">SUMPRODUCT($P$10:$P$81,$N$6:$N$77)</f>
        <v>-2.39570983418246</v>
      </c>
      <c r="C175" s="30" t="n">
        <f aca="false">SUMPRODUCT($P$10:$P$81,$O$6:$O$77)</f>
        <v>0.00951621311461958</v>
      </c>
      <c r="D175" s="30" t="n">
        <f aca="false">SUMPRODUCT($P$10:$P$81,$P$6:$P$77)</f>
        <v>-1027.03198230677</v>
      </c>
      <c r="E175" s="30" t="n">
        <f aca="false">SUMPRODUCT($P$10:$P$81,$Q$6:$Q$77)</f>
        <v>24.2090881498371</v>
      </c>
      <c r="F175" s="30" t="n">
        <f aca="false">SUMPRODUCT($P$10:$P$81,$R$6:$R$77)</f>
        <v>-59.9930079866845</v>
      </c>
      <c r="G175" s="30" t="n">
        <f aca="false">SUMPRODUCT($P$10:$P$81,$S$6:$S$77)</f>
        <v>0.183861921537446</v>
      </c>
      <c r="H175" s="30" t="n">
        <f aca="false">SUMPRODUCT($P$10:$P$81,$T$6:$T$77)</f>
        <v>-0.0955094790801025</v>
      </c>
      <c r="I175" s="30" t="n">
        <f aca="false">SUMPRODUCT($P$10:$P$81,$U$6:$U$77)</f>
        <v>0</v>
      </c>
      <c r="J175" s="30" t="n">
        <f aca="false">SUMPRODUCT($P$10:$P$81,$V$6:$V$77)</f>
        <v>0</v>
      </c>
    </row>
    <row r="176" customFormat="false" ht="15" hidden="false" customHeight="false" outlineLevel="0" collapsed="false">
      <c r="B176" s="30" t="n">
        <f aca="false">SUMPRODUCT($Q$10:$Q$81,$N$6:$N$77)</f>
        <v>4.02670028913521</v>
      </c>
      <c r="C176" s="30" t="n">
        <f aca="false">SUMPRODUCT($Q$10:$Q$81,$O$6:$O$77)</f>
        <v>0.136788399340127</v>
      </c>
      <c r="D176" s="30" t="n">
        <f aca="false">SUMPRODUCT($Q$10:$Q$81,$P$6:$P$77)</f>
        <v>1920.44531800837</v>
      </c>
      <c r="E176" s="30" t="n">
        <f aca="false">SUMPRODUCT($Q$10:$Q$81,$Q$6:$Q$77)</f>
        <v>2191.42673554313</v>
      </c>
      <c r="F176" s="30" t="n">
        <f aca="false">SUMPRODUCT($Q$10:$Q$81,$R$6:$R$77)</f>
        <v>916.052469791856</v>
      </c>
      <c r="G176" s="30" t="n">
        <f aca="false">SUMPRODUCT($Q$10:$Q$81,$S$6:$S$77)</f>
        <v>0.546851456727287</v>
      </c>
      <c r="H176" s="30" t="n">
        <f aca="false">SUMPRODUCT($Q$10:$Q$81,$T$6:$T$77)</f>
        <v>0.079597606897621</v>
      </c>
      <c r="I176" s="30" t="n">
        <f aca="false">SUMPRODUCT($Q$10:$Q$81,$U$6:$U$77)</f>
        <v>0</v>
      </c>
      <c r="J176" s="30" t="n">
        <f aca="false">SUMPRODUCT($Q$10:$Q$81,$V$6:$V$77)</f>
        <v>0</v>
      </c>
    </row>
    <row r="177" customFormat="false" ht="15" hidden="false" customHeight="false" outlineLevel="0" collapsed="false">
      <c r="B177" s="30" t="n">
        <f aca="false">SUMPRODUCT($R$10:$R$81,$N$6:$N$77)</f>
        <v>-4.04892455519892</v>
      </c>
      <c r="C177" s="30" t="n">
        <f aca="false">SUMPRODUCT($R$10:$R$81,$O$6:$O$77)</f>
        <v>-0.0488013633732224</v>
      </c>
      <c r="D177" s="30" t="n">
        <f aca="false">SUMPRODUCT($R$10:$R$81,$P$6:$P$77)</f>
        <v>816.562088941004</v>
      </c>
      <c r="E177" s="30" t="n">
        <f aca="false">SUMPRODUCT($R$10:$R$81,$Q$6:$Q$77)</f>
        <v>-3626.61891894468</v>
      </c>
      <c r="F177" s="30" t="n">
        <f aca="false">SUMPRODUCT($R$10:$R$81,$R$6:$R$77)</f>
        <v>317.375025798642</v>
      </c>
      <c r="G177" s="30" t="n">
        <f aca="false">SUMPRODUCT($R$10:$R$81,$S$6:$S$77)</f>
        <v>-0.24087373634839</v>
      </c>
      <c r="H177" s="30" t="n">
        <f aca="false">SUMPRODUCT($R$10:$R$81,$T$6:$T$77)</f>
        <v>-0.173883552347699</v>
      </c>
      <c r="I177" s="30" t="n">
        <f aca="false">SUMPRODUCT($R$10:$R$81,$U$6:$U$77)</f>
        <v>0</v>
      </c>
      <c r="J177" s="30" t="n">
        <f aca="false">SUMPRODUCT($R$10:$R$81,$V$6:$V$77)</f>
        <v>0</v>
      </c>
    </row>
    <row r="178" customFormat="false" ht="15" hidden="false" customHeight="false" outlineLevel="0" collapsed="false">
      <c r="B178" s="30" t="n">
        <f aca="false">SUMPRODUCT($S$10:$S$81,$N$6:$N$77)</f>
        <v>-0.00132061841680167</v>
      </c>
      <c r="C178" s="30" t="n">
        <f aca="false">SUMPRODUCT($S$10:$S$81,$O$6:$O$77)</f>
        <v>-0.000158596606667677</v>
      </c>
      <c r="D178" s="30" t="n">
        <f aca="false">SUMPRODUCT($S$10:$S$81,$P$6:$P$77)</f>
        <v>0.796792721457165</v>
      </c>
      <c r="E178" s="30" t="n">
        <f aca="false">SUMPRODUCT($S$10:$S$81,$Q$6:$Q$77)</f>
        <v>-0.388087218034018</v>
      </c>
      <c r="F178" s="30" t="n">
        <f aca="false">SUMPRODUCT($S$10:$S$81,$R$6:$R$77)</f>
        <v>-0.388910788547084</v>
      </c>
      <c r="G178" s="30" t="n">
        <f aca="false">SUMPRODUCT($S$10:$S$81,$S$6:$S$77)</f>
        <v>0.000122493084269026</v>
      </c>
      <c r="H178" s="30" t="n">
        <f aca="false">SUMPRODUCT($S$10:$S$81,$T$6:$T$77)</f>
        <v>2.46960217109416E-005</v>
      </c>
      <c r="I178" s="30" t="n">
        <f aca="false">SUMPRODUCT($S$10:$S$81,$U$6:$U$77)</f>
        <v>0</v>
      </c>
      <c r="J178" s="30" t="n">
        <f aca="false">SUMPRODUCT($S$10:$S$81,$V$6:$V$77)</f>
        <v>0</v>
      </c>
    </row>
    <row r="179" customFormat="false" ht="15" hidden="false" customHeight="false" outlineLevel="0" collapsed="false">
      <c r="B179" s="30" t="n">
        <f aca="false">SUMPRODUCT($T$10:$T$81,$N$6:$N$77)</f>
        <v>0.000480600256547286</v>
      </c>
      <c r="C179" s="30" t="n">
        <f aca="false">SUMPRODUCT($T$10:$T$81,$O$6:$O$77)</f>
        <v>-5.2800309151509E-005</v>
      </c>
      <c r="D179" s="30" t="n">
        <f aca="false">SUMPRODUCT($T$10:$T$81,$P$6:$P$77)</f>
        <v>0.0503841603036021</v>
      </c>
      <c r="E179" s="30" t="n">
        <f aca="false">SUMPRODUCT($T$10:$T$81,$Q$6:$Q$77)</f>
        <v>0.246957808065826</v>
      </c>
      <c r="F179" s="30" t="n">
        <f aca="false">SUMPRODUCT($T$10:$T$81,$R$6:$R$77)</f>
        <v>0.055378365608609</v>
      </c>
      <c r="G179" s="30" t="n">
        <f aca="false">SUMPRODUCT($T$10:$T$81,$S$6:$S$77)</f>
        <v>0.000143428473323916</v>
      </c>
      <c r="H179" s="30" t="n">
        <f aca="false">SUMPRODUCT($T$10:$T$81,$T$6:$T$77)</f>
        <v>4.51854049255995E-005</v>
      </c>
      <c r="I179" s="30" t="n">
        <f aca="false">SUMPRODUCT($T$10:$T$81,$U$6:$U$77)</f>
        <v>0</v>
      </c>
      <c r="J179" s="30" t="n">
        <f aca="false">SUMPRODUCT($T$10:$T$81,$V$6:$V$77)</f>
        <v>0</v>
      </c>
    </row>
    <row r="180" customFormat="false" ht="15" hidden="false" customHeight="false" outlineLevel="0" collapsed="false">
      <c r="B180" s="30" t="n">
        <f aca="false">SUMPRODUCT($U$10:$U$81,$N$6:$N$77)</f>
        <v>0</v>
      </c>
      <c r="C180" s="30" t="n">
        <f aca="false">SUMPRODUCT($U$10:$U$81,$O$6:$O$77)</f>
        <v>0</v>
      </c>
      <c r="D180" s="30" t="n">
        <f aca="false">SUMPRODUCT($U$10:$U$81,$P$6:$P$77)</f>
        <v>0</v>
      </c>
      <c r="E180" s="30" t="n">
        <f aca="false">SUMPRODUCT($U$10:$U$81,$Q$6:$Q$77)</f>
        <v>0</v>
      </c>
      <c r="F180" s="30" t="n">
        <f aca="false">SUMPRODUCT($U$10:$U$81,$R$6:$R$77)</f>
        <v>0</v>
      </c>
      <c r="G180" s="30" t="n">
        <f aca="false">SUMPRODUCT($U$10:$U$81,$S$6:$S$77)</f>
        <v>0</v>
      </c>
      <c r="H180" s="30" t="n">
        <f aca="false">SUMPRODUCT($U$10:$U$81,$T$6:$T$77)</f>
        <v>0</v>
      </c>
      <c r="I180" s="30" t="n">
        <f aca="false">SUMPRODUCT($U$10:$U$81,$U$6:$U$77)</f>
        <v>0</v>
      </c>
      <c r="J180" s="30" t="n">
        <f aca="false">SUMPRODUCT($U$10:$U$81,$V$6:$V$77)</f>
        <v>0</v>
      </c>
    </row>
    <row r="181" customFormat="false" ht="15" hidden="false" customHeight="false" outlineLevel="0" collapsed="false">
      <c r="B181" s="30" t="n">
        <f aca="false">SUMPRODUCT($V$10:$V$81,$N$6:$N$77)</f>
        <v>0</v>
      </c>
      <c r="C181" s="30" t="n">
        <f aca="false">SUMPRODUCT($V$10:$V$81,$O$6:$O$77)</f>
        <v>0</v>
      </c>
      <c r="D181" s="30" t="n">
        <f aca="false">SUMPRODUCT($V$10:$V$81,$P$6:$P$77)</f>
        <v>0</v>
      </c>
      <c r="E181" s="30" t="n">
        <f aca="false">SUMPRODUCT($V$10:$V$81,$Q$6:$Q$77)</f>
        <v>0</v>
      </c>
      <c r="F181" s="30" t="n">
        <f aca="false">SUMPRODUCT($V$10:$V$81,$R$6:$R$77)</f>
        <v>0</v>
      </c>
      <c r="G181" s="30" t="n">
        <f aca="false">SUMPRODUCT($V$10:$V$81,$S$6:$S$77)</f>
        <v>0</v>
      </c>
      <c r="H181" s="30" t="n">
        <f aca="false">SUMPRODUCT($V$10:$V$81,$T$6:$T$77)</f>
        <v>0</v>
      </c>
      <c r="I181" s="30" t="n">
        <f aca="false">SUMPRODUCT($V$10:$V$81,$U$6:$U$77)</f>
        <v>0</v>
      </c>
      <c r="J181" s="30" t="n">
        <f aca="false">SUMPRODUCT($V$10:$V$81,$V$6:$V$77)</f>
        <v>0</v>
      </c>
    </row>
    <row r="182" customFormat="false" ht="15" hidden="false" customHeight="false" outlineLevel="0" collapsed="false">
      <c r="A182" s="10" t="s">
        <v>174</v>
      </c>
    </row>
    <row r="183" customFormat="false" ht="15" hidden="false" customHeight="false" outlineLevel="0" collapsed="false">
      <c r="B183" s="30" t="n">
        <f aca="false">INDEX($B$133:$J$141,1,1)+0.8*(INDEX($B$143:$J$151,1,1)+INDEX($B$143:$J$151,1,1))+0.6*(INDEX($B$153:$J$161,1,1)+INDEX($B$153:$J$161,1,1))+0.4*(INDEX($B$163:$J$171,1,1)+INDEX($B$163:$J$171,1,1))+0.2*(INDEX($B$173:$J$181,1,1)+INDEX($B$173:$J$181,1,1))</f>
        <v>0.0407795444274966</v>
      </c>
      <c r="C183" s="30" t="n">
        <f aca="false">INDEX($B$133:$J$141,1,2)+0.8*(INDEX($B$143:$J$151,1,2)+INDEX($B$143:$J$151,2,1))+0.6*(INDEX($B$153:$J$161,1,2)+INDEX($B$153:$J$161,2,1))+0.4*(INDEX($B$163:$J$171,1,2)+INDEX($B$163:$J$171,2,1))+0.2*(INDEX($B$173:$J$181,1,2)+INDEX($B$173:$J$181,2,1))</f>
        <v>-0.000674636528228118</v>
      </c>
      <c r="D183" s="30" t="n">
        <f aca="false">INDEX($B$133:$J$141,1,3)+0.8*(INDEX($B$143:$J$151,1,3)+INDEX($B$143:$J$151,3,1))+0.6*(INDEX($B$153:$J$161,1,3)+INDEX($B$153:$J$161,3,1))+0.4*(INDEX($B$163:$J$171,1,3)+INDEX($B$163:$J$171,3,1))+0.2*(INDEX($B$173:$J$181,1,3)+INDEX($B$173:$J$181,3,1))</f>
        <v>-3.71540166110389</v>
      </c>
      <c r="E183" s="30" t="n">
        <f aca="false">INDEX($B$133:$J$141,1,4)+0.8*(INDEX($B$143:$J$151,1,4)+INDEX($B$143:$J$151,4,1))+0.6*(INDEX($B$153:$J$161,1,4)+INDEX($B$153:$J$161,4,1))+0.4*(INDEX($B$163:$J$171,1,4)+INDEX($B$163:$J$171,4,1))+0.2*(INDEX($B$173:$J$181,1,4)+INDEX($B$173:$J$181,4,1))</f>
        <v>-4.61687536525337</v>
      </c>
      <c r="F183" s="30" t="n">
        <f aca="false">INDEX($B$133:$J$141,1,5)+0.8*(INDEX($B$143:$J$151,1,5)+INDEX($B$143:$J$151,5,1))+0.6*(INDEX($B$153:$J$161,1,5)+INDEX($B$153:$J$161,5,1))+0.4*(INDEX($B$163:$J$171,1,5)+INDEX($B$163:$J$171,5,1))+0.2*(INDEX($B$173:$J$181,1,5)+INDEX($B$173:$J$181,5,1))</f>
        <v>6.57546006866631</v>
      </c>
      <c r="G183" s="30" t="n">
        <f aca="false">INDEX($B$133:$J$141,1,6)+0.8*(INDEX($B$143:$J$151,1,6)+INDEX($B$143:$J$151,6,1))+0.6*(INDEX($B$153:$J$161,1,6)+INDEX($B$153:$J$161,6,1))+0.4*(INDEX($B$163:$J$171,1,6)+INDEX($B$163:$J$171,6,1))+0.2*(INDEX($B$173:$J$181,1,6)+INDEX($B$173:$J$181,6,1))</f>
        <v>0.000262759557329027</v>
      </c>
      <c r="H183" s="30" t="n">
        <f aca="false">INDEX($B$133:$J$141,1,7)+0.8*(INDEX($B$143:$J$151,1,7)+INDEX($B$143:$J$151,7,1))+0.6*(INDEX($B$153:$J$161,1,7)+INDEX($B$153:$J$161,7,1))+0.4*(INDEX($B$163:$J$171,1,7)+INDEX($B$163:$J$171,7,1))+0.2*(INDEX($B$173:$J$181,1,7)+INDEX($B$173:$J$181,7,1))</f>
        <v>-0.000741834712505862</v>
      </c>
      <c r="I183" s="30" t="n">
        <f aca="false">INDEX($B$133:$J$141,1,8)+0.8*(INDEX($B$143:$J$151,1,8)+INDEX($B$143:$J$151,8,1))+0.6*(INDEX($B$153:$J$161,1,8)+INDEX($B$153:$J$161,8,1))+0.4*(INDEX($B$163:$J$171,1,8)+INDEX($B$163:$J$171,8,1))+0.2*(INDEX($B$173:$J$181,1,8)+INDEX($B$173:$J$181,8,1))</f>
        <v>0</v>
      </c>
      <c r="J183" s="30" t="n">
        <f aca="false">INDEX($B$133:$J$141,1,9)+0.8*(INDEX($B$143:$J$151,1,9)+INDEX($B$143:$J$151,9,1))+0.6*(INDEX($B$153:$J$161,1,9)+INDEX($B$153:$J$161,9,1))+0.4*(INDEX($B$163:$J$171,1,9)+INDEX($B$163:$J$171,9,1))+0.2*(INDEX($B$173:$J$181,1,9)+INDEX($B$173:$J$181,9,1))</f>
        <v>0</v>
      </c>
    </row>
    <row r="184" customFormat="false" ht="15" hidden="false" customHeight="false" outlineLevel="0" collapsed="false">
      <c r="B184" s="30" t="n">
        <f aca="false">INDEX($B$133:$J$141,2,1)+0.8*(INDEX($B$143:$J$151,2,1)+INDEX($B$143:$J$151,1,2))+0.6*(INDEX($B$153:$J$161,2,1)+INDEX($B$153:$J$161,1,2))+0.4*(INDEX($B$163:$J$171,2,1)+INDEX($B$163:$J$171,1,2))+0.2*(INDEX($B$173:$J$181,2,1)+INDEX($B$173:$J$181,1,2))</f>
        <v>-0.000674636528228118</v>
      </c>
      <c r="C184" s="30" t="n">
        <f aca="false">INDEX($B$133:$J$141,2,2)+0.8*(INDEX($B$143:$J$151,2,2)+INDEX($B$143:$J$151,2,2))+0.6*(INDEX($B$153:$J$161,2,2)+INDEX($B$153:$J$161,2,2))+0.4*(INDEX($B$163:$J$171,2,2)+INDEX($B$163:$J$171,2,2))+0.2*(INDEX($B$173:$J$181,2,2)+INDEX($B$173:$J$181,2,2))</f>
        <v>0.000240942093652904</v>
      </c>
      <c r="D184" s="30" t="n">
        <f aca="false">INDEX($B$133:$J$141,2,3)+0.8*(INDEX($B$143:$J$151,2,3)+INDEX($B$143:$J$151,3,2))+0.6*(INDEX($B$153:$J$161,2,3)+INDEX($B$153:$J$161,3,2))+0.4*(INDEX($B$163:$J$171,2,3)+INDEX($B$163:$J$171,3,2))+0.2*(INDEX($B$173:$J$181,2,3)+INDEX($B$173:$J$181,3,2))</f>
        <v>-0.0563639380740894</v>
      </c>
      <c r="E184" s="30" t="n">
        <f aca="false">INDEX($B$133:$J$141,2,4)+0.8*(INDEX($B$143:$J$151,2,4)+INDEX($B$143:$J$151,4,2))+0.6*(INDEX($B$153:$J$161,2,4)+INDEX($B$153:$J$161,4,2))+0.4*(INDEX($B$163:$J$171,2,4)+INDEX($B$163:$J$171,4,2))+0.2*(INDEX($B$173:$J$181,2,4)+INDEX($B$173:$J$181,4,2))</f>
        <v>0.123409289368842</v>
      </c>
      <c r="F184" s="30" t="n">
        <f aca="false">INDEX($B$133:$J$141,2,5)+0.8*(INDEX($B$143:$J$151,2,5)+INDEX($B$143:$J$151,5,2))+0.6*(INDEX($B$153:$J$161,2,5)+INDEX($B$153:$J$161,5,2))+0.4*(INDEX($B$163:$J$171,2,5)+INDEX($B$163:$J$171,5,2))+0.2*(INDEX($B$173:$J$181,2,5)+INDEX($B$173:$J$181,5,2))</f>
        <v>0.197702739297071</v>
      </c>
      <c r="G184" s="30" t="n">
        <f aca="false">INDEX($B$133:$J$141,2,6)+0.8*(INDEX($B$143:$J$151,2,6)+INDEX($B$143:$J$151,6,2))+0.6*(INDEX($B$153:$J$161,2,6)+INDEX($B$153:$J$161,6,2))+0.4*(INDEX($B$163:$J$171,2,6)+INDEX($B$163:$J$171,6,2))+0.2*(INDEX($B$173:$J$181,2,6)+INDEX($B$173:$J$181,6,2))</f>
        <v>-1.10501062761064E-005</v>
      </c>
      <c r="H184" s="30" t="n">
        <f aca="false">INDEX($B$133:$J$141,2,7)+0.8*(INDEX($B$143:$J$151,2,7)+INDEX($B$143:$J$151,7,2))+0.6*(INDEX($B$153:$J$161,2,7)+INDEX($B$153:$J$161,7,2))+0.4*(INDEX($B$163:$J$171,2,7)+INDEX($B$163:$J$171,7,2))+0.2*(INDEX($B$173:$J$181,2,7)+INDEX($B$173:$J$181,7,2))</f>
        <v>5.70823434107153E-006</v>
      </c>
      <c r="I184" s="30" t="n">
        <f aca="false">INDEX($B$133:$J$141,2,8)+0.8*(INDEX($B$143:$J$151,2,8)+INDEX($B$143:$J$151,8,2))+0.6*(INDEX($B$153:$J$161,2,8)+INDEX($B$153:$J$161,8,2))+0.4*(INDEX($B$163:$J$171,2,8)+INDEX($B$163:$J$171,8,2))+0.2*(INDEX($B$173:$J$181,2,8)+INDEX($B$173:$J$181,8,2))</f>
        <v>0</v>
      </c>
      <c r="J184" s="30" t="n">
        <f aca="false">INDEX($B$133:$J$141,2,9)+0.8*(INDEX($B$143:$J$151,2,9)+INDEX($B$143:$J$151,9,2))+0.6*(INDEX($B$153:$J$161,2,9)+INDEX($B$153:$J$161,9,2))+0.4*(INDEX($B$163:$J$171,2,9)+INDEX($B$163:$J$171,9,2))+0.2*(INDEX($B$173:$J$181,2,9)+INDEX($B$173:$J$181,9,2))</f>
        <v>0</v>
      </c>
    </row>
    <row r="185" customFormat="false" ht="15" hidden="false" customHeight="false" outlineLevel="0" collapsed="false">
      <c r="B185" s="30" t="n">
        <f aca="false">INDEX($B$133:$J$141,3,1)+0.8*(INDEX($B$143:$J$151,3,1)+INDEX($B$143:$J$151,1,3))+0.6*(INDEX($B$153:$J$161,3,1)+INDEX($B$153:$J$161,1,3))+0.4*(INDEX($B$163:$J$171,3,1)+INDEX($B$163:$J$171,1,3))+0.2*(INDEX($B$173:$J$181,3,1)+INDEX($B$173:$J$181,1,3))</f>
        <v>-3.71540166110389</v>
      </c>
      <c r="C185" s="30" t="n">
        <f aca="false">INDEX($B$133:$J$141,3,2)+0.8*(INDEX($B$143:$J$151,3,2)+INDEX($B$143:$J$151,2,3))+0.6*(INDEX($B$153:$J$161,3,2)+INDEX($B$153:$J$161,2,3))+0.4*(INDEX($B$163:$J$171,3,2)+INDEX($B$163:$J$171,2,3))+0.2*(INDEX($B$173:$J$181,3,2)+INDEX($B$173:$J$181,2,3))</f>
        <v>-0.0563639380740894</v>
      </c>
      <c r="D185" s="30" t="n">
        <f aca="false">INDEX($B$133:$J$141,3,3)+0.8*(INDEX($B$143:$J$151,3,3)+INDEX($B$143:$J$151,3,3))+0.6*(INDEX($B$153:$J$161,3,3)+INDEX($B$153:$J$161,3,3))+0.4*(INDEX($B$163:$J$171,3,3)+INDEX($B$163:$J$171,3,3))+0.2*(INDEX($B$173:$J$181,3,3)+INDEX($B$173:$J$181,3,3))</f>
        <v>7171.25646517786</v>
      </c>
      <c r="E185" s="30" t="n">
        <f aca="false">INDEX($B$133:$J$141,3,4)+0.8*(INDEX($B$143:$J$151,3,4)+INDEX($B$143:$J$151,4,3))+0.6*(INDEX($B$153:$J$161,3,4)+INDEX($B$153:$J$161,4,3))+0.4*(INDEX($B$163:$J$171,3,4)+INDEX($B$163:$J$171,4,3))+0.2*(INDEX($B$173:$J$181,3,4)+INDEX($B$173:$J$181,4,3))</f>
        <v>3891.36748868324</v>
      </c>
      <c r="F185" s="30" t="n">
        <f aca="false">INDEX($B$133:$J$141,3,5)+0.8*(INDEX($B$143:$J$151,3,5)+INDEX($B$143:$J$151,5,3))+0.6*(INDEX($B$153:$J$161,3,5)+INDEX($B$153:$J$161,5,3))+0.4*(INDEX($B$163:$J$171,3,5)+INDEX($B$163:$J$171,5,3))+0.2*(INDEX($B$173:$J$181,3,5)+INDEX($B$173:$J$181,5,3))</f>
        <v>-3969.03731706338</v>
      </c>
      <c r="G185" s="30" t="n">
        <f aca="false">INDEX($B$133:$J$141,3,6)+0.8*(INDEX($B$143:$J$151,3,6)+INDEX($B$143:$J$151,6,3))+0.6*(INDEX($B$153:$J$161,3,6)+INDEX($B$153:$J$161,6,3))+0.4*(INDEX($B$163:$J$171,3,6)+INDEX($B$163:$J$171,6,3))+0.2*(INDEX($B$173:$J$181,3,6)+INDEX($B$173:$J$181,6,3))</f>
        <v>0.00312452675345767</v>
      </c>
      <c r="H185" s="30" t="n">
        <f aca="false">INDEX($B$133:$J$141,3,7)+0.8*(INDEX($B$143:$J$151,3,7)+INDEX($B$143:$J$151,7,3))+0.6*(INDEX($B$153:$J$161,3,7)+INDEX($B$153:$J$161,7,3))+0.4*(INDEX($B$163:$J$171,3,7)+INDEX($B$163:$J$171,7,3))+0.2*(INDEX($B$173:$J$181,3,7)+INDEX($B$173:$J$181,7,3))</f>
        <v>0.349600642188195</v>
      </c>
      <c r="I185" s="30" t="n">
        <f aca="false">INDEX($B$133:$J$141,3,8)+0.8*(INDEX($B$143:$J$151,3,8)+INDEX($B$143:$J$151,8,3))+0.6*(INDEX($B$153:$J$161,3,8)+INDEX($B$153:$J$161,8,3))+0.4*(INDEX($B$163:$J$171,3,8)+INDEX($B$163:$J$171,8,3))+0.2*(INDEX($B$173:$J$181,3,8)+INDEX($B$173:$J$181,8,3))</f>
        <v>0</v>
      </c>
      <c r="J185" s="30" t="n">
        <f aca="false">INDEX($B$133:$J$141,3,9)+0.8*(INDEX($B$143:$J$151,3,9)+INDEX($B$143:$J$151,9,3))+0.6*(INDEX($B$153:$J$161,3,9)+INDEX($B$153:$J$161,9,3))+0.4*(INDEX($B$163:$J$171,3,9)+INDEX($B$163:$J$171,9,3))+0.2*(INDEX($B$173:$J$181,3,9)+INDEX($B$173:$J$181,9,3))</f>
        <v>0</v>
      </c>
    </row>
    <row r="186" customFormat="false" ht="15" hidden="false" customHeight="false" outlineLevel="0" collapsed="false">
      <c r="B186" s="30" t="n">
        <f aca="false">INDEX($B$133:$J$141,4,1)+0.8*(INDEX($B$143:$J$151,4,1)+INDEX($B$143:$J$151,1,4))+0.6*(INDEX($B$153:$J$161,4,1)+INDEX($B$153:$J$161,1,4))+0.4*(INDEX($B$163:$J$171,4,1)+INDEX($B$163:$J$171,1,4))+0.2*(INDEX($B$173:$J$181,4,1)+INDEX($B$173:$J$181,1,4))</f>
        <v>-4.61687536525337</v>
      </c>
      <c r="C186" s="30" t="n">
        <f aca="false">INDEX($B$133:$J$141,4,2)+0.8*(INDEX($B$143:$J$151,4,2)+INDEX($B$143:$J$151,2,4))+0.6*(INDEX($B$153:$J$161,4,2)+INDEX($B$153:$J$161,2,4))+0.4*(INDEX($B$163:$J$171,4,2)+INDEX($B$163:$J$171,2,4))+0.2*(INDEX($B$173:$J$181,4,2)+INDEX($B$173:$J$181,2,4))</f>
        <v>0.123409289368842</v>
      </c>
      <c r="D186" s="30" t="n">
        <f aca="false">INDEX($B$133:$J$141,4,3)+0.8*(INDEX($B$143:$J$151,4,3)+INDEX($B$143:$J$151,3,4))+0.6*(INDEX($B$153:$J$161,4,3)+INDEX($B$153:$J$161,3,4))+0.4*(INDEX($B$163:$J$171,4,3)+INDEX($B$163:$J$171,3,4))+0.2*(INDEX($B$173:$J$181,4,3)+INDEX($B$173:$J$181,3,4))</f>
        <v>3891.36748868324</v>
      </c>
      <c r="E186" s="30" t="n">
        <f aca="false">INDEX($B$133:$J$141,4,4)+0.8*(INDEX($B$143:$J$151,4,4)+INDEX($B$143:$J$151,4,4))+0.6*(INDEX($B$153:$J$161,4,4)+INDEX($B$153:$J$161,4,4))+0.4*(INDEX($B$163:$J$171,4,4)+INDEX($B$163:$J$171,4,4))+0.2*(INDEX($B$173:$J$181,4,4)+INDEX($B$173:$J$181,4,4))</f>
        <v>6365.11156441189</v>
      </c>
      <c r="F186" s="30" t="n">
        <f aca="false">INDEX($B$133:$J$141,4,5)+0.8*(INDEX($B$143:$J$151,4,5)+INDEX($B$143:$J$151,5,4))+0.6*(INDEX($B$153:$J$161,4,5)+INDEX($B$153:$J$161,5,4))+0.4*(INDEX($B$163:$J$171,4,5)+INDEX($B$163:$J$171,5,4))+0.2*(INDEX($B$173:$J$181,4,5)+INDEX($B$173:$J$181,5,4))</f>
        <v>-4583.85639550467</v>
      </c>
      <c r="G186" s="30" t="n">
        <f aca="false">INDEX($B$133:$J$141,4,6)+0.8*(INDEX($B$143:$J$151,4,6)+INDEX($B$143:$J$151,6,4))+0.6*(INDEX($B$153:$J$161,4,6)+INDEX($B$153:$J$161,6,4))+0.4*(INDEX($B$163:$J$171,4,6)+INDEX($B$163:$J$171,6,4))+0.2*(INDEX($B$173:$J$181,4,6)+INDEX($B$173:$J$181,6,4))</f>
        <v>0.72618134890767</v>
      </c>
      <c r="H186" s="30" t="n">
        <f aca="false">INDEX($B$133:$J$141,4,7)+0.8*(INDEX($B$143:$J$151,4,7)+INDEX($B$143:$J$151,7,4))+0.6*(INDEX($B$153:$J$161,4,7)+INDEX($B$153:$J$161,7,4))+0.4*(INDEX($B$163:$J$171,4,7)+INDEX($B$163:$J$171,7,4))+0.2*(INDEX($B$173:$J$181,4,7)+INDEX($B$173:$J$181,7,4))</f>
        <v>0.277437458388639</v>
      </c>
      <c r="I186" s="30" t="n">
        <f aca="false">INDEX($B$133:$J$141,4,8)+0.8*(INDEX($B$143:$J$151,4,8)+INDEX($B$143:$J$151,8,4))+0.6*(INDEX($B$153:$J$161,4,8)+INDEX($B$153:$J$161,8,4))+0.4*(INDEX($B$163:$J$171,4,8)+INDEX($B$163:$J$171,8,4))+0.2*(INDEX($B$173:$J$181,4,8)+INDEX($B$173:$J$181,8,4))</f>
        <v>0</v>
      </c>
      <c r="J186" s="30" t="n">
        <f aca="false">INDEX($B$133:$J$141,4,9)+0.8*(INDEX($B$143:$J$151,4,9)+INDEX($B$143:$J$151,9,4))+0.6*(INDEX($B$153:$J$161,4,9)+INDEX($B$153:$J$161,9,4))+0.4*(INDEX($B$163:$J$171,4,9)+INDEX($B$163:$J$171,9,4))+0.2*(INDEX($B$173:$J$181,4,9)+INDEX($B$173:$J$181,9,4))</f>
        <v>0</v>
      </c>
    </row>
    <row r="187" customFormat="false" ht="15" hidden="false" customHeight="false" outlineLevel="0" collapsed="false">
      <c r="B187" s="30" t="n">
        <f aca="false">INDEX($B$133:$J$141,5,1)+0.8*(INDEX($B$143:$J$151,5,1)+INDEX($B$143:$J$151,1,5))+0.6*(INDEX($B$153:$J$161,5,1)+INDEX($B$153:$J$161,1,5))+0.4*(INDEX($B$163:$J$171,5,1)+INDEX($B$163:$J$171,1,5))+0.2*(INDEX($B$173:$J$181,5,1)+INDEX($B$173:$J$181,1,5))</f>
        <v>6.57546006866631</v>
      </c>
      <c r="C187" s="30" t="n">
        <f aca="false">INDEX($B$133:$J$141,5,2)+0.8*(INDEX($B$143:$J$151,5,2)+INDEX($B$143:$J$151,2,5))+0.6*(INDEX($B$153:$J$161,5,2)+INDEX($B$153:$J$161,2,5))+0.4*(INDEX($B$163:$J$171,5,2)+INDEX($B$163:$J$171,2,5))+0.2*(INDEX($B$173:$J$181,5,2)+INDEX($B$173:$J$181,2,5))</f>
        <v>0.197702739297071</v>
      </c>
      <c r="D187" s="30" t="n">
        <f aca="false">INDEX($B$133:$J$141,5,3)+0.8*(INDEX($B$143:$J$151,5,3)+INDEX($B$143:$J$151,3,5))+0.6*(INDEX($B$153:$J$161,5,3)+INDEX($B$153:$J$161,3,5))+0.4*(INDEX($B$163:$J$171,5,3)+INDEX($B$163:$J$171,3,5))+0.2*(INDEX($B$173:$J$181,5,3)+INDEX($B$173:$J$181,3,5))</f>
        <v>-3969.03731706338</v>
      </c>
      <c r="E187" s="30" t="n">
        <f aca="false">INDEX($B$133:$J$141,5,4)+0.8*(INDEX($B$143:$J$151,5,4)+INDEX($B$143:$J$151,4,5))+0.6*(INDEX($B$153:$J$161,5,4)+INDEX($B$153:$J$161,4,5))+0.4*(INDEX($B$163:$J$171,5,4)+INDEX($B$163:$J$171,4,5))+0.2*(INDEX($B$173:$J$181,5,4)+INDEX($B$173:$J$181,4,5))</f>
        <v>-4583.85639550467</v>
      </c>
      <c r="F187" s="30" t="n">
        <f aca="false">INDEX($B$133:$J$141,5,5)+0.8*(INDEX($B$143:$J$151,5,5)+INDEX($B$143:$J$151,5,5))+0.6*(INDEX($B$153:$J$161,5,5)+INDEX($B$153:$J$161,5,5))+0.4*(INDEX($B$163:$J$171,5,5)+INDEX($B$163:$J$171,5,5))+0.2*(INDEX($B$173:$J$181,5,5)+INDEX($B$173:$J$181,5,5))</f>
        <v>7553.88516684021</v>
      </c>
      <c r="G187" s="30" t="n">
        <f aca="false">INDEX($B$133:$J$141,5,6)+0.8*(INDEX($B$143:$J$151,5,6)+INDEX($B$143:$J$151,6,5))+0.6*(INDEX($B$153:$J$161,5,6)+INDEX($B$153:$J$161,6,5))+0.4*(INDEX($B$163:$J$171,5,6)+INDEX($B$163:$J$171,6,5))+0.2*(INDEX($B$173:$J$181,5,6)+INDEX($B$173:$J$181,6,5))</f>
        <v>0.15181286060095</v>
      </c>
      <c r="H187" s="30" t="n">
        <f aca="false">INDEX($B$133:$J$141,5,7)+0.8*(INDEX($B$143:$J$151,5,7)+INDEX($B$143:$J$151,7,5))+0.6*(INDEX($B$153:$J$161,5,7)+INDEX($B$153:$J$161,7,5))+0.4*(INDEX($B$163:$J$171,5,7)+INDEX($B$163:$J$171,7,5))+0.2*(INDEX($B$173:$J$181,5,7)+INDEX($B$173:$J$181,7,5))</f>
        <v>0.0353715663804123</v>
      </c>
      <c r="I187" s="30" t="n">
        <f aca="false">INDEX($B$133:$J$141,5,8)+0.8*(INDEX($B$143:$J$151,5,8)+INDEX($B$143:$J$151,8,5))+0.6*(INDEX($B$153:$J$161,5,8)+INDEX($B$153:$J$161,8,5))+0.4*(INDEX($B$163:$J$171,5,8)+INDEX($B$163:$J$171,8,5))+0.2*(INDEX($B$173:$J$181,5,8)+INDEX($B$173:$J$181,8,5))</f>
        <v>0</v>
      </c>
      <c r="J187" s="30" t="n">
        <f aca="false">INDEX($B$133:$J$141,5,9)+0.8*(INDEX($B$143:$J$151,5,9)+INDEX($B$143:$J$151,9,5))+0.6*(INDEX($B$153:$J$161,5,9)+INDEX($B$153:$J$161,9,5))+0.4*(INDEX($B$163:$J$171,5,9)+INDEX($B$163:$J$171,9,5))+0.2*(INDEX($B$173:$J$181,5,9)+INDEX($B$173:$J$181,9,5))</f>
        <v>0</v>
      </c>
    </row>
    <row r="188" customFormat="false" ht="15" hidden="false" customHeight="false" outlineLevel="0" collapsed="false">
      <c r="B188" s="30" t="n">
        <f aca="false">INDEX($B$133:$J$141,6,1)+0.8*(INDEX($B$143:$J$151,6,1)+INDEX($B$143:$J$151,1,6))+0.6*(INDEX($B$153:$J$161,6,1)+INDEX($B$153:$J$161,1,6))+0.4*(INDEX($B$163:$J$171,6,1)+INDEX($B$163:$J$171,1,6))+0.2*(INDEX($B$173:$J$181,6,1)+INDEX($B$173:$J$181,1,6))</f>
        <v>0.000262759557329027</v>
      </c>
      <c r="C188" s="30" t="n">
        <f aca="false">INDEX($B$133:$J$141,6,2)+0.8*(INDEX($B$143:$J$151,6,2)+INDEX($B$143:$J$151,2,6))+0.6*(INDEX($B$153:$J$161,6,2)+INDEX($B$153:$J$161,2,6))+0.4*(INDEX($B$163:$J$171,6,2)+INDEX($B$163:$J$171,2,6))+0.2*(INDEX($B$173:$J$181,6,2)+INDEX($B$173:$J$181,2,6))</f>
        <v>-1.10501062761064E-005</v>
      </c>
      <c r="D188" s="30" t="n">
        <f aca="false">INDEX($B$133:$J$141,6,3)+0.8*(INDEX($B$143:$J$151,6,3)+INDEX($B$143:$J$151,3,6))+0.6*(INDEX($B$153:$J$161,6,3)+INDEX($B$153:$J$161,3,6))+0.4*(INDEX($B$163:$J$171,6,3)+INDEX($B$163:$J$171,3,6))+0.2*(INDEX($B$173:$J$181,6,3)+INDEX($B$173:$J$181,3,6))</f>
        <v>0.00312452675345767</v>
      </c>
      <c r="E188" s="30" t="n">
        <f aca="false">INDEX($B$133:$J$141,6,4)+0.8*(INDEX($B$143:$J$151,6,4)+INDEX($B$143:$J$151,4,6))+0.6*(INDEX($B$153:$J$161,6,4)+INDEX($B$153:$J$161,4,6))+0.4*(INDEX($B$163:$J$171,6,4)+INDEX($B$163:$J$171,4,6))+0.2*(INDEX($B$173:$J$181,6,4)+INDEX($B$173:$J$181,4,6))</f>
        <v>0.72618134890767</v>
      </c>
      <c r="F188" s="30" t="n">
        <f aca="false">INDEX($B$133:$J$141,6,5)+0.8*(INDEX($B$143:$J$151,6,5)+INDEX($B$143:$J$151,5,6))+0.6*(INDEX($B$153:$J$161,6,5)+INDEX($B$153:$J$161,5,6))+0.4*(INDEX($B$163:$J$171,6,5)+INDEX($B$163:$J$171,5,6))+0.2*(INDEX($B$173:$J$181,6,5)+INDEX($B$173:$J$181,5,6))</f>
        <v>0.15181286060095</v>
      </c>
      <c r="G188" s="30" t="n">
        <f aca="false">INDEX($B$133:$J$141,6,6)+0.8*(INDEX($B$143:$J$151,6,6)+INDEX($B$143:$J$151,6,6))+0.6*(INDEX($B$153:$J$161,6,6)+INDEX($B$153:$J$161,6,6))+0.4*(INDEX($B$163:$J$171,6,6)+INDEX($B$163:$J$171,6,6))+0.2*(INDEX($B$173:$J$181,6,6)+INDEX($B$173:$J$181,6,6))</f>
        <v>0.000878950986542651</v>
      </c>
      <c r="H188" s="30" t="n">
        <f aca="false">INDEX($B$133:$J$141,6,7)+0.8*(INDEX($B$143:$J$151,6,7)+INDEX($B$143:$J$151,7,6))+0.6*(INDEX($B$153:$J$161,6,7)+INDEX($B$153:$J$161,7,6))+0.4*(INDEX($B$163:$J$171,6,7)+INDEX($B$163:$J$171,7,6))+0.2*(INDEX($B$173:$J$181,6,7)+INDEX($B$173:$J$181,7,6))</f>
        <v>0.000180898545992194</v>
      </c>
      <c r="I188" s="30" t="n">
        <f aca="false">INDEX($B$133:$J$141,6,8)+0.8*(INDEX($B$143:$J$151,6,8)+INDEX($B$143:$J$151,8,6))+0.6*(INDEX($B$153:$J$161,6,8)+INDEX($B$153:$J$161,8,6))+0.4*(INDEX($B$163:$J$171,6,8)+INDEX($B$163:$J$171,8,6))+0.2*(INDEX($B$173:$J$181,6,8)+INDEX($B$173:$J$181,8,6))</f>
        <v>0</v>
      </c>
      <c r="J188" s="30" t="n">
        <f aca="false">INDEX($B$133:$J$141,6,9)+0.8*(INDEX($B$143:$J$151,6,9)+INDEX($B$143:$J$151,9,6))+0.6*(INDEX($B$153:$J$161,6,9)+INDEX($B$153:$J$161,9,6))+0.4*(INDEX($B$163:$J$171,6,9)+INDEX($B$163:$J$171,9,6))+0.2*(INDEX($B$173:$J$181,6,9)+INDEX($B$173:$J$181,9,6))</f>
        <v>0</v>
      </c>
    </row>
    <row r="189" customFormat="false" ht="15" hidden="false" customHeight="false" outlineLevel="0" collapsed="false">
      <c r="B189" s="30" t="n">
        <f aca="false">INDEX($B$133:$J$141,7,1)+0.8*(INDEX($B$143:$J$151,7,1)+INDEX($B$143:$J$151,1,7))+0.6*(INDEX($B$153:$J$161,7,1)+INDEX($B$153:$J$161,1,7))+0.4*(INDEX($B$163:$J$171,7,1)+INDEX($B$163:$J$171,1,7))+0.2*(INDEX($B$173:$J$181,7,1)+INDEX($B$173:$J$181,1,7))</f>
        <v>-0.000741834712505862</v>
      </c>
      <c r="C189" s="30" t="n">
        <f aca="false">INDEX($B$133:$J$141,7,2)+0.8*(INDEX($B$143:$J$151,7,2)+INDEX($B$143:$J$151,2,7))+0.6*(INDEX($B$153:$J$161,7,2)+INDEX($B$153:$J$161,2,7))+0.4*(INDEX($B$163:$J$171,7,2)+INDEX($B$163:$J$171,2,7))+0.2*(INDEX($B$173:$J$181,7,2)+INDEX($B$173:$J$181,2,7))</f>
        <v>5.70823434107153E-006</v>
      </c>
      <c r="D189" s="30" t="n">
        <f aca="false">INDEX($B$133:$J$141,7,3)+0.8*(INDEX($B$143:$J$151,7,3)+INDEX($B$143:$J$151,3,7))+0.6*(INDEX($B$153:$J$161,7,3)+INDEX($B$153:$J$161,3,7))+0.4*(INDEX($B$163:$J$171,7,3)+INDEX($B$163:$J$171,3,7))+0.2*(INDEX($B$173:$J$181,7,3)+INDEX($B$173:$J$181,3,7))</f>
        <v>0.349600642188195</v>
      </c>
      <c r="E189" s="30" t="n">
        <f aca="false">INDEX($B$133:$J$141,7,4)+0.8*(INDEX($B$143:$J$151,7,4)+INDEX($B$143:$J$151,4,7))+0.6*(INDEX($B$153:$J$161,7,4)+INDEX($B$153:$J$161,4,7))+0.4*(INDEX($B$163:$J$171,7,4)+INDEX($B$163:$J$171,4,7))+0.2*(INDEX($B$173:$J$181,7,4)+INDEX($B$173:$J$181,4,7))</f>
        <v>0.277437458388639</v>
      </c>
      <c r="F189" s="30" t="n">
        <f aca="false">INDEX($B$133:$J$141,7,5)+0.8*(INDEX($B$143:$J$151,7,5)+INDEX($B$143:$J$151,5,7))+0.6*(INDEX($B$153:$J$161,7,5)+INDEX($B$153:$J$161,5,7))+0.4*(INDEX($B$163:$J$171,7,5)+INDEX($B$163:$J$171,5,7))+0.2*(INDEX($B$173:$J$181,7,5)+INDEX($B$173:$J$181,5,7))</f>
        <v>0.0353715663804123</v>
      </c>
      <c r="G189" s="30" t="n">
        <f aca="false">INDEX($B$133:$J$141,7,6)+0.8*(INDEX($B$143:$J$151,7,6)+INDEX($B$143:$J$151,6,7))+0.6*(INDEX($B$153:$J$161,7,6)+INDEX($B$153:$J$161,6,7))+0.4*(INDEX($B$163:$J$171,7,6)+INDEX($B$163:$J$171,6,7))+0.2*(INDEX($B$173:$J$181,7,6)+INDEX($B$173:$J$181,6,7))</f>
        <v>0.000180898545992194</v>
      </c>
      <c r="H189" s="30" t="n">
        <f aca="false">INDEX($B$133:$J$141,7,7)+0.8*(INDEX($B$143:$J$151,7,7)+INDEX($B$143:$J$151,7,7))+0.6*(INDEX($B$153:$J$161,7,7)+INDEX($B$153:$J$161,7,7))+0.4*(INDEX($B$163:$J$171,7,7)+INDEX($B$163:$J$171,7,7))+0.2*(INDEX($B$173:$J$181,7,7)+INDEX($B$173:$J$181,7,7))</f>
        <v>0.00023791416481725</v>
      </c>
      <c r="I189" s="30" t="n">
        <f aca="false">INDEX($B$133:$J$141,7,8)+0.8*(INDEX($B$143:$J$151,7,8)+INDEX($B$143:$J$151,8,7))+0.6*(INDEX($B$153:$J$161,7,8)+INDEX($B$153:$J$161,8,7))+0.4*(INDEX($B$163:$J$171,7,8)+INDEX($B$163:$J$171,8,7))+0.2*(INDEX($B$173:$J$181,7,8)+INDEX($B$173:$J$181,8,7))</f>
        <v>0</v>
      </c>
      <c r="J189" s="30" t="n">
        <f aca="false">INDEX($B$133:$J$141,7,9)+0.8*(INDEX($B$143:$J$151,7,9)+INDEX($B$143:$J$151,9,7))+0.6*(INDEX($B$153:$J$161,7,9)+INDEX($B$153:$J$161,9,7))+0.4*(INDEX($B$163:$J$171,7,9)+INDEX($B$163:$J$171,9,7))+0.2*(INDEX($B$173:$J$181,7,9)+INDEX($B$173:$J$181,9,7))</f>
        <v>0</v>
      </c>
    </row>
    <row r="190" customFormat="false" ht="15" hidden="false" customHeight="false" outlineLevel="0" collapsed="false">
      <c r="B190" s="30" t="n">
        <f aca="false">INDEX($B$133:$J$141,8,1)+0.8*(INDEX($B$143:$J$151,8,1)+INDEX($B$143:$J$151,1,8))+0.6*(INDEX($B$153:$J$161,8,1)+INDEX($B$153:$J$161,1,8))+0.4*(INDEX($B$163:$J$171,8,1)+INDEX($B$163:$J$171,1,8))+0.2*(INDEX($B$173:$J$181,8,1)+INDEX($B$173:$J$181,1,8))</f>
        <v>0</v>
      </c>
      <c r="C190" s="30" t="n">
        <f aca="false">INDEX($B$133:$J$141,8,2)+0.8*(INDEX($B$143:$J$151,8,2)+INDEX($B$143:$J$151,2,8))+0.6*(INDEX($B$153:$J$161,8,2)+INDEX($B$153:$J$161,2,8))+0.4*(INDEX($B$163:$J$171,8,2)+INDEX($B$163:$J$171,2,8))+0.2*(INDEX($B$173:$J$181,8,2)+INDEX($B$173:$J$181,2,8))</f>
        <v>0</v>
      </c>
      <c r="D190" s="30" t="n">
        <f aca="false">INDEX($B$133:$J$141,8,3)+0.8*(INDEX($B$143:$J$151,8,3)+INDEX($B$143:$J$151,3,8))+0.6*(INDEX($B$153:$J$161,8,3)+INDEX($B$153:$J$161,3,8))+0.4*(INDEX($B$163:$J$171,8,3)+INDEX($B$163:$J$171,3,8))+0.2*(INDEX($B$173:$J$181,8,3)+INDEX($B$173:$J$181,3,8))</f>
        <v>0</v>
      </c>
      <c r="E190" s="30" t="n">
        <f aca="false">INDEX($B$133:$J$141,8,4)+0.8*(INDEX($B$143:$J$151,8,4)+INDEX($B$143:$J$151,4,8))+0.6*(INDEX($B$153:$J$161,8,4)+INDEX($B$153:$J$161,4,8))+0.4*(INDEX($B$163:$J$171,8,4)+INDEX($B$163:$J$171,4,8))+0.2*(INDEX($B$173:$J$181,8,4)+INDEX($B$173:$J$181,4,8))</f>
        <v>0</v>
      </c>
      <c r="F190" s="30" t="n">
        <f aca="false">INDEX($B$133:$J$141,8,5)+0.8*(INDEX($B$143:$J$151,8,5)+INDEX($B$143:$J$151,5,8))+0.6*(INDEX($B$153:$J$161,8,5)+INDEX($B$153:$J$161,5,8))+0.4*(INDEX($B$163:$J$171,8,5)+INDEX($B$163:$J$171,5,8))+0.2*(INDEX($B$173:$J$181,8,5)+INDEX($B$173:$J$181,5,8))</f>
        <v>0</v>
      </c>
      <c r="G190" s="30" t="n">
        <f aca="false">INDEX($B$133:$J$141,8,6)+0.8*(INDEX($B$143:$J$151,8,6)+INDEX($B$143:$J$151,6,8))+0.6*(INDEX($B$153:$J$161,8,6)+INDEX($B$153:$J$161,6,8))+0.4*(INDEX($B$163:$J$171,8,6)+INDEX($B$163:$J$171,6,8))+0.2*(INDEX($B$173:$J$181,8,6)+INDEX($B$173:$J$181,6,8))</f>
        <v>0</v>
      </c>
      <c r="H190" s="30" t="n">
        <f aca="false">INDEX($B$133:$J$141,8,7)+0.8*(INDEX($B$143:$J$151,8,7)+INDEX($B$143:$J$151,7,8))+0.6*(INDEX($B$153:$J$161,8,7)+INDEX($B$153:$J$161,7,8))+0.4*(INDEX($B$163:$J$171,8,7)+INDEX($B$163:$J$171,7,8))+0.2*(INDEX($B$173:$J$181,8,7)+INDEX($B$173:$J$181,7,8))</f>
        <v>0</v>
      </c>
      <c r="I190" s="30" t="n">
        <f aca="false">INDEX($B$133:$J$141,8,8)+0.8*(INDEX($B$143:$J$151,8,8)+INDEX($B$143:$J$151,8,8))+0.6*(INDEX($B$153:$J$161,8,8)+INDEX($B$153:$J$161,8,8))+0.4*(INDEX($B$163:$J$171,8,8)+INDEX($B$163:$J$171,8,8))+0.2*(INDEX($B$173:$J$181,8,8)+INDEX($B$173:$J$181,8,8))</f>
        <v>0</v>
      </c>
      <c r="J190" s="30" t="n">
        <f aca="false">INDEX($B$133:$J$141,8,9)+0.8*(INDEX($B$143:$J$151,8,9)+INDEX($B$143:$J$151,9,8))+0.6*(INDEX($B$153:$J$161,8,9)+INDEX($B$153:$J$161,9,8))+0.4*(INDEX($B$163:$J$171,8,9)+INDEX($B$163:$J$171,9,8))+0.2*(INDEX($B$173:$J$181,8,9)+INDEX($B$173:$J$181,9,8))</f>
        <v>0</v>
      </c>
    </row>
    <row r="191" customFormat="false" ht="15" hidden="false" customHeight="false" outlineLevel="0" collapsed="false">
      <c r="B191" s="30" t="n">
        <f aca="false">INDEX($B$133:$J$141,9,1)+0.8*(INDEX($B$143:$J$151,9,1)+INDEX($B$143:$J$151,1,9))+0.6*(INDEX($B$153:$J$161,9,1)+INDEX($B$153:$J$161,1,9))+0.4*(INDEX($B$163:$J$171,9,1)+INDEX($B$163:$J$171,1,9))+0.2*(INDEX($B$173:$J$181,9,1)+INDEX($B$173:$J$181,1,9))</f>
        <v>0</v>
      </c>
      <c r="C191" s="30" t="n">
        <f aca="false">INDEX($B$133:$J$141,9,2)+0.8*(INDEX($B$143:$J$151,9,2)+INDEX($B$143:$J$151,2,9))+0.6*(INDEX($B$153:$J$161,9,2)+INDEX($B$153:$J$161,2,9))+0.4*(INDEX($B$163:$J$171,9,2)+INDEX($B$163:$J$171,2,9))+0.2*(INDEX($B$173:$J$181,9,2)+INDEX($B$173:$J$181,2,9))</f>
        <v>0</v>
      </c>
      <c r="D191" s="30" t="n">
        <f aca="false">INDEX($B$133:$J$141,9,3)+0.8*(INDEX($B$143:$J$151,9,3)+INDEX($B$143:$J$151,3,9))+0.6*(INDEX($B$153:$J$161,9,3)+INDEX($B$153:$J$161,3,9))+0.4*(INDEX($B$163:$J$171,9,3)+INDEX($B$163:$J$171,3,9))+0.2*(INDEX($B$173:$J$181,9,3)+INDEX($B$173:$J$181,3,9))</f>
        <v>0</v>
      </c>
      <c r="E191" s="30" t="n">
        <f aca="false">INDEX($B$133:$J$141,9,4)+0.8*(INDEX($B$143:$J$151,9,4)+INDEX($B$143:$J$151,4,9))+0.6*(INDEX($B$153:$J$161,9,4)+INDEX($B$153:$J$161,4,9))+0.4*(INDEX($B$163:$J$171,9,4)+INDEX($B$163:$J$171,4,9))+0.2*(INDEX($B$173:$J$181,9,4)+INDEX($B$173:$J$181,4,9))</f>
        <v>0</v>
      </c>
      <c r="F191" s="30" t="n">
        <f aca="false">INDEX($B$133:$J$141,9,5)+0.8*(INDEX($B$143:$J$151,9,5)+INDEX($B$143:$J$151,5,9))+0.6*(INDEX($B$153:$J$161,9,5)+INDEX($B$153:$J$161,5,9))+0.4*(INDEX($B$163:$J$171,9,5)+INDEX($B$163:$J$171,5,9))+0.2*(INDEX($B$173:$J$181,9,5)+INDEX($B$173:$J$181,5,9))</f>
        <v>0</v>
      </c>
      <c r="G191" s="30" t="n">
        <f aca="false">INDEX($B$133:$J$141,9,6)+0.8*(INDEX($B$143:$J$151,9,6)+INDEX($B$143:$J$151,6,9))+0.6*(INDEX($B$153:$J$161,9,6)+INDEX($B$153:$J$161,6,9))+0.4*(INDEX($B$163:$J$171,9,6)+INDEX($B$163:$J$171,6,9))+0.2*(INDEX($B$173:$J$181,9,6)+INDEX($B$173:$J$181,6,9))</f>
        <v>0</v>
      </c>
      <c r="H191" s="30" t="n">
        <f aca="false">INDEX($B$133:$J$141,9,7)+0.8*(INDEX($B$143:$J$151,9,7)+INDEX($B$143:$J$151,7,9))+0.6*(INDEX($B$153:$J$161,9,7)+INDEX($B$153:$J$161,7,9))+0.4*(INDEX($B$163:$J$171,9,7)+INDEX($B$163:$J$171,7,9))+0.2*(INDEX($B$173:$J$181,9,7)+INDEX($B$173:$J$181,7,9))</f>
        <v>0</v>
      </c>
      <c r="I191" s="30" t="n">
        <f aca="false">INDEX($B$133:$J$141,9,8)+0.8*(INDEX($B$143:$J$151,9,8)+INDEX($B$143:$J$151,8,9))+0.6*(INDEX($B$153:$J$161,9,8)+INDEX($B$153:$J$161,8,9))+0.4*(INDEX($B$163:$J$171,9,8)+INDEX($B$163:$J$171,8,9))+0.2*(INDEX($B$173:$J$181,9,8)+INDEX($B$173:$J$181,8,9))</f>
        <v>0</v>
      </c>
      <c r="J191" s="30" t="n">
        <f aca="false">INDEX($B$133:$J$141,9,9)+0.8*(INDEX($B$143:$J$151,9,9)+INDEX($B$143:$J$151,9,9))+0.6*(INDEX($B$153:$J$161,9,9)+INDEX($B$153:$J$161,9,9))+0.4*(INDEX($B$163:$J$171,9,9)+INDEX($B$163:$J$171,9,9))+0.2*(INDEX($B$173:$J$181,9,9)+INDEX($B$173:$J$181,9,9))</f>
        <v>0</v>
      </c>
    </row>
    <row r="192" customFormat="false" ht="15" hidden="false" customHeight="false" outlineLevel="0" collapsed="false">
      <c r="A192" s="10" t="s">
        <v>175</v>
      </c>
    </row>
    <row r="193" customFormat="false" ht="15" hidden="false" customHeight="false" outlineLevel="0" collapsed="false">
      <c r="B193" s="30" t="n">
        <f aca="false">INDEX(MMULT(MMULT($B$123:$J$131,$B$183:$J$191),$B$123:$J$131),1,1)</f>
        <v>7.9392932904575E-006</v>
      </c>
      <c r="C193" s="30" t="n">
        <f aca="false">INDEX(MMULT(MMULT($B$123:$J$131,$B$183:$J$191),$B$123:$J$131),1,2)</f>
        <v>-7.27464556015893E-006</v>
      </c>
      <c r="D193" s="30" t="n">
        <f aca="false">INDEX(MMULT(MMULT($B$123:$J$131,$B$183:$J$191),$B$123:$J$131),1,3)</f>
        <v>-6.52550062088925E-009</v>
      </c>
      <c r="E193" s="30" t="n">
        <f aca="false">INDEX(MMULT(MMULT($B$123:$J$131,$B$183:$J$191),$B$123:$J$131),1,4)</f>
        <v>-1.30152257035099E-008</v>
      </c>
      <c r="F193" s="30" t="n">
        <f aca="false">INDEX(MMULT(MMULT($B$123:$J$131,$B$183:$J$191),$B$123:$J$131),1,5)</f>
        <v>1.53346688453556E-008</v>
      </c>
      <c r="G193" s="30" t="n">
        <f aca="false">INDEX(MMULT(MMULT($B$123:$J$131,$B$183:$J$191),$B$123:$J$131),1,6)</f>
        <v>-2.45178947087809E-005</v>
      </c>
      <c r="H193" s="30" t="n">
        <f aca="false">INDEX(MMULT(MMULT($B$123:$J$131,$B$183:$J$191),$B$123:$J$131),1,7)</f>
        <v>-1.60366900976908E-005</v>
      </c>
      <c r="I193" s="30" t="n">
        <f aca="false">INDEX(MMULT(MMULT($B$123:$J$131,$B$183:$J$191),$B$123:$J$131),1,8)</f>
        <v>5.99831887056036E-006</v>
      </c>
      <c r="J193" s="30" t="n">
        <f aca="false">INDEX(MMULT(MMULT($B$123:$J$131,$B$183:$J$191),$B$123:$J$131),1,9)</f>
        <v>-2.77879700985573E-005</v>
      </c>
    </row>
    <row r="194" customFormat="false" ht="15" hidden="false" customHeight="false" outlineLevel="0" collapsed="false">
      <c r="B194" s="30" t="n">
        <f aca="false">INDEX(MMULT(MMULT($B$123:$J$131,$B$183:$J$191),$B$123:$J$131),2,1)</f>
        <v>-7.27464556015938E-006</v>
      </c>
      <c r="C194" s="30" t="n">
        <f aca="false">INDEX(MMULT(MMULT($B$123:$J$131,$B$183:$J$191),$B$123:$J$131),2,2)</f>
        <v>0.00245257826772544</v>
      </c>
      <c r="D194" s="30" t="n">
        <f aca="false">INDEX(MMULT(MMULT($B$123:$J$131,$B$183:$J$191),$B$123:$J$131),2,3)</f>
        <v>2.77095632337764E-007</v>
      </c>
      <c r="E194" s="30" t="n">
        <f aca="false">INDEX(MMULT(MMULT($B$123:$J$131,$B$183:$J$191),$B$123:$J$131),2,4)</f>
        <v>-4.29640708819354E-008</v>
      </c>
      <c r="F194" s="30" t="n">
        <f aca="false">INDEX(MMULT(MMULT($B$123:$J$131,$B$183:$J$191),$B$123:$J$131),2,5)</f>
        <v>2.66183909284009E-007</v>
      </c>
      <c r="G194" s="30" t="n">
        <f aca="false">INDEX(MMULT(MMULT($B$123:$J$131,$B$183:$J$191),$B$123:$J$131),2,6)</f>
        <v>-0.000433974599299603</v>
      </c>
      <c r="H194" s="30" t="n">
        <f aca="false">INDEX(MMULT(MMULT($B$123:$J$131,$B$183:$J$191),$B$123:$J$131),2,7)</f>
        <v>0.000225604534865359</v>
      </c>
      <c r="I194" s="30" t="n">
        <f aca="false">INDEX(MMULT(MMULT($B$123:$J$131,$B$183:$J$191),$B$123:$J$131),2,8)</f>
        <v>-0.000797226142026491</v>
      </c>
      <c r="J194" s="30" t="n">
        <f aca="false">INDEX(MMULT(MMULT($B$123:$J$131,$B$183:$J$191),$B$123:$J$131),2,9)</f>
        <v>0.000350360685629876</v>
      </c>
    </row>
    <row r="195" customFormat="false" ht="15" hidden="false" customHeight="false" outlineLevel="0" collapsed="false">
      <c r="B195" s="30" t="n">
        <f aca="false">INDEX(MMULT(MMULT($B$123:$J$131,$B$183:$J$191),$B$123:$J$131),3,1)</f>
        <v>-6.52550062088917E-009</v>
      </c>
      <c r="C195" s="30" t="n">
        <f aca="false">INDEX(MMULT(MMULT($B$123:$J$131,$B$183:$J$191),$B$123:$J$131),3,2)</f>
        <v>2.77095632337763E-007</v>
      </c>
      <c r="D195" s="30" t="n">
        <f aca="false">INDEX(MMULT(MMULT($B$123:$J$131,$B$183:$J$191),$B$123:$J$131),3,3)</f>
        <v>2.31924268263306E-010</v>
      </c>
      <c r="E195" s="30" t="n">
        <f aca="false">INDEX(MMULT(MMULT($B$123:$J$131,$B$183:$J$191),$B$123:$J$131),3,4)</f>
        <v>1.11918018679252E-010</v>
      </c>
      <c r="F195" s="30" t="n">
        <f aca="false">INDEX(MMULT(MMULT($B$123:$J$131,$B$183:$J$191),$B$123:$J$131),3,5)</f>
        <v>-5.94990731660324E-011</v>
      </c>
      <c r="G195" s="30" t="n">
        <f aca="false">INDEX(MMULT(MMULT($B$123:$J$131,$B$183:$J$191),$B$123:$J$131),3,6)</f>
        <v>3.75019254686785E-009</v>
      </c>
      <c r="H195" s="30" t="n">
        <f aca="false">INDEX(MMULT(MMULT($B$123:$J$131,$B$183:$J$191),$B$123:$J$131),3,7)</f>
        <v>-6.41581949942296E-008</v>
      </c>
      <c r="I195" s="30" t="n">
        <f aca="false">INDEX(MMULT(MMULT($B$123:$J$131,$B$183:$J$191),$B$123:$J$131),3,8)</f>
        <v>-3.09879478125359E-007</v>
      </c>
      <c r="J195" s="30" t="n">
        <f aca="false">INDEX(MMULT(MMULT($B$123:$J$131,$B$183:$J$191),$B$123:$J$131),3,9)</f>
        <v>1.70628091048443E-007</v>
      </c>
    </row>
    <row r="196" customFormat="false" ht="15" hidden="false" customHeight="false" outlineLevel="0" collapsed="false">
      <c r="B196" s="30" t="n">
        <f aca="false">INDEX(MMULT(MMULT($B$123:$J$131,$B$183:$J$191),$B$123:$J$131),4,1)</f>
        <v>-1.30152257035096E-008</v>
      </c>
      <c r="C196" s="30" t="n">
        <f aca="false">INDEX(MMULT(MMULT($B$123:$J$131,$B$183:$J$191),$B$123:$J$131),4,2)</f>
        <v>-4.29640708819368E-008</v>
      </c>
      <c r="D196" s="30" t="n">
        <f aca="false">INDEX(MMULT(MMULT($B$123:$J$131,$B$183:$J$191),$B$123:$J$131),4,3)</f>
        <v>1.11918018679251E-010</v>
      </c>
      <c r="E196" s="30" t="n">
        <f aca="false">INDEX(MMULT(MMULT($B$123:$J$131,$B$183:$J$191),$B$123:$J$131),4,4)</f>
        <v>1.88279523941847E-010</v>
      </c>
      <c r="F196" s="30" t="n">
        <f aca="false">INDEX(MMULT(MMULT($B$123:$J$131,$B$183:$J$191),$B$123:$J$131),4,5)</f>
        <v>-9.97159438098131E-011</v>
      </c>
      <c r="G196" s="30" t="n">
        <f aca="false">INDEX(MMULT(MMULT($B$123:$J$131,$B$183:$J$191),$B$123:$J$131),4,6)</f>
        <v>2.1458001984136E-007</v>
      </c>
      <c r="H196" s="30" t="n">
        <f aca="false">INDEX(MMULT(MMULT($B$123:$J$131,$B$183:$J$191),$B$123:$J$131),4,7)</f>
        <v>-8.24859483865865E-008</v>
      </c>
      <c r="I196" s="30" t="n">
        <f aca="false">INDEX(MMULT(MMULT($B$123:$J$131,$B$183:$J$191),$B$123:$J$131),4,8)</f>
        <v>-1.84141468201292E-007</v>
      </c>
      <c r="J196" s="30" t="n">
        <f aca="false">INDEX(MMULT(MMULT($B$123:$J$131,$B$183:$J$191),$B$123:$J$131),4,9)</f>
        <v>1.97188447256707E-007</v>
      </c>
    </row>
    <row r="197" customFormat="false" ht="15" hidden="false" customHeight="false" outlineLevel="0" collapsed="false">
      <c r="B197" s="30" t="n">
        <f aca="false">INDEX(MMULT(MMULT($B$123:$J$131,$B$183:$J$191),$B$123:$J$131),5,1)</f>
        <v>1.53346688453554E-008</v>
      </c>
      <c r="C197" s="30" t="n">
        <f aca="false">INDEX(MMULT(MMULT($B$123:$J$131,$B$183:$J$191),$B$123:$J$131),5,2)</f>
        <v>2.66183909284013E-007</v>
      </c>
      <c r="D197" s="30" t="n">
        <f aca="false">INDEX(MMULT(MMULT($B$123:$J$131,$B$183:$J$191),$B$123:$J$131),5,3)</f>
        <v>-5.9499073166032E-011</v>
      </c>
      <c r="E197" s="30" t="n">
        <f aca="false">INDEX(MMULT(MMULT($B$123:$J$131,$B$183:$J$191),$B$123:$J$131),5,4)</f>
        <v>-9.97159438098134E-011</v>
      </c>
      <c r="F197" s="30" t="n">
        <f aca="false">INDEX(MMULT(MMULT($B$123:$J$131,$B$183:$J$191),$B$123:$J$131),5,5)</f>
        <v>2.22202462286458E-010</v>
      </c>
      <c r="G197" s="30" t="n">
        <f aca="false">INDEX(MMULT(MMULT($B$123:$J$131,$B$183:$J$191),$B$123:$J$131),5,6)</f>
        <v>-1.81902243665314E-007</v>
      </c>
      <c r="H197" s="30" t="n">
        <f aca="false">INDEX(MMULT(MMULT($B$123:$J$131,$B$183:$J$191),$B$123:$J$131),5,7)</f>
        <v>2.83824336085175E-007</v>
      </c>
      <c r="I197" s="30" t="n">
        <f aca="false">INDEX(MMULT(MMULT($B$123:$J$131,$B$183:$J$191),$B$123:$J$131),5,8)</f>
        <v>3.56886541873292E-008</v>
      </c>
      <c r="J197" s="30" t="n">
        <f aca="false">INDEX(MMULT(MMULT($B$123:$J$131,$B$183:$J$191),$B$123:$J$131),5,9)</f>
        <v>-1.77446540829785E-007</v>
      </c>
    </row>
    <row r="198" customFormat="false" ht="15" hidden="false" customHeight="false" outlineLevel="0" collapsed="false">
      <c r="B198" s="30" t="n">
        <f aca="false">INDEX(MMULT(MMULT($B$123:$J$131,$B$183:$J$191),$B$123:$J$131),6,1)</f>
        <v>-2.45178947087807E-005</v>
      </c>
      <c r="C198" s="30" t="n">
        <f aca="false">INDEX(MMULT(MMULT($B$123:$J$131,$B$183:$J$191),$B$123:$J$131),6,2)</f>
        <v>-0.000433974599299605</v>
      </c>
      <c r="D198" s="30" t="n">
        <f aca="false">INDEX(MMULT(MMULT($B$123:$J$131,$B$183:$J$191),$B$123:$J$131),6,3)</f>
        <v>3.75019254686773E-009</v>
      </c>
      <c r="E198" s="30" t="n">
        <f aca="false">INDEX(MMULT(MMULT($B$123:$J$131,$B$183:$J$191),$B$123:$J$131),6,4)</f>
        <v>2.14580019841361E-007</v>
      </c>
      <c r="F198" s="30" t="n">
        <f aca="false">INDEX(MMULT(MMULT($B$123:$J$131,$B$183:$J$191),$B$123:$J$131),6,5)</f>
        <v>-1.81902243665314E-007</v>
      </c>
      <c r="G198" s="30" t="n">
        <f aca="false">INDEX(MMULT(MMULT($B$123:$J$131,$B$183:$J$191),$B$123:$J$131),6,6)</f>
        <v>0.000803048234077421</v>
      </c>
      <c r="H198" s="30" t="n">
        <f aca="false">INDEX(MMULT(MMULT($B$123:$J$131,$B$183:$J$191),$B$123:$J$131),6,7)</f>
        <v>-0.000241409129828496</v>
      </c>
      <c r="I198" s="30" t="n">
        <f aca="false">INDEX(MMULT(MMULT($B$123:$J$131,$B$183:$J$191),$B$123:$J$131),6,8)</f>
        <v>-4.02864369598198E-005</v>
      </c>
      <c r="J198" s="30" t="n">
        <f aca="false">INDEX(MMULT(MMULT($B$123:$J$131,$B$183:$J$191),$B$123:$J$131),6,9)</f>
        <v>0.000251803685630224</v>
      </c>
    </row>
    <row r="199" customFormat="false" ht="15" hidden="false" customHeight="false" outlineLevel="0" collapsed="false">
      <c r="B199" s="30" t="n">
        <f aca="false">INDEX(MMULT(MMULT($B$123:$J$131,$B$183:$J$191),$B$123:$J$131),7,1)</f>
        <v>-1.6036690097691E-005</v>
      </c>
      <c r="C199" s="30" t="n">
        <f aca="false">INDEX(MMULT(MMULT($B$123:$J$131,$B$183:$J$191),$B$123:$J$131),7,2)</f>
        <v>0.000225604534865361</v>
      </c>
      <c r="D199" s="30" t="n">
        <f aca="false">INDEX(MMULT(MMULT($B$123:$J$131,$B$183:$J$191),$B$123:$J$131),7,3)</f>
        <v>-6.41581949942293E-008</v>
      </c>
      <c r="E199" s="30" t="n">
        <f aca="false">INDEX(MMULT(MMULT($B$123:$J$131,$B$183:$J$191),$B$123:$J$131),7,4)</f>
        <v>-8.24859483865862E-008</v>
      </c>
      <c r="F199" s="30" t="n">
        <f aca="false">INDEX(MMULT(MMULT($B$123:$J$131,$B$183:$J$191),$B$123:$J$131),7,5)</f>
        <v>2.83824336085174E-007</v>
      </c>
      <c r="G199" s="30" t="n">
        <f aca="false">INDEX(MMULT(MMULT($B$123:$J$131,$B$183:$J$191),$B$123:$J$131),7,6)</f>
        <v>-0.000241409129828496</v>
      </c>
      <c r="H199" s="30" t="n">
        <f aca="false">INDEX(MMULT(MMULT($B$123:$J$131,$B$183:$J$191),$B$123:$J$131),7,7)</f>
        <v>0.0022638455347963</v>
      </c>
      <c r="I199" s="30" t="n">
        <f aca="false">INDEX(MMULT(MMULT($B$123:$J$131,$B$183:$J$191),$B$123:$J$131),7,8)</f>
        <v>0.000205186896291428</v>
      </c>
      <c r="J199" s="30" t="n">
        <f aca="false">INDEX(MMULT(MMULT($B$123:$J$131,$B$183:$J$191),$B$123:$J$131),7,9)</f>
        <v>-0.000320387664494747</v>
      </c>
    </row>
    <row r="200" customFormat="false" ht="15" hidden="false" customHeight="false" outlineLevel="0" collapsed="false">
      <c r="B200" s="30" t="n">
        <f aca="false">INDEX(MMULT(MMULT($B$123:$J$131,$B$183:$J$191),$B$123:$J$131),8,1)</f>
        <v>5.99831887056023E-006</v>
      </c>
      <c r="C200" s="30" t="n">
        <f aca="false">INDEX(MMULT(MMULT($B$123:$J$131,$B$183:$J$191),$B$123:$J$131),8,2)</f>
        <v>-0.00079722614202649</v>
      </c>
      <c r="D200" s="30" t="n">
        <f aca="false">INDEX(MMULT(MMULT($B$123:$J$131,$B$183:$J$191),$B$123:$J$131),8,3)</f>
        <v>-3.09879478125359E-007</v>
      </c>
      <c r="E200" s="30" t="n">
        <f aca="false">INDEX(MMULT(MMULT($B$123:$J$131,$B$183:$J$191),$B$123:$J$131),8,4)</f>
        <v>-1.84141468201292E-007</v>
      </c>
      <c r="F200" s="30" t="n">
        <f aca="false">INDEX(MMULT(MMULT($B$123:$J$131,$B$183:$J$191),$B$123:$J$131),8,5)</f>
        <v>3.56886541873303E-008</v>
      </c>
      <c r="G200" s="30" t="n">
        <f aca="false">INDEX(MMULT(MMULT($B$123:$J$131,$B$183:$J$191),$B$123:$J$131),8,6)</f>
        <v>-4.02864369598198E-005</v>
      </c>
      <c r="H200" s="30" t="n">
        <f aca="false">INDEX(MMULT(MMULT($B$123:$J$131,$B$183:$J$191),$B$123:$J$131),8,7)</f>
        <v>0.000205186896291429</v>
      </c>
      <c r="I200" s="30" t="n">
        <f aca="false">INDEX(MMULT(MMULT($B$123:$J$131,$B$183:$J$191),$B$123:$J$131),8,8)</f>
        <v>0.000561840757544401</v>
      </c>
      <c r="J200" s="30" t="n">
        <f aca="false">INDEX(MMULT(MMULT($B$123:$J$131,$B$183:$J$191),$B$123:$J$131),8,9)</f>
        <v>-0.000335960229283411</v>
      </c>
    </row>
    <row r="201" customFormat="false" ht="15" hidden="false" customHeight="false" outlineLevel="0" collapsed="false">
      <c r="B201" s="30" t="n">
        <f aca="false">INDEX(MMULT(MMULT($B$123:$J$131,$B$183:$J$191),$B$123:$J$131),9,1)</f>
        <v>-2.77879700985572E-005</v>
      </c>
      <c r="C201" s="30" t="n">
        <f aca="false">INDEX(MMULT(MMULT($B$123:$J$131,$B$183:$J$191),$B$123:$J$131),9,2)</f>
        <v>0.000350360685629872</v>
      </c>
      <c r="D201" s="30" t="n">
        <f aca="false">INDEX(MMULT(MMULT($B$123:$J$131,$B$183:$J$191),$B$123:$J$131),9,3)</f>
        <v>1.70628091048443E-007</v>
      </c>
      <c r="E201" s="30" t="n">
        <f aca="false">INDEX(MMULT(MMULT($B$123:$J$131,$B$183:$J$191),$B$123:$J$131),9,4)</f>
        <v>1.97188447256707E-007</v>
      </c>
      <c r="F201" s="30" t="n">
        <f aca="false">INDEX(MMULT(MMULT($B$123:$J$131,$B$183:$J$191),$B$123:$J$131),9,5)</f>
        <v>-1.77446540829786E-007</v>
      </c>
      <c r="G201" s="30" t="n">
        <f aca="false">INDEX(MMULT(MMULT($B$123:$J$131,$B$183:$J$191),$B$123:$J$131),9,6)</f>
        <v>0.000251803685630225</v>
      </c>
      <c r="H201" s="30" t="n">
        <f aca="false">INDEX(MMULT(MMULT($B$123:$J$131,$B$183:$J$191),$B$123:$J$131),9,7)</f>
        <v>-0.000320387664494747</v>
      </c>
      <c r="I201" s="30" t="n">
        <f aca="false">INDEX(MMULT(MMULT($B$123:$J$131,$B$183:$J$191),$B$123:$J$131),9,8)</f>
        <v>-0.000335960229283411</v>
      </c>
      <c r="J201" s="30" t="n">
        <f aca="false">INDEX(MMULT(MMULT($B$123:$J$131,$B$183:$J$191),$B$123:$J$131),9,9)</f>
        <v>0.000376703612791382</v>
      </c>
    </row>
    <row r="203" customFormat="false" ht="15" hidden="false" customHeight="false" outlineLevel="0" collapsed="false">
      <c r="A203" s="15" t="s">
        <v>28</v>
      </c>
      <c r="B203" s="15" t="s">
        <v>29</v>
      </c>
      <c r="C203" s="15" t="s">
        <v>30</v>
      </c>
      <c r="D203" s="15" t="s">
        <v>31</v>
      </c>
      <c r="E203" s="15" t="s">
        <v>32</v>
      </c>
    </row>
    <row r="204" customFormat="false" ht="15" hidden="false" customHeight="false" outlineLevel="0" collapsed="false">
      <c r="A204" s="25" t="s">
        <v>161</v>
      </c>
      <c r="B204" s="8" t="n">
        <f aca="false">B88</f>
        <v>0.000851918294594057</v>
      </c>
      <c r="C204" s="26" t="n">
        <f aca="false">SQRT(INDEX($B$193:$J$201,1,1))</f>
        <v>0.00281767515701464</v>
      </c>
      <c r="D204" s="5" t="n">
        <f aca="false">B204/C204</f>
        <v>0.302347945423444</v>
      </c>
      <c r="E204" s="7" t="n">
        <f aca="false">TDIST(ABS(D204),$H$87,2)</f>
        <v>0.763323460624788</v>
      </c>
    </row>
    <row r="205" customFormat="false" ht="15" hidden="false" customHeight="false" outlineLevel="0" collapsed="false">
      <c r="A205" s="25" t="s">
        <v>141</v>
      </c>
      <c r="B205" s="8" t="n">
        <f aca="false">B89</f>
        <v>0.207108930100318</v>
      </c>
      <c r="C205" s="26" t="n">
        <f aca="false">SQRT(INDEX($B$193:$J$201,2,2))</f>
        <v>0.0495235122717022</v>
      </c>
      <c r="D205" s="5" t="n">
        <f aca="false">B205/C205</f>
        <v>4.18203234382995</v>
      </c>
      <c r="E205" s="7" t="n">
        <f aca="false">TDIST(ABS(D205),$H$87,2)</f>
        <v>8.57884511873798E-005</v>
      </c>
    </row>
    <row r="206" customFormat="false" ht="15" hidden="false" customHeight="false" outlineLevel="0" collapsed="false">
      <c r="A206" s="25" t="s">
        <v>142</v>
      </c>
      <c r="B206" s="8" t="n">
        <f aca="false">B90</f>
        <v>-4.73636659616789E-005</v>
      </c>
      <c r="C206" s="26" t="n">
        <f aca="false">SQRT(INDEX($B$193:$J$201,3,3))</f>
        <v>1.52290599927673E-005</v>
      </c>
      <c r="D206" s="5" t="n">
        <f aca="false">B206/C206</f>
        <v>-3.11008466603804</v>
      </c>
      <c r="E206" s="7" t="n">
        <f aca="false">TDIST(ABS(D206),$H$87,2)</f>
        <v>0.00274647255646849</v>
      </c>
    </row>
    <row r="207" customFormat="false" ht="15" hidden="false" customHeight="false" outlineLevel="0" collapsed="false">
      <c r="A207" s="25" t="s">
        <v>143</v>
      </c>
      <c r="B207" s="8" t="n">
        <f aca="false">B91</f>
        <v>-4.8035176052899E-005</v>
      </c>
      <c r="C207" s="26" t="n">
        <f aca="false">SQRT(INDEX($B$193:$J$201,4,4))</f>
        <v>1.37214986040828E-005</v>
      </c>
      <c r="D207" s="5" t="n">
        <f aca="false">B207/C207</f>
        <v>-3.5007237502911</v>
      </c>
      <c r="E207" s="7" t="n">
        <f aca="false">TDIST(ABS(D207),$H$87,2)</f>
        <v>0.000830376560534727</v>
      </c>
    </row>
    <row r="208" customFormat="false" ht="15" hidden="false" customHeight="false" outlineLevel="0" collapsed="false">
      <c r="A208" s="25" t="s">
        <v>144</v>
      </c>
      <c r="B208" s="8" t="n">
        <f aca="false">B92</f>
        <v>2.98310952942435E-005</v>
      </c>
      <c r="C208" s="26" t="n">
        <f aca="false">SQRT(INDEX($B$193:$J$201,5,5))</f>
        <v>1.49064570668706E-005</v>
      </c>
      <c r="D208" s="5" t="n">
        <f aca="false">B208/C208</f>
        <v>2.00121968355194</v>
      </c>
      <c r="E208" s="7" t="n">
        <f aca="false">TDIST(ABS(D208),$H$87,2)</f>
        <v>0.0494216621705475</v>
      </c>
    </row>
    <row r="209" customFormat="false" ht="15" hidden="false" customHeight="false" outlineLevel="0" collapsed="false">
      <c r="A209" s="25" t="s">
        <v>145</v>
      </c>
      <c r="B209" s="8" t="n">
        <f aca="false">B93</f>
        <v>-0.0959199493008989</v>
      </c>
      <c r="C209" s="26" t="n">
        <f aca="false">SQRT(INDEX($B$193:$J$201,6,6))</f>
        <v>0.0283381056896438</v>
      </c>
      <c r="D209" s="5" t="n">
        <f aca="false">B209/C209</f>
        <v>-3.38483984608587</v>
      </c>
      <c r="E209" s="7" t="n">
        <f aca="false">TDIST(ABS(D209),$H$87,2)</f>
        <v>0.00119438100641499</v>
      </c>
    </row>
    <row r="210" customFormat="false" ht="15" hidden="false" customHeight="false" outlineLevel="0" collapsed="false">
      <c r="A210" s="25" t="s">
        <v>146</v>
      </c>
      <c r="B210" s="8" t="n">
        <f aca="false">B94</f>
        <v>0.133399733885349</v>
      </c>
      <c r="C210" s="26" t="n">
        <f aca="false">SQRT(INDEX($B$193:$J$201,7,7))</f>
        <v>0.0475798858215979</v>
      </c>
      <c r="D210" s="5" t="n">
        <f aca="false">B210/C210</f>
        <v>2.80370016829244</v>
      </c>
      <c r="E210" s="7" t="n">
        <f aca="false">TDIST(ABS(D210),$H$87,2)</f>
        <v>0.00660256471267312</v>
      </c>
    </row>
    <row r="211" customFormat="false" ht="15" hidden="false" customHeight="false" outlineLevel="0" collapsed="false">
      <c r="A211" s="25" t="s">
        <v>178</v>
      </c>
      <c r="B211" s="8" t="n">
        <f aca="false">B95</f>
        <v>-0.117409106764086</v>
      </c>
      <c r="C211" s="26" t="n">
        <f aca="false">SQRT(INDEX($B$193:$J$201,8,8))</f>
        <v>0.023703180325526</v>
      </c>
      <c r="D211" s="5" t="n">
        <f aca="false">B211/C211</f>
        <v>-4.95330606069126</v>
      </c>
      <c r="E211" s="7" t="n">
        <f aca="false">TDIST(ABS(D211),$H$87,2)</f>
        <v>5.22025284230902E-006</v>
      </c>
    </row>
    <row r="212" customFormat="false" ht="15" hidden="false" customHeight="false" outlineLevel="0" collapsed="false">
      <c r="A212" s="25" t="s">
        <v>179</v>
      </c>
      <c r="B212" s="8" t="n">
        <f aca="false">B96</f>
        <v>0.141948540263757</v>
      </c>
      <c r="C212" s="26" t="n">
        <f aca="false">SQRT(INDEX($B$193:$J$201,9,9))</f>
        <v>0.019408853979341</v>
      </c>
      <c r="D212" s="5" t="n">
        <f aca="false">B212/C212</f>
        <v>7.31359720748314</v>
      </c>
      <c r="E212" s="7" t="n">
        <f aca="false">TDIST(ABS(D212),$H$87,2)</f>
        <v>4.14823818213884E-010</v>
      </c>
    </row>
    <row r="214" customFormat="false" ht="15" hidden="false" customHeight="false" outlineLevel="0" collapsed="false">
      <c r="A214" s="22" t="s">
        <v>182</v>
      </c>
      <c r="B214" s="23"/>
      <c r="C214" s="23"/>
      <c r="D214" s="23"/>
      <c r="E214" s="23"/>
      <c r="F214" s="23"/>
      <c r="G214" s="23"/>
      <c r="H214" s="23"/>
      <c r="I214" s="23"/>
    </row>
    <row r="215" customFormat="false" ht="15" hidden="false" customHeight="false" outlineLevel="0" collapsed="false">
      <c r="A215" s="2" t="s">
        <v>183</v>
      </c>
    </row>
    <row r="216" customFormat="false" ht="15" hidden="false" customHeight="false" outlineLevel="0" collapsed="false">
      <c r="A216" s="25" t="s">
        <v>184</v>
      </c>
      <c r="B216" s="8" t="n">
        <f aca="false">B103</f>
        <v>0.0561513748665623</v>
      </c>
    </row>
    <row r="217" customFormat="false" ht="15" hidden="false" customHeight="false" outlineLevel="0" collapsed="false">
      <c r="A217" s="25" t="s">
        <v>185</v>
      </c>
      <c r="B217" s="8" t="n">
        <f aca="false">Modelo_Actual!B101</f>
        <v>0.0772633950960716</v>
      </c>
    </row>
    <row r="218" customFormat="false" ht="15" hidden="false" customHeight="false" outlineLevel="0" collapsed="false">
      <c r="A218" s="25" t="s">
        <v>186</v>
      </c>
      <c r="B218" s="5" t="n">
        <v>2</v>
      </c>
    </row>
    <row r="219" customFormat="false" ht="15" hidden="false" customHeight="false" outlineLevel="0" collapsed="false">
      <c r="A219" s="25" t="s">
        <v>160</v>
      </c>
      <c r="B219" s="5" t="n">
        <f aca="false">$H$87</f>
        <v>67</v>
      </c>
    </row>
    <row r="220" customFormat="false" ht="15" hidden="false" customHeight="false" outlineLevel="0" collapsed="false">
      <c r="A220" s="25" t="s">
        <v>25</v>
      </c>
      <c r="B220" s="31" t="n">
        <f aca="false">((B217-B216)/B218)/(B216/B219)</f>
        <v>12.5954650152249</v>
      </c>
    </row>
    <row r="221" customFormat="false" ht="15" hidden="false" customHeight="false" outlineLevel="0" collapsed="false">
      <c r="A221" s="25" t="s">
        <v>26</v>
      </c>
      <c r="B221" s="27" t="n">
        <f aca="false">FDIST(B220,B218,B219)</f>
        <v>2.27222491600045E-005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1" min="2" style="0" width="13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5" customFormat="false" ht="15" hidden="false" customHeight="false" outlineLevel="0" collapsed="false">
      <c r="A5" s="3" t="s">
        <v>42</v>
      </c>
      <c r="B5" s="3" t="s">
        <v>140</v>
      </c>
      <c r="C5" s="3" t="s">
        <v>141</v>
      </c>
      <c r="D5" s="3" t="s">
        <v>142</v>
      </c>
      <c r="E5" s="3" t="s">
        <v>143</v>
      </c>
      <c r="F5" s="3" t="s">
        <v>144</v>
      </c>
      <c r="G5" s="3" t="s">
        <v>145</v>
      </c>
      <c r="H5" s="3" t="s">
        <v>146</v>
      </c>
      <c r="I5" s="3" t="s">
        <v>189</v>
      </c>
      <c r="J5" s="3" t="s">
        <v>147</v>
      </c>
      <c r="K5" s="3" t="s">
        <v>148</v>
      </c>
      <c r="L5" s="3" t="s">
        <v>149</v>
      </c>
    </row>
    <row r="6" customFormat="false" ht="15" hidden="false" customHeight="false" outlineLevel="0" collapsed="false">
      <c r="A6" s="20" t="str">
        <f aca="false">Datos!A14</f>
        <v>2007Q2</v>
      </c>
      <c r="B6" s="21" t="n">
        <f aca="false">Datos!F14</f>
        <v>0.0985938738676382</v>
      </c>
      <c r="C6" s="21" t="n">
        <f aca="false">Datos!I14</f>
        <v>-0.012635858101546</v>
      </c>
      <c r="D6" s="21" t="n">
        <f aca="false">Datos!H14</f>
        <v>58.1062311827956</v>
      </c>
      <c r="E6" s="21" t="n">
        <f aca="false">Datos!H12</f>
        <v>-57.3400276497695</v>
      </c>
      <c r="F6" s="21" t="n">
        <f aca="false">Datos!H8</f>
        <v>9.68690215163929</v>
      </c>
      <c r="G6" s="21" t="n">
        <f aca="false">Datos!J8</f>
        <v>-0.0652841179146</v>
      </c>
      <c r="H6" s="21" t="n">
        <f aca="false">Datos!K7</f>
        <v>0.115224744248954</v>
      </c>
      <c r="I6" s="21" t="n">
        <f aca="false">Datos!F13</f>
        <v>0.0835894113627564</v>
      </c>
      <c r="J6" s="19" t="n">
        <v>1</v>
      </c>
      <c r="K6" s="19" t="n">
        <f aca="false">B6-($B$88+$B$89*C6+$B$90*D6+$B$91*E6+$B$92*F6+$B$93*G6+$B$94*H6+$B$95*I6)</f>
        <v>-0.00204213799811492</v>
      </c>
      <c r="L6" s="19" t="n">
        <f aca="false">K6^2</f>
        <v>4.17032760334483E-006</v>
      </c>
    </row>
    <row r="7" customFormat="false" ht="15" hidden="false" customHeight="false" outlineLevel="0" collapsed="false">
      <c r="A7" s="20" t="str">
        <f aca="false">Datos!A15</f>
        <v>2007Q3</v>
      </c>
      <c r="B7" s="21" t="n">
        <f aca="false">Datos!F15</f>
        <v>0.0842779771268098</v>
      </c>
      <c r="C7" s="21" t="n">
        <f aca="false">Datos!I15</f>
        <v>-0.0246226187787558</v>
      </c>
      <c r="D7" s="21" t="n">
        <f aca="false">Datos!H15</f>
        <v>146.742396825397</v>
      </c>
      <c r="E7" s="21" t="n">
        <f aca="false">Datos!H13</f>
        <v>-71.4258225806452</v>
      </c>
      <c r="F7" s="21" t="n">
        <f aca="false">Datos!H9</f>
        <v>-29.0010684822845</v>
      </c>
      <c r="G7" s="21" t="n">
        <f aca="false">Datos!J9</f>
        <v>0.104633678332462</v>
      </c>
      <c r="H7" s="21" t="n">
        <f aca="false">Datos!K8</f>
        <v>0.0193530431424458</v>
      </c>
      <c r="I7" s="21" t="n">
        <f aca="false">Datos!F14</f>
        <v>0.0985938738676382</v>
      </c>
      <c r="J7" s="19" t="n">
        <v>1</v>
      </c>
      <c r="K7" s="19" t="n">
        <f aca="false">B7-($B$88+$B$89*C7+$B$90*D7+$B$91*E7+$B$92*F7+$B$93*G7+$B$94*H7+$B$95*I7)</f>
        <v>0.0112125350527847</v>
      </c>
      <c r="L7" s="19" t="n">
        <f aca="false">K7^2</f>
        <v>0.000125720942309926</v>
      </c>
    </row>
    <row r="8" customFormat="false" ht="15" hidden="false" customHeight="false" outlineLevel="0" collapsed="false">
      <c r="A8" s="20" t="str">
        <f aca="false">Datos!A16</f>
        <v>2007Q4</v>
      </c>
      <c r="B8" s="21" t="n">
        <f aca="false">Datos!F16</f>
        <v>0.092673486299768</v>
      </c>
      <c r="C8" s="21" t="n">
        <f aca="false">Datos!I16</f>
        <v>-0.0513696334944869</v>
      </c>
      <c r="D8" s="21" t="n">
        <f aca="false">Datos!H16</f>
        <v>-28.2266763952893</v>
      </c>
      <c r="E8" s="21" t="n">
        <f aca="false">Datos!H14</f>
        <v>58.1062311827956</v>
      </c>
      <c r="F8" s="21" t="n">
        <f aca="false">Datos!H10</f>
        <v>-40.7013678955453</v>
      </c>
      <c r="G8" s="21" t="n">
        <f aca="false">Datos!J10</f>
        <v>-0.0328640375646361</v>
      </c>
      <c r="H8" s="21" t="n">
        <f aca="false">Datos!K9</f>
        <v>0.0252689346766117</v>
      </c>
      <c r="I8" s="21" t="n">
        <f aca="false">Datos!F15</f>
        <v>0.0842779771268098</v>
      </c>
      <c r="J8" s="19" t="n">
        <v>1</v>
      </c>
      <c r="K8" s="19" t="n">
        <f aca="false">B8-($B$88+$B$89*C8+$B$90*D8+$B$91*E8+$B$92*F8+$B$93*G8+$B$94*H8+$B$95*I8)</f>
        <v>0.0181627624132863</v>
      </c>
      <c r="L8" s="19" t="n">
        <f aca="false">K8^2</f>
        <v>0.000329885938481486</v>
      </c>
    </row>
    <row r="9" customFormat="false" ht="15" hidden="false" customHeight="false" outlineLevel="0" collapsed="false">
      <c r="A9" s="20" t="str">
        <f aca="false">Datos!A17</f>
        <v>2008Q1</v>
      </c>
      <c r="B9" s="21" t="n">
        <f aca="false">Datos!F17</f>
        <v>0.0691231457663233</v>
      </c>
      <c r="C9" s="21" t="n">
        <f aca="false">Datos!I17</f>
        <v>-0.0322053955184198</v>
      </c>
      <c r="D9" s="21" t="n">
        <f aca="false">Datos!H17</f>
        <v>95.3370391327341</v>
      </c>
      <c r="E9" s="21" t="n">
        <f aca="false">Datos!H15</f>
        <v>146.742396825397</v>
      </c>
      <c r="F9" s="21" t="n">
        <f aca="false">Datos!H11</f>
        <v>-14.6685238095238</v>
      </c>
      <c r="G9" s="21" t="n">
        <f aca="false">Datos!J11</f>
        <v>0.0272371314829849</v>
      </c>
      <c r="H9" s="21" t="n">
        <f aca="false">Datos!K10</f>
        <v>0.000733575253602181</v>
      </c>
      <c r="I9" s="21" t="n">
        <f aca="false">Datos!F16</f>
        <v>0.092673486299768</v>
      </c>
      <c r="J9" s="19" t="n">
        <v>1</v>
      </c>
      <c r="K9" s="19" t="n">
        <f aca="false">B9-($B$88+$B$89*C9+$B$90*D9+$B$91*E9+$B$92*F9+$B$93*G9+$B$94*H9+$B$95*I9)</f>
        <v>0.00812721402086779</v>
      </c>
      <c r="L9" s="19" t="n">
        <f aca="false">K9^2</f>
        <v>6.605160774099E-005</v>
      </c>
    </row>
    <row r="10" customFormat="false" ht="15" hidden="false" customHeight="false" outlineLevel="0" collapsed="false">
      <c r="A10" s="20" t="str">
        <f aca="false">Datos!A18</f>
        <v>2008Q2</v>
      </c>
      <c r="B10" s="21" t="n">
        <f aca="false">Datos!F18</f>
        <v>0.0545268547475248</v>
      </c>
      <c r="C10" s="21" t="n">
        <f aca="false">Datos!I18</f>
        <v>-0.0472126174388314</v>
      </c>
      <c r="D10" s="21" t="n">
        <f aca="false">Datos!H18</f>
        <v>74.4147768954915</v>
      </c>
      <c r="E10" s="21" t="n">
        <f aca="false">Datos!H16</f>
        <v>-28.2266763952893</v>
      </c>
      <c r="F10" s="21" t="n">
        <f aca="false">Datos!H12</f>
        <v>-57.3400276497695</v>
      </c>
      <c r="G10" s="21" t="n">
        <f aca="false">Datos!J12</f>
        <v>0.0188405816005308</v>
      </c>
      <c r="H10" s="21" t="n">
        <f aca="false">Datos!K11</f>
        <v>-0.0492636656107994</v>
      </c>
      <c r="I10" s="21" t="n">
        <f aca="false">Datos!F17</f>
        <v>0.0691231457663233</v>
      </c>
      <c r="J10" s="19" t="n">
        <v>1</v>
      </c>
      <c r="K10" s="19" t="n">
        <f aca="false">B10-($B$88+$B$89*C10+$B$90*D10+$B$91*E10+$B$92*F10+$B$93*G10+$B$94*H10+$B$95*I10)</f>
        <v>0.0112586711425226</v>
      </c>
      <c r="L10" s="19" t="n">
        <f aca="false">K10^2</f>
        <v>0.000126757675895471</v>
      </c>
    </row>
    <row r="11" customFormat="false" ht="15" hidden="false" customHeight="false" outlineLevel="0" collapsed="false">
      <c r="A11" s="20" t="str">
        <f aca="false">Datos!A19</f>
        <v>2008Q3</v>
      </c>
      <c r="B11" s="21" t="n">
        <f aca="false">Datos!F19</f>
        <v>0.060060161436698</v>
      </c>
      <c r="C11" s="21" t="n">
        <f aca="false">Datos!I19</f>
        <v>0.0103881918110503</v>
      </c>
      <c r="D11" s="21" t="n">
        <f aca="false">Datos!H19</f>
        <v>140.17396875</v>
      </c>
      <c r="E11" s="21" t="n">
        <f aca="false">Datos!H17</f>
        <v>95.3370391327341</v>
      </c>
      <c r="F11" s="21" t="n">
        <f aca="false">Datos!H13</f>
        <v>-71.4258225806452</v>
      </c>
      <c r="G11" s="21" t="n">
        <f aca="false">Datos!J13</f>
        <v>0.0352994903857049</v>
      </c>
      <c r="H11" s="21" t="n">
        <f aca="false">Datos!K12</f>
        <v>0.0102718216533466</v>
      </c>
      <c r="I11" s="21" t="n">
        <f aca="false">Datos!F18</f>
        <v>0.0545268547475248</v>
      </c>
      <c r="J11" s="19" t="n">
        <v>1</v>
      </c>
      <c r="K11" s="19" t="n">
        <f aca="false">B11-($B$88+$B$89*C11+$B$90*D11+$B$91*E11+$B$92*F11+$B$93*G11+$B$94*H11+$B$95*I11)</f>
        <v>0.0274869377318643</v>
      </c>
      <c r="L11" s="19" t="n">
        <f aca="false">K11^2</f>
        <v>0.000755531745875384</v>
      </c>
    </row>
    <row r="12" customFormat="false" ht="15" hidden="false" customHeight="false" outlineLevel="0" collapsed="false">
      <c r="A12" s="20" t="str">
        <f aca="false">Datos!A20</f>
        <v>2008Q4</v>
      </c>
      <c r="B12" s="21" t="n">
        <f aca="false">Datos!F20</f>
        <v>-0.019789908841391</v>
      </c>
      <c r="C12" s="21" t="n">
        <f aca="false">Datos!I20</f>
        <v>-0.012294190622106</v>
      </c>
      <c r="D12" s="21" t="n">
        <f aca="false">Datos!H20</f>
        <v>999.763070060484</v>
      </c>
      <c r="E12" s="21" t="n">
        <f aca="false">Datos!H18</f>
        <v>74.4147768954915</v>
      </c>
      <c r="F12" s="21" t="n">
        <f aca="false">Datos!H14</f>
        <v>58.1062311827956</v>
      </c>
      <c r="G12" s="21" t="n">
        <f aca="false">Datos!J14</f>
        <v>0.00539921963636064</v>
      </c>
      <c r="H12" s="21" t="n">
        <f aca="false">Datos!K13</f>
        <v>0.0394713580665338</v>
      </c>
      <c r="I12" s="21" t="n">
        <f aca="false">Datos!F19</f>
        <v>0.060060161436698</v>
      </c>
      <c r="J12" s="19" t="n">
        <v>1</v>
      </c>
      <c r="K12" s="19" t="n">
        <f aca="false">B12-($B$88+$B$89*C12+$B$90*D12+$B$91*E12+$B$92*F12+$B$93*G12+$B$94*H12+$B$95*I12)</f>
        <v>-0.0238061294144336</v>
      </c>
      <c r="L12" s="19" t="n">
        <f aca="false">K12^2</f>
        <v>0.00056673179769676</v>
      </c>
    </row>
    <row r="13" customFormat="false" ht="15" hidden="false" customHeight="false" outlineLevel="0" collapsed="false">
      <c r="A13" s="20" t="str">
        <f aca="false">Datos!A21</f>
        <v>2009Q1</v>
      </c>
      <c r="B13" s="21" t="n">
        <f aca="false">Datos!F21</f>
        <v>-0.0618875514402444</v>
      </c>
      <c r="C13" s="21" t="n">
        <f aca="false">Datos!I21</f>
        <v>-0.0506409298873551</v>
      </c>
      <c r="D13" s="21" t="n">
        <f aca="false">Datos!H21</f>
        <v>3.47016790058183</v>
      </c>
      <c r="E13" s="21" t="n">
        <f aca="false">Datos!H19</f>
        <v>140.17396875</v>
      </c>
      <c r="F13" s="21" t="n">
        <f aca="false">Datos!H15</f>
        <v>146.742396825397</v>
      </c>
      <c r="G13" s="21" t="n">
        <f aca="false">Datos!J15</f>
        <v>0.100083014779252</v>
      </c>
      <c r="H13" s="21" t="n">
        <f aca="false">Datos!K14</f>
        <v>-0.0416510073677663</v>
      </c>
      <c r="I13" s="21" t="n">
        <f aca="false">Datos!F20</f>
        <v>-0.019789908841391</v>
      </c>
      <c r="J13" s="19" t="n">
        <v>1</v>
      </c>
      <c r="K13" s="19" t="n">
        <f aca="false">B13-($B$88+$B$89*C13+$B$90*D13+$B$91*E13+$B$92*F13+$B$93*G13+$B$94*H13+$B$95*I13)</f>
        <v>-0.0231380304776474</v>
      </c>
      <c r="L13" s="19" t="n">
        <f aca="false">K13^2</f>
        <v>0.000535368454384541</v>
      </c>
    </row>
    <row r="14" customFormat="false" ht="15" hidden="false" customHeight="false" outlineLevel="0" collapsed="false">
      <c r="A14" s="20" t="str">
        <f aca="false">Datos!A22</f>
        <v>2009Q2</v>
      </c>
      <c r="B14" s="21" t="n">
        <f aca="false">Datos!F22</f>
        <v>-0.112745471526209</v>
      </c>
      <c r="C14" s="21" t="n">
        <f aca="false">Datos!I22</f>
        <v>-0.0270336828188397</v>
      </c>
      <c r="D14" s="21" t="n">
        <f aca="false">Datos!H22</f>
        <v>-244.401219359875</v>
      </c>
      <c r="E14" s="21" t="n">
        <f aca="false">Datos!H20</f>
        <v>999.763070060484</v>
      </c>
      <c r="F14" s="21" t="n">
        <f aca="false">Datos!H16</f>
        <v>-28.2266763952893</v>
      </c>
      <c r="G14" s="21" t="n">
        <f aca="false">Datos!J16</f>
        <v>-0.0807503897728054</v>
      </c>
      <c r="H14" s="21" t="n">
        <f aca="false">Datos!K15</f>
        <v>-0.0183885313531229</v>
      </c>
      <c r="I14" s="21" t="n">
        <f aca="false">Datos!F21</f>
        <v>-0.0618875514402444</v>
      </c>
      <c r="J14" s="19" t="n">
        <v>1</v>
      </c>
      <c r="K14" s="19" t="n">
        <f aca="false">B14-($B$88+$B$89*C14+$B$90*D14+$B$91*E14+$B$92*F14+$B$93*G14+$B$94*H14+$B$95*I14)</f>
        <v>-0.015375574268654</v>
      </c>
      <c r="L14" s="19" t="n">
        <f aca="false">K14^2</f>
        <v>0.000236408284090895</v>
      </c>
    </row>
    <row r="15" customFormat="false" ht="15" hidden="false" customHeight="false" outlineLevel="0" collapsed="false">
      <c r="A15" s="20" t="str">
        <f aca="false">Datos!A23</f>
        <v>2009Q3</v>
      </c>
      <c r="B15" s="21" t="n">
        <f aca="false">Datos!F23</f>
        <v>-0.0565117996405296</v>
      </c>
      <c r="C15" s="21" t="n">
        <f aca="false">Datos!I23</f>
        <v>0.0188952503887881</v>
      </c>
      <c r="D15" s="21" t="n">
        <f aca="false">Datos!H23</f>
        <v>-533.989581101191</v>
      </c>
      <c r="E15" s="21" t="n">
        <f aca="false">Datos!H21</f>
        <v>3.47016790058183</v>
      </c>
      <c r="F15" s="21" t="n">
        <f aca="false">Datos!H17</f>
        <v>95.3370391327341</v>
      </c>
      <c r="G15" s="21" t="n">
        <f aca="false">Datos!J17</f>
        <v>-0.0136163320117733</v>
      </c>
      <c r="H15" s="21" t="n">
        <f aca="false">Datos!K16</f>
        <v>0.126406856244862</v>
      </c>
      <c r="I15" s="21" t="n">
        <f aca="false">Datos!F22</f>
        <v>-0.112745471526209</v>
      </c>
      <c r="J15" s="19" t="n">
        <v>1</v>
      </c>
      <c r="K15" s="19" t="n">
        <f aca="false">B15-($B$88+$B$89*C15+$B$90*D15+$B$91*E15+$B$92*F15+$B$93*G15+$B$94*H15+$B$95*I15)</f>
        <v>-0.0226973771113435</v>
      </c>
      <c r="L15" s="19" t="n">
        <f aca="false">K15^2</f>
        <v>0.000515170927734541</v>
      </c>
    </row>
    <row r="16" customFormat="false" ht="15" hidden="false" customHeight="false" outlineLevel="0" collapsed="false">
      <c r="A16" s="20" t="str">
        <f aca="false">Datos!A24</f>
        <v>2009Q4</v>
      </c>
      <c r="B16" s="21" t="n">
        <f aca="false">Datos!F24</f>
        <v>0.00281998226127467</v>
      </c>
      <c r="C16" s="21" t="n">
        <f aca="false">Datos!I24</f>
        <v>0.0202660816321944</v>
      </c>
      <c r="D16" s="21" t="n">
        <f aca="false">Datos!H24</f>
        <v>-203.745835181452</v>
      </c>
      <c r="E16" s="21" t="n">
        <f aca="false">Datos!H22</f>
        <v>-244.401219359875</v>
      </c>
      <c r="F16" s="21" t="n">
        <f aca="false">Datos!H18</f>
        <v>74.4147768954915</v>
      </c>
      <c r="G16" s="21" t="n">
        <f aca="false">Datos!J18</f>
        <v>0.051677262796743</v>
      </c>
      <c r="H16" s="21" t="n">
        <f aca="false">Datos!K17</f>
        <v>0.0947144557948736</v>
      </c>
      <c r="I16" s="21" t="n">
        <f aca="false">Datos!F23</f>
        <v>-0.0565117996405296</v>
      </c>
      <c r="J16" s="19" t="n">
        <v>1</v>
      </c>
      <c r="K16" s="19" t="n">
        <f aca="false">B16-($B$88+$B$89*C16+$B$90*D16+$B$91*E16+$B$92*F16+$B$93*G16+$B$94*H16+$B$95*I16)</f>
        <v>0.00397193009165241</v>
      </c>
      <c r="L16" s="19" t="n">
        <f aca="false">K16^2</f>
        <v>1.57762286529739E-005</v>
      </c>
    </row>
    <row r="17" customFormat="false" ht="15" hidden="false" customHeight="false" outlineLevel="0" collapsed="false">
      <c r="A17" s="20" t="str">
        <f aca="false">Datos!A25</f>
        <v>2010Q1</v>
      </c>
      <c r="B17" s="21" t="n">
        <f aca="false">Datos!F25</f>
        <v>0.0571326910752132</v>
      </c>
      <c r="C17" s="21" t="n">
        <f aca="false">Datos!I25</f>
        <v>0.0364851445863187</v>
      </c>
      <c r="D17" s="21" t="n">
        <f aca="false">Datos!H25</f>
        <v>15.4416356425168</v>
      </c>
      <c r="E17" s="21" t="n">
        <f aca="false">Datos!H23</f>
        <v>-533.989581101191</v>
      </c>
      <c r="F17" s="21" t="n">
        <f aca="false">Datos!H19</f>
        <v>140.17396875</v>
      </c>
      <c r="G17" s="21" t="n">
        <f aca="false">Datos!J19</f>
        <v>-0.0922660919721236</v>
      </c>
      <c r="H17" s="21" t="n">
        <f aca="false">Datos!K18</f>
        <v>-0.088947266354809</v>
      </c>
      <c r="I17" s="21" t="n">
        <f aca="false">Datos!F24</f>
        <v>0.00281998226127467</v>
      </c>
      <c r="J17" s="19" t="n">
        <v>1</v>
      </c>
      <c r="K17" s="19" t="n">
        <f aca="false">B17-($B$88+$B$89*C17+$B$90*D17+$B$91*E17+$B$92*F17+$B$93*G17+$B$94*H17+$B$95*I17)</f>
        <v>0.0176042002246411</v>
      </c>
      <c r="L17" s="19" t="n">
        <f aca="false">K17^2</f>
        <v>0.000309907865549254</v>
      </c>
    </row>
    <row r="18" customFormat="false" ht="15" hidden="false" customHeight="false" outlineLevel="0" collapsed="false">
      <c r="A18" s="20" t="str">
        <f aca="false">Datos!A26</f>
        <v>2010Q2</v>
      </c>
      <c r="B18" s="21" t="n">
        <f aca="false">Datos!F26</f>
        <v>0.162441995090574</v>
      </c>
      <c r="C18" s="21" t="n">
        <f aca="false">Datos!I26</f>
        <v>0.115499149243793</v>
      </c>
      <c r="D18" s="21" t="n">
        <f aca="false">Datos!H26</f>
        <v>0.464510798855258</v>
      </c>
      <c r="E18" s="21" t="n">
        <f aca="false">Datos!H24</f>
        <v>-203.745835181452</v>
      </c>
      <c r="F18" s="21" t="n">
        <f aca="false">Datos!H20</f>
        <v>999.763070060484</v>
      </c>
      <c r="G18" s="21" t="n">
        <f aca="false">Datos!J20</f>
        <v>0.044032264635168</v>
      </c>
      <c r="H18" s="21" t="n">
        <f aca="false">Datos!K19</f>
        <v>0.0223520724544983</v>
      </c>
      <c r="I18" s="21" t="n">
        <f aca="false">Datos!F25</f>
        <v>0.0571326910752132</v>
      </c>
      <c r="J18" s="19" t="n">
        <v>1</v>
      </c>
      <c r="K18" s="19" t="n">
        <f aca="false">B18-($B$88+$B$89*C18+$B$90*D18+$B$91*E18+$B$92*F18+$B$93*G18+$B$94*H18+$B$95*I18)</f>
        <v>0.0609448756357402</v>
      </c>
      <c r="L18" s="19" t="n">
        <f aca="false">K18^2</f>
        <v>0.00371427786625584</v>
      </c>
    </row>
    <row r="19" customFormat="false" ht="15" hidden="false" customHeight="false" outlineLevel="0" collapsed="false">
      <c r="A19" s="20" t="str">
        <f aca="false">Datos!A27</f>
        <v>2010Q3</v>
      </c>
      <c r="B19" s="21" t="n">
        <f aca="false">Datos!F27</f>
        <v>0.0950774236722809</v>
      </c>
      <c r="C19" s="21" t="n">
        <f aca="false">Datos!I27</f>
        <v>0.0131107735865699</v>
      </c>
      <c r="D19" s="21" t="n">
        <f aca="false">Datos!H27</f>
        <v>-22.7225300099209</v>
      </c>
      <c r="E19" s="21" t="n">
        <f aca="false">Datos!H25</f>
        <v>15.4416356425168</v>
      </c>
      <c r="F19" s="21" t="n">
        <f aca="false">Datos!H21</f>
        <v>3.47016790058183</v>
      </c>
      <c r="G19" s="21" t="n">
        <f aca="false">Datos!J21</f>
        <v>-0.0701582840739423</v>
      </c>
      <c r="H19" s="21" t="n">
        <f aca="false">Datos!K20</f>
        <v>-0.181715050328396</v>
      </c>
      <c r="I19" s="21" t="n">
        <f aca="false">Datos!F26</f>
        <v>0.162441995090574</v>
      </c>
      <c r="J19" s="19" t="n">
        <v>1</v>
      </c>
      <c r="K19" s="19" t="n">
        <f aca="false">B19-($B$88+$B$89*C19+$B$90*D19+$B$91*E19+$B$92*F19+$B$93*G19+$B$94*H19+$B$95*I19)</f>
        <v>-0.0189549091799627</v>
      </c>
      <c r="L19" s="19" t="n">
        <f aca="false">K19^2</f>
        <v>0.000359288582020633</v>
      </c>
    </row>
    <row r="20" customFormat="false" ht="15" hidden="false" customHeight="false" outlineLevel="0" collapsed="false">
      <c r="A20" s="20" t="str">
        <f aca="false">Datos!A28</f>
        <v>2010Q4</v>
      </c>
      <c r="B20" s="21" t="n">
        <f aca="false">Datos!F28</f>
        <v>0.0860979311042298</v>
      </c>
      <c r="C20" s="21" t="n">
        <f aca="false">Datos!I28</f>
        <v>0.0312470107223477</v>
      </c>
      <c r="D20" s="21" t="n">
        <f aca="false">Datos!H28</f>
        <v>-165.748584173387</v>
      </c>
      <c r="E20" s="21" t="n">
        <f aca="false">Datos!H26</f>
        <v>0.464510798855258</v>
      </c>
      <c r="F20" s="21" t="n">
        <f aca="false">Datos!H22</f>
        <v>-244.401219359875</v>
      </c>
      <c r="G20" s="21" t="n">
        <f aca="false">Datos!J22</f>
        <v>0.054123533141051</v>
      </c>
      <c r="H20" s="21" t="n">
        <f aca="false">Datos!K21</f>
        <v>-0.10171645872716</v>
      </c>
      <c r="I20" s="21" t="n">
        <f aca="false">Datos!F27</f>
        <v>0.0950774236722809</v>
      </c>
      <c r="J20" s="19" t="n">
        <v>1</v>
      </c>
      <c r="K20" s="19" t="n">
        <f aca="false">B20-($B$88+$B$89*C20+$B$90*D20+$B$91*E20+$B$92*F20+$B$93*G20+$B$94*H20+$B$95*I20)</f>
        <v>0.0234599101195893</v>
      </c>
      <c r="L20" s="19" t="n">
        <f aca="false">K20^2</f>
        <v>0.00055036738281921</v>
      </c>
    </row>
    <row r="21" customFormat="false" ht="15" hidden="false" customHeight="false" outlineLevel="0" collapsed="false">
      <c r="A21" s="20" t="str">
        <f aca="false">Datos!A29</f>
        <v>2011Q1</v>
      </c>
      <c r="B21" s="21" t="n">
        <f aca="false">Datos!F29</f>
        <v>0.0829261625044686</v>
      </c>
      <c r="C21" s="21" t="n">
        <f aca="false">Datos!I29</f>
        <v>0.0422766191537938</v>
      </c>
      <c r="D21" s="21" t="n">
        <f aca="false">Datos!H29</f>
        <v>-12.9487096774192</v>
      </c>
      <c r="E21" s="21" t="n">
        <f aca="false">Datos!H27</f>
        <v>-22.7225300099209</v>
      </c>
      <c r="F21" s="21" t="n">
        <f aca="false">Datos!H23</f>
        <v>-533.989581101191</v>
      </c>
      <c r="G21" s="21" t="n">
        <f aca="false">Datos!J23</f>
        <v>-0.0490698977401611</v>
      </c>
      <c r="H21" s="21" t="n">
        <f aca="false">Datos!K22</f>
        <v>0.129643513362584</v>
      </c>
      <c r="I21" s="21" t="n">
        <f aca="false">Datos!F28</f>
        <v>0.0860979311042298</v>
      </c>
      <c r="J21" s="19" t="n">
        <v>1</v>
      </c>
      <c r="K21" s="19" t="n">
        <f aca="false">B21-($B$88+$B$89*C21+$B$90*D21+$B$91*E21+$B$92*F21+$B$93*G21+$B$94*H21+$B$95*I21)</f>
        <v>-0.0102741136052611</v>
      </c>
      <c r="L21" s="19" t="n">
        <f aca="false">K21^2</f>
        <v>0.000105557410373811</v>
      </c>
    </row>
    <row r="22" customFormat="false" ht="15" hidden="false" customHeight="false" outlineLevel="0" collapsed="false">
      <c r="A22" s="20" t="str">
        <f aca="false">Datos!A30</f>
        <v>2011Q2</v>
      </c>
      <c r="B22" s="21" t="n">
        <f aca="false">Datos!F30</f>
        <v>0.0444334376577356</v>
      </c>
      <c r="C22" s="21" t="n">
        <f aca="false">Datos!I30</f>
        <v>-0.0386592979395697</v>
      </c>
      <c r="D22" s="21" t="n">
        <f aca="false">Datos!H30</f>
        <v>41.5229032258063</v>
      </c>
      <c r="E22" s="21" t="n">
        <f aca="false">Datos!H28</f>
        <v>-165.748584173387</v>
      </c>
      <c r="F22" s="21" t="n">
        <f aca="false">Datos!H24</f>
        <v>-203.745835181452</v>
      </c>
      <c r="G22" s="21" t="n">
        <f aca="false">Datos!J24</f>
        <v>0.0211877049597919</v>
      </c>
      <c r="H22" s="21" t="n">
        <f aca="false">Datos!K23</f>
        <v>0.0271664532119418</v>
      </c>
      <c r="I22" s="21" t="n">
        <f aca="false">Datos!F29</f>
        <v>0.0829261625044686</v>
      </c>
      <c r="J22" s="19" t="n">
        <v>1</v>
      </c>
      <c r="K22" s="19" t="n">
        <f aca="false">B22-($B$88+$B$89*C22+$B$90*D22+$B$91*E22+$B$92*F22+$B$93*G22+$B$94*H22+$B$95*I22)</f>
        <v>-0.0308256194740207</v>
      </c>
      <c r="L22" s="19" t="n">
        <f aca="false">K22^2</f>
        <v>0.000950218815957122</v>
      </c>
    </row>
    <row r="23" customFormat="false" ht="15" hidden="false" customHeight="false" outlineLevel="0" collapsed="false">
      <c r="A23" s="20" t="str">
        <f aca="false">Datos!A31</f>
        <v>2011Q3</v>
      </c>
      <c r="B23" s="21" t="n">
        <f aca="false">Datos!F31</f>
        <v>0.0640936718081673</v>
      </c>
      <c r="C23" s="21" t="n">
        <f aca="false">Datos!I31</f>
        <v>0.0068203401084819</v>
      </c>
      <c r="D23" s="21" t="n">
        <f aca="false">Datos!H31</f>
        <v>158.444625</v>
      </c>
      <c r="E23" s="21" t="n">
        <f aca="false">Datos!H29</f>
        <v>-12.9487096774192</v>
      </c>
      <c r="F23" s="21" t="n">
        <f aca="false">Datos!H25</f>
        <v>15.4416356425168</v>
      </c>
      <c r="G23" s="21" t="n">
        <f aca="false">Datos!J25</f>
        <v>0.0221868916706847</v>
      </c>
      <c r="H23" s="21" t="n">
        <f aca="false">Datos!K24</f>
        <v>0.081172316441758</v>
      </c>
      <c r="I23" s="21" t="n">
        <f aca="false">Datos!F30</f>
        <v>0.0444334376577356</v>
      </c>
      <c r="J23" s="19" t="n">
        <v>1</v>
      </c>
      <c r="K23" s="19" t="n">
        <f aca="false">B23-($B$88+$B$89*C23+$B$90*D23+$B$91*E23+$B$92*F23+$B$93*G23+$B$94*H23+$B$95*I23)</f>
        <v>0.0174390842013807</v>
      </c>
      <c r="L23" s="19" t="n">
        <f aca="false">K23^2</f>
        <v>0.000304121657782848</v>
      </c>
    </row>
    <row r="24" customFormat="false" ht="15" hidden="false" customHeight="false" outlineLevel="0" collapsed="false">
      <c r="A24" s="20" t="str">
        <f aca="false">Datos!A32</f>
        <v>2011Q4</v>
      </c>
      <c r="B24" s="21" t="n">
        <f aca="false">Datos!F32</f>
        <v>0.0521713189216535</v>
      </c>
      <c r="C24" s="21" t="n">
        <f aca="false">Datos!I32</f>
        <v>-0.0270244482852387</v>
      </c>
      <c r="D24" s="21" t="n">
        <f aca="false">Datos!H32</f>
        <v>174.585041666667</v>
      </c>
      <c r="E24" s="21" t="n">
        <f aca="false">Datos!H30</f>
        <v>41.5229032258063</v>
      </c>
      <c r="F24" s="21" t="n">
        <f aca="false">Datos!H26</f>
        <v>0.464510798855258</v>
      </c>
      <c r="G24" s="21" t="n">
        <f aca="false">Datos!J26</f>
        <v>-0.0447960728624985</v>
      </c>
      <c r="H24" s="21" t="n">
        <f aca="false">Datos!K25</f>
        <v>0.00367116102547781</v>
      </c>
      <c r="I24" s="21" t="n">
        <f aca="false">Datos!F31</f>
        <v>0.0640936718081673</v>
      </c>
      <c r="J24" s="19" t="n">
        <v>1</v>
      </c>
      <c r="K24" s="19" t="n">
        <f aca="false">B24-($B$88+$B$89*C24+$B$90*D24+$B$91*E24+$B$92*F24+$B$93*G24+$B$94*H24+$B$95*I24)</f>
        <v>0.003746539269007</v>
      </c>
      <c r="L24" s="19" t="n">
        <f aca="false">K24^2</f>
        <v>1.40365564942115E-005</v>
      </c>
    </row>
    <row r="25" customFormat="false" ht="15" hidden="false" customHeight="false" outlineLevel="0" collapsed="false">
      <c r="A25" s="20" t="str">
        <f aca="false">Datos!A33</f>
        <v>2012Q1</v>
      </c>
      <c r="B25" s="21" t="n">
        <f aca="false">Datos!F33</f>
        <v>0.0156424693190642</v>
      </c>
      <c r="C25" s="21" t="n">
        <f aca="false">Datos!I33</f>
        <v>-0.0290398188694472</v>
      </c>
      <c r="D25" s="21" t="n">
        <f aca="false">Datos!H33</f>
        <v>-75.1010327956988</v>
      </c>
      <c r="E25" s="21" t="n">
        <f aca="false">Datos!H31</f>
        <v>158.444625</v>
      </c>
      <c r="F25" s="21" t="n">
        <f aca="false">Datos!H27</f>
        <v>-22.7225300099209</v>
      </c>
      <c r="G25" s="21" t="n">
        <f aca="false">Datos!J27</f>
        <v>0.0629084391155807</v>
      </c>
      <c r="H25" s="21" t="n">
        <f aca="false">Datos!K26</f>
        <v>-0.134873174066432</v>
      </c>
      <c r="I25" s="21" t="n">
        <f aca="false">Datos!F32</f>
        <v>0.0521713189216535</v>
      </c>
      <c r="J25" s="19" t="n">
        <v>1</v>
      </c>
      <c r="K25" s="19" t="n">
        <f aca="false">B25-($B$88+$B$89*C25+$B$90*D25+$B$91*E25+$B$92*F25+$B$93*G25+$B$94*H25+$B$95*I25)</f>
        <v>0.00827230014675878</v>
      </c>
      <c r="L25" s="19" t="n">
        <f aca="false">K25^2</f>
        <v>6.84309497180653E-005</v>
      </c>
    </row>
    <row r="26" customFormat="false" ht="15" hidden="false" customHeight="false" outlineLevel="0" collapsed="false">
      <c r="A26" s="20" t="str">
        <f aca="false">Datos!A34</f>
        <v>2012Q2</v>
      </c>
      <c r="B26" s="21" t="n">
        <f aca="false">Datos!F34</f>
        <v>-0.0463175722342237</v>
      </c>
      <c r="C26" s="21" t="n">
        <f aca="false">Datos!I34</f>
        <v>-0.026110493572689</v>
      </c>
      <c r="D26" s="21" t="n">
        <f aca="false">Datos!H34</f>
        <v>231.838685176651</v>
      </c>
      <c r="E26" s="21" t="n">
        <f aca="false">Datos!H32</f>
        <v>174.585041666667</v>
      </c>
      <c r="F26" s="21" t="n">
        <f aca="false">Datos!H28</f>
        <v>-165.748584173387</v>
      </c>
      <c r="G26" s="21" t="n">
        <f aca="false">Datos!J28</f>
        <v>0.0406890191956908</v>
      </c>
      <c r="H26" s="21" t="n">
        <f aca="false">Datos!K27</f>
        <v>0.00395895744112517</v>
      </c>
      <c r="I26" s="21" t="n">
        <f aca="false">Datos!F33</f>
        <v>0.0156424693190642</v>
      </c>
      <c r="J26" s="19" t="n">
        <v>1</v>
      </c>
      <c r="K26" s="19" t="n">
        <f aca="false">B26-($B$88+$B$89*C26+$B$90*D26+$B$91*E26+$B$92*F26+$B$93*G26+$B$94*H26+$B$95*I26)</f>
        <v>-0.0296364276051608</v>
      </c>
      <c r="L26" s="19" t="n">
        <f aca="false">K26^2</f>
        <v>0.000878317841195938</v>
      </c>
    </row>
    <row r="27" customFormat="false" ht="15" hidden="false" customHeight="false" outlineLevel="0" collapsed="false">
      <c r="A27" s="20" t="str">
        <f aca="false">Datos!A35</f>
        <v>2012Q3</v>
      </c>
      <c r="B27" s="21" t="n">
        <f aca="false">Datos!F35</f>
        <v>-0.0111829419552486</v>
      </c>
      <c r="C27" s="21" t="n">
        <f aca="false">Datos!I35</f>
        <v>0.0386172859864582</v>
      </c>
      <c r="D27" s="21" t="n">
        <f aca="false">Datos!H35</f>
        <v>-43.7133031746029</v>
      </c>
      <c r="E27" s="21" t="n">
        <f aca="false">Datos!H33</f>
        <v>-75.1010327956988</v>
      </c>
      <c r="F27" s="21" t="n">
        <f aca="false">Datos!H29</f>
        <v>-12.9487096774192</v>
      </c>
      <c r="G27" s="21" t="n">
        <f aca="false">Datos!J29</f>
        <v>-0.0741697784354101</v>
      </c>
      <c r="H27" s="21" t="n">
        <f aca="false">Datos!K28</f>
        <v>0.05803748575736</v>
      </c>
      <c r="I27" s="21" t="n">
        <f aca="false">Datos!F34</f>
        <v>-0.0463175722342237</v>
      </c>
      <c r="J27" s="19" t="n">
        <v>1</v>
      </c>
      <c r="K27" s="19" t="n">
        <f aca="false">B27-($B$88+$B$89*C27+$B$90*D27+$B$91*E27+$B$92*F27+$B$93*G27+$B$94*H27+$B$95*I27)</f>
        <v>-0.00388082051825131</v>
      </c>
      <c r="L27" s="19" t="n">
        <f aca="false">K27^2</f>
        <v>1.50607678948803E-005</v>
      </c>
    </row>
    <row r="28" customFormat="false" ht="15" hidden="false" customHeight="false" outlineLevel="0" collapsed="false">
      <c r="A28" s="20" t="str">
        <f aca="false">Datos!A36</f>
        <v>2012Q4</v>
      </c>
      <c r="B28" s="21" t="n">
        <f aca="false">Datos!F36</f>
        <v>0.00555804016441552</v>
      </c>
      <c r="C28" s="21" t="n">
        <f aca="false">Datos!I36</f>
        <v>0.0395024208900321</v>
      </c>
      <c r="D28" s="21" t="n">
        <f aca="false">Datos!H36</f>
        <v>16.4557341269839</v>
      </c>
      <c r="E28" s="21" t="n">
        <f aca="false">Datos!H34</f>
        <v>231.838685176651</v>
      </c>
      <c r="F28" s="21" t="n">
        <f aca="false">Datos!H30</f>
        <v>41.5229032258063</v>
      </c>
      <c r="G28" s="21" t="n">
        <f aca="false">Datos!J30</f>
        <v>0.0370188748562493</v>
      </c>
      <c r="H28" s="21" t="n">
        <f aca="false">Datos!K29</f>
        <v>0.0369403748928518</v>
      </c>
      <c r="I28" s="21" t="n">
        <f aca="false">Datos!F35</f>
        <v>-0.0111829419552486</v>
      </c>
      <c r="J28" s="19" t="n">
        <v>1</v>
      </c>
      <c r="K28" s="19" t="n">
        <f aca="false">B28-($B$88+$B$89*C28+$B$90*D28+$B$91*E28+$B$92*F28+$B$93*G28+$B$94*H28+$B$95*I28)</f>
        <v>0.0198677090695707</v>
      </c>
      <c r="L28" s="19" t="n">
        <f aca="false">K28^2</f>
        <v>0.000394725863673103</v>
      </c>
    </row>
    <row r="29" customFormat="false" ht="15" hidden="false" customHeight="false" outlineLevel="0" collapsed="false">
      <c r="A29" s="20" t="str">
        <f aca="false">Datos!A37</f>
        <v>2013Q1</v>
      </c>
      <c r="B29" s="21" t="n">
        <f aca="false">Datos!F37</f>
        <v>0.00654025144614989</v>
      </c>
      <c r="C29" s="21" t="n">
        <f aca="false">Datos!I37</f>
        <v>-0.0136126649327899</v>
      </c>
      <c r="D29" s="21" t="n">
        <f aca="false">Datos!H37</f>
        <v>88.9247333333331</v>
      </c>
      <c r="E29" s="21" t="n">
        <f aca="false">Datos!H35</f>
        <v>-43.7133031746029</v>
      </c>
      <c r="F29" s="21" t="n">
        <f aca="false">Datos!H31</f>
        <v>158.444625</v>
      </c>
      <c r="G29" s="21" t="n">
        <f aca="false">Datos!J31</f>
        <v>0.0367630898891084</v>
      </c>
      <c r="H29" s="21" t="n">
        <f aca="false">Datos!K30</f>
        <v>0.0675225331288068</v>
      </c>
      <c r="I29" s="21" t="n">
        <f aca="false">Datos!F36</f>
        <v>0.00555804016441552</v>
      </c>
      <c r="J29" s="19" t="n">
        <v>1</v>
      </c>
      <c r="K29" s="19" t="n">
        <f aca="false">B29-($B$88+$B$89*C29+$B$90*D29+$B$91*E29+$B$92*F29+$B$93*G29+$B$94*H29+$B$95*I29)</f>
        <v>-0.0122366962566863</v>
      </c>
      <c r="L29" s="19" t="n">
        <f aca="false">K29^2</f>
        <v>0.000149736735278402</v>
      </c>
    </row>
    <row r="30" customFormat="false" ht="15" hidden="false" customHeight="false" outlineLevel="0" collapsed="false">
      <c r="A30" s="20" t="str">
        <f aca="false">Datos!A38</f>
        <v>2013Q2</v>
      </c>
      <c r="B30" s="21" t="n">
        <f aca="false">Datos!F38</f>
        <v>0.0624602349363816</v>
      </c>
      <c r="C30" s="21" t="n">
        <f aca="false">Datos!I38</f>
        <v>0.000905918240426698</v>
      </c>
      <c r="D30" s="21" t="n">
        <f aca="false">Datos!H38</f>
        <v>74.8855166666669</v>
      </c>
      <c r="E30" s="21" t="n">
        <f aca="false">Datos!H36</f>
        <v>16.4557341269839</v>
      </c>
      <c r="F30" s="21" t="n">
        <f aca="false">Datos!H32</f>
        <v>174.585041666667</v>
      </c>
      <c r="G30" s="21" t="n">
        <f aca="false">Datos!J32</f>
        <v>-0.135501479583027</v>
      </c>
      <c r="H30" s="21" t="n">
        <f aca="false">Datos!K31</f>
        <v>-0.0288618479552661</v>
      </c>
      <c r="I30" s="21" t="n">
        <f aca="false">Datos!F37</f>
        <v>0.00654025144614989</v>
      </c>
      <c r="J30" s="19" t="n">
        <v>1</v>
      </c>
      <c r="K30" s="19" t="n">
        <f aca="false">B30-($B$88+$B$89*C30+$B$90*D30+$B$91*E30+$B$92*F30+$B$93*G30+$B$94*H30+$B$95*I30)</f>
        <v>0.0447749336525014</v>
      </c>
      <c r="L30" s="19" t="n">
        <f aca="false">K30^2</f>
        <v>0.0020047946835859</v>
      </c>
    </row>
    <row r="31" customFormat="false" ht="15" hidden="false" customHeight="false" outlineLevel="0" collapsed="false">
      <c r="A31" s="20" t="str">
        <f aca="false">Datos!A39</f>
        <v>2013Q3</v>
      </c>
      <c r="B31" s="21" t="n">
        <f aca="false">Datos!F39</f>
        <v>0.0255838987402566</v>
      </c>
      <c r="C31" s="21" t="n">
        <f aca="false">Datos!I39</f>
        <v>-0.0669208551958795</v>
      </c>
      <c r="D31" s="21" t="n">
        <f aca="false">Datos!H39</f>
        <v>-109.725953125</v>
      </c>
      <c r="E31" s="21" t="n">
        <f aca="false">Datos!H37</f>
        <v>88.9247333333331</v>
      </c>
      <c r="F31" s="21" t="n">
        <f aca="false">Datos!H33</f>
        <v>-75.1010327956988</v>
      </c>
      <c r="G31" s="21" t="n">
        <f aca="false">Datos!J33</f>
        <v>0.0927807464043467</v>
      </c>
      <c r="H31" s="21" t="n">
        <f aca="false">Datos!K32</f>
        <v>-0.0632996042190603</v>
      </c>
      <c r="I31" s="21" t="n">
        <f aca="false">Datos!F38</f>
        <v>0.0624602349363816</v>
      </c>
      <c r="J31" s="19" t="n">
        <v>1</v>
      </c>
      <c r="K31" s="19" t="n">
        <f aca="false">B31-($B$88+$B$89*C31+$B$90*D31+$B$91*E31+$B$92*F31+$B$93*G31+$B$94*H31+$B$95*I31)</f>
        <v>-0.00237736330217742</v>
      </c>
      <c r="L31" s="19" t="n">
        <f aca="false">K31^2</f>
        <v>5.65185627053992E-006</v>
      </c>
    </row>
    <row r="32" customFormat="false" ht="15" hidden="false" customHeight="false" outlineLevel="0" collapsed="false">
      <c r="A32" s="20" t="str">
        <f aca="false">Datos!A40</f>
        <v>2013Q4</v>
      </c>
      <c r="B32" s="21" t="n">
        <f aca="false">Datos!F40</f>
        <v>-0.000510205754616022</v>
      </c>
      <c r="C32" s="21" t="n">
        <f aca="false">Datos!I40</f>
        <v>-0.0573108864708702</v>
      </c>
      <c r="D32" s="21" t="n">
        <f aca="false">Datos!H40</f>
        <v>-236.474292776639</v>
      </c>
      <c r="E32" s="21" t="n">
        <f aca="false">Datos!H38</f>
        <v>74.8855166666669</v>
      </c>
      <c r="F32" s="21" t="n">
        <f aca="false">Datos!H34</f>
        <v>231.838685176651</v>
      </c>
      <c r="G32" s="21" t="n">
        <f aca="false">Datos!J34</f>
        <v>-0.0400600353414598</v>
      </c>
      <c r="H32" s="21" t="n">
        <f aca="false">Datos!K33</f>
        <v>-0.0212380852307825</v>
      </c>
      <c r="I32" s="21" t="n">
        <f aca="false">Datos!F39</f>
        <v>0.0255838987402566</v>
      </c>
      <c r="J32" s="19" t="n">
        <v>1</v>
      </c>
      <c r="K32" s="19" t="n">
        <f aca="false">B32-($B$88+$B$89*C32+$B$90*D32+$B$91*E32+$B$92*F32+$B$93*G32+$B$94*H32+$B$95*I32)</f>
        <v>-0.0359122001507646</v>
      </c>
      <c r="L32" s="19" t="n">
        <f aca="false">K32^2</f>
        <v>0.00128968611966857</v>
      </c>
    </row>
    <row r="33" customFormat="false" ht="15" hidden="false" customHeight="false" outlineLevel="0" collapsed="false">
      <c r="A33" s="20" t="str">
        <f aca="false">Datos!A41</f>
        <v>2014Q1</v>
      </c>
      <c r="B33" s="21" t="n">
        <f aca="false">Datos!F41</f>
        <v>-0.00889028383967849</v>
      </c>
      <c r="C33" s="21" t="n">
        <f aca="false">Datos!I41</f>
        <v>-0.0958800124314026</v>
      </c>
      <c r="D33" s="21" t="n">
        <f aca="false">Datos!H41</f>
        <v>71.9946229508196</v>
      </c>
      <c r="E33" s="21" t="n">
        <f aca="false">Datos!H39</f>
        <v>-109.725953125</v>
      </c>
      <c r="F33" s="21" t="n">
        <f aca="false">Datos!H35</f>
        <v>-43.7133031746029</v>
      </c>
      <c r="G33" s="21" t="n">
        <f aca="false">Datos!J35</f>
        <v>-0.067078079606848</v>
      </c>
      <c r="H33" s="21" t="n">
        <f aca="false">Datos!K34</f>
        <v>-0.0420035680408851</v>
      </c>
      <c r="I33" s="21" t="n">
        <f aca="false">Datos!F40</f>
        <v>-0.000510205754616022</v>
      </c>
      <c r="J33" s="19" t="n">
        <v>1</v>
      </c>
      <c r="K33" s="19" t="n">
        <f aca="false">B33-($B$88+$B$89*C33+$B$90*D33+$B$91*E33+$B$92*F33+$B$93*G33+$B$94*H33+$B$95*I33)</f>
        <v>-0.00650465910079276</v>
      </c>
      <c r="L33" s="19" t="n">
        <f aca="false">K33^2</f>
        <v>4.2310590017526E-005</v>
      </c>
    </row>
    <row r="34" customFormat="false" ht="15" hidden="false" customHeight="false" outlineLevel="0" collapsed="false">
      <c r="A34" s="20" t="str">
        <f aca="false">Datos!A42</f>
        <v>2014Q2</v>
      </c>
      <c r="B34" s="21" t="n">
        <f aca="false">Datos!F42</f>
        <v>-0.0204893869308982</v>
      </c>
      <c r="C34" s="21" t="n">
        <f aca="false">Datos!I42</f>
        <v>-0.0333671304691989</v>
      </c>
      <c r="D34" s="21" t="n">
        <f aca="false">Datos!H42</f>
        <v>-143.202551652355</v>
      </c>
      <c r="E34" s="21" t="n">
        <f aca="false">Datos!H40</f>
        <v>-236.474292776639</v>
      </c>
      <c r="F34" s="21" t="n">
        <f aca="false">Datos!H36</f>
        <v>16.4557341269839</v>
      </c>
      <c r="G34" s="21" t="n">
        <f aca="false">Datos!J36</f>
        <v>0.0542645345476518</v>
      </c>
      <c r="H34" s="21" t="n">
        <f aca="false">Datos!K35</f>
        <v>0.079458812069766</v>
      </c>
      <c r="I34" s="21" t="n">
        <f aca="false">Datos!F41</f>
        <v>-0.00889028383967849</v>
      </c>
      <c r="J34" s="19" t="n">
        <v>1</v>
      </c>
      <c r="K34" s="19" t="n">
        <f aca="false">B34-($B$88+$B$89*C34+$B$90*D34+$B$91*E34+$B$92*F34+$B$93*G34+$B$94*H34+$B$95*I34)</f>
        <v>-0.0466814271799084</v>
      </c>
      <c r="L34" s="19" t="n">
        <f aca="false">K34^2</f>
        <v>0.00217915564355309</v>
      </c>
    </row>
    <row r="35" customFormat="false" ht="15" hidden="false" customHeight="false" outlineLevel="0" collapsed="false">
      <c r="A35" s="20" t="str">
        <f aca="false">Datos!A43</f>
        <v>2014Q3</v>
      </c>
      <c r="B35" s="21" t="n">
        <f aca="false">Datos!F43</f>
        <v>-0.0423851505475772</v>
      </c>
      <c r="C35" s="21" t="n">
        <f aca="false">Datos!I43</f>
        <v>-0.00270570265133011</v>
      </c>
      <c r="D35" s="21" t="n">
        <f aca="false">Datos!H43</f>
        <v>-73.5206691468252</v>
      </c>
      <c r="E35" s="21" t="n">
        <f aca="false">Datos!H41</f>
        <v>71.9946229508196</v>
      </c>
      <c r="F35" s="21" t="n">
        <f aca="false">Datos!H37</f>
        <v>88.9247333333331</v>
      </c>
      <c r="G35" s="21" t="n">
        <f aca="false">Datos!J37</f>
        <v>-0.0125683284799909</v>
      </c>
      <c r="H35" s="21" t="n">
        <f aca="false">Datos!K36</f>
        <v>-0.0215673319846723</v>
      </c>
      <c r="I35" s="21" t="n">
        <f aca="false">Datos!F42</f>
        <v>-0.0204893869308982</v>
      </c>
      <c r="J35" s="19" t="n">
        <v>1</v>
      </c>
      <c r="K35" s="19" t="n">
        <f aca="false">B35-($B$88+$B$89*C35+$B$90*D35+$B$91*E35+$B$92*F35+$B$93*G35+$B$94*H35+$B$95*I35)</f>
        <v>-0.0280825563337122</v>
      </c>
      <c r="L35" s="19" t="n">
        <f aca="false">K35^2</f>
        <v>0.000788629970236118</v>
      </c>
    </row>
    <row r="36" customFormat="false" ht="15" hidden="false" customHeight="false" outlineLevel="0" collapsed="false">
      <c r="A36" s="20" t="str">
        <f aca="false">Datos!A44</f>
        <v>2014Q4</v>
      </c>
      <c r="B36" s="21" t="n">
        <f aca="false">Datos!F44</f>
        <v>-0.0281573013880524</v>
      </c>
      <c r="C36" s="21" t="n">
        <f aca="false">Datos!I44</f>
        <v>0.0206592277311123</v>
      </c>
      <c r="D36" s="21" t="n">
        <f aca="false">Datos!H44</f>
        <v>21.0197781762296</v>
      </c>
      <c r="E36" s="21" t="n">
        <f aca="false">Datos!H42</f>
        <v>-143.202551652355</v>
      </c>
      <c r="F36" s="21" t="n">
        <f aca="false">Datos!H38</f>
        <v>74.8855166666669</v>
      </c>
      <c r="G36" s="21" t="n">
        <f aca="false">Datos!J38</f>
        <v>0.0292871541298152</v>
      </c>
      <c r="H36" s="21" t="n">
        <f aca="false">Datos!K37</f>
        <v>-0.0867445085368881</v>
      </c>
      <c r="I36" s="21" t="n">
        <f aca="false">Datos!F43</f>
        <v>-0.0423851505475772</v>
      </c>
      <c r="J36" s="19" t="n">
        <v>1</v>
      </c>
      <c r="K36" s="19" t="n">
        <f aca="false">B36-($B$88+$B$89*C36+$B$90*D36+$B$91*E36+$B$92*F36+$B$93*G36+$B$94*H36+$B$95*I36)</f>
        <v>0.0101316843261984</v>
      </c>
      <c r="L36" s="19" t="n">
        <f aca="false">K36^2</f>
        <v>0.000102651027285734</v>
      </c>
    </row>
    <row r="37" customFormat="false" ht="15" hidden="false" customHeight="false" outlineLevel="0" collapsed="false">
      <c r="A37" s="20" t="str">
        <f aca="false">Datos!A45</f>
        <v>2015Q1</v>
      </c>
      <c r="B37" s="21" t="n">
        <f aca="false">Datos!F45</f>
        <v>0.00250908947797246</v>
      </c>
      <c r="C37" s="21" t="n">
        <f aca="false">Datos!I45</f>
        <v>0.12737234338906</v>
      </c>
      <c r="D37" s="21" t="n">
        <f aca="false">Datos!H45</f>
        <v>-63.2494918032786</v>
      </c>
      <c r="E37" s="21" t="n">
        <f aca="false">Datos!H43</f>
        <v>-73.5206691468252</v>
      </c>
      <c r="F37" s="21" t="n">
        <f aca="false">Datos!H39</f>
        <v>-109.725953125</v>
      </c>
      <c r="G37" s="21" t="n">
        <f aca="false">Datos!J39</f>
        <v>0.0770487894176897</v>
      </c>
      <c r="H37" s="21" t="n">
        <f aca="false">Datos!K38</f>
        <v>0.0123174371873954</v>
      </c>
      <c r="I37" s="21" t="n">
        <f aca="false">Datos!F44</f>
        <v>-0.0281573013880524</v>
      </c>
      <c r="J37" s="19" t="n">
        <v>1</v>
      </c>
      <c r="K37" s="19" t="n">
        <f aca="false">B37-($B$88+$B$89*C37+$B$90*D37+$B$91*E37+$B$92*F37+$B$93*G37+$B$94*H37+$B$95*I37)</f>
        <v>0.0136779986274695</v>
      </c>
      <c r="L37" s="19" t="n">
        <f aca="false">K37^2</f>
        <v>0.000187087646453057</v>
      </c>
    </row>
    <row r="38" customFormat="false" ht="15" hidden="false" customHeight="false" outlineLevel="0" collapsed="false">
      <c r="A38" s="20" t="str">
        <f aca="false">Datos!A46</f>
        <v>2015Q2</v>
      </c>
      <c r="B38" s="21" t="n">
        <f aca="false">Datos!F46</f>
        <v>0.0403103203233863</v>
      </c>
      <c r="C38" s="21" t="n">
        <f aca="false">Datos!I46</f>
        <v>0.079305358514979</v>
      </c>
      <c r="D38" s="21" t="n">
        <f aca="false">Datos!H46</f>
        <v>-69.448288776797</v>
      </c>
      <c r="E38" s="21" t="n">
        <f aca="false">Datos!H44</f>
        <v>21.0197781762296</v>
      </c>
      <c r="F38" s="21" t="n">
        <f aca="false">Datos!H40</f>
        <v>-236.474292776639</v>
      </c>
      <c r="G38" s="21" t="n">
        <f aca="false">Datos!J40</f>
        <v>-0.031577165647831</v>
      </c>
      <c r="H38" s="21" t="n">
        <f aca="false">Datos!K39</f>
        <v>-0.0661301293821577</v>
      </c>
      <c r="I38" s="21" t="n">
        <f aca="false">Datos!F45</f>
        <v>0.00250908947797246</v>
      </c>
      <c r="J38" s="19" t="n">
        <v>1</v>
      </c>
      <c r="K38" s="19" t="n">
        <f aca="false">B38-($B$88+$B$89*C38+$B$90*D38+$B$91*E38+$B$92*F38+$B$93*G38+$B$94*H38+$B$95*I38)</f>
        <v>0.0422825076736788</v>
      </c>
      <c r="L38" s="19" t="n">
        <f aca="false">K38^2</f>
        <v>0.00178781045517471</v>
      </c>
    </row>
    <row r="39" customFormat="false" ht="15" hidden="false" customHeight="false" outlineLevel="0" collapsed="false">
      <c r="A39" s="20" t="str">
        <f aca="false">Datos!A47</f>
        <v>2015Q3</v>
      </c>
      <c r="B39" s="21" t="n">
        <f aca="false">Datos!F47</f>
        <v>0.0396616998607275</v>
      </c>
      <c r="C39" s="21" t="n">
        <f aca="false">Datos!I47</f>
        <v>-0.0219317664243788</v>
      </c>
      <c r="D39" s="21" t="n">
        <f aca="false">Datos!H47</f>
        <v>-12.3885780885781</v>
      </c>
      <c r="E39" s="21" t="n">
        <f aca="false">Datos!H45</f>
        <v>-63.2494918032786</v>
      </c>
      <c r="F39" s="21" t="n">
        <f aca="false">Datos!H41</f>
        <v>71.9946229508196</v>
      </c>
      <c r="G39" s="21" t="n">
        <f aca="false">Datos!J41</f>
        <v>0.0530334992950312</v>
      </c>
      <c r="H39" s="21" t="n">
        <f aca="false">Datos!K40</f>
        <v>-0.0319000966767005</v>
      </c>
      <c r="I39" s="21" t="n">
        <f aca="false">Datos!F46</f>
        <v>0.0403103203233863</v>
      </c>
      <c r="J39" s="19" t="n">
        <v>1</v>
      </c>
      <c r="K39" s="19" t="n">
        <f aca="false">B39-($B$88+$B$89*C39+$B$90*D39+$B$91*E39+$B$92*F39+$B$93*G39+$B$94*H39+$B$95*I39)</f>
        <v>0.00821192293381092</v>
      </c>
      <c r="L39" s="19" t="n">
        <f aca="false">K39^2</f>
        <v>6.74356782708498E-005</v>
      </c>
    </row>
    <row r="40" customFormat="false" ht="15" hidden="false" customHeight="false" outlineLevel="0" collapsed="false">
      <c r="A40" s="20" t="str">
        <f aca="false">Datos!A48</f>
        <v>2015Q4</v>
      </c>
      <c r="B40" s="21" t="n">
        <f aca="false">Datos!F48</f>
        <v>0.0247270091543546</v>
      </c>
      <c r="C40" s="21" t="n">
        <f aca="false">Datos!I48</f>
        <v>0.00284689976009123</v>
      </c>
      <c r="D40" s="21" t="n">
        <f aca="false">Datos!H48</f>
        <v>-78.2729603729604</v>
      </c>
      <c r="E40" s="21" t="n">
        <f aca="false">Datos!H46</f>
        <v>-69.448288776797</v>
      </c>
      <c r="F40" s="21" t="n">
        <f aca="false">Datos!H42</f>
        <v>-143.202551652355</v>
      </c>
      <c r="G40" s="21" t="n">
        <f aca="false">Datos!J42</f>
        <v>0.067920751391922</v>
      </c>
      <c r="H40" s="21" t="n">
        <f aca="false">Datos!K41</f>
        <v>0.0671200742533991</v>
      </c>
      <c r="I40" s="21" t="n">
        <f aca="false">Datos!F47</f>
        <v>0.0396616998607275</v>
      </c>
      <c r="J40" s="19" t="n">
        <v>1</v>
      </c>
      <c r="K40" s="19" t="n">
        <f aca="false">B40-($B$88+$B$89*C40+$B$90*D40+$B$91*E40+$B$92*F40+$B$93*G40+$B$94*H40+$B$95*I40)</f>
        <v>-0.0219487794413254</v>
      </c>
      <c r="L40" s="19" t="n">
        <f aca="false">K40^2</f>
        <v>0.00048174891896395</v>
      </c>
    </row>
    <row r="41" customFormat="false" ht="15" hidden="false" customHeight="false" outlineLevel="0" collapsed="false">
      <c r="A41" s="20" t="str">
        <f aca="false">Datos!A49</f>
        <v>2016Q1</v>
      </c>
      <c r="B41" s="21" t="n">
        <f aca="false">Datos!F49</f>
        <v>0.00728692545281007</v>
      </c>
      <c r="C41" s="21" t="n">
        <f aca="false">Datos!I49</f>
        <v>-0.114795786877596</v>
      </c>
      <c r="D41" s="21" t="n">
        <f aca="false">Datos!H49</f>
        <v>-38.2862026862027</v>
      </c>
      <c r="E41" s="21" t="n">
        <f aca="false">Datos!H47</f>
        <v>-12.3885780885781</v>
      </c>
      <c r="F41" s="21" t="n">
        <f aca="false">Datos!H43</f>
        <v>-73.5206691468252</v>
      </c>
      <c r="G41" s="21" t="n">
        <f aca="false">Datos!J43</f>
        <v>-0.0382165552288544</v>
      </c>
      <c r="H41" s="21" t="n">
        <f aca="false">Datos!K42</f>
        <v>0.0831122793228319</v>
      </c>
      <c r="I41" s="21" t="n">
        <f aca="false">Datos!F48</f>
        <v>0.0247270091543546</v>
      </c>
      <c r="J41" s="19" t="n">
        <v>1</v>
      </c>
      <c r="K41" s="19" t="n">
        <f aca="false">B41-($B$88+$B$89*C41+$B$90*D41+$B$91*E41+$B$92*F41+$B$93*G41+$B$94*H41+$B$95*I41)</f>
        <v>-0.0283478426993079</v>
      </c>
      <c r="L41" s="19" t="n">
        <f aca="false">K41^2</f>
        <v>0.000803600185704702</v>
      </c>
    </row>
    <row r="42" customFormat="false" ht="15" hidden="false" customHeight="false" outlineLevel="0" collapsed="false">
      <c r="A42" s="20" t="str">
        <f aca="false">Datos!A50</f>
        <v>2016Q2</v>
      </c>
      <c r="B42" s="21" t="n">
        <f aca="false">Datos!F50</f>
        <v>-0.0385885964740134</v>
      </c>
      <c r="C42" s="21" t="n">
        <f aca="false">Datos!I50</f>
        <v>-0.0963649166129051</v>
      </c>
      <c r="D42" s="21" t="n">
        <f aca="false">Datos!H50</f>
        <v>-20.156746031746</v>
      </c>
      <c r="E42" s="21" t="n">
        <f aca="false">Datos!H48</f>
        <v>-78.2729603729604</v>
      </c>
      <c r="F42" s="21" t="n">
        <f aca="false">Datos!H44</f>
        <v>21.0197781762296</v>
      </c>
      <c r="G42" s="21" t="n">
        <f aca="false">Datos!J44</f>
        <v>-0.0169003162690849</v>
      </c>
      <c r="H42" s="21" t="n">
        <f aca="false">Datos!K43</f>
        <v>-0.0497386703925971</v>
      </c>
      <c r="I42" s="21" t="n">
        <f aca="false">Datos!F49</f>
        <v>0.00728692545281007</v>
      </c>
      <c r="J42" s="19" t="n">
        <v>1</v>
      </c>
      <c r="K42" s="19" t="n">
        <f aca="false">B42-($B$88+$B$89*C42+$B$90*D42+$B$91*E42+$B$92*F42+$B$93*G42+$B$94*H42+$B$95*I42)</f>
        <v>-0.0409234903823766</v>
      </c>
      <c r="L42" s="19" t="n">
        <f aca="false">K42^2</f>
        <v>0.00167473206507647</v>
      </c>
    </row>
    <row r="43" customFormat="false" ht="15" hidden="false" customHeight="false" outlineLevel="0" collapsed="false">
      <c r="A43" s="20" t="str">
        <f aca="false">Datos!A51</f>
        <v>2016Q3</v>
      </c>
      <c r="B43" s="21" t="n">
        <f aca="false">Datos!F51</f>
        <v>-0.0332721885187776</v>
      </c>
      <c r="C43" s="21" t="n">
        <f aca="false">Datos!I51</f>
        <v>0.0125883030332315</v>
      </c>
      <c r="D43" s="21" t="n">
        <f aca="false">Datos!H51</f>
        <v>51.5281007751937</v>
      </c>
      <c r="E43" s="21" t="n">
        <f aca="false">Datos!H49</f>
        <v>-38.2862026862027</v>
      </c>
      <c r="F43" s="21" t="n">
        <f aca="false">Datos!H45</f>
        <v>-63.2494918032786</v>
      </c>
      <c r="G43" s="21" t="n">
        <f aca="false">Datos!J45</f>
        <v>-0.0227808354678118</v>
      </c>
      <c r="H43" s="21" t="n">
        <f aca="false">Datos!K44</f>
        <v>-0.0545195466572687</v>
      </c>
      <c r="I43" s="21" t="n">
        <f aca="false">Datos!F50</f>
        <v>-0.0385885964740134</v>
      </c>
      <c r="J43" s="19" t="n">
        <v>1</v>
      </c>
      <c r="K43" s="19" t="n">
        <f aca="false">B43-($B$88+$B$89*C43+$B$90*D43+$B$91*E43+$B$92*F43+$B$93*G43+$B$94*H43+$B$95*I43)</f>
        <v>0.00380891372221392</v>
      </c>
      <c r="L43" s="19" t="n">
        <f aca="false">K43^2</f>
        <v>1.45078237432695E-005</v>
      </c>
    </row>
    <row r="44" customFormat="false" ht="15" hidden="false" customHeight="false" outlineLevel="0" collapsed="false">
      <c r="A44" s="20" t="str">
        <f aca="false">Datos!A52</f>
        <v>2016Q4</v>
      </c>
      <c r="B44" s="21" t="n">
        <f aca="false">Datos!F52</f>
        <v>-0.0149328839288507</v>
      </c>
      <c r="C44" s="21" t="n">
        <f aca="false">Datos!I52</f>
        <v>0.0215081148240396</v>
      </c>
      <c r="D44" s="21" t="n">
        <f aca="false">Datos!H52</f>
        <v>-26.5005366726296</v>
      </c>
      <c r="E44" s="21" t="n">
        <f aca="false">Datos!H50</f>
        <v>-20.156746031746</v>
      </c>
      <c r="F44" s="21" t="n">
        <f aca="false">Datos!H46</f>
        <v>-69.448288776797</v>
      </c>
      <c r="G44" s="21" t="n">
        <f aca="false">Datos!J46</f>
        <v>-0.00580415466024192</v>
      </c>
      <c r="H44" s="21" t="n">
        <f aca="false">Datos!K45</f>
        <v>0.0452568848055677</v>
      </c>
      <c r="I44" s="21" t="n">
        <f aca="false">Datos!F51</f>
        <v>-0.0332721885187776</v>
      </c>
      <c r="J44" s="19" t="n">
        <v>1</v>
      </c>
      <c r="K44" s="19" t="n">
        <f aca="false">B44-($B$88+$B$89*C44+$B$90*D44+$B$91*E44+$B$92*F44+$B$93*G44+$B$94*H44+$B$95*I44)</f>
        <v>-0.00201481512918944</v>
      </c>
      <c r="L44" s="19" t="n">
        <f aca="false">K44^2</f>
        <v>4.05948000481065E-006</v>
      </c>
    </row>
    <row r="45" customFormat="false" ht="15" hidden="false" customHeight="false" outlineLevel="0" collapsed="false">
      <c r="A45" s="20" t="str">
        <f aca="false">Datos!A53</f>
        <v>2017Q1</v>
      </c>
      <c r="B45" s="21" t="n">
        <f aca="false">Datos!F53</f>
        <v>0.00559679082443165</v>
      </c>
      <c r="C45" s="21" t="n">
        <f aca="false">Datos!I53</f>
        <v>0.0929246843768103</v>
      </c>
      <c r="D45" s="21" t="n">
        <f aca="false">Datos!H53</f>
        <v>-15.9076923076924</v>
      </c>
      <c r="E45" s="21" t="n">
        <f aca="false">Datos!H51</f>
        <v>51.5281007751937</v>
      </c>
      <c r="F45" s="21" t="n">
        <f aca="false">Datos!H47</f>
        <v>-12.3885780885781</v>
      </c>
      <c r="G45" s="21" t="n">
        <f aca="false">Datos!J47</f>
        <v>-0.0725670071793785</v>
      </c>
      <c r="H45" s="21" t="n">
        <f aca="false">Datos!K46</f>
        <v>-0.0840598834733707</v>
      </c>
      <c r="I45" s="21" t="n">
        <f aca="false">Datos!F52</f>
        <v>-0.0149328839288507</v>
      </c>
      <c r="J45" s="19" t="n">
        <v>1</v>
      </c>
      <c r="K45" s="19" t="n">
        <f aca="false">B45-($B$88+$B$89*C45+$B$90*D45+$B$91*E45+$B$92*F45+$B$93*G45+$B$94*H45+$B$95*I45)</f>
        <v>0.0184541782423253</v>
      </c>
      <c r="L45" s="19" t="n">
        <f aca="false">K45^2</f>
        <v>0.000340556694599513</v>
      </c>
    </row>
    <row r="46" customFormat="false" ht="15" hidden="false" customHeight="false" outlineLevel="0" collapsed="false">
      <c r="A46" s="20" t="str">
        <f aca="false">Datos!A54</f>
        <v>2017Q2</v>
      </c>
      <c r="B46" s="21" t="n">
        <f aca="false">Datos!F54</f>
        <v>0.0232658340767662</v>
      </c>
      <c r="C46" s="21" t="n">
        <f aca="false">Datos!I54</f>
        <v>0.0763750387701306</v>
      </c>
      <c r="D46" s="21" t="n">
        <f aca="false">Datos!H54</f>
        <v>-40.3959134615384</v>
      </c>
      <c r="E46" s="21" t="n">
        <f aca="false">Datos!H52</f>
        <v>-26.5005366726296</v>
      </c>
      <c r="F46" s="21" t="n">
        <f aca="false">Datos!H48</f>
        <v>-78.2729603729604</v>
      </c>
      <c r="G46" s="21" t="n">
        <f aca="false">Datos!J48</f>
        <v>-0.0214726951640203</v>
      </c>
      <c r="H46" s="21" t="n">
        <f aca="false">Datos!K47</f>
        <v>0.0549125616583312</v>
      </c>
      <c r="I46" s="21" t="n">
        <f aca="false">Datos!F53</f>
        <v>0.00559679082443165</v>
      </c>
      <c r="J46" s="19" t="n">
        <v>1</v>
      </c>
      <c r="K46" s="19" t="n">
        <f aca="false">B46-($B$88+$B$89*C46+$B$90*D46+$B$91*E46+$B$92*F46+$B$93*G46+$B$94*H46+$B$95*I46)</f>
        <v>-0.00421203832218841</v>
      </c>
      <c r="L46" s="19" t="n">
        <f aca="false">K46^2</f>
        <v>1.77412668275837E-005</v>
      </c>
    </row>
    <row r="47" customFormat="false" ht="15" hidden="false" customHeight="false" outlineLevel="0" collapsed="false">
      <c r="A47" s="20" t="str">
        <f aca="false">Datos!A55</f>
        <v>2017Q3</v>
      </c>
      <c r="B47" s="21" t="n">
        <f aca="false">Datos!F55</f>
        <v>0.0385060856362685</v>
      </c>
      <c r="C47" s="21" t="n">
        <f aca="false">Datos!I55</f>
        <v>-0.0381479768126187</v>
      </c>
      <c r="D47" s="21" t="n">
        <f aca="false">Datos!H55</f>
        <v>0.498765624999805</v>
      </c>
      <c r="E47" s="21" t="n">
        <f aca="false">Datos!H53</f>
        <v>-15.9076923076924</v>
      </c>
      <c r="F47" s="21" t="n">
        <f aca="false">Datos!H49</f>
        <v>-38.2862026862027</v>
      </c>
      <c r="G47" s="21" t="n">
        <f aca="false">Datos!J49</f>
        <v>-0.013556503122827</v>
      </c>
      <c r="H47" s="21" t="n">
        <f aca="false">Datos!K48</f>
        <v>0.0929604971038175</v>
      </c>
      <c r="I47" s="21" t="n">
        <f aca="false">Datos!F54</f>
        <v>0.0232658340767662</v>
      </c>
      <c r="J47" s="19" t="n">
        <v>1</v>
      </c>
      <c r="K47" s="19" t="n">
        <f aca="false">B47-($B$88+$B$89*C47+$B$90*D47+$B$91*E47+$B$92*F47+$B$93*G47+$B$94*H47+$B$95*I47)</f>
        <v>6.53307137331721E-005</v>
      </c>
      <c r="L47" s="19" t="n">
        <f aca="false">K47^2</f>
        <v>4.26810215688568E-009</v>
      </c>
    </row>
    <row r="48" customFormat="false" ht="15" hidden="false" customHeight="false" outlineLevel="0" collapsed="false">
      <c r="A48" s="20" t="str">
        <f aca="false">Datos!A56</f>
        <v>2017Q4</v>
      </c>
      <c r="B48" s="21" t="n">
        <f aca="false">Datos!F56</f>
        <v>0.0453268482640472</v>
      </c>
      <c r="C48" s="21" t="n">
        <f aca="false">Datos!I56</f>
        <v>-0.00847913753638218</v>
      </c>
      <c r="D48" s="21" t="n">
        <f aca="false">Datos!H56</f>
        <v>-54.5718281249997</v>
      </c>
      <c r="E48" s="21" t="n">
        <f aca="false">Datos!H54</f>
        <v>-40.3959134615384</v>
      </c>
      <c r="F48" s="21" t="n">
        <f aca="false">Datos!H50</f>
        <v>-20.156746031746</v>
      </c>
      <c r="G48" s="21" t="n">
        <f aca="false">Datos!J50</f>
        <v>-0.0260787645308853</v>
      </c>
      <c r="H48" s="21" t="n">
        <f aca="false">Datos!K49</f>
        <v>-0.0501806657673727</v>
      </c>
      <c r="I48" s="21" t="n">
        <f aca="false">Datos!F55</f>
        <v>0.0385060856362685</v>
      </c>
      <c r="J48" s="19" t="n">
        <v>1</v>
      </c>
      <c r="K48" s="19" t="n">
        <f aca="false">B48-($B$88+$B$89*C48+$B$90*D48+$B$91*E48+$B$92*F48+$B$93*G48+$B$94*H48+$B$95*I48)</f>
        <v>0.0117987664109709</v>
      </c>
      <c r="L48" s="19" t="n">
        <f aca="false">K48^2</f>
        <v>0.000139210888820656</v>
      </c>
    </row>
    <row r="49" customFormat="false" ht="15" hidden="false" customHeight="false" outlineLevel="0" collapsed="false">
      <c r="A49" s="20" t="str">
        <f aca="false">Datos!A57</f>
        <v>2018Q1</v>
      </c>
      <c r="B49" s="21" t="n">
        <f aca="false">Datos!F57</f>
        <v>0.0379774021814201</v>
      </c>
      <c r="C49" s="21" t="n">
        <f aca="false">Datos!I57</f>
        <v>0.015677961339587</v>
      </c>
      <c r="D49" s="21" t="n">
        <f aca="false">Datos!H57</f>
        <v>28.5320987903223</v>
      </c>
      <c r="E49" s="21" t="n">
        <f aca="false">Datos!H55</f>
        <v>0.498765624999805</v>
      </c>
      <c r="F49" s="21" t="n">
        <f aca="false">Datos!H51</f>
        <v>51.5281007751937</v>
      </c>
      <c r="G49" s="21" t="n">
        <f aca="false">Datos!J51</f>
        <v>0.0942185203778218</v>
      </c>
      <c r="H49" s="21" t="n">
        <f aca="false">Datos!K50</f>
        <v>0.114909941997091</v>
      </c>
      <c r="I49" s="21" t="n">
        <f aca="false">Datos!F56</f>
        <v>0.0453268482640472</v>
      </c>
      <c r="J49" s="19" t="n">
        <v>1</v>
      </c>
      <c r="K49" s="19" t="n">
        <f aca="false">B49-($B$88+$B$89*C49+$B$90*D49+$B$91*E49+$B$92*F49+$B$93*G49+$B$94*H49+$B$95*I49)</f>
        <v>-0.0159574026456395</v>
      </c>
      <c r="L49" s="19" t="n">
        <f aca="false">K49^2</f>
        <v>0.000254638699195063</v>
      </c>
    </row>
    <row r="50" customFormat="false" ht="15" hidden="false" customHeight="false" outlineLevel="0" collapsed="false">
      <c r="A50" s="20" t="str">
        <f aca="false">Datos!A58</f>
        <v>2018Q2</v>
      </c>
      <c r="B50" s="21" t="n">
        <f aca="false">Datos!F58</f>
        <v>-0.039790994073943</v>
      </c>
      <c r="C50" s="21" t="n">
        <f aca="false">Datos!I58</f>
        <v>-0.0742810049049096</v>
      </c>
      <c r="D50" s="21" t="n">
        <f aca="false">Datos!H58</f>
        <v>77.2218156327545</v>
      </c>
      <c r="E50" s="21" t="n">
        <f aca="false">Datos!H56</f>
        <v>-54.5718281249997</v>
      </c>
      <c r="F50" s="21" t="n">
        <f aca="false">Datos!H52</f>
        <v>-26.5005366726296</v>
      </c>
      <c r="G50" s="21" t="n">
        <f aca="false">Datos!J52</f>
        <v>0.241810567395166</v>
      </c>
      <c r="H50" s="21" t="n">
        <f aca="false">Datos!K51</f>
        <v>0.0078308829818691</v>
      </c>
      <c r="I50" s="21" t="n">
        <f aca="false">Datos!F57</f>
        <v>0.0379774021814201</v>
      </c>
      <c r="J50" s="19" t="n">
        <v>1</v>
      </c>
      <c r="K50" s="19" t="n">
        <f aca="false">B50-($B$88+$B$89*C50+$B$90*D50+$B$91*E50+$B$92*F50+$B$93*G50+$B$94*H50+$B$95*I50)</f>
        <v>-0.0458000716568099</v>
      </c>
      <c r="L50" s="19" t="n">
        <f aca="false">K50^2</f>
        <v>0.00209764656376892</v>
      </c>
    </row>
    <row r="51" customFormat="false" ht="15" hidden="false" customHeight="false" outlineLevel="0" collapsed="false">
      <c r="A51" s="20" t="str">
        <f aca="false">Datos!A59</f>
        <v>2018Q3</v>
      </c>
      <c r="B51" s="21" t="n">
        <f aca="false">Datos!F59</f>
        <v>-0.0346944038739507</v>
      </c>
      <c r="C51" s="21" t="n">
        <f aca="false">Datos!I59</f>
        <v>0.0297586266112664</v>
      </c>
      <c r="D51" s="21" t="n">
        <f aca="false">Datos!H59</f>
        <v>166.169284270953</v>
      </c>
      <c r="E51" s="21" t="n">
        <f aca="false">Datos!H57</f>
        <v>28.5320987903223</v>
      </c>
      <c r="F51" s="21" t="n">
        <f aca="false">Datos!H53</f>
        <v>-15.9076923076924</v>
      </c>
      <c r="G51" s="21" t="n">
        <f aca="false">Datos!J53</f>
        <v>-0.24283692228193</v>
      </c>
      <c r="H51" s="21" t="n">
        <f aca="false">Datos!K52</f>
        <v>-0.0600242033998368</v>
      </c>
      <c r="I51" s="21" t="n">
        <f aca="false">Datos!F58</f>
        <v>-0.039790994073943</v>
      </c>
      <c r="J51" s="19" t="n">
        <v>1</v>
      </c>
      <c r="K51" s="19" t="n">
        <f aca="false">B51-($B$88+$B$89*C51+$B$90*D51+$B$91*E51+$B$92*F51+$B$93*G51+$B$94*H51+$B$95*I51)</f>
        <v>-0.00988279611515996</v>
      </c>
      <c r="L51" s="19" t="n">
        <f aca="false">K51^2</f>
        <v>9.76696590538207E-005</v>
      </c>
    </row>
    <row r="52" customFormat="false" ht="15" hidden="false" customHeight="false" outlineLevel="0" collapsed="false">
      <c r="A52" s="20" t="str">
        <f aca="false">Datos!A60</f>
        <v>2018Q4</v>
      </c>
      <c r="B52" s="21" t="n">
        <f aca="false">Datos!F60</f>
        <v>-0.0633973916700751</v>
      </c>
      <c r="C52" s="21" t="n">
        <f aca="false">Datos!I60</f>
        <v>-0.0501462610157425</v>
      </c>
      <c r="D52" s="21" t="n">
        <f aca="false">Datos!H60</f>
        <v>56.51817630597</v>
      </c>
      <c r="E52" s="21" t="n">
        <f aca="false">Datos!H58</f>
        <v>77.2218156327545</v>
      </c>
      <c r="F52" s="21" t="n">
        <f aca="false">Datos!H54</f>
        <v>-40.3959134615384</v>
      </c>
      <c r="G52" s="21" t="n">
        <f aca="false">Datos!J54</f>
        <v>-0.0647458372468179</v>
      </c>
      <c r="H52" s="21" t="n">
        <f aca="false">Datos!K53</f>
        <v>-0.035749043779608</v>
      </c>
      <c r="I52" s="21" t="n">
        <f aca="false">Datos!F59</f>
        <v>-0.0346944038739507</v>
      </c>
      <c r="J52" s="19" t="n">
        <v>1</v>
      </c>
      <c r="K52" s="19" t="n">
        <f aca="false">B52-($B$88+$B$89*C52+$B$90*D52+$B$91*E52+$B$92*F52+$B$93*G52+$B$94*H52+$B$95*I52)</f>
        <v>-0.0256248714839197</v>
      </c>
      <c r="L52" s="19" t="n">
        <f aca="false">K52^2</f>
        <v>0.0006566340385674</v>
      </c>
    </row>
    <row r="53" customFormat="false" ht="15" hidden="false" customHeight="false" outlineLevel="0" collapsed="false">
      <c r="A53" s="20" t="str">
        <f aca="false">Datos!A61</f>
        <v>2019Q1</v>
      </c>
      <c r="B53" s="21" t="n">
        <f aca="false">Datos!F61</f>
        <v>-0.0586372539873753</v>
      </c>
      <c r="C53" s="21" t="n">
        <f aca="false">Datos!I61</f>
        <v>-0.0500271266876492</v>
      </c>
      <c r="D53" s="21" t="n">
        <f aca="false">Datos!H61</f>
        <v>19.2017013888889</v>
      </c>
      <c r="E53" s="21" t="n">
        <f aca="false">Datos!H59</f>
        <v>166.169284270953</v>
      </c>
      <c r="F53" s="21" t="n">
        <f aca="false">Datos!H55</f>
        <v>0.498765624999805</v>
      </c>
      <c r="G53" s="21" t="n">
        <f aca="false">Datos!J55</f>
        <v>-0.0931139816863711</v>
      </c>
      <c r="H53" s="21" t="n">
        <f aca="false">Datos!K54</f>
        <v>-0.0598239352005628</v>
      </c>
      <c r="I53" s="21" t="n">
        <f aca="false">Datos!F60</f>
        <v>-0.0633973916700751</v>
      </c>
      <c r="J53" s="19" t="n">
        <v>1</v>
      </c>
      <c r="K53" s="19" t="n">
        <f aca="false">B53-($B$88+$B$89*C53+$B$90*D53+$B$91*E53+$B$92*F53+$B$93*G53+$B$94*H53+$B$95*I53)</f>
        <v>0.00709095926075445</v>
      </c>
      <c r="L53" s="19" t="n">
        <f aca="false">K53^2</f>
        <v>5.02817032376794E-005</v>
      </c>
    </row>
    <row r="54" customFormat="false" ht="15" hidden="false" customHeight="false" outlineLevel="0" collapsed="false">
      <c r="A54" s="20" t="str">
        <f aca="false">Datos!A62</f>
        <v>2019Q2</v>
      </c>
      <c r="B54" s="21" t="n">
        <f aca="false">Datos!F62</f>
        <v>0.00582819893603537</v>
      </c>
      <c r="C54" s="21" t="n">
        <f aca="false">Datos!I62</f>
        <v>0.000114296886335796</v>
      </c>
      <c r="D54" s="21" t="n">
        <f aca="false">Datos!H62</f>
        <v>162.790259661836</v>
      </c>
      <c r="E54" s="21" t="n">
        <f aca="false">Datos!H60</f>
        <v>56.51817630597</v>
      </c>
      <c r="F54" s="21" t="n">
        <f aca="false">Datos!H56</f>
        <v>-54.5718281249997</v>
      </c>
      <c r="G54" s="21" t="n">
        <f aca="false">Datos!J56</f>
        <v>-0.0800850350667679</v>
      </c>
      <c r="H54" s="21" t="n">
        <f aca="false">Datos!K55</f>
        <v>-0.0336017376367385</v>
      </c>
      <c r="I54" s="21" t="n">
        <f aca="false">Datos!F61</f>
        <v>-0.0586372539873753</v>
      </c>
      <c r="J54" s="19" t="n">
        <v>1</v>
      </c>
      <c r="K54" s="19" t="n">
        <f aca="false">B54-($B$88+$B$89*C54+$B$90*D54+$B$91*E54+$B$92*F54+$B$93*G54+$B$94*H54+$B$95*I54)</f>
        <v>0.0626255528510363</v>
      </c>
      <c r="L54" s="19" t="n">
        <f aca="false">K54^2</f>
        <v>0.00392195986989794</v>
      </c>
    </row>
    <row r="55" customFormat="false" ht="15" hidden="false" customHeight="false" outlineLevel="0" collapsed="false">
      <c r="A55" s="20" t="str">
        <f aca="false">Datos!A63</f>
        <v>2019Q3</v>
      </c>
      <c r="B55" s="21" t="n">
        <f aca="false">Datos!F63</f>
        <v>-0.0175271616356651</v>
      </c>
      <c r="C55" s="21" t="n">
        <f aca="false">Datos!I63</f>
        <v>-0.0239132057868301</v>
      </c>
      <c r="D55" s="21" t="n">
        <f aca="false">Datos!H63</f>
        <v>679.618686815129</v>
      </c>
      <c r="E55" s="21" t="n">
        <f aca="false">Datos!H61</f>
        <v>19.2017013888889</v>
      </c>
      <c r="F55" s="21" t="n">
        <f aca="false">Datos!H57</f>
        <v>28.5320987903223</v>
      </c>
      <c r="G55" s="21" t="n">
        <f aca="false">Datos!J57</f>
        <v>0.072575912604689</v>
      </c>
      <c r="H55" s="21" t="n">
        <f aca="false">Datos!K56</f>
        <v>0.0834781752199751</v>
      </c>
      <c r="I55" s="21" t="n">
        <f aca="false">Datos!F62</f>
        <v>0.00582819893603537</v>
      </c>
      <c r="J55" s="19" t="n">
        <v>1</v>
      </c>
      <c r="K55" s="19" t="n">
        <f aca="false">B55-($B$88+$B$89*C55+$B$90*D55+$B$91*E55+$B$92*F55+$B$93*G55+$B$94*H55+$B$95*I55)</f>
        <v>0.00363774294075226</v>
      </c>
      <c r="L55" s="19" t="n">
        <f aca="false">K55^2</f>
        <v>1.32331737029929E-005</v>
      </c>
    </row>
    <row r="56" customFormat="false" ht="15" hidden="false" customHeight="false" outlineLevel="0" collapsed="false">
      <c r="A56" s="20" t="str">
        <f aca="false">Datos!A64</f>
        <v>2019Q4</v>
      </c>
      <c r="B56" s="21" t="n">
        <f aca="false">Datos!F64</f>
        <v>-0.0107484273951806</v>
      </c>
      <c r="C56" s="21" t="n">
        <f aca="false">Datos!I64</f>
        <v>-0.0444370543348369</v>
      </c>
      <c r="D56" s="21" t="n">
        <f aca="false">Datos!H64</f>
        <v>598.881251590669</v>
      </c>
      <c r="E56" s="21" t="n">
        <f aca="false">Datos!H62</f>
        <v>162.790259661836</v>
      </c>
      <c r="F56" s="21" t="n">
        <f aca="false">Datos!H58</f>
        <v>77.2218156327545</v>
      </c>
      <c r="G56" s="21" t="n">
        <f aca="false">Datos!J58</f>
        <v>0.016146963656916</v>
      </c>
      <c r="H56" s="21" t="n">
        <f aca="false">Datos!K57</f>
        <v>0.0156446596022237</v>
      </c>
      <c r="I56" s="21" t="n">
        <f aca="false">Datos!F63</f>
        <v>-0.0175271616356651</v>
      </c>
      <c r="J56" s="19" t="n">
        <v>1</v>
      </c>
      <c r="K56" s="19" t="n">
        <f aca="false">B56-($B$88+$B$89*C56+$B$90*D56+$B$91*E56+$B$92*F56+$B$93*G56+$B$94*H56+$B$95*I56)</f>
        <v>0.0415528232133876</v>
      </c>
      <c r="L56" s="19" t="n">
        <f aca="false">K56^2</f>
        <v>0.00172663711700304</v>
      </c>
    </row>
    <row r="57" customFormat="false" ht="15" hidden="false" customHeight="false" outlineLevel="0" collapsed="false">
      <c r="A57" s="20" t="str">
        <f aca="false">Datos!A65</f>
        <v>2020Q1</v>
      </c>
      <c r="B57" s="21" t="n">
        <f aca="false">Datos!F65</f>
        <v>-0.0502506965865937</v>
      </c>
      <c r="C57" s="21" t="n">
        <f aca="false">Datos!I65</f>
        <v>0.114946009672505</v>
      </c>
      <c r="D57" s="21" t="n">
        <f aca="false">Datos!H65</f>
        <v>187.118199188056</v>
      </c>
      <c r="E57" s="21" t="n">
        <f aca="false">Datos!H63</f>
        <v>679.618686815129</v>
      </c>
      <c r="F57" s="21" t="n">
        <f aca="false">Datos!H59</f>
        <v>166.169284270953</v>
      </c>
      <c r="G57" s="21" t="n">
        <f aca="false">Datos!J59</f>
        <v>0.0202539754709583</v>
      </c>
      <c r="H57" s="21" t="n">
        <f aca="false">Datos!K58</f>
        <v>0.0616247472334126</v>
      </c>
      <c r="I57" s="21" t="n">
        <f aca="false">Datos!F64</f>
        <v>-0.0107484273951806</v>
      </c>
      <c r="J57" s="19" t="n">
        <v>1</v>
      </c>
      <c r="K57" s="19" t="n">
        <f aca="false">B57-($B$88+$B$89*C57+$B$90*D57+$B$91*E57+$B$92*F57+$B$93*G57+$B$94*H57+$B$95*I57)</f>
        <v>-0.0136775386827014</v>
      </c>
      <c r="L57" s="19" t="n">
        <f aca="false">K57^2</f>
        <v>0.000187075064416794</v>
      </c>
    </row>
    <row r="58" customFormat="false" ht="15" hidden="false" customHeight="false" outlineLevel="0" collapsed="false">
      <c r="A58" s="20" t="str">
        <f aca="false">Datos!A66</f>
        <v>2020Q2</v>
      </c>
      <c r="B58" s="21" t="n">
        <f aca="false">Datos!F66</f>
        <v>-0.189421940385846</v>
      </c>
      <c r="C58" s="21" t="n">
        <f aca="false">Datos!I66</f>
        <v>0.262181063646304</v>
      </c>
      <c r="D58" s="21" t="n">
        <f aca="false">Datos!H66</f>
        <v>756.86685274431</v>
      </c>
      <c r="E58" s="21" t="n">
        <f aca="false">Datos!H64</f>
        <v>598.881251590669</v>
      </c>
      <c r="F58" s="21" t="n">
        <f aca="false">Datos!H60</f>
        <v>56.51817630597</v>
      </c>
      <c r="G58" s="21" t="n">
        <f aca="false">Datos!J60</f>
        <v>0.0511719688039525</v>
      </c>
      <c r="H58" s="21" t="n">
        <f aca="false">Datos!K59</f>
        <v>-0.0680385631508205</v>
      </c>
      <c r="I58" s="21" t="n">
        <f aca="false">Datos!F65</f>
        <v>-0.0502506965865937</v>
      </c>
      <c r="J58" s="19" t="n">
        <v>1</v>
      </c>
      <c r="K58" s="19" t="n">
        <f aca="false">B58-($B$88+$B$89*C58+$B$90*D58+$B$91*E58+$B$92*F58+$B$93*G58+$B$94*H58+$B$95*I58)</f>
        <v>-0.0761606898163227</v>
      </c>
      <c r="L58" s="19" t="n">
        <f aca="false">K58^2</f>
        <v>0.00580045067329812</v>
      </c>
    </row>
    <row r="59" customFormat="false" ht="15" hidden="false" customHeight="false" outlineLevel="0" collapsed="false">
      <c r="A59" s="20" t="str">
        <f aca="false">Datos!A67</f>
        <v>2020Q3</v>
      </c>
      <c r="B59" s="21" t="n">
        <f aca="false">Datos!F67</f>
        <v>-0.101927662759163</v>
      </c>
      <c r="C59" s="21" t="n">
        <f aca="false">Datos!I67</f>
        <v>0.119661051181248</v>
      </c>
      <c r="D59" s="21" t="n">
        <f aca="false">Datos!H67</f>
        <v>-1097.40393434344</v>
      </c>
      <c r="E59" s="21" t="n">
        <f aca="false">Datos!H65</f>
        <v>187.118199188056</v>
      </c>
      <c r="F59" s="21" t="n">
        <f aca="false">Datos!H61</f>
        <v>19.2017013888889</v>
      </c>
      <c r="G59" s="21" t="n">
        <f aca="false">Datos!J61</f>
        <v>0.0364106470243743</v>
      </c>
      <c r="H59" s="21" t="n">
        <f aca="false">Datos!K60</f>
        <v>-0.0795880772476278</v>
      </c>
      <c r="I59" s="21" t="n">
        <f aca="false">Datos!F66</f>
        <v>-0.189421940385846</v>
      </c>
      <c r="J59" s="19" t="n">
        <v>1</v>
      </c>
      <c r="K59" s="19" t="n">
        <f aca="false">B59-($B$88+$B$89*C59+$B$90*D59+$B$91*E59+$B$92*F59+$B$93*G59+$B$94*H59+$B$95*I59)</f>
        <v>0.0153190800016827</v>
      </c>
      <c r="L59" s="19" t="n">
        <f aca="false">K59^2</f>
        <v>0.000234674212097954</v>
      </c>
    </row>
    <row r="60" customFormat="false" ht="15" hidden="false" customHeight="false" outlineLevel="0" collapsed="false">
      <c r="A60" s="20" t="str">
        <f aca="false">Datos!A68</f>
        <v>2020Q4</v>
      </c>
      <c r="B60" s="21" t="n">
        <f aca="false">Datos!F68</f>
        <v>-0.0431329947641036</v>
      </c>
      <c r="C60" s="21" t="n">
        <f aca="false">Datos!I68</f>
        <v>0.0642375050953509</v>
      </c>
      <c r="D60" s="21" t="n">
        <f aca="false">Datos!H68</f>
        <v>-606.890139160839</v>
      </c>
      <c r="E60" s="21" t="n">
        <f aca="false">Datos!H66</f>
        <v>756.86685274431</v>
      </c>
      <c r="F60" s="21" t="n">
        <f aca="false">Datos!H62</f>
        <v>162.790259661836</v>
      </c>
      <c r="G60" s="21" t="n">
        <f aca="false">Datos!J62</f>
        <v>0.0549585965392439</v>
      </c>
      <c r="H60" s="21" t="n">
        <f aca="false">Datos!K61</f>
        <v>0.0351944925910753</v>
      </c>
      <c r="I60" s="21" t="n">
        <f aca="false">Datos!F67</f>
        <v>-0.101927662759163</v>
      </c>
      <c r="J60" s="19" t="n">
        <v>1</v>
      </c>
      <c r="K60" s="19" t="n">
        <f aca="false">B60-($B$88+$B$89*C60+$B$90*D60+$B$91*E60+$B$92*F60+$B$93*G60+$B$94*H60+$B$95*I60)</f>
        <v>0.0446196500822415</v>
      </c>
      <c r="L60" s="19" t="n">
        <f aca="false">K60^2</f>
        <v>0.00199091317346167</v>
      </c>
    </row>
    <row r="61" customFormat="false" ht="15" hidden="false" customHeight="false" outlineLevel="0" collapsed="false">
      <c r="A61" s="20" t="str">
        <f aca="false">Datos!A69</f>
        <v>2021Q1</v>
      </c>
      <c r="B61" s="21" t="n">
        <f aca="false">Datos!F69</f>
        <v>0.0323260077948051</v>
      </c>
      <c r="C61" s="21" t="n">
        <f aca="false">Datos!I69</f>
        <v>-0.193638860735541</v>
      </c>
      <c r="D61" s="21" t="n">
        <f aca="false">Datos!H69</f>
        <v>100.224470329671</v>
      </c>
      <c r="E61" s="21" t="n">
        <f aca="false">Datos!H67</f>
        <v>-1097.40393434344</v>
      </c>
      <c r="F61" s="21" t="n">
        <f aca="false">Datos!H63</f>
        <v>679.618686815129</v>
      </c>
      <c r="G61" s="21" t="n">
        <f aca="false">Datos!J63</f>
        <v>0.088789332367494</v>
      </c>
      <c r="H61" s="21" t="n">
        <f aca="false">Datos!K62</f>
        <v>-0.0270236391269938</v>
      </c>
      <c r="I61" s="21" t="n">
        <f aca="false">Datos!F68</f>
        <v>-0.0431329947641036</v>
      </c>
      <c r="J61" s="19" t="n">
        <v>1</v>
      </c>
      <c r="K61" s="19" t="n">
        <f aca="false">B61-($B$88+$B$89*C61+$B$90*D61+$B$91*E61+$B$92*F61+$B$93*G61+$B$94*H61+$B$95*I61)</f>
        <v>0.0065518965516029</v>
      </c>
      <c r="L61" s="19" t="n">
        <f aca="false">K61^2</f>
        <v>4.29273484229059E-005</v>
      </c>
    </row>
    <row r="62" customFormat="false" ht="15" hidden="false" customHeight="false" outlineLevel="0" collapsed="false">
      <c r="A62" s="20" t="str">
        <f aca="false">Datos!A70</f>
        <v>2021Q2</v>
      </c>
      <c r="B62" s="21" t="n">
        <f aca="false">Datos!F70</f>
        <v>0.187299607796633</v>
      </c>
      <c r="C62" s="21" t="n">
        <f aca="false">Datos!I70</f>
        <v>-0.244749418467121</v>
      </c>
      <c r="D62" s="21" t="n">
        <f aca="false">Datos!H70</f>
        <v>51.4231142857141</v>
      </c>
      <c r="E62" s="21" t="n">
        <f aca="false">Datos!H68</f>
        <v>-606.890139160839</v>
      </c>
      <c r="F62" s="21" t="n">
        <f aca="false">Datos!H64</f>
        <v>598.881251590669</v>
      </c>
      <c r="G62" s="21" t="n">
        <f aca="false">Datos!J64</f>
        <v>-0.0976170322305177</v>
      </c>
      <c r="H62" s="21" t="n">
        <f aca="false">Datos!K63</f>
        <v>0.0668497563295599</v>
      </c>
      <c r="I62" s="21" t="n">
        <f aca="false">Datos!F69</f>
        <v>0.0323260077948051</v>
      </c>
      <c r="J62" s="19" t="n">
        <v>1</v>
      </c>
      <c r="K62" s="19" t="n">
        <f aca="false">B62-($B$88+$B$89*C62+$B$90*D62+$B$91*E62+$B$92*F62+$B$93*G62+$B$94*H62+$B$95*I62)</f>
        <v>0.0983134819515742</v>
      </c>
      <c r="L62" s="19" t="n">
        <f aca="false">K62^2</f>
        <v>0.0096655407334425</v>
      </c>
    </row>
    <row r="63" customFormat="false" ht="15" hidden="false" customHeight="false" outlineLevel="0" collapsed="false">
      <c r="A63" s="20" t="str">
        <f aca="false">Datos!A71</f>
        <v>2021Q3</v>
      </c>
      <c r="B63" s="21" t="n">
        <f aca="false">Datos!F71</f>
        <v>0.118145356665691</v>
      </c>
      <c r="C63" s="21" t="n">
        <f aca="false">Datos!I71</f>
        <v>0.0155375869236292</v>
      </c>
      <c r="D63" s="21" t="n">
        <f aca="false">Datos!H71</f>
        <v>24.6869913043479</v>
      </c>
      <c r="E63" s="21" t="n">
        <f aca="false">Datos!H69</f>
        <v>100.224470329671</v>
      </c>
      <c r="F63" s="21" t="n">
        <f aca="false">Datos!H65</f>
        <v>187.118199188056</v>
      </c>
      <c r="G63" s="21" t="n">
        <f aca="false">Datos!J65</f>
        <v>0.221076901929335</v>
      </c>
      <c r="H63" s="21" t="n">
        <f aca="false">Datos!K64</f>
        <v>0.0445321255864519</v>
      </c>
      <c r="I63" s="21" t="n">
        <f aca="false">Datos!F70</f>
        <v>0.187299607796633</v>
      </c>
      <c r="J63" s="19" t="n">
        <v>1</v>
      </c>
      <c r="K63" s="19" t="n">
        <f aca="false">B63-($B$88+$B$89*C63+$B$90*D63+$B$91*E63+$B$92*F63+$B$93*G63+$B$94*H63+$B$95*I63)</f>
        <v>-0.0260637543575506</v>
      </c>
      <c r="L63" s="19" t="n">
        <f aca="false">K63^2</f>
        <v>0.000679319291210737</v>
      </c>
    </row>
    <row r="64" customFormat="false" ht="15" hidden="false" customHeight="false" outlineLevel="0" collapsed="false">
      <c r="A64" s="20" t="str">
        <f aca="false">Datos!A72</f>
        <v>2021Q4</v>
      </c>
      <c r="B64" s="21" t="n">
        <f aca="false">Datos!F72</f>
        <v>0.08364113941174</v>
      </c>
      <c r="C64" s="21" t="n">
        <f aca="false">Datos!I72</f>
        <v>0.0372511420898235</v>
      </c>
      <c r="D64" s="21" t="n">
        <f aca="false">Datos!H72</f>
        <v>144.162478260869</v>
      </c>
      <c r="E64" s="21" t="n">
        <f aca="false">Datos!H70</f>
        <v>51.4231142857141</v>
      </c>
      <c r="F64" s="21" t="n">
        <f aca="false">Datos!H66</f>
        <v>756.86685274431</v>
      </c>
      <c r="G64" s="21" t="n">
        <f aca="false">Datos!J66</f>
        <v>0.295953407381194</v>
      </c>
      <c r="H64" s="21" t="n">
        <f aca="false">Datos!K65</f>
        <v>-0.0349380110691591</v>
      </c>
      <c r="I64" s="21" t="n">
        <f aca="false">Datos!F71</f>
        <v>0.118145356665691</v>
      </c>
      <c r="J64" s="19" t="n">
        <v>1</v>
      </c>
      <c r="K64" s="19" t="n">
        <f aca="false">B64-($B$88+$B$89*C64+$B$90*D64+$B$91*E64+$B$92*F64+$B$93*G64+$B$94*H64+$B$95*I64)</f>
        <v>0.0036289482916541</v>
      </c>
      <c r="L64" s="19" t="n">
        <f aca="false">K64^2</f>
        <v>1.31692657034992E-005</v>
      </c>
    </row>
    <row r="65" customFormat="false" ht="15" hidden="false" customHeight="false" outlineLevel="0" collapsed="false">
      <c r="A65" s="20" t="str">
        <f aca="false">Datos!A73</f>
        <v>2022Q1</v>
      </c>
      <c r="B65" s="21" t="n">
        <f aca="false">Datos!F73</f>
        <v>0.0686138387185451</v>
      </c>
      <c r="C65" s="21" t="n">
        <f aca="false">Datos!I73</f>
        <v>0.0355016157142883</v>
      </c>
      <c r="D65" s="21" t="n">
        <f aca="false">Datos!H73</f>
        <v>94.729852657005</v>
      </c>
      <c r="E65" s="21" t="n">
        <f aca="false">Datos!H71</f>
        <v>24.6869913043479</v>
      </c>
      <c r="F65" s="21" t="n">
        <f aca="false">Datos!H67</f>
        <v>-1097.40393434344</v>
      </c>
      <c r="G65" s="21" t="n">
        <f aca="false">Datos!J67</f>
        <v>-0.245003429458452</v>
      </c>
      <c r="H65" s="21" t="n">
        <f aca="false">Datos!K66</f>
        <v>-0.0474907628165441</v>
      </c>
      <c r="I65" s="21" t="n">
        <f aca="false">Datos!F72</f>
        <v>0.08364113941174</v>
      </c>
      <c r="J65" s="19" t="n">
        <v>1</v>
      </c>
      <c r="K65" s="19" t="n">
        <f aca="false">B65-($B$88+$B$89*C65+$B$90*D65+$B$91*E65+$B$92*F65+$B$93*G65+$B$94*H65+$B$95*I65)</f>
        <v>0.0156527471106153</v>
      </c>
      <c r="L65" s="19" t="n">
        <f aca="false">K65^2</f>
        <v>0.000245008492108875</v>
      </c>
    </row>
    <row r="66" customFormat="false" ht="15" hidden="false" customHeight="false" outlineLevel="0" collapsed="false">
      <c r="A66" s="20" t="str">
        <f aca="false">Datos!A74</f>
        <v>2022Q2</v>
      </c>
      <c r="B66" s="21" t="n">
        <f aca="false">Datos!F74</f>
        <v>0.0813001446194395</v>
      </c>
      <c r="C66" s="21" t="n">
        <f aca="false">Datos!I74</f>
        <v>-0.00674178026505711</v>
      </c>
      <c r="D66" s="21" t="n">
        <f aca="false">Datos!H74</f>
        <v>111.567003052503</v>
      </c>
      <c r="E66" s="21" t="n">
        <f aca="false">Datos!H72</f>
        <v>144.162478260869</v>
      </c>
      <c r="F66" s="21" t="n">
        <f aca="false">Datos!H68</f>
        <v>-606.890139160839</v>
      </c>
      <c r="G66" s="21" t="n">
        <f aca="false">Datos!J68</f>
        <v>-0.131027789991017</v>
      </c>
      <c r="H66" s="21" t="n">
        <f aca="false">Datos!K67</f>
        <v>0.0306557066678773</v>
      </c>
      <c r="I66" s="21" t="n">
        <f aca="false">Datos!F73</f>
        <v>0.0686138387185451</v>
      </c>
      <c r="J66" s="19" t="n">
        <v>1</v>
      </c>
      <c r="K66" s="19" t="n">
        <f aca="false">B66-($B$88+$B$89*C66+$B$90*D66+$B$91*E66+$B$92*F66+$B$93*G66+$B$94*H66+$B$95*I66)</f>
        <v>0.0352810006447664</v>
      </c>
      <c r="L66" s="19" t="n">
        <f aca="false">K66^2</f>
        <v>0.001244749006496</v>
      </c>
    </row>
    <row r="67" customFormat="false" ht="15" hidden="false" customHeight="false" outlineLevel="0" collapsed="false">
      <c r="A67" s="20" t="str">
        <f aca="false">Datos!A75</f>
        <v>2022Q3</v>
      </c>
      <c r="B67" s="21" t="n">
        <f aca="false">Datos!F75</f>
        <v>0.066844213632383</v>
      </c>
      <c r="C67" s="21" t="n">
        <f aca="false">Datos!I75</f>
        <v>-0.0371795981009521</v>
      </c>
      <c r="D67" s="21" t="n">
        <f aca="false">Datos!H75</f>
        <v>613.427821391941</v>
      </c>
      <c r="E67" s="21" t="n">
        <f aca="false">Datos!H73</f>
        <v>94.729852657005</v>
      </c>
      <c r="F67" s="21" t="n">
        <f aca="false">Datos!H69</f>
        <v>100.224470329671</v>
      </c>
      <c r="G67" s="21" t="n">
        <f aca="false">Datos!J69</f>
        <v>-0.0811045233564329</v>
      </c>
      <c r="H67" s="21" t="n">
        <f aca="false">Datos!K68</f>
        <v>0.0276558919383922</v>
      </c>
      <c r="I67" s="21" t="n">
        <f aca="false">Datos!F74</f>
        <v>0.0813001446194395</v>
      </c>
      <c r="J67" s="19" t="n">
        <v>1</v>
      </c>
      <c r="K67" s="19" t="n">
        <f aca="false">B67-($B$88+$B$89*C67+$B$90*D67+$B$91*E67+$B$92*F67+$B$93*G67+$B$94*H67+$B$95*I67)</f>
        <v>0.0203395678441586</v>
      </c>
      <c r="L67" s="19" t="n">
        <f aca="false">K67^2</f>
        <v>0.000413698020087129</v>
      </c>
    </row>
    <row r="68" customFormat="false" ht="15" hidden="false" customHeight="false" outlineLevel="0" collapsed="false">
      <c r="A68" s="20" t="str">
        <f aca="false">Datos!A76</f>
        <v>2022Q4</v>
      </c>
      <c r="B68" s="21" t="n">
        <f aca="false">Datos!F76</f>
        <v>0.023854276267842</v>
      </c>
      <c r="C68" s="21" t="n">
        <f aca="false">Datos!I76</f>
        <v>-0.0252636786491897</v>
      </c>
      <c r="D68" s="21" t="n">
        <f aca="false">Datos!H76</f>
        <v>-69.2846118840562</v>
      </c>
      <c r="E68" s="21" t="n">
        <f aca="false">Datos!H74</f>
        <v>111.567003052503</v>
      </c>
      <c r="F68" s="21" t="n">
        <f aca="false">Datos!H70</f>
        <v>51.4231142857141</v>
      </c>
      <c r="G68" s="21" t="n">
        <f aca="false">Datos!J70</f>
        <v>-0.164266961512105</v>
      </c>
      <c r="H68" s="21" t="n">
        <f aca="false">Datos!K69</f>
        <v>0.0884101043961178</v>
      </c>
      <c r="I68" s="21" t="n">
        <f aca="false">Datos!F75</f>
        <v>0.066844213632383</v>
      </c>
      <c r="J68" s="19" t="n">
        <v>1</v>
      </c>
      <c r="K68" s="19" t="n">
        <f aca="false">B68-($B$88+$B$89*C68+$B$90*D68+$B$91*E68+$B$92*F68+$B$93*G68+$B$94*H68+$B$95*I68)</f>
        <v>-0.0639805856801867</v>
      </c>
      <c r="L68" s="19" t="n">
        <f aca="false">K68^2</f>
        <v>0.00409351534397971</v>
      </c>
    </row>
    <row r="69" customFormat="false" ht="15" hidden="false" customHeight="false" outlineLevel="0" collapsed="false">
      <c r="A69" s="20" t="str">
        <f aca="false">Datos!A77</f>
        <v>2023Q1</v>
      </c>
      <c r="B69" s="21" t="n">
        <f aca="false">Datos!F77</f>
        <v>0.00911982377224452</v>
      </c>
      <c r="C69" s="21" t="n">
        <f aca="false">Datos!I77</f>
        <v>-0.00518521666359616</v>
      </c>
      <c r="D69" s="21" t="n">
        <f aca="false">Datos!H77</f>
        <v>-376.758957004832</v>
      </c>
      <c r="E69" s="21" t="n">
        <f aca="false">Datos!H75</f>
        <v>613.427821391941</v>
      </c>
      <c r="F69" s="21" t="n">
        <f aca="false">Datos!H71</f>
        <v>24.6869913043479</v>
      </c>
      <c r="G69" s="21" t="n">
        <f aca="false">Datos!J71</f>
        <v>0.249643026411689</v>
      </c>
      <c r="H69" s="21" t="n">
        <f aca="false">Datos!K70</f>
        <v>0.025645645716768</v>
      </c>
      <c r="I69" s="21" t="n">
        <f aca="false">Datos!F76</f>
        <v>0.023854276267842</v>
      </c>
      <c r="J69" s="19" t="n">
        <v>1</v>
      </c>
      <c r="K69" s="19" t="n">
        <f aca="false">B69-($B$88+$B$89*C69+$B$90*D69+$B$91*E69+$B$92*F69+$B$93*G69+$B$94*H69+$B$95*I69)</f>
        <v>0.0253067700192283</v>
      </c>
      <c r="L69" s="19" t="n">
        <f aca="false">K69^2</f>
        <v>0.000640432608806113</v>
      </c>
    </row>
    <row r="70" customFormat="false" ht="15" hidden="false" customHeight="false" outlineLevel="0" collapsed="false">
      <c r="A70" s="20" t="str">
        <f aca="false">Datos!A78</f>
        <v>2023Q2</v>
      </c>
      <c r="B70" s="21" t="n">
        <f aca="false">Datos!F78</f>
        <v>-0.0567487243252599</v>
      </c>
      <c r="C70" s="21" t="n">
        <f aca="false">Datos!I78</f>
        <v>-0.0211814413429257</v>
      </c>
      <c r="D70" s="21" t="n">
        <f aca="false">Datos!H78</f>
        <v>396.345972839506</v>
      </c>
      <c r="E70" s="21" t="n">
        <f aca="false">Datos!H76</f>
        <v>-69.2846118840562</v>
      </c>
      <c r="F70" s="21" t="n">
        <f aca="false">Datos!H72</f>
        <v>144.162478260869</v>
      </c>
      <c r="G70" s="21" t="n">
        <f aca="false">Datos!J72</f>
        <v>0.284553859686216</v>
      </c>
      <c r="H70" s="21" t="n">
        <f aca="false">Datos!K71</f>
        <v>-0.065948233834193</v>
      </c>
      <c r="I70" s="21" t="n">
        <f aca="false">Datos!F77</f>
        <v>0.00911982377224452</v>
      </c>
      <c r="J70" s="19" t="n">
        <v>1</v>
      </c>
      <c r="K70" s="19" t="n">
        <f aca="false">B70-($B$88+$B$89*C70+$B$90*D70+$B$91*E70+$B$92*F70+$B$93*G70+$B$94*H70+$B$95*I70)</f>
        <v>-0.014196035433722</v>
      </c>
      <c r="L70" s="19" t="n">
        <f aca="false">K70^2</f>
        <v>0.000201527422035489</v>
      </c>
    </row>
    <row r="71" customFormat="false" ht="15" hidden="false" customHeight="false" outlineLevel="0" collapsed="false">
      <c r="A71" s="20" t="str">
        <f aca="false">Datos!A79</f>
        <v>2023Q3</v>
      </c>
      <c r="B71" s="21" t="n">
        <f aca="false">Datos!F79</f>
        <v>-0.00549172525238073</v>
      </c>
      <c r="C71" s="21" t="n">
        <f aca="false">Datos!I79</f>
        <v>-0.0552380565995734</v>
      </c>
      <c r="D71" s="21" t="n">
        <f aca="false">Datos!H79</f>
        <v>-393.961216440069</v>
      </c>
      <c r="E71" s="21" t="n">
        <f aca="false">Datos!H77</f>
        <v>-376.758957004832</v>
      </c>
      <c r="F71" s="21" t="n">
        <f aca="false">Datos!H73</f>
        <v>94.729852657005</v>
      </c>
      <c r="G71" s="21" t="n">
        <f aca="false">Datos!J73</f>
        <v>-0.167076079806291</v>
      </c>
      <c r="H71" s="21" t="n">
        <f aca="false">Datos!K72</f>
        <v>-0.0279737231897952</v>
      </c>
      <c r="I71" s="21" t="n">
        <f aca="false">Datos!F78</f>
        <v>-0.0567487243252599</v>
      </c>
      <c r="J71" s="19" t="n">
        <v>1</v>
      </c>
      <c r="K71" s="19" t="n">
        <f aca="false">B71-($B$88+$B$89*C71+$B$90*D71+$B$91*E71+$B$92*F71+$B$93*G71+$B$94*H71+$B$95*I71)</f>
        <v>-0.0174382178502916</v>
      </c>
      <c r="L71" s="19" t="n">
        <f aca="false">K71^2</f>
        <v>0.00030409144179423</v>
      </c>
    </row>
    <row r="72" customFormat="false" ht="15" hidden="false" customHeight="false" outlineLevel="0" collapsed="false">
      <c r="A72" s="20" t="str">
        <f aca="false">Datos!A80</f>
        <v>2023Q4</v>
      </c>
      <c r="B72" s="21" t="n">
        <f aca="false">Datos!F80</f>
        <v>-0.0171598554874708</v>
      </c>
      <c r="C72" s="21" t="n">
        <f aca="false">Datos!I80</f>
        <v>-0.104830369197381</v>
      </c>
      <c r="D72" s="21" t="n">
        <f aca="false">Datos!H80</f>
        <v>122.080899625603</v>
      </c>
      <c r="E72" s="21" t="n">
        <f aca="false">Datos!H78</f>
        <v>396.345972839506</v>
      </c>
      <c r="F72" s="21" t="n">
        <f aca="false">Datos!H74</f>
        <v>111.567003052503</v>
      </c>
      <c r="G72" s="21" t="n">
        <f aca="false">Datos!J74</f>
        <v>0.169220698210594</v>
      </c>
      <c r="H72" s="21" t="n">
        <f aca="false">Datos!K73</f>
        <v>-0.0135796367455427</v>
      </c>
      <c r="I72" s="21" t="n">
        <f aca="false">Datos!F79</f>
        <v>-0.00549172525238073</v>
      </c>
      <c r="J72" s="19" t="n">
        <v>1</v>
      </c>
      <c r="K72" s="19" t="n">
        <f aca="false">B72-($B$88+$B$89*C72+$B$90*D72+$B$91*E72+$B$92*F72+$B$93*G72+$B$94*H72+$B$95*I72)</f>
        <v>0.0391399915958361</v>
      </c>
      <c r="L72" s="19" t="n">
        <f aca="false">K72^2</f>
        <v>0.00153193894212212</v>
      </c>
    </row>
    <row r="73" customFormat="false" ht="15" hidden="false" customHeight="false" outlineLevel="0" collapsed="false">
      <c r="A73" s="20" t="str">
        <f aca="false">Datos!A81</f>
        <v>2024Q1</v>
      </c>
      <c r="B73" s="21" t="n">
        <f aca="false">Datos!F81</f>
        <v>-0.0496170325779741</v>
      </c>
      <c r="C73" s="21" t="n">
        <f aca="false">Datos!I81</f>
        <v>-0.0995297912662513</v>
      </c>
      <c r="D73" s="21" t="n">
        <f aca="false">Datos!H81</f>
        <v>-454.938553802817</v>
      </c>
      <c r="E73" s="21" t="n">
        <f aca="false">Datos!H79</f>
        <v>-393.961216440069</v>
      </c>
      <c r="F73" s="21" t="n">
        <f aca="false">Datos!H75</f>
        <v>613.427821391941</v>
      </c>
      <c r="G73" s="21" t="n">
        <f aca="false">Datos!J75</f>
        <v>-0.0735093011783898</v>
      </c>
      <c r="H73" s="21" t="n">
        <f aca="false">Datos!K74</f>
        <v>-0.0666502884026636</v>
      </c>
      <c r="I73" s="21" t="n">
        <f aca="false">Datos!F80</f>
        <v>-0.0171598554874708</v>
      </c>
      <c r="J73" s="19" t="n">
        <v>1</v>
      </c>
      <c r="K73" s="19" t="n">
        <f aca="false">B73-($B$88+$B$89*C73+$B$90*D73+$B$91*E73+$B$92*F73+$B$93*G73+$B$94*H73+$B$95*I73)</f>
        <v>-0.0944329718381012</v>
      </c>
      <c r="L73" s="19" t="n">
        <f aca="false">K73^2</f>
        <v>0.0089175861701756</v>
      </c>
    </row>
    <row r="74" customFormat="false" ht="15" hidden="false" customHeight="false" outlineLevel="0" collapsed="false">
      <c r="A74" s="20" t="str">
        <f aca="false">Datos!A82</f>
        <v>2024Q2</v>
      </c>
      <c r="B74" s="21" t="n">
        <f aca="false">Datos!F82</f>
        <v>-0.0108329991805178</v>
      </c>
      <c r="C74" s="21" t="n">
        <f aca="false">Datos!I82</f>
        <v>0.0839810999883668</v>
      </c>
      <c r="D74" s="21" t="n">
        <f aca="false">Datos!H82</f>
        <v>-411.750199402986</v>
      </c>
      <c r="E74" s="21" t="n">
        <f aca="false">Datos!H80</f>
        <v>122.080899625603</v>
      </c>
      <c r="F74" s="21" t="n">
        <f aca="false">Datos!H76</f>
        <v>-69.2846118840562</v>
      </c>
      <c r="G74" s="21" t="n">
        <f aca="false">Datos!J76</f>
        <v>-0.0738502184948509</v>
      </c>
      <c r="H74" s="21" t="n">
        <f aca="false">Datos!K75</f>
        <v>-0.0294452458384041</v>
      </c>
      <c r="I74" s="21" t="n">
        <f aca="false">Datos!F81</f>
        <v>-0.0496170325779741</v>
      </c>
      <c r="J74" s="19" t="n">
        <v>1</v>
      </c>
      <c r="K74" s="19" t="n">
        <f aca="false">B74-($B$88+$B$89*C74+$B$90*D74+$B$91*E74+$B$92*F74+$B$93*G74+$B$94*H74+$B$95*I74)</f>
        <v>0.00697211353567077</v>
      </c>
      <c r="L74" s="19" t="n">
        <f aca="false">K74^2</f>
        <v>4.86103671542836E-005</v>
      </c>
    </row>
    <row r="75" customFormat="false" ht="15" hidden="false" customHeight="false" outlineLevel="0" collapsed="false">
      <c r="A75" s="20" t="str">
        <f aca="false">Datos!A83</f>
        <v>2024Q3</v>
      </c>
      <c r="B75" s="21" t="n">
        <f aca="false">Datos!F83</f>
        <v>-0.0193706719869603</v>
      </c>
      <c r="C75" s="21" t="n">
        <f aca="false">Datos!I83</f>
        <v>0.0583938784085901</v>
      </c>
      <c r="D75" s="21" t="n">
        <f aca="false">Datos!H83</f>
        <v>140.77357394844</v>
      </c>
      <c r="E75" s="21" t="n">
        <f aca="false">Datos!H81</f>
        <v>-454.938553802817</v>
      </c>
      <c r="F75" s="21" t="n">
        <f aca="false">Datos!H77</f>
        <v>-376.758957004832</v>
      </c>
      <c r="G75" s="21" t="n">
        <f aca="false">Datos!J77</f>
        <v>0.367099592287782</v>
      </c>
      <c r="H75" s="21" t="n">
        <f aca="false">Datos!K76</f>
        <v>0.11290837336386</v>
      </c>
      <c r="I75" s="21" t="n">
        <f aca="false">Datos!F82</f>
        <v>-0.0108329991805178</v>
      </c>
      <c r="J75" s="19" t="n">
        <v>1</v>
      </c>
      <c r="K75" s="19" t="n">
        <f aca="false">B75-($B$88+$B$89*C75+$B$90*D75+$B$91*E75+$B$92*F75+$B$93*G75+$B$94*H75+$B$95*I75)</f>
        <v>-0.0130632739446687</v>
      </c>
      <c r="L75" s="19" t="n">
        <f aca="false">K75^2</f>
        <v>0.000170649126153459</v>
      </c>
    </row>
    <row r="76" customFormat="false" ht="15" hidden="false" customHeight="false" outlineLevel="0" collapsed="false">
      <c r="A76" s="20" t="str">
        <f aca="false">Datos!A84</f>
        <v>2024Q4</v>
      </c>
      <c r="B76" s="21" t="n">
        <f aca="false">Datos!F84</f>
        <v>0.0263829611146622</v>
      </c>
      <c r="C76" s="21" t="n">
        <f aca="false">Datos!I84</f>
        <v>0.209850652496816</v>
      </c>
      <c r="D76" s="21" t="n">
        <f aca="false">Datos!H84</f>
        <v>-564.145454545455</v>
      </c>
      <c r="E76" s="21" t="n">
        <f aca="false">Datos!H82</f>
        <v>-411.750199402986</v>
      </c>
      <c r="F76" s="21" t="n">
        <f aca="false">Datos!H78</f>
        <v>396.345972839506</v>
      </c>
      <c r="G76" s="21" t="n">
        <f aca="false">Datos!J78</f>
        <v>-0.00797161018467474</v>
      </c>
      <c r="H76" s="21" t="n">
        <f aca="false">Datos!K77</f>
        <v>-0.11679097674453</v>
      </c>
      <c r="I76" s="21" t="n">
        <f aca="false">Datos!F83</f>
        <v>-0.0193706719869603</v>
      </c>
      <c r="J76" s="19" t="n">
        <v>1</v>
      </c>
      <c r="K76" s="19" t="n">
        <f aca="false">B76-($B$88+$B$89*C76+$B$90*D76+$B$91*E76+$B$92*F76+$B$93*G76+$B$94*H76+$B$95*I76)</f>
        <v>-0.0235427730418905</v>
      </c>
      <c r="L76" s="19" t="n">
        <f aca="false">K76^2</f>
        <v>0.000554262162501965</v>
      </c>
    </row>
    <row r="77" customFormat="false" ht="15" hidden="false" customHeight="false" outlineLevel="0" collapsed="false">
      <c r="A77" s="20" t="str">
        <f aca="false">Datos!A85</f>
        <v>2025Q1</v>
      </c>
      <c r="B77" s="21" t="n">
        <f aca="false">Datos!F85</f>
        <v>0.0583747415748432</v>
      </c>
      <c r="C77" s="21" t="n">
        <f aca="false">Datos!I85</f>
        <v>0.248983047054301</v>
      </c>
      <c r="D77" s="21" t="n">
        <f aca="false">Datos!H85</f>
        <v>-235.861538461538</v>
      </c>
      <c r="E77" s="21" t="n">
        <f aca="false">Datos!H83</f>
        <v>140.77357394844</v>
      </c>
      <c r="F77" s="21" t="n">
        <f aca="false">Datos!H79</f>
        <v>-393.961216440069</v>
      </c>
      <c r="G77" s="21" t="n">
        <f aca="false">Datos!J79</f>
        <v>0.183376294592147</v>
      </c>
      <c r="H77" s="21" t="n">
        <f aca="false">Datos!K78</f>
        <v>0.0155541344453244</v>
      </c>
      <c r="I77" s="21" t="n">
        <f aca="false">Datos!F84</f>
        <v>0.0263829611146622</v>
      </c>
      <c r="J77" s="19" t="n">
        <v>1</v>
      </c>
      <c r="K77" s="19" t="n">
        <f aca="false">B77-($B$88+$B$89*C77+$B$90*D77+$B$91*E77+$B$92*F77+$B$93*G77+$B$94*H77+$B$95*I77)</f>
        <v>0.0386928469564801</v>
      </c>
      <c r="L77" s="19" t="n">
        <f aca="false">K77^2</f>
        <v>0.00149713640559759</v>
      </c>
    </row>
    <row r="78" customFormat="false" ht="15" hidden="false" customHeight="false" outlineLevel="0" collapsed="false">
      <c r="A78" s="20" t="str">
        <f aca="false">Datos!A86</f>
        <v>2025Q2</v>
      </c>
      <c r="B78" s="21" t="n">
        <f aca="false">Datos!F86</f>
        <v>0.0638141408959982</v>
      </c>
      <c r="C78" s="21" t="n">
        <f aca="false">Datos!I86</f>
        <v>-0.0247458039655413</v>
      </c>
      <c r="D78" s="21" t="n">
        <f aca="false">Datos!H86</f>
        <v>39.3076923076923</v>
      </c>
      <c r="E78" s="21" t="n">
        <f aca="false">Datos!H84</f>
        <v>-564.145454545455</v>
      </c>
      <c r="F78" s="21" t="n">
        <f aca="false">Datos!H80</f>
        <v>122.080899625603</v>
      </c>
      <c r="G78" s="21" t="n">
        <f aca="false">Datos!J80</f>
        <v>0.44451895067595</v>
      </c>
      <c r="H78" s="21" t="n">
        <f aca="false">Datos!K79</f>
        <v>0.0783071254305534</v>
      </c>
      <c r="I78" s="21" t="n">
        <f aca="false">Datos!F85</f>
        <v>0.0583747415748432</v>
      </c>
      <c r="J78" s="19" t="n">
        <v>1</v>
      </c>
      <c r="K78" s="19" t="n">
        <f aca="false">B78-($B$88+$B$89*C78+$B$90*D78+$B$91*E78+$B$92*F78+$B$93*G78+$B$94*H78+$B$95*I78)</f>
        <v>0.00559695464667166</v>
      </c>
      <c r="L78" s="19" t="n">
        <f aca="false">K78^2</f>
        <v>3.13259013168995E-005</v>
      </c>
    </row>
    <row r="79" customFormat="false" ht="15" hidden="false" customHeight="false" outlineLevel="0" collapsed="false">
      <c r="A79" s="20" t="str">
        <f aca="false">Datos!A87</f>
        <v>2025Q3</v>
      </c>
      <c r="B79" s="21" t="n">
        <f aca="false">Datos!F87</f>
        <v>0.0325690447876617</v>
      </c>
      <c r="C79" s="21" t="n">
        <f aca="false">Datos!I87</f>
        <v>-0.0607636894755312</v>
      </c>
      <c r="D79" s="21" t="n">
        <f aca="false">Datos!H87</f>
        <v>142.307692307692</v>
      </c>
      <c r="E79" s="21" t="n">
        <f aca="false">Datos!H85</f>
        <v>-235.861538461538</v>
      </c>
      <c r="F79" s="21" t="n">
        <f aca="false">Datos!H81</f>
        <v>-454.938553802817</v>
      </c>
      <c r="G79" s="21" t="n">
        <f aca="false">Datos!J81</f>
        <v>-0.185892833904252</v>
      </c>
      <c r="H79" s="21" t="n">
        <f aca="false">Datos!K80</f>
        <v>-0.105805285831385</v>
      </c>
      <c r="I79" s="21" t="n">
        <f aca="false">Datos!F86</f>
        <v>0.0638141408959982</v>
      </c>
      <c r="J79" s="19" t="n">
        <v>1</v>
      </c>
      <c r="K79" s="19" t="n">
        <f aca="false">B79-($B$88+$B$89*C79+$B$90*D79+$B$91*E79+$B$92*F79+$B$93*G79+$B$94*H79+$B$95*I79)</f>
        <v>-0.0137098224615869</v>
      </c>
      <c r="L79" s="19" t="n">
        <f aca="false">K79^2</f>
        <v>0.000187959231928234</v>
      </c>
    </row>
    <row r="80" customFormat="false" ht="15" hidden="false" customHeight="false" outlineLevel="0" collapsed="false">
      <c r="A80" s="20" t="str">
        <f aca="false">Datos!A88</f>
        <v>2025Q4</v>
      </c>
      <c r="B80" s="21" t="n">
        <f aca="false">Datos!F88</f>
        <v>0.0205805070747371</v>
      </c>
      <c r="C80" s="21" t="n">
        <f aca="false">Datos!I88</f>
        <v>-0.0750355248434347</v>
      </c>
      <c r="D80" s="21" t="n">
        <f aca="false">Datos!H88</f>
        <v>-113.153846153846</v>
      </c>
      <c r="E80" s="21" t="n">
        <f aca="false">Datos!H86</f>
        <v>39.3076923076923</v>
      </c>
      <c r="F80" s="21" t="n">
        <f aca="false">Datos!H82</f>
        <v>-411.750199402986</v>
      </c>
      <c r="G80" s="21" t="n">
        <f aca="false">Datos!J82</f>
        <v>0.211724770440168</v>
      </c>
      <c r="H80" s="21" t="n">
        <f aca="false">Datos!K81</f>
        <v>0.0467744313554986</v>
      </c>
      <c r="I80" s="21" t="n">
        <f aca="false">Datos!F87</f>
        <v>0.0325690447876617</v>
      </c>
      <c r="J80" s="19" t="n">
        <v>1</v>
      </c>
      <c r="K80" s="19" t="n">
        <f aca="false">B80-($B$88+$B$89*C80+$B$90*D80+$B$91*E80+$B$92*F80+$B$93*G80+$B$94*H80+$B$95*I80)</f>
        <v>0.0164366734297359</v>
      </c>
      <c r="L80" s="19" t="n">
        <f aca="false">K80^2</f>
        <v>0.000270164233435785</v>
      </c>
    </row>
    <row r="81" customFormat="false" ht="15" hidden="false" customHeight="false" outlineLevel="0" collapsed="false">
      <c r="A81" s="20" t="str">
        <f aca="false">Datos!A89</f>
        <v>2026Q1</v>
      </c>
      <c r="B81" s="21" t="n">
        <f aca="false">Datos!F89</f>
        <v>0.024694045208276</v>
      </c>
      <c r="C81" s="21" t="n">
        <f aca="false">Datos!I89</f>
        <v>-0.0996496025806773</v>
      </c>
      <c r="D81" s="21" t="n">
        <f aca="false">Datos!H89</f>
        <v>-216.777777777778</v>
      </c>
      <c r="E81" s="21" t="n">
        <f aca="false">Datos!H87</f>
        <v>142.307692307692</v>
      </c>
      <c r="F81" s="21" t="n">
        <f aca="false">Datos!H83</f>
        <v>140.77357394844</v>
      </c>
      <c r="G81" s="21" t="n">
        <f aca="false">Datos!J83</f>
        <v>-0.11430199205953</v>
      </c>
      <c r="H81" s="21" t="n">
        <f aca="false">Datos!K82</f>
        <v>0.0075734886805694</v>
      </c>
      <c r="I81" s="21" t="n">
        <f aca="false">Datos!F88</f>
        <v>0.0205805070747371</v>
      </c>
      <c r="J81" s="19" t="n">
        <v>1</v>
      </c>
      <c r="K81" s="19" t="n">
        <f aca="false">B81-($B$88+$B$89*C81+$B$90*D81+$B$91*E81+$B$92*F81+$B$93*G81+$B$94*H81+$B$95*I81)</f>
        <v>-0.00811589339058653</v>
      </c>
      <c r="L81" s="19" t="n">
        <f aca="false">K81^2</f>
        <v>6.58677255273661E-005</v>
      </c>
    </row>
    <row r="86" customFormat="false" ht="15" hidden="false" customHeight="false" outlineLevel="0" collapsed="false">
      <c r="A86" s="22" t="s">
        <v>157</v>
      </c>
      <c r="B86" s="23"/>
      <c r="C86" s="23"/>
      <c r="D86" s="23"/>
      <c r="E86" s="23"/>
      <c r="F86" s="23"/>
      <c r="G86" s="23"/>
      <c r="H86" s="23"/>
      <c r="I86" s="23"/>
      <c r="J86" s="23"/>
    </row>
    <row r="87" customFormat="false" ht="15" hidden="false" customHeight="false" outlineLevel="0" collapsed="false">
      <c r="A87" s="15" t="s">
        <v>28</v>
      </c>
      <c r="B87" s="15" t="s">
        <v>29</v>
      </c>
      <c r="C87" s="15" t="s">
        <v>158</v>
      </c>
      <c r="D87" s="15" t="s">
        <v>159</v>
      </c>
      <c r="E87" s="15" t="s">
        <v>26</v>
      </c>
      <c r="G87" s="11" t="s">
        <v>160</v>
      </c>
      <c r="H87" s="24" t="n">
        <f aca="false">INDEX(LINEST($B$6:$B$81,$C$6:$I$81,TRUE(),TRUE()),4,2)</f>
        <v>68</v>
      </c>
    </row>
    <row r="88" customFormat="false" ht="15" hidden="false" customHeight="false" outlineLevel="0" collapsed="false">
      <c r="A88" s="25" t="s">
        <v>161</v>
      </c>
      <c r="B88" s="26" t="n">
        <f aca="false">INDEX(LINEST($B$6:$B$81,$C$6:$I$81,TRUE(),TRUE()),1,8)</f>
        <v>0.00376078398735757</v>
      </c>
      <c r="C88" s="8" t="n">
        <f aca="false">INDEX(LINEST($B$6:$B$81,$C$6:$I$81,TRUE(),TRUE()),2,8)</f>
        <v>0.00387172725484959</v>
      </c>
      <c r="D88" s="5" t="n">
        <f aca="false">B88/C88</f>
        <v>0.971345278169308</v>
      </c>
      <c r="E88" s="7" t="n">
        <f aca="false">TDIST(ABS(D88),$H$87,2)</f>
        <v>0.334818907484124</v>
      </c>
    </row>
    <row r="89" customFormat="false" ht="15" hidden="false" customHeight="false" outlineLevel="0" collapsed="false">
      <c r="A89" s="25" t="s">
        <v>141</v>
      </c>
      <c r="B89" s="26" t="n">
        <f aca="false">INDEX(LINEST($B$6:$B$81,$C$6:$I$81,TRUE(),TRUE()),1,7)</f>
        <v>0.0713215512218651</v>
      </c>
      <c r="C89" s="8" t="n">
        <f aca="false">INDEX(LINEST($B$6:$B$81,$C$6:$I$81,TRUE(),TRUE()),2,7)</f>
        <v>0.0502456086855784</v>
      </c>
      <c r="D89" s="5" t="n">
        <f aca="false">B89/C89</f>
        <v>1.41945839820895</v>
      </c>
      <c r="E89" s="7" t="n">
        <f aca="false">TDIST(ABS(D89),$H$87,2)</f>
        <v>0.16033346786668</v>
      </c>
    </row>
    <row r="90" customFormat="false" ht="15" hidden="false" customHeight="false" outlineLevel="0" collapsed="false">
      <c r="A90" s="25" t="s">
        <v>142</v>
      </c>
      <c r="B90" s="26" t="n">
        <f aca="false">INDEX(LINEST($B$6:$B$81,$C$6:$I$81,TRUE(),TRUE()),1,6)</f>
        <v>-5.22924348622558E-005</v>
      </c>
      <c r="C90" s="8" t="n">
        <f aca="false">INDEX(LINEST($B$6:$B$81,$C$6:$I$81,TRUE(),TRUE()),2,6)</f>
        <v>1.36929839951106E-005</v>
      </c>
      <c r="D90" s="5" t="n">
        <f aca="false">B90/C90</f>
        <v>-3.81892178366147</v>
      </c>
      <c r="E90" s="7" t="n">
        <f aca="false">TDIST(ABS(D90),$H$87,2)</f>
        <v>0.000292491953009594</v>
      </c>
    </row>
    <row r="91" customFormat="false" ht="15" hidden="false" customHeight="false" outlineLevel="0" collapsed="false">
      <c r="A91" s="25" t="s">
        <v>143</v>
      </c>
      <c r="B91" s="26" t="n">
        <f aca="false">INDEX(LINEST($B$6:$B$81,$C$6:$I$81,TRUE(),TRUE()),1,5)</f>
        <v>-6.44819870331057E-005</v>
      </c>
      <c r="C91" s="8" t="n">
        <f aca="false">INDEX(LINEST($B$6:$B$81,$C$6:$I$81,TRUE(),TRUE()),2,5)</f>
        <v>1.357980414986E-005</v>
      </c>
      <c r="D91" s="5" t="n">
        <f aca="false">B91/C91</f>
        <v>-4.7483738588211</v>
      </c>
      <c r="E91" s="7" t="n">
        <f aca="false">TDIST(ABS(D91),$H$87,2)</f>
        <v>1.09770796924366E-005</v>
      </c>
    </row>
    <row r="92" customFormat="false" ht="15" hidden="false" customHeight="false" outlineLevel="0" collapsed="false">
      <c r="A92" s="25" t="s">
        <v>144</v>
      </c>
      <c r="B92" s="26" t="n">
        <f aca="false">INDEX(LINEST($B$6:$B$81,$C$6:$I$81,TRUE(),TRUE()),1,4)</f>
        <v>2.92704492662508E-005</v>
      </c>
      <c r="C92" s="8" t="n">
        <f aca="false">INDEX(LINEST($B$6:$B$81,$C$6:$I$81,TRUE(),TRUE()),2,4)</f>
        <v>1.40260949535617E-005</v>
      </c>
      <c r="D92" s="5" t="n">
        <f aca="false">B92/C92</f>
        <v>2.0868566313832</v>
      </c>
      <c r="E92" s="7" t="n">
        <f aca="false">TDIST(ABS(D92),$H$87,2)</f>
        <v>0.0406526481785712</v>
      </c>
    </row>
    <row r="93" customFormat="false" ht="15" hidden="false" customHeight="false" outlineLevel="0" collapsed="false">
      <c r="A93" s="25" t="s">
        <v>145</v>
      </c>
      <c r="B93" s="26" t="n">
        <f aca="false">INDEX(LINEST($B$6:$B$81,$C$6:$I$81,TRUE(),TRUE()),1,3)</f>
        <v>-0.0997869301949002</v>
      </c>
      <c r="C93" s="8" t="n">
        <f aca="false">INDEX(LINEST($B$6:$B$81,$C$6:$I$81,TRUE(),TRUE()),2,3)</f>
        <v>0.0315399742832869</v>
      </c>
      <c r="D93" s="5" t="n">
        <f aca="false">B93/C93</f>
        <v>-3.16382408237338</v>
      </c>
      <c r="E93" s="7" t="n">
        <f aca="false">TDIST(ABS(D93),$H$87,2)</f>
        <v>0.00232863844690825</v>
      </c>
    </row>
    <row r="94" customFormat="false" ht="15" hidden="false" customHeight="false" outlineLevel="0" collapsed="false">
      <c r="A94" s="25" t="s">
        <v>146</v>
      </c>
      <c r="B94" s="26" t="n">
        <f aca="false">INDEX(LINEST($B$6:$B$81,$C$6:$I$81,TRUE(),TRUE()),1,2)</f>
        <v>0.181146376423816</v>
      </c>
      <c r="C94" s="8" t="n">
        <f aca="false">INDEX(LINEST($B$6:$B$81,$C$6:$I$81,TRUE(),TRUE()),2,2)</f>
        <v>0.057676602898171</v>
      </c>
      <c r="D94" s="5" t="n">
        <f aca="false">B94/C94</f>
        <v>3.14072548176308</v>
      </c>
      <c r="E94" s="7" t="n">
        <f aca="false">TDIST(ABS(D94),$H$87,2)</f>
        <v>0.00249476145354365</v>
      </c>
    </row>
    <row r="95" customFormat="false" ht="15" hidden="false" customHeight="false" outlineLevel="0" collapsed="false">
      <c r="A95" s="25" t="s">
        <v>189</v>
      </c>
      <c r="B95" s="26" t="n">
        <f aca="false">INDEX(LINEST($B$6:$B$81,$C$6:$I$81,TRUE(),TRUE()),1,1)</f>
        <v>0.830810584099545</v>
      </c>
      <c r="C95" s="8" t="n">
        <f aca="false">INDEX(LINEST($B$6:$B$81,$C$6:$I$81,TRUE(),TRUE()),2,1)</f>
        <v>0.0683349851531613</v>
      </c>
      <c r="D95" s="5" t="n">
        <f aca="false">B95/C95</f>
        <v>12.1579097769235</v>
      </c>
      <c r="E95" s="7" t="n">
        <f aca="false">TDIST(ABS(D95),$H$87,2)</f>
        <v>1.02330233069355E-018</v>
      </c>
    </row>
    <row r="97" customFormat="false" ht="15" hidden="false" customHeight="false" outlineLevel="0" collapsed="false">
      <c r="A97" s="22" t="s">
        <v>162</v>
      </c>
      <c r="B97" s="23"/>
      <c r="C97" s="23"/>
      <c r="D97" s="23"/>
      <c r="E97" s="23"/>
      <c r="F97" s="23"/>
      <c r="G97" s="23"/>
      <c r="H97" s="23"/>
      <c r="I97" s="23"/>
      <c r="J97" s="23"/>
    </row>
    <row r="98" customFormat="false" ht="15" hidden="false" customHeight="false" outlineLevel="0" collapsed="false">
      <c r="A98" s="25" t="s">
        <v>163</v>
      </c>
      <c r="B98" s="5" t="n">
        <f aca="false">COUNT($B$6:$B$81)</f>
        <v>76</v>
      </c>
    </row>
    <row r="99" customFormat="false" ht="15" hidden="false" customHeight="false" outlineLevel="0" collapsed="false">
      <c r="A99" s="25" t="s">
        <v>9</v>
      </c>
      <c r="B99" s="5" t="n">
        <v>8</v>
      </c>
    </row>
    <row r="100" customFormat="false" ht="15" hidden="false" customHeight="false" outlineLevel="0" collapsed="false">
      <c r="A100" s="25" t="s">
        <v>10</v>
      </c>
      <c r="B100" s="6" t="n">
        <f aca="false">INDEX(LINEST($B$6:$B$81,$C$6:$I$81,TRUE(),TRUE()),3,1)</f>
        <v>0.743314935531447</v>
      </c>
    </row>
    <row r="101" customFormat="false" ht="15" hidden="false" customHeight="false" outlineLevel="0" collapsed="false">
      <c r="A101" s="25" t="s">
        <v>11</v>
      </c>
      <c r="B101" s="27" t="n">
        <f aca="false">1-(1-B100)*(B98-1)/(B98-B99)</f>
        <v>0.716891473012626</v>
      </c>
    </row>
    <row r="102" customFormat="false" ht="15" hidden="false" customHeight="false" outlineLevel="0" collapsed="false">
      <c r="A102" s="25" t="s">
        <v>12</v>
      </c>
      <c r="B102" s="8" t="n">
        <f aca="false">INDEX(LINEST($B$6:$B$81,$C$6:$I$81,TRUE(),TRUE()),5,2)</f>
        <v>0.0708742906755407</v>
      </c>
    </row>
    <row r="103" customFormat="false" ht="15" hidden="false" customHeight="false" outlineLevel="0" collapsed="false">
      <c r="A103" s="25" t="s">
        <v>164</v>
      </c>
      <c r="B103" s="6" t="n">
        <f aca="false">-B98/2*(LN(2*PI())+LN(B102/B98)+1)</f>
        <v>157.308744360728</v>
      </c>
    </row>
    <row r="104" customFormat="false" ht="15" hidden="false" customHeight="false" outlineLevel="0" collapsed="false">
      <c r="A104" s="25" t="s">
        <v>13</v>
      </c>
      <c r="B104" s="28" t="n">
        <f aca="false">-2*B103+2*B99</f>
        <v>-298.617488721457</v>
      </c>
    </row>
    <row r="105" customFormat="false" ht="15" hidden="false" customHeight="false" outlineLevel="0" collapsed="false">
      <c r="A105" s="25" t="s">
        <v>14</v>
      </c>
      <c r="B105" s="28" t="n">
        <f aca="false">-2*B103+LN(B98)*B99</f>
        <v>-279.971621999166</v>
      </c>
    </row>
    <row r="107" customFormat="false" ht="15" hidden="false" customHeight="false" outlineLevel="0" collapsed="false">
      <c r="A107" s="10" t="s">
        <v>15</v>
      </c>
      <c r="B107" s="29" t="n">
        <f aca="false">SUMXMY2(K7:K81,K6:K80)/SUMSQ(K6:K81)</f>
        <v>2.11601335990161</v>
      </c>
    </row>
    <row r="109" customFormat="false" ht="15" hidden="false" customHeight="false" outlineLevel="0" collapsed="false">
      <c r="A109" s="22" t="s">
        <v>190</v>
      </c>
      <c r="B109" s="23"/>
      <c r="C109" s="23"/>
      <c r="D109" s="23"/>
      <c r="E109" s="23"/>
      <c r="F109" s="23"/>
      <c r="G109" s="23"/>
      <c r="H109" s="23"/>
      <c r="I109" s="23"/>
    </row>
    <row r="110" customFormat="false" ht="15" hidden="false" customHeight="false" outlineLevel="0" collapsed="false">
      <c r="A110" s="2" t="s">
        <v>191</v>
      </c>
    </row>
    <row r="111" customFormat="false" ht="15" hidden="false" customHeight="false" outlineLevel="0" collapsed="false">
      <c r="A111" s="25" t="s">
        <v>192</v>
      </c>
      <c r="B111" s="8" t="n">
        <f aca="false">B102</f>
        <v>0.0708742906755407</v>
      </c>
    </row>
    <row r="112" customFormat="false" ht="15" hidden="false" customHeight="false" outlineLevel="0" collapsed="false">
      <c r="A112" s="25" t="s">
        <v>193</v>
      </c>
      <c r="B112" s="8" t="n">
        <f aca="false">Modelo_Actual!B101</f>
        <v>0.0772633950960716</v>
      </c>
    </row>
    <row r="113" customFormat="false" ht="15" hidden="false" customHeight="false" outlineLevel="0" collapsed="false">
      <c r="A113" s="25" t="s">
        <v>186</v>
      </c>
      <c r="B113" s="5" t="n">
        <v>1</v>
      </c>
    </row>
    <row r="114" customFormat="false" ht="15" hidden="false" customHeight="false" outlineLevel="0" collapsed="false">
      <c r="A114" s="25" t="s">
        <v>160</v>
      </c>
      <c r="B114" s="5" t="n">
        <f aca="false">$H$87</f>
        <v>68</v>
      </c>
    </row>
    <row r="115" customFormat="false" ht="15" hidden="false" customHeight="false" outlineLevel="0" collapsed="false">
      <c r="A115" s="25" t="s">
        <v>25</v>
      </c>
      <c r="B115" s="31" t="n">
        <f aca="false">((B112-B111)/B113)/(B111/B114)</f>
        <v>6.12999574958758</v>
      </c>
    </row>
    <row r="116" customFormat="false" ht="15" hidden="false" customHeight="false" outlineLevel="0" collapsed="false">
      <c r="A116" s="25" t="s">
        <v>26</v>
      </c>
      <c r="B116" s="27" t="n">
        <f aca="false">FDIST(B115,B113,B114)</f>
        <v>0.0157858997098416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5" min="2" style="0" width="13"/>
  </cols>
  <sheetData>
    <row r="1" customFormat="false" ht="17.35" hidden="false" customHeight="false" outlineLevel="0" collapsed="false">
      <c r="A1" s="1" t="s">
        <v>194</v>
      </c>
    </row>
    <row r="2" customFormat="false" ht="15" hidden="false" customHeight="false" outlineLevel="0" collapsed="false">
      <c r="A2" s="2" t="s">
        <v>195</v>
      </c>
    </row>
    <row r="5" customFormat="false" ht="15" hidden="false" customHeight="false" outlineLevel="0" collapsed="false">
      <c r="A5" s="3" t="s">
        <v>42</v>
      </c>
      <c r="B5" s="3" t="s">
        <v>140</v>
      </c>
      <c r="C5" s="3" t="s">
        <v>141</v>
      </c>
      <c r="D5" s="3" t="s">
        <v>142</v>
      </c>
      <c r="E5" s="3" t="s">
        <v>143</v>
      </c>
      <c r="F5" s="3" t="s">
        <v>144</v>
      </c>
      <c r="G5" s="3" t="s">
        <v>145</v>
      </c>
      <c r="H5" s="3" t="s">
        <v>146</v>
      </c>
      <c r="I5" s="3" t="s">
        <v>189</v>
      </c>
      <c r="J5" s="3" t="s">
        <v>178</v>
      </c>
      <c r="K5" s="3" t="s">
        <v>179</v>
      </c>
      <c r="L5" s="3" t="s">
        <v>147</v>
      </c>
      <c r="M5" s="3" t="s">
        <v>148</v>
      </c>
      <c r="N5" s="3" t="s">
        <v>149</v>
      </c>
      <c r="O5" s="3" t="s">
        <v>150</v>
      </c>
      <c r="P5" s="3" t="s">
        <v>151</v>
      </c>
      <c r="Q5" s="3" t="s">
        <v>152</v>
      </c>
      <c r="R5" s="3" t="s">
        <v>153</v>
      </c>
      <c r="S5" s="3" t="s">
        <v>154</v>
      </c>
      <c r="T5" s="3" t="s">
        <v>155</v>
      </c>
      <c r="U5" s="3" t="s">
        <v>156</v>
      </c>
      <c r="V5" s="3" t="s">
        <v>180</v>
      </c>
      <c r="W5" s="3" t="s">
        <v>181</v>
      </c>
      <c r="X5" s="3" t="s">
        <v>196</v>
      </c>
    </row>
    <row r="6" customFormat="false" ht="15" hidden="false" customHeight="false" outlineLevel="0" collapsed="false">
      <c r="A6" s="20" t="str">
        <f aca="false">Datos!A14</f>
        <v>2007Q2</v>
      </c>
      <c r="B6" s="21" t="n">
        <f aca="false">Datos!F14</f>
        <v>0.0985938738676382</v>
      </c>
      <c r="C6" s="21" t="n">
        <f aca="false">Datos!I14</f>
        <v>-0.012635858101546</v>
      </c>
      <c r="D6" s="21" t="n">
        <f aca="false">Datos!H14</f>
        <v>58.1062311827956</v>
      </c>
      <c r="E6" s="21" t="n">
        <f aca="false">Datos!H12</f>
        <v>-57.3400276497695</v>
      </c>
      <c r="F6" s="21" t="n">
        <f aca="false">Datos!H8</f>
        <v>9.68690215163929</v>
      </c>
      <c r="G6" s="21" t="n">
        <f aca="false">Datos!J8</f>
        <v>-0.0652841179146</v>
      </c>
      <c r="H6" s="21" t="n">
        <f aca="false">Datos!K7</f>
        <v>0.115224744248954</v>
      </c>
      <c r="I6" s="21" t="n">
        <f aca="false">Datos!F13</f>
        <v>0.0835894113627564</v>
      </c>
      <c r="J6" s="21" t="n">
        <f aca="false">IF($A6="2020Q2",1,0)</f>
        <v>0</v>
      </c>
      <c r="K6" s="21" t="n">
        <f aca="false">IF($A6="2021Q2",1,0)</f>
        <v>0</v>
      </c>
      <c r="L6" s="19" t="n">
        <v>1</v>
      </c>
      <c r="M6" s="19" t="n">
        <f aca="false">B6-($B$88+$B$89*C6+$B$90*D6+$B$91*E6+$B$92*F6+$B$93*G6+$B$94*H6+$B$95*I6+$B$96*J6+$B$97*K6)</f>
        <v>0.0120002993182535</v>
      </c>
      <c r="N6" s="19" t="n">
        <f aca="false">M6^2</f>
        <v>0.000144007183727674</v>
      </c>
      <c r="O6" s="19" t="n">
        <f aca="false">L6*$M6</f>
        <v>0.0120002993182535</v>
      </c>
      <c r="P6" s="19" t="n">
        <f aca="false">C6*$M6</f>
        <v>-0.00015163407936153</v>
      </c>
      <c r="Q6" s="19" t="n">
        <f aca="false">D6*$M6</f>
        <v>0.69729216644918</v>
      </c>
      <c r="R6" s="19" t="n">
        <f aca="false">E6*$M6</f>
        <v>-0.688097494714163</v>
      </c>
      <c r="S6" s="19" t="n">
        <f aca="false">F6*$M6</f>
        <v>0.116245725286305</v>
      </c>
      <c r="T6" s="19" t="n">
        <f aca="false">G6*$M6</f>
        <v>-0.000783428955703353</v>
      </c>
      <c r="U6" s="19" t="n">
        <f aca="false">H6*$M6</f>
        <v>0.00138273141985665</v>
      </c>
      <c r="V6" s="19" t="n">
        <f aca="false">I6*$M6</f>
        <v>0.00100309795618969</v>
      </c>
      <c r="W6" s="19" t="n">
        <f aca="false">J6*$M6</f>
        <v>0</v>
      </c>
      <c r="X6" s="19" t="n">
        <f aca="false">K6*$M6</f>
        <v>0</v>
      </c>
    </row>
    <row r="7" customFormat="false" ht="15" hidden="false" customHeight="false" outlineLevel="0" collapsed="false">
      <c r="A7" s="20" t="str">
        <f aca="false">Datos!A15</f>
        <v>2007Q3</v>
      </c>
      <c r="B7" s="21" t="n">
        <f aca="false">Datos!F15</f>
        <v>0.0842779771268098</v>
      </c>
      <c r="C7" s="21" t="n">
        <f aca="false">Datos!I15</f>
        <v>-0.0246226187787558</v>
      </c>
      <c r="D7" s="21" t="n">
        <f aca="false">Datos!H15</f>
        <v>146.742396825397</v>
      </c>
      <c r="E7" s="21" t="n">
        <f aca="false">Datos!H13</f>
        <v>-71.4258225806452</v>
      </c>
      <c r="F7" s="21" t="n">
        <f aca="false">Datos!H9</f>
        <v>-29.0010684822845</v>
      </c>
      <c r="G7" s="21" t="n">
        <f aca="false">Datos!J9</f>
        <v>0.104633678332462</v>
      </c>
      <c r="H7" s="21" t="n">
        <f aca="false">Datos!K8</f>
        <v>0.0193530431424458</v>
      </c>
      <c r="I7" s="21" t="n">
        <f aca="false">Datos!F14</f>
        <v>0.0985938738676382</v>
      </c>
      <c r="J7" s="21" t="n">
        <f aca="false">IF($A7="2020Q2",1,0)</f>
        <v>0</v>
      </c>
      <c r="K7" s="21" t="n">
        <f aca="false">IF($A7="2021Q2",1,0)</f>
        <v>0</v>
      </c>
      <c r="L7" s="19" t="n">
        <v>1</v>
      </c>
      <c r="M7" s="19" t="n">
        <f aca="false">B7-($B$88+$B$89*C7+$B$90*D7+$B$91*E7+$B$92*F7+$B$93*G7+$B$94*H7+$B$95*I7+$B$96*J7+$B$97*K7)</f>
        <v>0.0154232100388496</v>
      </c>
      <c r="N7" s="19" t="n">
        <f aca="false">M7^2</f>
        <v>0.000237875407902472</v>
      </c>
      <c r="O7" s="19" t="n">
        <f aca="false">L7*$M7</f>
        <v>0.0154232100388496</v>
      </c>
      <c r="P7" s="19" t="n">
        <f aca="false">C7*$M7</f>
        <v>-0.000379759821131273</v>
      </c>
      <c r="Q7" s="19" t="n">
        <f aca="false">D7*$M7</f>
        <v>2.26323880784232</v>
      </c>
      <c r="R7" s="19" t="n">
        <f aca="false">E7*$M7</f>
        <v>-1.1016154638589</v>
      </c>
      <c r="S7" s="19" t="n">
        <f aca="false">F7*$M7</f>
        <v>-0.447289570553336</v>
      </c>
      <c r="T7" s="19" t="n">
        <f aca="false">G7*$M7</f>
        <v>0.001613787198059</v>
      </c>
      <c r="U7" s="19" t="n">
        <f aca="false">H7*$M7</f>
        <v>0.00029848604927686</v>
      </c>
      <c r="V7" s="19" t="n">
        <f aca="false">I7*$M7</f>
        <v>0.00152063402520443</v>
      </c>
      <c r="W7" s="19" t="n">
        <f aca="false">J7*$M7</f>
        <v>0</v>
      </c>
      <c r="X7" s="19" t="n">
        <f aca="false">K7*$M7</f>
        <v>0</v>
      </c>
    </row>
    <row r="8" customFormat="false" ht="15" hidden="false" customHeight="false" outlineLevel="0" collapsed="false">
      <c r="A8" s="20" t="str">
        <f aca="false">Datos!A16</f>
        <v>2007Q4</v>
      </c>
      <c r="B8" s="21" t="n">
        <f aca="false">Datos!F16</f>
        <v>0.092673486299768</v>
      </c>
      <c r="C8" s="21" t="n">
        <f aca="false">Datos!I16</f>
        <v>-0.0513696334944869</v>
      </c>
      <c r="D8" s="21" t="n">
        <f aca="false">Datos!H16</f>
        <v>-28.2266763952893</v>
      </c>
      <c r="E8" s="21" t="n">
        <f aca="false">Datos!H14</f>
        <v>58.1062311827956</v>
      </c>
      <c r="F8" s="21" t="n">
        <f aca="false">Datos!H10</f>
        <v>-40.7013678955453</v>
      </c>
      <c r="G8" s="21" t="n">
        <f aca="false">Datos!J10</f>
        <v>-0.0328640375646361</v>
      </c>
      <c r="H8" s="21" t="n">
        <f aca="false">Datos!K9</f>
        <v>0.0252689346766117</v>
      </c>
      <c r="I8" s="21" t="n">
        <f aca="false">Datos!F15</f>
        <v>0.0842779771268098</v>
      </c>
      <c r="J8" s="21" t="n">
        <f aca="false">IF($A8="2020Q2",1,0)</f>
        <v>0</v>
      </c>
      <c r="K8" s="21" t="n">
        <f aca="false">IF($A8="2021Q2",1,0)</f>
        <v>0</v>
      </c>
      <c r="L8" s="19" t="n">
        <v>1</v>
      </c>
      <c r="M8" s="19" t="n">
        <f aca="false">B8-($B$88+$B$89*C8+$B$90*D8+$B$91*E8+$B$92*F8+$B$93*G8+$B$94*H8+$B$95*I8+$B$96*J8+$B$97*K8)</f>
        <v>0.0308085544453007</v>
      </c>
      <c r="N8" s="19" t="n">
        <f aca="false">M8^2</f>
        <v>0.000949167027009058</v>
      </c>
      <c r="O8" s="19" t="n">
        <f aca="false">L8*$M8</f>
        <v>0.0308085544453007</v>
      </c>
      <c r="P8" s="19" t="n">
        <f aca="false">C8*$M8</f>
        <v>-0.00158262415035004</v>
      </c>
      <c r="Q8" s="19" t="n">
        <f aca="false">D8*$M8</f>
        <v>-0.869623096534155</v>
      </c>
      <c r="R8" s="19" t="n">
        <f aca="false">E8*$M8</f>
        <v>1.79016898700639</v>
      </c>
      <c r="S8" s="19" t="n">
        <f aca="false">F8*$M8</f>
        <v>-1.25395030880812</v>
      </c>
      <c r="T8" s="19" t="n">
        <f aca="false">G8*$M8</f>
        <v>-0.0010124934906025</v>
      </c>
      <c r="U8" s="19" t="n">
        <f aca="false">H8*$M8</f>
        <v>0.000778499349759139</v>
      </c>
      <c r="V8" s="19" t="n">
        <f aca="false">I8*$M8</f>
        <v>0.00259648264685113</v>
      </c>
      <c r="W8" s="19" t="n">
        <f aca="false">J8*$M8</f>
        <v>0</v>
      </c>
      <c r="X8" s="19" t="n">
        <f aca="false">K8*$M8</f>
        <v>0</v>
      </c>
    </row>
    <row r="9" customFormat="false" ht="15" hidden="false" customHeight="false" outlineLevel="0" collapsed="false">
      <c r="A9" s="20" t="str">
        <f aca="false">Datos!A17</f>
        <v>2008Q1</v>
      </c>
      <c r="B9" s="21" t="n">
        <f aca="false">Datos!F17</f>
        <v>0.0691231457663233</v>
      </c>
      <c r="C9" s="21" t="n">
        <f aca="false">Datos!I17</f>
        <v>-0.0322053955184198</v>
      </c>
      <c r="D9" s="21" t="n">
        <f aca="false">Datos!H17</f>
        <v>95.3370391327341</v>
      </c>
      <c r="E9" s="21" t="n">
        <f aca="false">Datos!H15</f>
        <v>146.742396825397</v>
      </c>
      <c r="F9" s="21" t="n">
        <f aca="false">Datos!H11</f>
        <v>-14.6685238095238</v>
      </c>
      <c r="G9" s="21" t="n">
        <f aca="false">Datos!J11</f>
        <v>0.0272371314829849</v>
      </c>
      <c r="H9" s="21" t="n">
        <f aca="false">Datos!K10</f>
        <v>0.000733575253602181</v>
      </c>
      <c r="I9" s="21" t="n">
        <f aca="false">Datos!F16</f>
        <v>0.092673486299768</v>
      </c>
      <c r="J9" s="21" t="n">
        <f aca="false">IF($A9="2020Q2",1,0)</f>
        <v>0</v>
      </c>
      <c r="K9" s="21" t="n">
        <f aca="false">IF($A9="2021Q2",1,0)</f>
        <v>0</v>
      </c>
      <c r="L9" s="19" t="n">
        <v>1</v>
      </c>
      <c r="M9" s="19" t="n">
        <f aca="false">B9-($B$88+$B$89*C9+$B$90*D9+$B$91*E9+$B$92*F9+$B$93*G9+$B$94*H9+$B$95*I9+$B$96*J9+$B$97*K9)</f>
        <v>0.0117655697790692</v>
      </c>
      <c r="N9" s="19" t="n">
        <f aca="false">M9^2</f>
        <v>0.000138428632226146</v>
      </c>
      <c r="O9" s="19" t="n">
        <f aca="false">L9*$M9</f>
        <v>0.0117655697790692</v>
      </c>
      <c r="P9" s="19" t="n">
        <f aca="false">C9*$M9</f>
        <v>-0.00037891482823449</v>
      </c>
      <c r="Q9" s="19" t="n">
        <f aca="false">D9*$M9</f>
        <v>1.12169458644603</v>
      </c>
      <c r="R9" s="19" t="n">
        <f aca="false">E9*$M9</f>
        <v>1.72650790939707</v>
      </c>
      <c r="S9" s="19" t="n">
        <f aca="false">F9*$M9</f>
        <v>-0.17258354043689</v>
      </c>
      <c r="T9" s="19" t="n">
        <f aca="false">G9*$M9</f>
        <v>0.000320460371044741</v>
      </c>
      <c r="U9" s="19" t="n">
        <f aca="false">H9*$M9</f>
        <v>8.63093083445483E-006</v>
      </c>
      <c r="V9" s="19" t="n">
        <f aca="false">I9*$M9</f>
        <v>0.00109035636972953</v>
      </c>
      <c r="W9" s="19" t="n">
        <f aca="false">J9*$M9</f>
        <v>0</v>
      </c>
      <c r="X9" s="19" t="n">
        <f aca="false">K9*$M9</f>
        <v>0</v>
      </c>
    </row>
    <row r="10" customFormat="false" ht="15" hidden="false" customHeight="false" outlineLevel="0" collapsed="false">
      <c r="A10" s="20" t="str">
        <f aca="false">Datos!A18</f>
        <v>2008Q2</v>
      </c>
      <c r="B10" s="21" t="n">
        <f aca="false">Datos!F18</f>
        <v>0.0545268547475248</v>
      </c>
      <c r="C10" s="21" t="n">
        <f aca="false">Datos!I18</f>
        <v>-0.0472126174388314</v>
      </c>
      <c r="D10" s="21" t="n">
        <f aca="false">Datos!H18</f>
        <v>74.4147768954915</v>
      </c>
      <c r="E10" s="21" t="n">
        <f aca="false">Datos!H16</f>
        <v>-28.2266763952893</v>
      </c>
      <c r="F10" s="21" t="n">
        <f aca="false">Datos!H12</f>
        <v>-57.3400276497695</v>
      </c>
      <c r="G10" s="21" t="n">
        <f aca="false">Datos!J12</f>
        <v>0.0188405816005308</v>
      </c>
      <c r="H10" s="21" t="n">
        <f aca="false">Datos!K11</f>
        <v>-0.0492636656107994</v>
      </c>
      <c r="I10" s="21" t="n">
        <f aca="false">Datos!F17</f>
        <v>0.0691231457663233</v>
      </c>
      <c r="J10" s="21" t="n">
        <f aca="false">IF($A10="2020Q2",1,0)</f>
        <v>0</v>
      </c>
      <c r="K10" s="21" t="n">
        <f aca="false">IF($A10="2021Q2",1,0)</f>
        <v>0</v>
      </c>
      <c r="L10" s="19" t="n">
        <v>1</v>
      </c>
      <c r="M10" s="19" t="n">
        <f aca="false">B10-($B$88+$B$89*C10+$B$90*D10+$B$91*E10+$B$92*F10+$B$93*G10+$B$94*H10+$B$95*I10+$B$96*J10+$B$97*K10)</f>
        <v>0.0151688796068079</v>
      </c>
      <c r="N10" s="19" t="n">
        <f aca="false">M10^2</f>
        <v>0.000230094908525832</v>
      </c>
      <c r="O10" s="19" t="n">
        <f aca="false">L10*$M10</f>
        <v>0.0151688796068079</v>
      </c>
      <c r="P10" s="19" t="n">
        <f aca="false">C10*$M10</f>
        <v>-0.000716162509851911</v>
      </c>
      <c r="Q10" s="19" t="n">
        <f aca="false">D10*$M10</f>
        <v>1.12878879169518</v>
      </c>
      <c r="R10" s="19" t="n">
        <f aca="false">E10*$M10</f>
        <v>-0.428167055940469</v>
      </c>
      <c r="S10" s="19" t="n">
        <f aca="false">F10*$M10</f>
        <v>-0.869783976070387</v>
      </c>
      <c r="T10" s="19" t="n">
        <f aca="false">G10*$M10</f>
        <v>0.000285790514020691</v>
      </c>
      <c r="U10" s="19" t="n">
        <f aca="false">H10*$M10</f>
        <v>-0.000747274612640257</v>
      </c>
      <c r="V10" s="19" t="n">
        <f aca="false">I10*$M10</f>
        <v>0.00104852067617319</v>
      </c>
      <c r="W10" s="19" t="n">
        <f aca="false">J10*$M10</f>
        <v>0</v>
      </c>
      <c r="X10" s="19" t="n">
        <f aca="false">K10*$M10</f>
        <v>0</v>
      </c>
    </row>
    <row r="11" customFormat="false" ht="15" hidden="false" customHeight="false" outlineLevel="0" collapsed="false">
      <c r="A11" s="20" t="str">
        <f aca="false">Datos!A19</f>
        <v>2008Q3</v>
      </c>
      <c r="B11" s="21" t="n">
        <f aca="false">Datos!F19</f>
        <v>0.060060161436698</v>
      </c>
      <c r="C11" s="21" t="n">
        <f aca="false">Datos!I19</f>
        <v>0.0103881918110503</v>
      </c>
      <c r="D11" s="21" t="n">
        <f aca="false">Datos!H19</f>
        <v>140.17396875</v>
      </c>
      <c r="E11" s="21" t="n">
        <f aca="false">Datos!H17</f>
        <v>95.3370391327341</v>
      </c>
      <c r="F11" s="21" t="n">
        <f aca="false">Datos!H13</f>
        <v>-71.4258225806452</v>
      </c>
      <c r="G11" s="21" t="n">
        <f aca="false">Datos!J13</f>
        <v>0.0352994903857049</v>
      </c>
      <c r="H11" s="21" t="n">
        <f aca="false">Datos!K12</f>
        <v>0.0102718216533466</v>
      </c>
      <c r="I11" s="21" t="n">
        <f aca="false">Datos!F18</f>
        <v>0.0545268547475248</v>
      </c>
      <c r="J11" s="21" t="n">
        <f aca="false">IF($A11="2020Q2",1,0)</f>
        <v>0</v>
      </c>
      <c r="K11" s="21" t="n">
        <f aca="false">IF($A11="2021Q2",1,0)</f>
        <v>0</v>
      </c>
      <c r="L11" s="19" t="n">
        <v>1</v>
      </c>
      <c r="M11" s="19" t="n">
        <f aca="false">B11-($B$88+$B$89*C11+$B$90*D11+$B$91*E11+$B$92*F11+$B$93*G11+$B$94*H11+$B$95*I11+$B$96*J11+$B$97*K11)</f>
        <v>0.0231878170783462</v>
      </c>
      <c r="N11" s="19" t="n">
        <f aca="false">M11^2</f>
        <v>0.000537674860858845</v>
      </c>
      <c r="O11" s="19" t="n">
        <f aca="false">L11*$M11</f>
        <v>0.0231878170783462</v>
      </c>
      <c r="P11" s="19" t="n">
        <f aca="false">C11*$M11</f>
        <v>0.000240879491489409</v>
      </c>
      <c r="Q11" s="19" t="n">
        <f aca="false">D11*$M11</f>
        <v>3.25032834652082</v>
      </c>
      <c r="R11" s="19" t="n">
        <f aca="false">E11*$M11</f>
        <v>2.21065782420097</v>
      </c>
      <c r="S11" s="19" t="n">
        <f aca="false">F11*$M11</f>
        <v>-1.65620890867041</v>
      </c>
      <c r="T11" s="19" t="n">
        <f aca="false">G11*$M11</f>
        <v>0.000818518126022567</v>
      </c>
      <c r="U11" s="19" t="n">
        <f aca="false">H11*$M11</f>
        <v>0.000238181121559197</v>
      </c>
      <c r="V11" s="19" t="n">
        <f aca="false">I11*$M11</f>
        <v>0.00126435873374316</v>
      </c>
      <c r="W11" s="19" t="n">
        <f aca="false">J11*$M11</f>
        <v>0</v>
      </c>
      <c r="X11" s="19" t="n">
        <f aca="false">K11*$M11</f>
        <v>0</v>
      </c>
    </row>
    <row r="12" customFormat="false" ht="15" hidden="false" customHeight="false" outlineLevel="0" collapsed="false">
      <c r="A12" s="20" t="str">
        <f aca="false">Datos!A20</f>
        <v>2008Q4</v>
      </c>
      <c r="B12" s="21" t="n">
        <f aca="false">Datos!F20</f>
        <v>-0.019789908841391</v>
      </c>
      <c r="C12" s="21" t="n">
        <f aca="false">Datos!I20</f>
        <v>-0.012294190622106</v>
      </c>
      <c r="D12" s="21" t="n">
        <f aca="false">Datos!H20</f>
        <v>999.763070060484</v>
      </c>
      <c r="E12" s="21" t="n">
        <f aca="false">Datos!H18</f>
        <v>74.4147768954915</v>
      </c>
      <c r="F12" s="21" t="n">
        <f aca="false">Datos!H14</f>
        <v>58.1062311827956</v>
      </c>
      <c r="G12" s="21" t="n">
        <f aca="false">Datos!J14</f>
        <v>0.00539921963636064</v>
      </c>
      <c r="H12" s="21" t="n">
        <f aca="false">Datos!K13</f>
        <v>0.0394713580665338</v>
      </c>
      <c r="I12" s="21" t="n">
        <f aca="false">Datos!F19</f>
        <v>0.060060161436698</v>
      </c>
      <c r="J12" s="21" t="n">
        <f aca="false">IF($A12="2020Q2",1,0)</f>
        <v>0</v>
      </c>
      <c r="K12" s="21" t="n">
        <f aca="false">IF($A12="2021Q2",1,0)</f>
        <v>0</v>
      </c>
      <c r="L12" s="19" t="n">
        <v>1</v>
      </c>
      <c r="M12" s="19" t="n">
        <f aca="false">B12-($B$88+$B$89*C12+$B$90*D12+$B$91*E12+$B$92*F12+$B$93*G12+$B$94*H12+$B$95*I12+$B$96*J12+$B$97*K12)</f>
        <v>-0.0424793551342436</v>
      </c>
      <c r="N12" s="19" t="n">
        <f aca="false">M12^2</f>
        <v>0.00180449561262119</v>
      </c>
      <c r="O12" s="19" t="n">
        <f aca="false">L12*$M12</f>
        <v>-0.0424793551342436</v>
      </c>
      <c r="P12" s="19" t="n">
        <f aca="false">C12*$M12</f>
        <v>0.000522249289524529</v>
      </c>
      <c r="Q12" s="19" t="n">
        <f aca="false">D12*$M12</f>
        <v>-42.469290503201</v>
      </c>
      <c r="R12" s="19" t="n">
        <f aca="false">E12*$M12</f>
        <v>-3.16109173497909</v>
      </c>
      <c r="S12" s="19" t="n">
        <f aca="false">F12*$M12</f>
        <v>-2.46831522992644</v>
      </c>
      <c r="T12" s="19" t="n">
        <f aca="false">G12*$M12</f>
        <v>-0.000229355368380745</v>
      </c>
      <c r="U12" s="19" t="n">
        <f aca="false">H12*$M12</f>
        <v>-0.00167671783693918</v>
      </c>
      <c r="V12" s="19" t="n">
        <f aca="false">I12*$M12</f>
        <v>-0.0025513169270895</v>
      </c>
      <c r="W12" s="19" t="n">
        <f aca="false">J12*$M12</f>
        <v>-0</v>
      </c>
      <c r="X12" s="19" t="n">
        <f aca="false">K12*$M12</f>
        <v>-0</v>
      </c>
    </row>
    <row r="13" customFormat="false" ht="15" hidden="false" customHeight="false" outlineLevel="0" collapsed="false">
      <c r="A13" s="20" t="str">
        <f aca="false">Datos!A21</f>
        <v>2009Q1</v>
      </c>
      <c r="B13" s="21" t="n">
        <f aca="false">Datos!F21</f>
        <v>-0.0618875514402444</v>
      </c>
      <c r="C13" s="21" t="n">
        <f aca="false">Datos!I21</f>
        <v>-0.0506409298873551</v>
      </c>
      <c r="D13" s="21" t="n">
        <f aca="false">Datos!H21</f>
        <v>3.47016790058183</v>
      </c>
      <c r="E13" s="21" t="n">
        <f aca="false">Datos!H19</f>
        <v>140.17396875</v>
      </c>
      <c r="F13" s="21" t="n">
        <f aca="false">Datos!H15</f>
        <v>146.742396825397</v>
      </c>
      <c r="G13" s="21" t="n">
        <f aca="false">Datos!J15</f>
        <v>0.100083014779252</v>
      </c>
      <c r="H13" s="21" t="n">
        <f aca="false">Datos!K14</f>
        <v>-0.0416510073677663</v>
      </c>
      <c r="I13" s="21" t="n">
        <f aca="false">Datos!F20</f>
        <v>-0.019789908841391</v>
      </c>
      <c r="J13" s="21" t="n">
        <f aca="false">IF($A13="2020Q2",1,0)</f>
        <v>0</v>
      </c>
      <c r="K13" s="21" t="n">
        <f aca="false">IF($A13="2021Q2",1,0)</f>
        <v>0</v>
      </c>
      <c r="L13" s="19" t="n">
        <v>1</v>
      </c>
      <c r="M13" s="19" t="n">
        <f aca="false">B13-($B$88+$B$89*C13+$B$90*D13+$B$91*E13+$B$92*F13+$B$93*G13+$B$94*H13+$B$95*I13+$B$96*J13+$B$97*K13)</f>
        <v>-0.0244586720616898</v>
      </c>
      <c r="N13" s="19" t="n">
        <f aca="false">M13^2</f>
        <v>0.000598226639021284</v>
      </c>
      <c r="O13" s="19" t="n">
        <f aca="false">L13*$M13</f>
        <v>-0.0244586720616898</v>
      </c>
      <c r="P13" s="19" t="n">
        <f aca="false">C13*$M13</f>
        <v>0.00123860989701384</v>
      </c>
      <c r="Q13" s="19" t="n">
        <f aca="false">D13*$M13</f>
        <v>-0.0848756986793335</v>
      </c>
      <c r="R13" s="19" t="n">
        <f aca="false">E13*$M13</f>
        <v>-3.4284691332418</v>
      </c>
      <c r="S13" s="19" t="n">
        <f aca="false">F13*$M13</f>
        <v>-3.58912416149873</v>
      </c>
      <c r="T13" s="19" t="n">
        <f aca="false">G13*$M13</f>
        <v>-0.00244789763743099</v>
      </c>
      <c r="U13" s="19" t="n">
        <f aca="false">H13*$M13</f>
        <v>0.00101872833024722</v>
      </c>
      <c r="V13" s="19" t="n">
        <f aca="false">I13*$M13</f>
        <v>0.000484034890482317</v>
      </c>
      <c r="W13" s="19" t="n">
        <f aca="false">J13*$M13</f>
        <v>-0</v>
      </c>
      <c r="X13" s="19" t="n">
        <f aca="false">K13*$M13</f>
        <v>-0</v>
      </c>
    </row>
    <row r="14" customFormat="false" ht="15" hidden="false" customHeight="false" outlineLevel="0" collapsed="false">
      <c r="A14" s="20" t="str">
        <f aca="false">Datos!A22</f>
        <v>2009Q2</v>
      </c>
      <c r="B14" s="21" t="n">
        <f aca="false">Datos!F22</f>
        <v>-0.112745471526209</v>
      </c>
      <c r="C14" s="21" t="n">
        <f aca="false">Datos!I22</f>
        <v>-0.0270336828188397</v>
      </c>
      <c r="D14" s="21" t="n">
        <f aca="false">Datos!H22</f>
        <v>-244.401219359875</v>
      </c>
      <c r="E14" s="21" t="n">
        <f aca="false">Datos!H20</f>
        <v>999.763070060484</v>
      </c>
      <c r="F14" s="21" t="n">
        <f aca="false">Datos!H16</f>
        <v>-28.2266763952893</v>
      </c>
      <c r="G14" s="21" t="n">
        <f aca="false">Datos!J16</f>
        <v>-0.0807503897728054</v>
      </c>
      <c r="H14" s="21" t="n">
        <f aca="false">Datos!K15</f>
        <v>-0.0183885313531229</v>
      </c>
      <c r="I14" s="21" t="n">
        <f aca="false">Datos!F21</f>
        <v>-0.0618875514402444</v>
      </c>
      <c r="J14" s="21" t="n">
        <f aca="false">IF($A14="2020Q2",1,0)</f>
        <v>0</v>
      </c>
      <c r="K14" s="21" t="n">
        <f aca="false">IF($A14="2021Q2",1,0)</f>
        <v>0</v>
      </c>
      <c r="L14" s="19" t="n">
        <v>1</v>
      </c>
      <c r="M14" s="19" t="n">
        <f aca="false">B14-($B$88+$B$89*C14+$B$90*D14+$B$91*E14+$B$92*F14+$B$93*G14+$B$94*H14+$B$95*I14+$B$96*J14+$B$97*K14)</f>
        <v>-0.0239791964327024</v>
      </c>
      <c r="N14" s="19" t="n">
        <f aca="false">M14^2</f>
        <v>0.000575001861558127</v>
      </c>
      <c r="O14" s="19" t="n">
        <f aca="false">L14*$M14</f>
        <v>-0.0239791964327024</v>
      </c>
      <c r="P14" s="19" t="n">
        <f aca="false">C14*$M14</f>
        <v>0.000648245990612329</v>
      </c>
      <c r="Q14" s="19" t="n">
        <f aca="false">D14*$M14</f>
        <v>5.86054484742243</v>
      </c>
      <c r="R14" s="19" t="n">
        <f aca="false">E14*$M14</f>
        <v>-23.973515043142</v>
      </c>
      <c r="S14" s="19" t="n">
        <f aca="false">F14*$M14</f>
        <v>0.676853017924966</v>
      </c>
      <c r="T14" s="19" t="n">
        <f aca="false">G14*$M14</f>
        <v>0.00193632945837938</v>
      </c>
      <c r="U14" s="19" t="n">
        <f aca="false">H14*$M14</f>
        <v>0.000440942205425441</v>
      </c>
      <c r="V14" s="19" t="n">
        <f aca="false">I14*$M14</f>
        <v>0.00148401375272459</v>
      </c>
      <c r="W14" s="19" t="n">
        <f aca="false">J14*$M14</f>
        <v>-0</v>
      </c>
      <c r="X14" s="19" t="n">
        <f aca="false">K14*$M14</f>
        <v>-0</v>
      </c>
    </row>
    <row r="15" customFormat="false" ht="15" hidden="false" customHeight="false" outlineLevel="0" collapsed="false">
      <c r="A15" s="20" t="str">
        <f aca="false">Datos!A23</f>
        <v>2009Q3</v>
      </c>
      <c r="B15" s="21" t="n">
        <f aca="false">Datos!F23</f>
        <v>-0.0565117996405296</v>
      </c>
      <c r="C15" s="21" t="n">
        <f aca="false">Datos!I23</f>
        <v>0.0188952503887881</v>
      </c>
      <c r="D15" s="21" t="n">
        <f aca="false">Datos!H23</f>
        <v>-533.989581101191</v>
      </c>
      <c r="E15" s="21" t="n">
        <f aca="false">Datos!H21</f>
        <v>3.47016790058183</v>
      </c>
      <c r="F15" s="21" t="n">
        <f aca="false">Datos!H17</f>
        <v>95.3370391327341</v>
      </c>
      <c r="G15" s="21" t="n">
        <f aca="false">Datos!J17</f>
        <v>-0.0136163320117733</v>
      </c>
      <c r="H15" s="21" t="n">
        <f aca="false">Datos!K16</f>
        <v>0.126406856244862</v>
      </c>
      <c r="I15" s="21" t="n">
        <f aca="false">Datos!F22</f>
        <v>-0.112745471526209</v>
      </c>
      <c r="J15" s="21" t="n">
        <f aca="false">IF($A15="2020Q2",1,0)</f>
        <v>0</v>
      </c>
      <c r="K15" s="21" t="n">
        <f aca="false">IF($A15="2021Q2",1,0)</f>
        <v>0</v>
      </c>
      <c r="L15" s="19" t="n">
        <v>1</v>
      </c>
      <c r="M15" s="19" t="n">
        <f aca="false">B15-($B$88+$B$89*C15+$B$90*D15+$B$91*E15+$B$92*F15+$B$93*G15+$B$94*H15+$B$95*I15+$B$96*J15+$B$97*K15)</f>
        <v>-0.00997477502831909</v>
      </c>
      <c r="N15" s="19" t="n">
        <f aca="false">M15^2</f>
        <v>9.94961368655781E-005</v>
      </c>
      <c r="O15" s="19" t="n">
        <f aca="false">L15*$M15</f>
        <v>-0.00997477502831909</v>
      </c>
      <c r="P15" s="19" t="n">
        <f aca="false">C15*$M15</f>
        <v>-0.00018847587173192</v>
      </c>
      <c r="Q15" s="19" t="n">
        <f aca="false">D15*$M15</f>
        <v>5.32642593895073</v>
      </c>
      <c r="R15" s="19" t="n">
        <f aca="false">E15*$M15</f>
        <v>-0.0346141441187981</v>
      </c>
      <c r="S15" s="19" t="n">
        <f aca="false">F15*$M15</f>
        <v>-0.950965517215076</v>
      </c>
      <c r="T15" s="19" t="n">
        <f aca="false">G15*$M15</f>
        <v>0.000135819848528338</v>
      </c>
      <c r="U15" s="19" t="n">
        <f aca="false">H15*$M15</f>
        <v>-0.00126087995307957</v>
      </c>
      <c r="V15" s="19" t="n">
        <f aca="false">I15*$M15</f>
        <v>0.00112461071393569</v>
      </c>
      <c r="W15" s="19" t="n">
        <f aca="false">J15*$M15</f>
        <v>-0</v>
      </c>
      <c r="X15" s="19" t="n">
        <f aca="false">K15*$M15</f>
        <v>-0</v>
      </c>
    </row>
    <row r="16" customFormat="false" ht="15" hidden="false" customHeight="false" outlineLevel="0" collapsed="false">
      <c r="A16" s="20" t="str">
        <f aca="false">Datos!A24</f>
        <v>2009Q4</v>
      </c>
      <c r="B16" s="21" t="n">
        <f aca="false">Datos!F24</f>
        <v>0.00281998226127467</v>
      </c>
      <c r="C16" s="21" t="n">
        <f aca="false">Datos!I24</f>
        <v>0.0202660816321944</v>
      </c>
      <c r="D16" s="21" t="n">
        <f aca="false">Datos!H24</f>
        <v>-203.745835181452</v>
      </c>
      <c r="E16" s="21" t="n">
        <f aca="false">Datos!H22</f>
        <v>-244.401219359875</v>
      </c>
      <c r="F16" s="21" t="n">
        <f aca="false">Datos!H18</f>
        <v>74.4147768954915</v>
      </c>
      <c r="G16" s="21" t="n">
        <f aca="false">Datos!J18</f>
        <v>0.051677262796743</v>
      </c>
      <c r="H16" s="21" t="n">
        <f aca="false">Datos!K17</f>
        <v>0.0947144557948736</v>
      </c>
      <c r="I16" s="21" t="n">
        <f aca="false">Datos!F23</f>
        <v>-0.0565117996405296</v>
      </c>
      <c r="J16" s="21" t="n">
        <f aca="false">IF($A16="2020Q2",1,0)</f>
        <v>0</v>
      </c>
      <c r="K16" s="21" t="n">
        <f aca="false">IF($A16="2021Q2",1,0)</f>
        <v>0</v>
      </c>
      <c r="L16" s="19" t="n">
        <v>1</v>
      </c>
      <c r="M16" s="19" t="n">
        <f aca="false">B16-($B$88+$B$89*C16+$B$90*D16+$B$91*E16+$B$92*F16+$B$93*G16+$B$94*H16+$B$95*I16+$B$96*J16+$B$97*K16)</f>
        <v>0.0114833964488344</v>
      </c>
      <c r="N16" s="19" t="n">
        <f aca="false">M16^2</f>
        <v>0.000131868394001103</v>
      </c>
      <c r="O16" s="19" t="n">
        <f aca="false">L16*$M16</f>
        <v>0.0114833964488344</v>
      </c>
      <c r="P16" s="19" t="n">
        <f aca="false">C16*$M16</f>
        <v>0.00023272344984693</v>
      </c>
      <c r="Q16" s="19" t="n">
        <f aca="false">D16*$M16</f>
        <v>-2.33969420018748</v>
      </c>
      <c r="R16" s="19" t="n">
        <f aca="false">E16*$M16</f>
        <v>-2.80655609448798</v>
      </c>
      <c r="S16" s="19" t="n">
        <f aca="false">F16*$M16</f>
        <v>0.854534384742491</v>
      </c>
      <c r="T16" s="19" t="n">
        <f aca="false">G16*$M16</f>
        <v>0.000593430496085601</v>
      </c>
      <c r="U16" s="19" t="n">
        <f aca="false">H16*$M16</f>
        <v>0.00108764364532813</v>
      </c>
      <c r="V16" s="19" t="n">
        <f aca="false">I16*$M16</f>
        <v>-0.000648947399309298</v>
      </c>
      <c r="W16" s="19" t="n">
        <f aca="false">J16*$M16</f>
        <v>0</v>
      </c>
      <c r="X16" s="19" t="n">
        <f aca="false">K16*$M16</f>
        <v>0</v>
      </c>
    </row>
    <row r="17" customFormat="false" ht="15" hidden="false" customHeight="false" outlineLevel="0" collapsed="false">
      <c r="A17" s="20" t="str">
        <f aca="false">Datos!A25</f>
        <v>2010Q1</v>
      </c>
      <c r="B17" s="21" t="n">
        <f aca="false">Datos!F25</f>
        <v>0.0571326910752132</v>
      </c>
      <c r="C17" s="21" t="n">
        <f aca="false">Datos!I25</f>
        <v>0.0364851445863187</v>
      </c>
      <c r="D17" s="21" t="n">
        <f aca="false">Datos!H25</f>
        <v>15.4416356425168</v>
      </c>
      <c r="E17" s="21" t="n">
        <f aca="false">Datos!H23</f>
        <v>-533.989581101191</v>
      </c>
      <c r="F17" s="21" t="n">
        <f aca="false">Datos!H19</f>
        <v>140.17396875</v>
      </c>
      <c r="G17" s="21" t="n">
        <f aca="false">Datos!J19</f>
        <v>-0.0922660919721236</v>
      </c>
      <c r="H17" s="21" t="n">
        <f aca="false">Datos!K18</f>
        <v>-0.088947266354809</v>
      </c>
      <c r="I17" s="21" t="n">
        <f aca="false">Datos!F24</f>
        <v>0.00281998226127467</v>
      </c>
      <c r="J17" s="21" t="n">
        <f aca="false">IF($A17="2020Q2",1,0)</f>
        <v>0</v>
      </c>
      <c r="K17" s="21" t="n">
        <f aca="false">IF($A17="2021Q2",1,0)</f>
        <v>0</v>
      </c>
      <c r="L17" s="19" t="n">
        <v>1</v>
      </c>
      <c r="M17" s="19" t="n">
        <f aca="false">B17-($B$88+$B$89*C17+$B$90*D17+$B$91*E17+$B$92*F17+$B$93*G17+$B$94*H17+$B$95*I17+$B$96*J17+$B$97*K17)</f>
        <v>0.0172318915061028</v>
      </c>
      <c r="N17" s="19" t="n">
        <f aca="false">M17^2</f>
        <v>0.000296938084878099</v>
      </c>
      <c r="O17" s="19" t="n">
        <f aca="false">L17*$M17</f>
        <v>0.0172318915061028</v>
      </c>
      <c r="P17" s="19" t="n">
        <f aca="false">C17*$M17</f>
        <v>0.000628708053095919</v>
      </c>
      <c r="Q17" s="19" t="n">
        <f aca="false">D17*$M17</f>
        <v>0.266088590068619</v>
      </c>
      <c r="R17" s="19" t="n">
        <f aca="false">E17*$M17</f>
        <v>-9.20165052692502</v>
      </c>
      <c r="S17" s="19" t="n">
        <f aca="false">F17*$M17</f>
        <v>2.41546262147985</v>
      </c>
      <c r="T17" s="19" t="n">
        <f aca="false">G17*$M17</f>
        <v>-0.00158991928655574</v>
      </c>
      <c r="U17" s="19" t="n">
        <f aca="false">H17*$M17</f>
        <v>-0.0015327296435905</v>
      </c>
      <c r="V17" s="19" t="n">
        <f aca="false">I17*$M17</f>
        <v>4.85936283754196E-005</v>
      </c>
      <c r="W17" s="19" t="n">
        <f aca="false">J17*$M17</f>
        <v>0</v>
      </c>
      <c r="X17" s="19" t="n">
        <f aca="false">K17*$M17</f>
        <v>0</v>
      </c>
    </row>
    <row r="18" customFormat="false" ht="15" hidden="false" customHeight="false" outlineLevel="0" collapsed="false">
      <c r="A18" s="20" t="str">
        <f aca="false">Datos!A26</f>
        <v>2010Q2</v>
      </c>
      <c r="B18" s="21" t="n">
        <f aca="false">Datos!F26</f>
        <v>0.162441995090574</v>
      </c>
      <c r="C18" s="21" t="n">
        <f aca="false">Datos!I26</f>
        <v>0.115499149243793</v>
      </c>
      <c r="D18" s="21" t="n">
        <f aca="false">Datos!H26</f>
        <v>0.464510798855258</v>
      </c>
      <c r="E18" s="21" t="n">
        <f aca="false">Datos!H24</f>
        <v>-203.745835181452</v>
      </c>
      <c r="F18" s="21" t="n">
        <f aca="false">Datos!H20</f>
        <v>999.763070060484</v>
      </c>
      <c r="G18" s="21" t="n">
        <f aca="false">Datos!J20</f>
        <v>0.044032264635168</v>
      </c>
      <c r="H18" s="21" t="n">
        <f aca="false">Datos!K19</f>
        <v>0.0223520724544983</v>
      </c>
      <c r="I18" s="21" t="n">
        <f aca="false">Datos!F25</f>
        <v>0.0571326910752132</v>
      </c>
      <c r="J18" s="21" t="n">
        <f aca="false">IF($A18="2020Q2",1,0)</f>
        <v>0</v>
      </c>
      <c r="K18" s="21" t="n">
        <f aca="false">IF($A18="2021Q2",1,0)</f>
        <v>0</v>
      </c>
      <c r="L18" s="19" t="n">
        <v>1</v>
      </c>
      <c r="M18" s="19" t="n">
        <f aca="false">B18-($B$88+$B$89*C18+$B$90*D18+$B$91*E18+$B$92*F18+$B$93*G18+$B$94*H18+$B$95*I18+$B$96*J18+$B$97*K18)</f>
        <v>0.0595103385301008</v>
      </c>
      <c r="N18" s="19" t="n">
        <f aca="false">M18^2</f>
        <v>0.0035414803919672</v>
      </c>
      <c r="O18" s="19" t="n">
        <f aca="false">L18*$M18</f>
        <v>0.0595103385301008</v>
      </c>
      <c r="P18" s="19" t="n">
        <f aca="false">C18*$M18</f>
        <v>0.00687339347143677</v>
      </c>
      <c r="Q18" s="19" t="n">
        <f aca="false">D18*$M18</f>
        <v>0.027643194890764</v>
      </c>
      <c r="R18" s="19" t="n">
        <f aca="false">E18*$M18</f>
        <v>-12.1249836257463</v>
      </c>
      <c r="S18" s="19" t="n">
        <f aca="false">F18*$M18</f>
        <v>59.4962387491923</v>
      </c>
      <c r="T18" s="19" t="n">
        <f aca="false">G18*$M18</f>
        <v>0.00262037497468583</v>
      </c>
      <c r="U18" s="19" t="n">
        <f aca="false">H18*$M18</f>
        <v>0.00133017939861654</v>
      </c>
      <c r="V18" s="19" t="n">
        <f aca="false">I18*$M18</f>
        <v>0.00339998578702161</v>
      </c>
      <c r="W18" s="19" t="n">
        <f aca="false">J18*$M18</f>
        <v>0</v>
      </c>
      <c r="X18" s="19" t="n">
        <f aca="false">K18*$M18</f>
        <v>0</v>
      </c>
    </row>
    <row r="19" customFormat="false" ht="15" hidden="false" customHeight="false" outlineLevel="0" collapsed="false">
      <c r="A19" s="20" t="str">
        <f aca="false">Datos!A27</f>
        <v>2010Q3</v>
      </c>
      <c r="B19" s="21" t="n">
        <f aca="false">Datos!F27</f>
        <v>0.0950774236722809</v>
      </c>
      <c r="C19" s="21" t="n">
        <f aca="false">Datos!I27</f>
        <v>0.0131107735865699</v>
      </c>
      <c r="D19" s="21" t="n">
        <f aca="false">Datos!H27</f>
        <v>-22.7225300099209</v>
      </c>
      <c r="E19" s="21" t="n">
        <f aca="false">Datos!H25</f>
        <v>15.4416356425168</v>
      </c>
      <c r="F19" s="21" t="n">
        <f aca="false">Datos!H21</f>
        <v>3.47016790058183</v>
      </c>
      <c r="G19" s="21" t="n">
        <f aca="false">Datos!J21</f>
        <v>-0.0701582840739423</v>
      </c>
      <c r="H19" s="21" t="n">
        <f aca="false">Datos!K20</f>
        <v>-0.181715050328396</v>
      </c>
      <c r="I19" s="21" t="n">
        <f aca="false">Datos!F26</f>
        <v>0.162441995090574</v>
      </c>
      <c r="J19" s="21" t="n">
        <f aca="false">IF($A19="2020Q2",1,0)</f>
        <v>0</v>
      </c>
      <c r="K19" s="21" t="n">
        <f aca="false">IF($A19="2021Q2",1,0)</f>
        <v>0</v>
      </c>
      <c r="L19" s="19" t="n">
        <v>1</v>
      </c>
      <c r="M19" s="19" t="n">
        <f aca="false">B19-($B$88+$B$89*C19+$B$90*D19+$B$91*E19+$B$92*F19+$B$93*G19+$B$94*H19+$B$95*I19+$B$96*J19+$B$97*K19)</f>
        <v>-0.0214979414110756</v>
      </c>
      <c r="N19" s="19" t="n">
        <f aca="false">M19^2</f>
        <v>0.000462161484914038</v>
      </c>
      <c r="O19" s="19" t="n">
        <f aca="false">L19*$M19</f>
        <v>-0.0214979414110756</v>
      </c>
      <c r="P19" s="19" t="n">
        <f aca="false">C19*$M19</f>
        <v>-0.000281854642417956</v>
      </c>
      <c r="Q19" s="19" t="n">
        <f aca="false">D19*$M19</f>
        <v>0.488487618864686</v>
      </c>
      <c r="R19" s="19" t="n">
        <f aca="false">E19*$M19</f>
        <v>-0.331963378334002</v>
      </c>
      <c r="S19" s="19" t="n">
        <f aca="false">F19*$M19</f>
        <v>-0.0746014662133033</v>
      </c>
      <c r="T19" s="19" t="n">
        <f aca="false">G19*$M19</f>
        <v>0.00150825868052321</v>
      </c>
      <c r="U19" s="19" t="n">
        <f aca="false">H19*$M19</f>
        <v>0.00390649950547052</v>
      </c>
      <c r="V19" s="19" t="n">
        <f aca="false">I19*$M19</f>
        <v>-0.00349216849315538</v>
      </c>
      <c r="W19" s="19" t="n">
        <f aca="false">J19*$M19</f>
        <v>-0</v>
      </c>
      <c r="X19" s="19" t="n">
        <f aca="false">K19*$M19</f>
        <v>-0</v>
      </c>
    </row>
    <row r="20" customFormat="false" ht="15" hidden="false" customHeight="false" outlineLevel="0" collapsed="false">
      <c r="A20" s="20" t="str">
        <f aca="false">Datos!A28</f>
        <v>2010Q4</v>
      </c>
      <c r="B20" s="21" t="n">
        <f aca="false">Datos!F28</f>
        <v>0.0860979311042298</v>
      </c>
      <c r="C20" s="21" t="n">
        <f aca="false">Datos!I28</f>
        <v>0.0312470107223477</v>
      </c>
      <c r="D20" s="21" t="n">
        <f aca="false">Datos!H28</f>
        <v>-165.748584173387</v>
      </c>
      <c r="E20" s="21" t="n">
        <f aca="false">Datos!H26</f>
        <v>0.464510798855258</v>
      </c>
      <c r="F20" s="21" t="n">
        <f aca="false">Datos!H22</f>
        <v>-244.401219359875</v>
      </c>
      <c r="G20" s="21" t="n">
        <f aca="false">Datos!J22</f>
        <v>0.054123533141051</v>
      </c>
      <c r="H20" s="21" t="n">
        <f aca="false">Datos!K21</f>
        <v>-0.10171645872716</v>
      </c>
      <c r="I20" s="21" t="n">
        <f aca="false">Datos!F27</f>
        <v>0.0950774236722809</v>
      </c>
      <c r="J20" s="21" t="n">
        <f aca="false">IF($A20="2020Q2",1,0)</f>
        <v>0</v>
      </c>
      <c r="K20" s="21" t="n">
        <f aca="false">IF($A20="2021Q2",1,0)</f>
        <v>0</v>
      </c>
      <c r="L20" s="19" t="n">
        <v>1</v>
      </c>
      <c r="M20" s="19" t="n">
        <f aca="false">B20-($B$88+$B$89*C20+$B$90*D20+$B$91*E20+$B$92*F20+$B$93*G20+$B$94*H20+$B$95*I20+$B$96*J20+$B$97*K20)</f>
        <v>0.0190171540972452</v>
      </c>
      <c r="N20" s="19" t="n">
        <f aca="false">M20^2</f>
        <v>0.00036165214995837</v>
      </c>
      <c r="O20" s="19" t="n">
        <f aca="false">L20*$M20</f>
        <v>0.0190171540972452</v>
      </c>
      <c r="P20" s="19" t="n">
        <f aca="false">C20*$M20</f>
        <v>0.00059422921798516</v>
      </c>
      <c r="Q20" s="19" t="n">
        <f aca="false">D20*$M20</f>
        <v>-3.15206636662552</v>
      </c>
      <c r="R20" s="19" t="n">
        <f aca="false">E20*$M20</f>
        <v>0.00883367344166492</v>
      </c>
      <c r="S20" s="19" t="n">
        <f aca="false">F20*$M20</f>
        <v>-4.64781565012137</v>
      </c>
      <c r="T20" s="19" t="n">
        <f aca="false">G20*$M20</f>
        <v>0.00102927557003072</v>
      </c>
      <c r="U20" s="19" t="n">
        <f aca="false">H20*$M20</f>
        <v>-0.00193435756984049</v>
      </c>
      <c r="V20" s="19" t="n">
        <f aca="false">I20*$M20</f>
        <v>0.00180810201714483</v>
      </c>
      <c r="W20" s="19" t="n">
        <f aca="false">J20*$M20</f>
        <v>0</v>
      </c>
      <c r="X20" s="19" t="n">
        <f aca="false">K20*$M20</f>
        <v>0</v>
      </c>
    </row>
    <row r="21" customFormat="false" ht="15" hidden="false" customHeight="false" outlineLevel="0" collapsed="false">
      <c r="A21" s="20" t="str">
        <f aca="false">Datos!A29</f>
        <v>2011Q1</v>
      </c>
      <c r="B21" s="21" t="n">
        <f aca="false">Datos!F29</f>
        <v>0.0829261625044686</v>
      </c>
      <c r="C21" s="21" t="n">
        <f aca="false">Datos!I29</f>
        <v>0.0422766191537938</v>
      </c>
      <c r="D21" s="21" t="n">
        <f aca="false">Datos!H29</f>
        <v>-12.9487096774192</v>
      </c>
      <c r="E21" s="21" t="n">
        <f aca="false">Datos!H27</f>
        <v>-22.7225300099209</v>
      </c>
      <c r="F21" s="21" t="n">
        <f aca="false">Datos!H23</f>
        <v>-533.989581101191</v>
      </c>
      <c r="G21" s="21" t="n">
        <f aca="false">Datos!J23</f>
        <v>-0.0490698977401611</v>
      </c>
      <c r="H21" s="21" t="n">
        <f aca="false">Datos!K22</f>
        <v>0.129643513362584</v>
      </c>
      <c r="I21" s="21" t="n">
        <f aca="false">Datos!F28</f>
        <v>0.0860979311042298</v>
      </c>
      <c r="J21" s="21" t="n">
        <f aca="false">IF($A21="2020Q2",1,0)</f>
        <v>0</v>
      </c>
      <c r="K21" s="21" t="n">
        <f aca="false">IF($A21="2021Q2",1,0)</f>
        <v>0</v>
      </c>
      <c r="L21" s="19" t="n">
        <v>1</v>
      </c>
      <c r="M21" s="19" t="n">
        <f aca="false">B21-($B$88+$B$89*C21+$B$90*D21+$B$91*E21+$B$92*F21+$B$93*G21+$B$94*H21+$B$95*I21+$B$96*J21+$B$97*K21)</f>
        <v>-0.00510628669899464</v>
      </c>
      <c r="N21" s="19" t="n">
        <f aca="false">M21^2</f>
        <v>2.60741638523296E-005</v>
      </c>
      <c r="O21" s="19" t="n">
        <f aca="false">L21*$M21</f>
        <v>-0.00510628669899464</v>
      </c>
      <c r="P21" s="19" t="n">
        <f aca="false">C21*$M21</f>
        <v>-0.000215876538063479</v>
      </c>
      <c r="Q21" s="19" t="n">
        <f aca="false">D21*$M21</f>
        <v>0.0661198239949487</v>
      </c>
      <c r="R21" s="19" t="n">
        <f aca="false">E21*$M21</f>
        <v>0.116027752757166</v>
      </c>
      <c r="S21" s="19" t="n">
        <f aca="false">F21*$M21</f>
        <v>2.72670389537873</v>
      </c>
      <c r="T21" s="19" t="n">
        <f aca="false">G21*$M21</f>
        <v>0.000250564966151612</v>
      </c>
      <c r="U21" s="19" t="n">
        <f aca="false">H21*$M21</f>
        <v>-0.000661996947894299</v>
      </c>
      <c r="V21" s="19" t="n">
        <f aca="false">I21*$M21</f>
        <v>-0.000439640720408486</v>
      </c>
      <c r="W21" s="19" t="n">
        <f aca="false">J21*$M21</f>
        <v>-0</v>
      </c>
      <c r="X21" s="19" t="n">
        <f aca="false">K21*$M21</f>
        <v>-0</v>
      </c>
    </row>
    <row r="22" customFormat="false" ht="15" hidden="false" customHeight="false" outlineLevel="0" collapsed="false">
      <c r="A22" s="20" t="str">
        <f aca="false">Datos!A30</f>
        <v>2011Q2</v>
      </c>
      <c r="B22" s="21" t="n">
        <f aca="false">Datos!F30</f>
        <v>0.0444334376577356</v>
      </c>
      <c r="C22" s="21" t="n">
        <f aca="false">Datos!I30</f>
        <v>-0.0386592979395697</v>
      </c>
      <c r="D22" s="21" t="n">
        <f aca="false">Datos!H30</f>
        <v>41.5229032258063</v>
      </c>
      <c r="E22" s="21" t="n">
        <f aca="false">Datos!H28</f>
        <v>-165.748584173387</v>
      </c>
      <c r="F22" s="21" t="n">
        <f aca="false">Datos!H24</f>
        <v>-203.745835181452</v>
      </c>
      <c r="G22" s="21" t="n">
        <f aca="false">Datos!J24</f>
        <v>0.0211877049597919</v>
      </c>
      <c r="H22" s="21" t="n">
        <f aca="false">Datos!K23</f>
        <v>0.0271664532119418</v>
      </c>
      <c r="I22" s="21" t="n">
        <f aca="false">Datos!F29</f>
        <v>0.0829261625044686</v>
      </c>
      <c r="J22" s="21" t="n">
        <f aca="false">IF($A22="2020Q2",1,0)</f>
        <v>0</v>
      </c>
      <c r="K22" s="21" t="n">
        <f aca="false">IF($A22="2021Q2",1,0)</f>
        <v>0</v>
      </c>
      <c r="L22" s="19" t="n">
        <v>1</v>
      </c>
      <c r="M22" s="19" t="n">
        <f aca="false">B22-($B$88+$B$89*C22+$B$90*D22+$B$91*E22+$B$92*F22+$B$93*G22+$B$94*H22+$B$95*I22+$B$96*J22+$B$97*K22)</f>
        <v>-0.0206505323408538</v>
      </c>
      <c r="N22" s="19" t="n">
        <f aca="false">M22^2</f>
        <v>0.000426444485960647</v>
      </c>
      <c r="O22" s="19" t="n">
        <f aca="false">L22*$M22</f>
        <v>-0.0206505323408538</v>
      </c>
      <c r="P22" s="19" t="n">
        <f aca="false">C22*$M22</f>
        <v>0.000798335082375785</v>
      </c>
      <c r="Q22" s="19" t="n">
        <f aca="false">D22*$M22</f>
        <v>-0.857470055950654</v>
      </c>
      <c r="R22" s="19" t="n">
        <f aca="false">E22*$M22</f>
        <v>3.42279649792325</v>
      </c>
      <c r="S22" s="19" t="n">
        <f aca="false">F22*$M22</f>
        <v>4.20745995872882</v>
      </c>
      <c r="T22" s="19" t="n">
        <f aca="false">G22*$M22</f>
        <v>-0.00043753738650065</v>
      </c>
      <c r="U22" s="19" t="n">
        <f aca="false">H22*$M22</f>
        <v>-0.000561001720639494</v>
      </c>
      <c r="V22" s="19" t="n">
        <f aca="false">I22*$M22</f>
        <v>-0.00171246940070142</v>
      </c>
      <c r="W22" s="19" t="n">
        <f aca="false">J22*$M22</f>
        <v>-0</v>
      </c>
      <c r="X22" s="19" t="n">
        <f aca="false">K22*$M22</f>
        <v>-0</v>
      </c>
    </row>
    <row r="23" customFormat="false" ht="15" hidden="false" customHeight="false" outlineLevel="0" collapsed="false">
      <c r="A23" s="20" t="str">
        <f aca="false">Datos!A31</f>
        <v>2011Q3</v>
      </c>
      <c r="B23" s="21" t="n">
        <f aca="false">Datos!F31</f>
        <v>0.0640936718081673</v>
      </c>
      <c r="C23" s="21" t="n">
        <f aca="false">Datos!I31</f>
        <v>0.0068203401084819</v>
      </c>
      <c r="D23" s="21" t="n">
        <f aca="false">Datos!H31</f>
        <v>158.444625</v>
      </c>
      <c r="E23" s="21" t="n">
        <f aca="false">Datos!H29</f>
        <v>-12.9487096774192</v>
      </c>
      <c r="F23" s="21" t="n">
        <f aca="false">Datos!H25</f>
        <v>15.4416356425168</v>
      </c>
      <c r="G23" s="21" t="n">
        <f aca="false">Datos!J25</f>
        <v>0.0221868916706847</v>
      </c>
      <c r="H23" s="21" t="n">
        <f aca="false">Datos!K24</f>
        <v>0.081172316441758</v>
      </c>
      <c r="I23" s="21" t="n">
        <f aca="false">Datos!F30</f>
        <v>0.0444334376577356</v>
      </c>
      <c r="J23" s="21" t="n">
        <f aca="false">IF($A23="2020Q2",1,0)</f>
        <v>0</v>
      </c>
      <c r="K23" s="21" t="n">
        <f aca="false">IF($A23="2021Q2",1,0)</f>
        <v>0</v>
      </c>
      <c r="L23" s="19" t="n">
        <v>1</v>
      </c>
      <c r="M23" s="19" t="n">
        <f aca="false">B23-($B$88+$B$89*C23+$B$90*D23+$B$91*E23+$B$92*F23+$B$93*G23+$B$94*H23+$B$95*I23+$B$96*J23+$B$97*K23)</f>
        <v>0.0195406825488249</v>
      </c>
      <c r="N23" s="19" t="n">
        <f aca="false">M23^2</f>
        <v>0.000381838274473951</v>
      </c>
      <c r="O23" s="19" t="n">
        <f aca="false">L23*$M23</f>
        <v>0.0195406825488249</v>
      </c>
      <c r="P23" s="19" t="n">
        <f aca="false">C23*$M23</f>
        <v>0.000133274100934863</v>
      </c>
      <c r="Q23" s="19" t="n">
        <f aca="false">D23*$M23</f>
        <v>3.09611611869261</v>
      </c>
      <c r="R23" s="19" t="n">
        <f aca="false">E23*$M23</f>
        <v>-0.253026625223345</v>
      </c>
      <c r="S23" s="19" t="n">
        <f aca="false">F23*$M23</f>
        <v>0.30174010012504</v>
      </c>
      <c r="T23" s="19" t="n">
        <f aca="false">G23*$M23</f>
        <v>0.000433547006882018</v>
      </c>
      <c r="U23" s="19" t="n">
        <f aca="false">H23*$M23</f>
        <v>0.00158616246734115</v>
      </c>
      <c r="V23" s="19" t="n">
        <f aca="false">I23*$M23</f>
        <v>0.000868259699822813</v>
      </c>
      <c r="W23" s="19" t="n">
        <f aca="false">J23*$M23</f>
        <v>0</v>
      </c>
      <c r="X23" s="19" t="n">
        <f aca="false">K23*$M23</f>
        <v>0</v>
      </c>
    </row>
    <row r="24" customFormat="false" ht="15" hidden="false" customHeight="false" outlineLevel="0" collapsed="false">
      <c r="A24" s="20" t="str">
        <f aca="false">Datos!A32</f>
        <v>2011Q4</v>
      </c>
      <c r="B24" s="21" t="n">
        <f aca="false">Datos!F32</f>
        <v>0.0521713189216535</v>
      </c>
      <c r="C24" s="21" t="n">
        <f aca="false">Datos!I32</f>
        <v>-0.0270244482852387</v>
      </c>
      <c r="D24" s="21" t="n">
        <f aca="false">Datos!H32</f>
        <v>174.585041666667</v>
      </c>
      <c r="E24" s="21" t="n">
        <f aca="false">Datos!H30</f>
        <v>41.5229032258063</v>
      </c>
      <c r="F24" s="21" t="n">
        <f aca="false">Datos!H26</f>
        <v>0.464510798855258</v>
      </c>
      <c r="G24" s="21" t="n">
        <f aca="false">Datos!J26</f>
        <v>-0.0447960728624985</v>
      </c>
      <c r="H24" s="21" t="n">
        <f aca="false">Datos!K25</f>
        <v>0.00367116102547781</v>
      </c>
      <c r="I24" s="21" t="n">
        <f aca="false">Datos!F31</f>
        <v>0.0640936718081673</v>
      </c>
      <c r="J24" s="21" t="n">
        <f aca="false">IF($A24="2020Q2",1,0)</f>
        <v>0</v>
      </c>
      <c r="K24" s="21" t="n">
        <f aca="false">IF($A24="2021Q2",1,0)</f>
        <v>0</v>
      </c>
      <c r="L24" s="19" t="n">
        <v>1</v>
      </c>
      <c r="M24" s="19" t="n">
        <f aca="false">B24-($B$88+$B$89*C24+$B$90*D24+$B$91*E24+$B$92*F24+$B$93*G24+$B$94*H24+$B$95*I24+$B$96*J24+$B$97*K24)</f>
        <v>0.00654940339467013</v>
      </c>
      <c r="N24" s="19" t="n">
        <f aca="false">M24^2</f>
        <v>4.28946848261166E-005</v>
      </c>
      <c r="O24" s="19" t="n">
        <f aca="false">L24*$M24</f>
        <v>0.00654940339467013</v>
      </c>
      <c r="P24" s="19" t="n">
        <f aca="false">C24*$M24</f>
        <v>-0.00017699401333843</v>
      </c>
      <c r="Q24" s="19" t="n">
        <f aca="false">D24*$M24</f>
        <v>1.14342786455029</v>
      </c>
      <c r="R24" s="19" t="n">
        <f aca="false">E24*$M24</f>
        <v>0.271950243343655</v>
      </c>
      <c r="S24" s="19" t="n">
        <f aca="false">F24*$M24</f>
        <v>0.00304226860288356</v>
      </c>
      <c r="T24" s="19" t="n">
        <f aca="false">G24*$M24</f>
        <v>-0.000293387551673538</v>
      </c>
      <c r="U24" s="19" t="n">
        <f aca="false">H24*$M24</f>
        <v>2.4043914482645E-005</v>
      </c>
      <c r="V24" s="19" t="n">
        <f aca="false">I24*$M24</f>
        <v>0.000419775311717284</v>
      </c>
      <c r="W24" s="19" t="n">
        <f aca="false">J24*$M24</f>
        <v>0</v>
      </c>
      <c r="X24" s="19" t="n">
        <f aca="false">K24*$M24</f>
        <v>0</v>
      </c>
    </row>
    <row r="25" customFormat="false" ht="15" hidden="false" customHeight="false" outlineLevel="0" collapsed="false">
      <c r="A25" s="20" t="str">
        <f aca="false">Datos!A33</f>
        <v>2012Q1</v>
      </c>
      <c r="B25" s="21" t="n">
        <f aca="false">Datos!F33</f>
        <v>0.0156424693190642</v>
      </c>
      <c r="C25" s="21" t="n">
        <f aca="false">Datos!I33</f>
        <v>-0.0290398188694472</v>
      </c>
      <c r="D25" s="21" t="n">
        <f aca="false">Datos!H33</f>
        <v>-75.1010327956988</v>
      </c>
      <c r="E25" s="21" t="n">
        <f aca="false">Datos!H31</f>
        <v>158.444625</v>
      </c>
      <c r="F25" s="21" t="n">
        <f aca="false">Datos!H27</f>
        <v>-22.7225300099209</v>
      </c>
      <c r="G25" s="21" t="n">
        <f aca="false">Datos!J27</f>
        <v>0.0629084391155807</v>
      </c>
      <c r="H25" s="21" t="n">
        <f aca="false">Datos!K26</f>
        <v>-0.134873174066432</v>
      </c>
      <c r="I25" s="21" t="n">
        <f aca="false">Datos!F32</f>
        <v>0.0521713189216535</v>
      </c>
      <c r="J25" s="21" t="n">
        <f aca="false">IF($A25="2020Q2",1,0)</f>
        <v>0</v>
      </c>
      <c r="K25" s="21" t="n">
        <f aca="false">IF($A25="2021Q2",1,0)</f>
        <v>0</v>
      </c>
      <c r="L25" s="19" t="n">
        <v>1</v>
      </c>
      <c r="M25" s="19" t="n">
        <f aca="false">B25-($B$88+$B$89*C25+$B$90*D25+$B$91*E25+$B$92*F25+$B$93*G25+$B$94*H25+$B$95*I25+$B$96*J25+$B$97*K25)</f>
        <v>0.00374428393528894</v>
      </c>
      <c r="N25" s="19" t="n">
        <f aca="false">M25^2</f>
        <v>1.40196621880629E-005</v>
      </c>
      <c r="O25" s="19" t="n">
        <f aca="false">L25*$M25</f>
        <v>0.00374428393528894</v>
      </c>
      <c r="P25" s="19" t="n">
        <f aca="false">C25*$M25</f>
        <v>-0.000108733327276572</v>
      </c>
      <c r="Q25" s="19" t="n">
        <f aca="false">D25*$M25</f>
        <v>-0.281199590620543</v>
      </c>
      <c r="R25" s="19" t="n">
        <f aca="false">E25*$M25</f>
        <v>0.593261664020381</v>
      </c>
      <c r="S25" s="19" t="n">
        <f aca="false">F25*$M25</f>
        <v>-0.0850796040852677</v>
      </c>
      <c r="T25" s="19" t="n">
        <f aca="false">G25*$M25</f>
        <v>0.000235547057974571</v>
      </c>
      <c r="U25" s="19" t="n">
        <f aca="false">H25*$M25</f>
        <v>-0.000505003458958372</v>
      </c>
      <c r="V25" s="19" t="n">
        <f aca="false">I25*$M25</f>
        <v>0.000195344231321183</v>
      </c>
      <c r="W25" s="19" t="n">
        <f aca="false">J25*$M25</f>
        <v>0</v>
      </c>
      <c r="X25" s="19" t="n">
        <f aca="false">K25*$M25</f>
        <v>0</v>
      </c>
    </row>
    <row r="26" customFormat="false" ht="15" hidden="false" customHeight="false" outlineLevel="0" collapsed="false">
      <c r="A26" s="20" t="str">
        <f aca="false">Datos!A34</f>
        <v>2012Q2</v>
      </c>
      <c r="B26" s="21" t="n">
        <f aca="false">Datos!F34</f>
        <v>-0.0463175722342237</v>
      </c>
      <c r="C26" s="21" t="n">
        <f aca="false">Datos!I34</f>
        <v>-0.026110493572689</v>
      </c>
      <c r="D26" s="21" t="n">
        <f aca="false">Datos!H34</f>
        <v>231.838685176651</v>
      </c>
      <c r="E26" s="21" t="n">
        <f aca="false">Datos!H32</f>
        <v>174.585041666667</v>
      </c>
      <c r="F26" s="21" t="n">
        <f aca="false">Datos!H28</f>
        <v>-165.748584173387</v>
      </c>
      <c r="G26" s="21" t="n">
        <f aca="false">Datos!J28</f>
        <v>0.0406890191956908</v>
      </c>
      <c r="H26" s="21" t="n">
        <f aca="false">Datos!K27</f>
        <v>0.00395895744112517</v>
      </c>
      <c r="I26" s="21" t="n">
        <f aca="false">Datos!F33</f>
        <v>0.0156424693190642</v>
      </c>
      <c r="J26" s="21" t="n">
        <f aca="false">IF($A26="2020Q2",1,0)</f>
        <v>0</v>
      </c>
      <c r="K26" s="21" t="n">
        <f aca="false">IF($A26="2021Q2",1,0)</f>
        <v>0</v>
      </c>
      <c r="L26" s="19" t="n">
        <v>1</v>
      </c>
      <c r="M26" s="19" t="n">
        <f aca="false">B26-($B$88+$B$89*C26+$B$90*D26+$B$91*E26+$B$92*F26+$B$93*G26+$B$94*H26+$B$95*I26+$B$96*J26+$B$97*K26)</f>
        <v>-0.0361707885994585</v>
      </c>
      <c r="N26" s="19" t="n">
        <f aca="false">M26^2</f>
        <v>0.00130832594790672</v>
      </c>
      <c r="O26" s="19" t="n">
        <f aca="false">L26*$M26</f>
        <v>-0.0361707885994585</v>
      </c>
      <c r="P26" s="19" t="n">
        <f aca="false">C26*$M26</f>
        <v>0.000944437143245255</v>
      </c>
      <c r="Q26" s="19" t="n">
        <f aca="false">D26*$M26</f>
        <v>-8.38578807070107</v>
      </c>
      <c r="R26" s="19" t="n">
        <f aca="false">E26*$M26</f>
        <v>-6.31487863475266</v>
      </c>
      <c r="S26" s="19" t="n">
        <f aca="false">F26*$M26</f>
        <v>5.99525699879514</v>
      </c>
      <c r="T26" s="19" t="n">
        <f aca="false">G26*$M26</f>
        <v>-0.00147175391164664</v>
      </c>
      <c r="U26" s="19" t="n">
        <f aca="false">H26*$M26</f>
        <v>-0.000143198612677192</v>
      </c>
      <c r="V26" s="19" t="n">
        <f aca="false">I26*$M26</f>
        <v>-0.000565800450913388</v>
      </c>
      <c r="W26" s="19" t="n">
        <f aca="false">J26*$M26</f>
        <v>-0</v>
      </c>
      <c r="X26" s="19" t="n">
        <f aca="false">K26*$M26</f>
        <v>-0</v>
      </c>
    </row>
    <row r="27" customFormat="false" ht="15" hidden="false" customHeight="false" outlineLevel="0" collapsed="false">
      <c r="A27" s="20" t="str">
        <f aca="false">Datos!A35</f>
        <v>2012Q3</v>
      </c>
      <c r="B27" s="21" t="n">
        <f aca="false">Datos!F35</f>
        <v>-0.0111829419552486</v>
      </c>
      <c r="C27" s="21" t="n">
        <f aca="false">Datos!I35</f>
        <v>0.0386172859864582</v>
      </c>
      <c r="D27" s="21" t="n">
        <f aca="false">Datos!H35</f>
        <v>-43.7133031746029</v>
      </c>
      <c r="E27" s="21" t="n">
        <f aca="false">Datos!H33</f>
        <v>-75.1010327956988</v>
      </c>
      <c r="F27" s="21" t="n">
        <f aca="false">Datos!H29</f>
        <v>-12.9487096774192</v>
      </c>
      <c r="G27" s="21" t="n">
        <f aca="false">Datos!J29</f>
        <v>-0.0741697784354101</v>
      </c>
      <c r="H27" s="21" t="n">
        <f aca="false">Datos!K28</f>
        <v>0.05803748575736</v>
      </c>
      <c r="I27" s="21" t="n">
        <f aca="false">Datos!F34</f>
        <v>-0.0463175722342237</v>
      </c>
      <c r="J27" s="21" t="n">
        <f aca="false">IF($A27="2020Q2",1,0)</f>
        <v>0</v>
      </c>
      <c r="K27" s="21" t="n">
        <f aca="false">IF($A27="2021Q2",1,0)</f>
        <v>0</v>
      </c>
      <c r="L27" s="19" t="n">
        <v>1</v>
      </c>
      <c r="M27" s="19" t="n">
        <f aca="false">B27-($B$88+$B$89*C27+$B$90*D27+$B$91*E27+$B$92*F27+$B$93*G27+$B$94*H27+$B$95*I27+$B$96*J27+$B$97*K27)</f>
        <v>-0.00461952590227203</v>
      </c>
      <c r="N27" s="19" t="n">
        <f aca="false">M27^2</f>
        <v>2.13400195617623E-005</v>
      </c>
      <c r="O27" s="19" t="n">
        <f aca="false">L27*$M27</f>
        <v>-0.00461952590227203</v>
      </c>
      <c r="P27" s="19" t="n">
        <f aca="false">C27*$M27</f>
        <v>-0.00017839355288989</v>
      </c>
      <c r="Q27" s="19" t="n">
        <f aca="false">D27*$M27</f>
        <v>0.201934736288948</v>
      </c>
      <c r="R27" s="19" t="n">
        <f aca="false">E27*$M27</f>
        <v>0.346931166287112</v>
      </c>
      <c r="S27" s="19" t="n">
        <f aca="false">F27*$M27</f>
        <v>0.0598168997558384</v>
      </c>
      <c r="T27" s="19" t="n">
        <f aca="false">G27*$M27</f>
        <v>0.000342629212648155</v>
      </c>
      <c r="U27" s="19" t="n">
        <f aca="false">H27*$M27</f>
        <v>-0.000268105668758869</v>
      </c>
      <c r="V27" s="19" t="n">
        <f aca="false">I27*$M27</f>
        <v>0.000213965224666353</v>
      </c>
      <c r="W27" s="19" t="n">
        <f aca="false">J27*$M27</f>
        <v>-0</v>
      </c>
      <c r="X27" s="19" t="n">
        <f aca="false">K27*$M27</f>
        <v>-0</v>
      </c>
    </row>
    <row r="28" customFormat="false" ht="15" hidden="false" customHeight="false" outlineLevel="0" collapsed="false">
      <c r="A28" s="20" t="str">
        <f aca="false">Datos!A36</f>
        <v>2012Q4</v>
      </c>
      <c r="B28" s="21" t="n">
        <f aca="false">Datos!F36</f>
        <v>0.00555804016441552</v>
      </c>
      <c r="C28" s="21" t="n">
        <f aca="false">Datos!I36</f>
        <v>0.0395024208900321</v>
      </c>
      <c r="D28" s="21" t="n">
        <f aca="false">Datos!H36</f>
        <v>16.4557341269839</v>
      </c>
      <c r="E28" s="21" t="n">
        <f aca="false">Datos!H34</f>
        <v>231.838685176651</v>
      </c>
      <c r="F28" s="21" t="n">
        <f aca="false">Datos!H30</f>
        <v>41.5229032258063</v>
      </c>
      <c r="G28" s="21" t="n">
        <f aca="false">Datos!J30</f>
        <v>0.0370188748562493</v>
      </c>
      <c r="H28" s="21" t="n">
        <f aca="false">Datos!K29</f>
        <v>0.0369403748928518</v>
      </c>
      <c r="I28" s="21" t="n">
        <f aca="false">Datos!F35</f>
        <v>-0.0111829419552486</v>
      </c>
      <c r="J28" s="21" t="n">
        <f aca="false">IF($A28="2020Q2",1,0)</f>
        <v>0</v>
      </c>
      <c r="K28" s="21" t="n">
        <f aca="false">IF($A28="2021Q2",1,0)</f>
        <v>0</v>
      </c>
      <c r="L28" s="19" t="n">
        <v>1</v>
      </c>
      <c r="M28" s="19" t="n">
        <f aca="false">B28-($B$88+$B$89*C28+$B$90*D28+$B$91*E28+$B$92*F28+$B$93*G28+$B$94*H28+$B$95*I28+$B$96*J28+$B$97*K28)</f>
        <v>0.0116820258917788</v>
      </c>
      <c r="N28" s="19" t="n">
        <f aca="false">M28^2</f>
        <v>0.00013646972893619</v>
      </c>
      <c r="O28" s="19" t="n">
        <f aca="false">L28*$M28</f>
        <v>0.0116820258917788</v>
      </c>
      <c r="P28" s="19" t="n">
        <f aca="false">C28*$M28</f>
        <v>0.000461468303625297</v>
      </c>
      <c r="Q28" s="19" t="n">
        <f aca="false">D28*$M28</f>
        <v>0.192236312139653</v>
      </c>
      <c r="R28" s="19" t="n">
        <f aca="false">E28*$M28</f>
        <v>2.70834552294959</v>
      </c>
      <c r="S28" s="19" t="n">
        <f aca="false">F28*$M28</f>
        <v>0.485071630585694</v>
      </c>
      <c r="T28" s="19" t="n">
        <f aca="false">G28*$M28</f>
        <v>0.000432455454555223</v>
      </c>
      <c r="U28" s="19" t="n">
        <f aca="false">H28*$M28</f>
        <v>0.00043153841595031</v>
      </c>
      <c r="V28" s="19" t="n">
        <f aca="false">I28*$M28</f>
        <v>-0.000130639417467473</v>
      </c>
      <c r="W28" s="19" t="n">
        <f aca="false">J28*$M28</f>
        <v>0</v>
      </c>
      <c r="X28" s="19" t="n">
        <f aca="false">K28*$M28</f>
        <v>0</v>
      </c>
    </row>
    <row r="29" customFormat="false" ht="15" hidden="false" customHeight="false" outlineLevel="0" collapsed="false">
      <c r="A29" s="20" t="str">
        <f aca="false">Datos!A37</f>
        <v>2013Q1</v>
      </c>
      <c r="B29" s="21" t="n">
        <f aca="false">Datos!F37</f>
        <v>0.00654025144614989</v>
      </c>
      <c r="C29" s="21" t="n">
        <f aca="false">Datos!I37</f>
        <v>-0.0136126649327899</v>
      </c>
      <c r="D29" s="21" t="n">
        <f aca="false">Datos!H37</f>
        <v>88.9247333333331</v>
      </c>
      <c r="E29" s="21" t="n">
        <f aca="false">Datos!H35</f>
        <v>-43.7133031746029</v>
      </c>
      <c r="F29" s="21" t="n">
        <f aca="false">Datos!H31</f>
        <v>158.444625</v>
      </c>
      <c r="G29" s="21" t="n">
        <f aca="false">Datos!J31</f>
        <v>0.0367630898891084</v>
      </c>
      <c r="H29" s="21" t="n">
        <f aca="false">Datos!K30</f>
        <v>0.0675225331288068</v>
      </c>
      <c r="I29" s="21" t="n">
        <f aca="false">Datos!F36</f>
        <v>0.00555804016441552</v>
      </c>
      <c r="J29" s="21" t="n">
        <f aca="false">IF($A29="2020Q2",1,0)</f>
        <v>0</v>
      </c>
      <c r="K29" s="21" t="n">
        <f aca="false">IF($A29="2021Q2",1,0)</f>
        <v>0</v>
      </c>
      <c r="L29" s="19" t="n">
        <v>1</v>
      </c>
      <c r="M29" s="19" t="n">
        <f aca="false">B29-($B$88+$B$89*C29+$B$90*D29+$B$91*E29+$B$92*F29+$B$93*G29+$B$94*H29+$B$95*I29+$B$96*J29+$B$97*K29)</f>
        <v>-0.00779848516727334</v>
      </c>
      <c r="N29" s="19" t="n">
        <f aca="false">M29^2</f>
        <v>6.08163709041824E-005</v>
      </c>
      <c r="O29" s="19" t="n">
        <f aca="false">L29*$M29</f>
        <v>-0.00779848516727334</v>
      </c>
      <c r="P29" s="19" t="n">
        <f aca="false">C29*$M29</f>
        <v>0.000106158165565424</v>
      </c>
      <c r="Q29" s="19" t="n">
        <f aca="false">D29*$M29</f>
        <v>-0.693478213903735</v>
      </c>
      <c r="R29" s="19" t="n">
        <f aca="false">E29*$M29</f>
        <v>0.340897546419663</v>
      </c>
      <c r="S29" s="19" t="n">
        <f aca="false">F29*$M29</f>
        <v>-1.23562805789669</v>
      </c>
      <c r="T29" s="19" t="n">
        <f aca="false">G29*$M29</f>
        <v>-0.000286696411203348</v>
      </c>
      <c r="U29" s="19" t="n">
        <f aca="false">H29*$M29</f>
        <v>-0.000526573473061723</v>
      </c>
      <c r="V29" s="19" t="n">
        <f aca="false">I29*$M29</f>
        <v>-4.3344293781304E-005</v>
      </c>
      <c r="W29" s="19" t="n">
        <f aca="false">J29*$M29</f>
        <v>-0</v>
      </c>
      <c r="X29" s="19" t="n">
        <f aca="false">K29*$M29</f>
        <v>-0</v>
      </c>
    </row>
    <row r="30" customFormat="false" ht="15" hidden="false" customHeight="false" outlineLevel="0" collapsed="false">
      <c r="A30" s="20" t="str">
        <f aca="false">Datos!A38</f>
        <v>2013Q2</v>
      </c>
      <c r="B30" s="21" t="n">
        <f aca="false">Datos!F38</f>
        <v>0.0624602349363816</v>
      </c>
      <c r="C30" s="21" t="n">
        <f aca="false">Datos!I38</f>
        <v>0.000905918240426698</v>
      </c>
      <c r="D30" s="21" t="n">
        <f aca="false">Datos!H38</f>
        <v>74.8855166666669</v>
      </c>
      <c r="E30" s="21" t="n">
        <f aca="false">Datos!H36</f>
        <v>16.4557341269839</v>
      </c>
      <c r="F30" s="21" t="n">
        <f aca="false">Datos!H32</f>
        <v>174.585041666667</v>
      </c>
      <c r="G30" s="21" t="n">
        <f aca="false">Datos!J32</f>
        <v>-0.135501479583027</v>
      </c>
      <c r="H30" s="21" t="n">
        <f aca="false">Datos!K31</f>
        <v>-0.0288618479552661</v>
      </c>
      <c r="I30" s="21" t="n">
        <f aca="false">Datos!F37</f>
        <v>0.00654025144614989</v>
      </c>
      <c r="J30" s="21" t="n">
        <f aca="false">IF($A30="2020Q2",1,0)</f>
        <v>0</v>
      </c>
      <c r="K30" s="21" t="n">
        <f aca="false">IF($A30="2021Q2",1,0)</f>
        <v>0</v>
      </c>
      <c r="L30" s="19" t="n">
        <v>1</v>
      </c>
      <c r="M30" s="19" t="n">
        <f aca="false">B30-($B$88+$B$89*C30+$B$90*D30+$B$91*E30+$B$92*F30+$B$93*G30+$B$94*H30+$B$95*I30+$B$96*J30+$B$97*K30)</f>
        <v>0.0447897545970187</v>
      </c>
      <c r="N30" s="19" t="n">
        <f aca="false">M30^2</f>
        <v>0.00200612211686116</v>
      </c>
      <c r="O30" s="19" t="n">
        <f aca="false">L30*$M30</f>
        <v>0.0447897545970187</v>
      </c>
      <c r="P30" s="19" t="n">
        <f aca="false">C30*$M30</f>
        <v>4.05758556736748E-005</v>
      </c>
      <c r="Q30" s="19" t="n">
        <f aca="false">D30*$M30</f>
        <v>3.35410391437096</v>
      </c>
      <c r="R30" s="19" t="n">
        <f aca="false">E30*$M30</f>
        <v>0.737048293261393</v>
      </c>
      <c r="S30" s="19" t="n">
        <f aca="false">F30*$M30</f>
        <v>7.81962117256028</v>
      </c>
      <c r="T30" s="19" t="n">
        <f aca="false">G30*$M30</f>
        <v>-0.0060690780180567</v>
      </c>
      <c r="U30" s="19" t="n">
        <f aca="false">H30*$M30</f>
        <v>-0.00129271508713283</v>
      </c>
      <c r="V30" s="19" t="n">
        <f aca="false">I30*$M30</f>
        <v>0.00029293625727585</v>
      </c>
      <c r="W30" s="19" t="n">
        <f aca="false">J30*$M30</f>
        <v>0</v>
      </c>
      <c r="X30" s="19" t="n">
        <f aca="false">K30*$M30</f>
        <v>0</v>
      </c>
    </row>
    <row r="31" customFormat="false" ht="15" hidden="false" customHeight="false" outlineLevel="0" collapsed="false">
      <c r="A31" s="20" t="str">
        <f aca="false">Datos!A39</f>
        <v>2013Q3</v>
      </c>
      <c r="B31" s="21" t="n">
        <f aca="false">Datos!F39</f>
        <v>0.0255838987402566</v>
      </c>
      <c r="C31" s="21" t="n">
        <f aca="false">Datos!I39</f>
        <v>-0.0669208551958795</v>
      </c>
      <c r="D31" s="21" t="n">
        <f aca="false">Datos!H39</f>
        <v>-109.725953125</v>
      </c>
      <c r="E31" s="21" t="n">
        <f aca="false">Datos!H37</f>
        <v>88.9247333333331</v>
      </c>
      <c r="F31" s="21" t="n">
        <f aca="false">Datos!H33</f>
        <v>-75.1010327956988</v>
      </c>
      <c r="G31" s="21" t="n">
        <f aca="false">Datos!J33</f>
        <v>0.0927807464043467</v>
      </c>
      <c r="H31" s="21" t="n">
        <f aca="false">Datos!K32</f>
        <v>-0.0632996042190603</v>
      </c>
      <c r="I31" s="21" t="n">
        <f aca="false">Datos!F38</f>
        <v>0.0624602349363816</v>
      </c>
      <c r="J31" s="21" t="n">
        <f aca="false">IF($A31="2020Q2",1,0)</f>
        <v>0</v>
      </c>
      <c r="K31" s="21" t="n">
        <f aca="false">IF($A31="2021Q2",1,0)</f>
        <v>0</v>
      </c>
      <c r="L31" s="19" t="n">
        <v>1</v>
      </c>
      <c r="M31" s="19" t="n">
        <f aca="false">B31-($B$88+$B$89*C31+$B$90*D31+$B$91*E31+$B$92*F31+$B$93*G31+$B$94*H31+$B$95*I31+$B$96*J31+$B$97*K31)</f>
        <v>0.00383755004261887</v>
      </c>
      <c r="N31" s="19" t="n">
        <f aca="false">M31^2</f>
        <v>1.47267903296041E-005</v>
      </c>
      <c r="O31" s="19" t="n">
        <f aca="false">L31*$M31</f>
        <v>0.00383755004261887</v>
      </c>
      <c r="P31" s="19" t="n">
        <f aca="false">C31*$M31</f>
        <v>-0.000256812130709038</v>
      </c>
      <c r="Q31" s="19" t="n">
        <f aca="false">D31*$M31</f>
        <v>-0.421078836091239</v>
      </c>
      <c r="R31" s="19" t="n">
        <f aca="false">E31*$M31</f>
        <v>0.341253114193204</v>
      </c>
      <c r="S31" s="19" t="n">
        <f aca="false">F31*$M31</f>
        <v>-0.288203971605855</v>
      </c>
      <c r="T31" s="19" t="n">
        <f aca="false">G31*$M31</f>
        <v>0.000356050757318211</v>
      </c>
      <c r="U31" s="19" t="n">
        <f aca="false">H31*$M31</f>
        <v>-0.000242915398868612</v>
      </c>
      <c r="V31" s="19" t="n">
        <f aca="false">I31*$M31</f>
        <v>0.000239694277242096</v>
      </c>
      <c r="W31" s="19" t="n">
        <f aca="false">J31*$M31</f>
        <v>0</v>
      </c>
      <c r="X31" s="19" t="n">
        <f aca="false">K31*$M31</f>
        <v>0</v>
      </c>
    </row>
    <row r="32" customFormat="false" ht="15" hidden="false" customHeight="false" outlineLevel="0" collapsed="false">
      <c r="A32" s="20" t="str">
        <f aca="false">Datos!A40</f>
        <v>2013Q4</v>
      </c>
      <c r="B32" s="21" t="n">
        <f aca="false">Datos!F40</f>
        <v>-0.000510205754616022</v>
      </c>
      <c r="C32" s="21" t="n">
        <f aca="false">Datos!I40</f>
        <v>-0.0573108864708702</v>
      </c>
      <c r="D32" s="21" t="n">
        <f aca="false">Datos!H40</f>
        <v>-236.474292776639</v>
      </c>
      <c r="E32" s="21" t="n">
        <f aca="false">Datos!H38</f>
        <v>74.8855166666669</v>
      </c>
      <c r="F32" s="21" t="n">
        <f aca="false">Datos!H34</f>
        <v>231.838685176651</v>
      </c>
      <c r="G32" s="21" t="n">
        <f aca="false">Datos!J34</f>
        <v>-0.0400600353414598</v>
      </c>
      <c r="H32" s="21" t="n">
        <f aca="false">Datos!K33</f>
        <v>-0.0212380852307825</v>
      </c>
      <c r="I32" s="21" t="n">
        <f aca="false">Datos!F39</f>
        <v>0.0255838987402566</v>
      </c>
      <c r="J32" s="21" t="n">
        <f aca="false">IF($A32="2020Q2",1,0)</f>
        <v>0</v>
      </c>
      <c r="K32" s="21" t="n">
        <f aca="false">IF($A32="2021Q2",1,0)</f>
        <v>0</v>
      </c>
      <c r="L32" s="19" t="n">
        <v>1</v>
      </c>
      <c r="M32" s="19" t="n">
        <f aca="false">B32-($B$88+$B$89*C32+$B$90*D32+$B$91*E32+$B$92*F32+$B$93*G32+$B$94*H32+$B$95*I32+$B$96*J32+$B$97*K32)</f>
        <v>-0.0218157348009964</v>
      </c>
      <c r="N32" s="19" t="n">
        <f aca="false">M32^2</f>
        <v>0.000475926284907404</v>
      </c>
      <c r="O32" s="19" t="n">
        <f aca="false">L32*$M32</f>
        <v>-0.0218157348009964</v>
      </c>
      <c r="P32" s="19" t="n">
        <f aca="false">C32*$M32</f>
        <v>0.00125027910045852</v>
      </c>
      <c r="Q32" s="19" t="n">
        <f aca="false">D32*$M32</f>
        <v>5.15886045846833</v>
      </c>
      <c r="R32" s="19" t="n">
        <f aca="false">E32*$M32</f>
        <v>-1.6336825720356</v>
      </c>
      <c r="S32" s="19" t="n">
        <f aca="false">F32*$M32</f>
        <v>-5.05773127242551</v>
      </c>
      <c r="T32" s="19" t="n">
        <f aca="false">G32*$M32</f>
        <v>0.000873939107127829</v>
      </c>
      <c r="U32" s="19" t="n">
        <f aca="false">H32*$M32</f>
        <v>0.000463324435075709</v>
      </c>
      <c r="V32" s="19" t="n">
        <f aca="false">I32*$M32</f>
        <v>-0.000558131550092983</v>
      </c>
      <c r="W32" s="19" t="n">
        <f aca="false">J32*$M32</f>
        <v>-0</v>
      </c>
      <c r="X32" s="19" t="n">
        <f aca="false">K32*$M32</f>
        <v>-0</v>
      </c>
    </row>
    <row r="33" customFormat="false" ht="15" hidden="false" customHeight="false" outlineLevel="0" collapsed="false">
      <c r="A33" s="20" t="str">
        <f aca="false">Datos!A41</f>
        <v>2014Q1</v>
      </c>
      <c r="B33" s="21" t="n">
        <f aca="false">Datos!F41</f>
        <v>-0.00889028383967849</v>
      </c>
      <c r="C33" s="21" t="n">
        <f aca="false">Datos!I41</f>
        <v>-0.0958800124314026</v>
      </c>
      <c r="D33" s="21" t="n">
        <f aca="false">Datos!H41</f>
        <v>71.9946229508196</v>
      </c>
      <c r="E33" s="21" t="n">
        <f aca="false">Datos!H39</f>
        <v>-109.725953125</v>
      </c>
      <c r="F33" s="21" t="n">
        <f aca="false">Datos!H35</f>
        <v>-43.7133031746029</v>
      </c>
      <c r="G33" s="21" t="n">
        <f aca="false">Datos!J35</f>
        <v>-0.067078079606848</v>
      </c>
      <c r="H33" s="21" t="n">
        <f aca="false">Datos!K34</f>
        <v>-0.0420035680408851</v>
      </c>
      <c r="I33" s="21" t="n">
        <f aca="false">Datos!F40</f>
        <v>-0.000510205754616022</v>
      </c>
      <c r="J33" s="21" t="n">
        <f aca="false">IF($A33="2020Q2",1,0)</f>
        <v>0</v>
      </c>
      <c r="K33" s="21" t="n">
        <f aca="false">IF($A33="2021Q2",1,0)</f>
        <v>0</v>
      </c>
      <c r="L33" s="19" t="n">
        <v>1</v>
      </c>
      <c r="M33" s="19" t="n">
        <f aca="false">B33-($B$88+$B$89*C33+$B$90*D33+$B$91*E33+$B$92*F33+$B$93*G33+$B$94*H33+$B$95*I33+$B$96*J33+$B$97*K33)</f>
        <v>0.00327609227116567</v>
      </c>
      <c r="N33" s="19" t="n">
        <f aca="false">M33^2</f>
        <v>1.07327805691914E-005</v>
      </c>
      <c r="O33" s="19" t="n">
        <f aca="false">L33*$M33</f>
        <v>0.00327609227116567</v>
      </c>
      <c r="P33" s="19" t="n">
        <f aca="false">C33*$M33</f>
        <v>-0.000314111767685786</v>
      </c>
      <c r="Q33" s="19" t="n">
        <f aca="false">D33*$M33</f>
        <v>0.235861027814666</v>
      </c>
      <c r="R33" s="19" t="n">
        <f aca="false">E33*$M33</f>
        <v>-0.359472346979099</v>
      </c>
      <c r="S33" s="19" t="n">
        <f aca="false">F33*$M33</f>
        <v>-0.143208814677438</v>
      </c>
      <c r="T33" s="19" t="n">
        <f aca="false">G33*$M33</f>
        <v>-0.00021975397816463</v>
      </c>
      <c r="U33" s="19" t="n">
        <f aca="false">H33*$M33</f>
        <v>-0.000137607564620125</v>
      </c>
      <c r="V33" s="19" t="n">
        <f aca="false">I33*$M33</f>
        <v>-1.6714811294018E-006</v>
      </c>
      <c r="W33" s="19" t="n">
        <f aca="false">J33*$M33</f>
        <v>0</v>
      </c>
      <c r="X33" s="19" t="n">
        <f aca="false">K33*$M33</f>
        <v>0</v>
      </c>
    </row>
    <row r="34" customFormat="false" ht="15" hidden="false" customHeight="false" outlineLevel="0" collapsed="false">
      <c r="A34" s="20" t="str">
        <f aca="false">Datos!A42</f>
        <v>2014Q2</v>
      </c>
      <c r="B34" s="21" t="n">
        <f aca="false">Datos!F42</f>
        <v>-0.0204893869308982</v>
      </c>
      <c r="C34" s="21" t="n">
        <f aca="false">Datos!I42</f>
        <v>-0.0333671304691989</v>
      </c>
      <c r="D34" s="21" t="n">
        <f aca="false">Datos!H42</f>
        <v>-143.202551652355</v>
      </c>
      <c r="E34" s="21" t="n">
        <f aca="false">Datos!H40</f>
        <v>-236.474292776639</v>
      </c>
      <c r="F34" s="21" t="n">
        <f aca="false">Datos!H36</f>
        <v>16.4557341269839</v>
      </c>
      <c r="G34" s="21" t="n">
        <f aca="false">Datos!J36</f>
        <v>0.0542645345476518</v>
      </c>
      <c r="H34" s="21" t="n">
        <f aca="false">Datos!K35</f>
        <v>0.079458812069766</v>
      </c>
      <c r="I34" s="21" t="n">
        <f aca="false">Datos!F41</f>
        <v>-0.00889028383967849</v>
      </c>
      <c r="J34" s="21" t="n">
        <f aca="false">IF($A34="2020Q2",1,0)</f>
        <v>0</v>
      </c>
      <c r="K34" s="21" t="n">
        <f aca="false">IF($A34="2021Q2",1,0)</f>
        <v>0</v>
      </c>
      <c r="L34" s="19" t="n">
        <v>1</v>
      </c>
      <c r="M34" s="19" t="n">
        <f aca="false">B34-($B$88+$B$89*C34+$B$90*D34+$B$91*E34+$B$92*F34+$B$93*G34+$B$94*H34+$B$95*I34+$B$96*J34+$B$97*K34)</f>
        <v>-0.0327075324178374</v>
      </c>
      <c r="N34" s="19" t="n">
        <f aca="false">M34^2</f>
        <v>0.00106978267686389</v>
      </c>
      <c r="O34" s="19" t="n">
        <f aca="false">L34*$M34</f>
        <v>-0.0327075324178374</v>
      </c>
      <c r="P34" s="19" t="n">
        <f aca="false">C34*$M34</f>
        <v>0.00109135650151153</v>
      </c>
      <c r="Q34" s="19" t="n">
        <f aca="false">D34*$M34</f>
        <v>4.68380210048645</v>
      </c>
      <c r="R34" s="19" t="n">
        <f aca="false">E34*$M34</f>
        <v>7.7344905969771</v>
      </c>
      <c r="S34" s="19" t="n">
        <f aca="false">F34*$M34</f>
        <v>-0.538226457417639</v>
      </c>
      <c r="T34" s="19" t="n">
        <f aca="false">G34*$M34</f>
        <v>-0.00177485902285618</v>
      </c>
      <c r="U34" s="19" t="n">
        <f aca="false">H34*$M34</f>
        <v>-0.00259890167165472</v>
      </c>
      <c r="V34" s="19" t="n">
        <f aca="false">I34*$M34</f>
        <v>0.000290779246890061</v>
      </c>
      <c r="W34" s="19" t="n">
        <f aca="false">J34*$M34</f>
        <v>-0</v>
      </c>
      <c r="X34" s="19" t="n">
        <f aca="false">K34*$M34</f>
        <v>-0</v>
      </c>
    </row>
    <row r="35" customFormat="false" ht="15" hidden="false" customHeight="false" outlineLevel="0" collapsed="false">
      <c r="A35" s="20" t="str">
        <f aca="false">Datos!A43</f>
        <v>2014Q3</v>
      </c>
      <c r="B35" s="21" t="n">
        <f aca="false">Datos!F43</f>
        <v>-0.0423851505475772</v>
      </c>
      <c r="C35" s="21" t="n">
        <f aca="false">Datos!I43</f>
        <v>-0.00270570265133011</v>
      </c>
      <c r="D35" s="21" t="n">
        <f aca="false">Datos!H43</f>
        <v>-73.5206691468252</v>
      </c>
      <c r="E35" s="21" t="n">
        <f aca="false">Datos!H41</f>
        <v>71.9946229508196</v>
      </c>
      <c r="F35" s="21" t="n">
        <f aca="false">Datos!H37</f>
        <v>88.9247333333331</v>
      </c>
      <c r="G35" s="21" t="n">
        <f aca="false">Datos!J37</f>
        <v>-0.0125683284799909</v>
      </c>
      <c r="H35" s="21" t="n">
        <f aca="false">Datos!K36</f>
        <v>-0.0215673319846723</v>
      </c>
      <c r="I35" s="21" t="n">
        <f aca="false">Datos!F42</f>
        <v>-0.0204893869308982</v>
      </c>
      <c r="J35" s="21" t="n">
        <f aca="false">IF($A35="2020Q2",1,0)</f>
        <v>0</v>
      </c>
      <c r="K35" s="21" t="n">
        <f aca="false">IF($A35="2021Q2",1,0)</f>
        <v>0</v>
      </c>
      <c r="L35" s="19" t="n">
        <v>1</v>
      </c>
      <c r="M35" s="19" t="n">
        <f aca="false">B35-($B$88+$B$89*C35+$B$90*D35+$B$91*E35+$B$92*F35+$B$93*G35+$B$94*H35+$B$95*I35+$B$96*J35+$B$97*K35)</f>
        <v>-0.029208146121971</v>
      </c>
      <c r="N35" s="19" t="n">
        <f aca="false">M35^2</f>
        <v>0.000853115799882409</v>
      </c>
      <c r="O35" s="19" t="n">
        <f aca="false">L35*$M35</f>
        <v>-0.029208146121971</v>
      </c>
      <c r="P35" s="19" t="n">
        <f aca="false">C35*$M35</f>
        <v>7.90285584026541E-005</v>
      </c>
      <c r="Q35" s="19" t="n">
        <f aca="false">D35*$M35</f>
        <v>2.14740244742555</v>
      </c>
      <c r="R35" s="19" t="n">
        <f aca="false">E35*$M35</f>
        <v>-2.10282946714375</v>
      </c>
      <c r="S35" s="19" t="n">
        <f aca="false">F35*$M35</f>
        <v>-2.5973266050573</v>
      </c>
      <c r="T35" s="19" t="n">
        <f aca="false">G35*$M35</f>
        <v>0.000367097574752504</v>
      </c>
      <c r="U35" s="19" t="n">
        <f aca="false">H35*$M35</f>
        <v>0.000629941784069368</v>
      </c>
      <c r="V35" s="19" t="n">
        <f aca="false">I35*$M35</f>
        <v>0.000598457007427277</v>
      </c>
      <c r="W35" s="19" t="n">
        <f aca="false">J35*$M35</f>
        <v>-0</v>
      </c>
      <c r="X35" s="19" t="n">
        <f aca="false">K35*$M35</f>
        <v>-0</v>
      </c>
    </row>
    <row r="36" customFormat="false" ht="15" hidden="false" customHeight="false" outlineLevel="0" collapsed="false">
      <c r="A36" s="20" t="str">
        <f aca="false">Datos!A44</f>
        <v>2014Q4</v>
      </c>
      <c r="B36" s="21" t="n">
        <f aca="false">Datos!F44</f>
        <v>-0.0281573013880524</v>
      </c>
      <c r="C36" s="21" t="n">
        <f aca="false">Datos!I44</f>
        <v>0.0206592277311123</v>
      </c>
      <c r="D36" s="21" t="n">
        <f aca="false">Datos!H44</f>
        <v>21.0197781762296</v>
      </c>
      <c r="E36" s="21" t="n">
        <f aca="false">Datos!H42</f>
        <v>-143.202551652355</v>
      </c>
      <c r="F36" s="21" t="n">
        <f aca="false">Datos!H38</f>
        <v>74.8855166666669</v>
      </c>
      <c r="G36" s="21" t="n">
        <f aca="false">Datos!J38</f>
        <v>0.0292871541298152</v>
      </c>
      <c r="H36" s="21" t="n">
        <f aca="false">Datos!K37</f>
        <v>-0.0867445085368881</v>
      </c>
      <c r="I36" s="21" t="n">
        <f aca="false">Datos!F43</f>
        <v>-0.0423851505475772</v>
      </c>
      <c r="J36" s="21" t="n">
        <f aca="false">IF($A36="2020Q2",1,0)</f>
        <v>0</v>
      </c>
      <c r="K36" s="21" t="n">
        <f aca="false">IF($A36="2021Q2",1,0)</f>
        <v>0</v>
      </c>
      <c r="L36" s="19" t="n">
        <v>1</v>
      </c>
      <c r="M36" s="19" t="n">
        <f aca="false">B36-($B$88+$B$89*C36+$B$90*D36+$B$91*E36+$B$92*F36+$B$93*G36+$B$94*H36+$B$95*I36+$B$96*J36+$B$97*K36)</f>
        <v>0.000340232828964622</v>
      </c>
      <c r="N36" s="19" t="n">
        <f aca="false">M36^2</f>
        <v>1.1575837790527E-007</v>
      </c>
      <c r="O36" s="19" t="n">
        <f aca="false">L36*$M36</f>
        <v>0.000340232828964622</v>
      </c>
      <c r="P36" s="19" t="n">
        <f aca="false">C36*$M36</f>
        <v>7.02894749518071E-006</v>
      </c>
      <c r="Q36" s="19" t="n">
        <f aca="false">D36*$M36</f>
        <v>0.00715161859310741</v>
      </c>
      <c r="R36" s="19" t="n">
        <f aca="false">E36*$M36</f>
        <v>-0.0487222092636333</v>
      </c>
      <c r="S36" s="19" t="n">
        <f aca="false">F36*$M36</f>
        <v>0.0254785111839774</v>
      </c>
      <c r="T36" s="19" t="n">
        <f aca="false">G36*$M36</f>
        <v>9.96445130190994E-006</v>
      </c>
      <c r="U36" s="19" t="n">
        <f aca="false">H36*$M36</f>
        <v>-2.95133295366512E-005</v>
      </c>
      <c r="V36" s="19" t="n">
        <f aca="false">I36*$M36</f>
        <v>-1.44208196768936E-005</v>
      </c>
      <c r="W36" s="19" t="n">
        <f aca="false">J36*$M36</f>
        <v>0</v>
      </c>
      <c r="X36" s="19" t="n">
        <f aca="false">K36*$M36</f>
        <v>0</v>
      </c>
    </row>
    <row r="37" customFormat="false" ht="15" hidden="false" customHeight="false" outlineLevel="0" collapsed="false">
      <c r="A37" s="20" t="str">
        <f aca="false">Datos!A45</f>
        <v>2015Q1</v>
      </c>
      <c r="B37" s="21" t="n">
        <f aca="false">Datos!F45</f>
        <v>0.00250908947797246</v>
      </c>
      <c r="C37" s="21" t="n">
        <f aca="false">Datos!I45</f>
        <v>0.12737234338906</v>
      </c>
      <c r="D37" s="21" t="n">
        <f aca="false">Datos!H45</f>
        <v>-63.2494918032786</v>
      </c>
      <c r="E37" s="21" t="n">
        <f aca="false">Datos!H43</f>
        <v>-73.5206691468252</v>
      </c>
      <c r="F37" s="21" t="n">
        <f aca="false">Datos!H39</f>
        <v>-109.725953125</v>
      </c>
      <c r="G37" s="21" t="n">
        <f aca="false">Datos!J39</f>
        <v>0.0770487894176897</v>
      </c>
      <c r="H37" s="21" t="n">
        <f aca="false">Datos!K38</f>
        <v>0.0123174371873954</v>
      </c>
      <c r="I37" s="21" t="n">
        <f aca="false">Datos!F44</f>
        <v>-0.0281573013880524</v>
      </c>
      <c r="J37" s="21" t="n">
        <f aca="false">IF($A37="2020Q2",1,0)</f>
        <v>0</v>
      </c>
      <c r="K37" s="21" t="n">
        <f aca="false">IF($A37="2021Q2",1,0)</f>
        <v>0</v>
      </c>
      <c r="L37" s="19" t="n">
        <v>1</v>
      </c>
      <c r="M37" s="19" t="n">
        <f aca="false">B37-($B$88+$B$89*C37+$B$90*D37+$B$91*E37+$B$92*F37+$B$93*G37+$B$94*H37+$B$95*I37+$B$96*J37+$B$97*K37)</f>
        <v>-0.00378956614006309</v>
      </c>
      <c r="N37" s="19" t="n">
        <f aca="false">M37^2</f>
        <v>1.43608115299127E-005</v>
      </c>
      <c r="O37" s="19" t="n">
        <f aca="false">L37*$M37</f>
        <v>-0.00378956614006309</v>
      </c>
      <c r="P37" s="19" t="n">
        <f aca="false">C37*$M37</f>
        <v>-0.00048268591968767</v>
      </c>
      <c r="Q37" s="19" t="n">
        <f aca="false">D37*$M37</f>
        <v>0.239688132513902</v>
      </c>
      <c r="R37" s="19" t="n">
        <f aca="false">E37*$M37</f>
        <v>0.27861143839359</v>
      </c>
      <c r="S37" s="19" t="n">
        <f aca="false">F37*$M37</f>
        <v>0.415813756648649</v>
      </c>
      <c r="T37" s="19" t="n">
        <f aca="false">G37*$M37</f>
        <v>-0.000291981483510128</v>
      </c>
      <c r="U37" s="19" t="n">
        <f aca="false">H37*$M37</f>
        <v>-4.66777428977076E-005</v>
      </c>
      <c r="V37" s="19" t="n">
        <f aca="false">I37*$M37</f>
        <v>0.000106703955935715</v>
      </c>
      <c r="W37" s="19" t="n">
        <f aca="false">J37*$M37</f>
        <v>-0</v>
      </c>
      <c r="X37" s="19" t="n">
        <f aca="false">K37*$M37</f>
        <v>-0</v>
      </c>
    </row>
    <row r="38" customFormat="false" ht="15" hidden="false" customHeight="false" outlineLevel="0" collapsed="false">
      <c r="A38" s="20" t="str">
        <f aca="false">Datos!A46</f>
        <v>2015Q2</v>
      </c>
      <c r="B38" s="21" t="n">
        <f aca="false">Datos!F46</f>
        <v>0.0403103203233863</v>
      </c>
      <c r="C38" s="21" t="n">
        <f aca="false">Datos!I46</f>
        <v>0.079305358514979</v>
      </c>
      <c r="D38" s="21" t="n">
        <f aca="false">Datos!H46</f>
        <v>-69.448288776797</v>
      </c>
      <c r="E38" s="21" t="n">
        <f aca="false">Datos!H44</f>
        <v>21.0197781762296</v>
      </c>
      <c r="F38" s="21" t="n">
        <f aca="false">Datos!H40</f>
        <v>-236.474292776639</v>
      </c>
      <c r="G38" s="21" t="n">
        <f aca="false">Datos!J40</f>
        <v>-0.031577165647831</v>
      </c>
      <c r="H38" s="21" t="n">
        <f aca="false">Datos!K39</f>
        <v>-0.0661301293821577</v>
      </c>
      <c r="I38" s="21" t="n">
        <f aca="false">Datos!F45</f>
        <v>0.00250908947797246</v>
      </c>
      <c r="J38" s="21" t="n">
        <f aca="false">IF($A38="2020Q2",1,0)</f>
        <v>0</v>
      </c>
      <c r="K38" s="21" t="n">
        <f aca="false">IF($A38="2021Q2",1,0)</f>
        <v>0</v>
      </c>
      <c r="L38" s="19" t="n">
        <v>1</v>
      </c>
      <c r="M38" s="19" t="n">
        <f aca="false">B38-($B$88+$B$89*C38+$B$90*D38+$B$91*E38+$B$92*F38+$B$93*G38+$B$94*H38+$B$95*I38+$B$96*J38+$B$97*K38)</f>
        <v>0.0280063223588942</v>
      </c>
      <c r="N38" s="19" t="n">
        <f aca="false">M38^2</f>
        <v>0.000784354092070299</v>
      </c>
      <c r="O38" s="19" t="n">
        <f aca="false">L38*$M38</f>
        <v>0.0280063223588942</v>
      </c>
      <c r="P38" s="19" t="n">
        <f aca="false">C38*$M38</f>
        <v>0.00222105143535818</v>
      </c>
      <c r="Q38" s="19" t="n">
        <f aca="false">D38*$M38</f>
        <v>-1.94499116275655</v>
      </c>
      <c r="R38" s="19" t="n">
        <f aca="false">E38*$M38</f>
        <v>0.588686683515936</v>
      </c>
      <c r="S38" s="19" t="n">
        <f aca="false">F38*$M38</f>
        <v>-6.62277527309409</v>
      </c>
      <c r="T38" s="19" t="n">
        <f aca="false">G38*$M38</f>
        <v>-0.000884360280313356</v>
      </c>
      <c r="U38" s="19" t="n">
        <f aca="false">H38*$M38</f>
        <v>-0.00185206172111209</v>
      </c>
      <c r="V38" s="19" t="n">
        <f aca="false">I38*$M38</f>
        <v>7.02703687474064E-005</v>
      </c>
      <c r="W38" s="19" t="n">
        <f aca="false">J38*$M38</f>
        <v>0</v>
      </c>
      <c r="X38" s="19" t="n">
        <f aca="false">K38*$M38</f>
        <v>0</v>
      </c>
    </row>
    <row r="39" customFormat="false" ht="15" hidden="false" customHeight="false" outlineLevel="0" collapsed="false">
      <c r="A39" s="20" t="str">
        <f aca="false">Datos!A47</f>
        <v>2015Q3</v>
      </c>
      <c r="B39" s="21" t="n">
        <f aca="false">Datos!F47</f>
        <v>0.0396616998607275</v>
      </c>
      <c r="C39" s="21" t="n">
        <f aca="false">Datos!I47</f>
        <v>-0.0219317664243788</v>
      </c>
      <c r="D39" s="21" t="n">
        <f aca="false">Datos!H47</f>
        <v>-12.3885780885781</v>
      </c>
      <c r="E39" s="21" t="n">
        <f aca="false">Datos!H45</f>
        <v>-63.2494918032786</v>
      </c>
      <c r="F39" s="21" t="n">
        <f aca="false">Datos!H41</f>
        <v>71.9946229508196</v>
      </c>
      <c r="G39" s="21" t="n">
        <f aca="false">Datos!J41</f>
        <v>0.0530334992950312</v>
      </c>
      <c r="H39" s="21" t="n">
        <f aca="false">Datos!K40</f>
        <v>-0.0319000966767005</v>
      </c>
      <c r="I39" s="21" t="n">
        <f aca="false">Datos!F46</f>
        <v>0.0403103203233863</v>
      </c>
      <c r="J39" s="21" t="n">
        <f aca="false">IF($A39="2020Q2",1,0)</f>
        <v>0</v>
      </c>
      <c r="K39" s="21" t="n">
        <f aca="false">IF($A39="2021Q2",1,0)</f>
        <v>0</v>
      </c>
      <c r="L39" s="19" t="n">
        <v>1</v>
      </c>
      <c r="M39" s="19" t="n">
        <f aca="false">B39-($B$88+$B$89*C39+$B$90*D39+$B$91*E39+$B$92*F39+$B$93*G39+$B$94*H39+$B$95*I39+$B$96*J39+$B$97*K39)</f>
        <v>0.0111822514496067</v>
      </c>
      <c r="N39" s="19" t="n">
        <f aca="false">M39^2</f>
        <v>0.000125042747482231</v>
      </c>
      <c r="O39" s="19" t="n">
        <f aca="false">L39*$M39</f>
        <v>0.0111822514496067</v>
      </c>
      <c r="P39" s="19" t="n">
        <f aca="false">C39*$M39</f>
        <v>-0.000245246526891445</v>
      </c>
      <c r="Q39" s="19" t="n">
        <f aca="false">D39*$M39</f>
        <v>-0.138532195289569</v>
      </c>
      <c r="R39" s="19" t="n">
        <f aca="false">E39*$M39</f>
        <v>-0.7072717214041</v>
      </c>
      <c r="S39" s="19" t="n">
        <f aca="false">F39*$M39</f>
        <v>0.805061976855691</v>
      </c>
      <c r="T39" s="19" t="n">
        <f aca="false">G39*$M39</f>
        <v>0.000593033924369579</v>
      </c>
      <c r="U39" s="19" t="n">
        <f aca="false">H39*$M39</f>
        <v>-0.000356714902305629</v>
      </c>
      <c r="V39" s="19" t="n">
        <f aca="false">I39*$M39</f>
        <v>0.000450760137870298</v>
      </c>
      <c r="W39" s="19" t="n">
        <f aca="false">J39*$M39</f>
        <v>0</v>
      </c>
      <c r="X39" s="19" t="n">
        <f aca="false">K39*$M39</f>
        <v>0</v>
      </c>
    </row>
    <row r="40" customFormat="false" ht="15" hidden="false" customHeight="false" outlineLevel="0" collapsed="false">
      <c r="A40" s="20" t="str">
        <f aca="false">Datos!A48</f>
        <v>2015Q4</v>
      </c>
      <c r="B40" s="21" t="n">
        <f aca="false">Datos!F48</f>
        <v>0.0247270091543546</v>
      </c>
      <c r="C40" s="21" t="n">
        <f aca="false">Datos!I48</f>
        <v>0.00284689976009123</v>
      </c>
      <c r="D40" s="21" t="n">
        <f aca="false">Datos!H48</f>
        <v>-78.2729603729604</v>
      </c>
      <c r="E40" s="21" t="n">
        <f aca="false">Datos!H46</f>
        <v>-69.448288776797</v>
      </c>
      <c r="F40" s="21" t="n">
        <f aca="false">Datos!H42</f>
        <v>-143.202551652355</v>
      </c>
      <c r="G40" s="21" t="n">
        <f aca="false">Datos!J42</f>
        <v>0.067920751391922</v>
      </c>
      <c r="H40" s="21" t="n">
        <f aca="false">Datos!K41</f>
        <v>0.0671200742533991</v>
      </c>
      <c r="I40" s="21" t="n">
        <f aca="false">Datos!F47</f>
        <v>0.0396616998607275</v>
      </c>
      <c r="J40" s="21" t="n">
        <f aca="false">IF($A40="2020Q2",1,0)</f>
        <v>0</v>
      </c>
      <c r="K40" s="21" t="n">
        <f aca="false">IF($A40="2021Q2",1,0)</f>
        <v>0</v>
      </c>
      <c r="L40" s="19" t="n">
        <v>1</v>
      </c>
      <c r="M40" s="19" t="n">
        <f aca="false">B40-($B$88+$B$89*C40+$B$90*D40+$B$91*E40+$B$92*F40+$B$93*G40+$B$94*H40+$B$95*I40+$B$96*J40+$B$97*K40)</f>
        <v>-0.0160008008531124</v>
      </c>
      <c r="N40" s="19" t="n">
        <f aca="false">M40^2</f>
        <v>0.000256025627940964</v>
      </c>
      <c r="O40" s="19" t="n">
        <f aca="false">L40*$M40</f>
        <v>-0.0160008008531124</v>
      </c>
      <c r="P40" s="19" t="n">
        <f aca="false">C40*$M40</f>
        <v>-4.55526761099934E-005</v>
      </c>
      <c r="Q40" s="19" t="n">
        <f aca="false">D40*$M40</f>
        <v>1.2524300511113</v>
      </c>
      <c r="R40" s="19" t="n">
        <f aca="false">E40*$M40</f>
        <v>1.11122823830697</v>
      </c>
      <c r="S40" s="19" t="n">
        <f aca="false">F40*$M40</f>
        <v>2.29135551064689</v>
      </c>
      <c r="T40" s="19" t="n">
        <f aca="false">G40*$M40</f>
        <v>-0.0010867864168159</v>
      </c>
      <c r="U40" s="19" t="n">
        <f aca="false">H40*$M40</f>
        <v>-0.00107397494137476</v>
      </c>
      <c r="V40" s="19" t="n">
        <f aca="false">I40*$M40</f>
        <v>-0.000634618960967418</v>
      </c>
      <c r="W40" s="19" t="n">
        <f aca="false">J40*$M40</f>
        <v>-0</v>
      </c>
      <c r="X40" s="19" t="n">
        <f aca="false">K40*$M40</f>
        <v>-0</v>
      </c>
    </row>
    <row r="41" customFormat="false" ht="15" hidden="false" customHeight="false" outlineLevel="0" collapsed="false">
      <c r="A41" s="20" t="str">
        <f aca="false">Datos!A49</f>
        <v>2016Q1</v>
      </c>
      <c r="B41" s="21" t="n">
        <f aca="false">Datos!F49</f>
        <v>0.00728692545281007</v>
      </c>
      <c r="C41" s="21" t="n">
        <f aca="false">Datos!I49</f>
        <v>-0.114795786877596</v>
      </c>
      <c r="D41" s="21" t="n">
        <f aca="false">Datos!H49</f>
        <v>-38.2862026862027</v>
      </c>
      <c r="E41" s="21" t="n">
        <f aca="false">Datos!H47</f>
        <v>-12.3885780885781</v>
      </c>
      <c r="F41" s="21" t="n">
        <f aca="false">Datos!H43</f>
        <v>-73.5206691468252</v>
      </c>
      <c r="G41" s="21" t="n">
        <f aca="false">Datos!J43</f>
        <v>-0.0382165552288544</v>
      </c>
      <c r="H41" s="21" t="n">
        <f aca="false">Datos!K42</f>
        <v>0.0831122793228319</v>
      </c>
      <c r="I41" s="21" t="n">
        <f aca="false">Datos!F48</f>
        <v>0.0247270091543546</v>
      </c>
      <c r="J41" s="21" t="n">
        <f aca="false">IF($A41="2020Q2",1,0)</f>
        <v>0</v>
      </c>
      <c r="K41" s="21" t="n">
        <f aca="false">IF($A41="2021Q2",1,0)</f>
        <v>0</v>
      </c>
      <c r="L41" s="19" t="n">
        <v>1</v>
      </c>
      <c r="M41" s="19" t="n">
        <f aca="false">B41-($B$88+$B$89*C41+$B$90*D41+$B$91*E41+$B$92*F41+$B$93*G41+$B$94*H41+$B$95*I41+$B$96*J41+$B$97*K41)</f>
        <v>-0.00628582377291706</v>
      </c>
      <c r="N41" s="19" t="n">
        <f aca="false">M41^2</f>
        <v>3.95115805041692E-005</v>
      </c>
      <c r="O41" s="19" t="n">
        <f aca="false">L41*$M41</f>
        <v>-0.00628582377291706</v>
      </c>
      <c r="P41" s="19" t="n">
        <f aca="false">C41*$M41</f>
        <v>0.000721586086185913</v>
      </c>
      <c r="Q41" s="19" t="n">
        <f aca="false">D41*$M41</f>
        <v>0.240660323019654</v>
      </c>
      <c r="R41" s="19" t="n">
        <f aca="false">E41*$M41</f>
        <v>0.0778724186618238</v>
      </c>
      <c r="S41" s="19" t="n">
        <f aca="false">F41*$M41</f>
        <v>0.462137969923883</v>
      </c>
      <c r="T41" s="19" t="n">
        <f aca="false">G41*$M41</f>
        <v>0.00024022253137653</v>
      </c>
      <c r="U41" s="19" t="n">
        <f aca="false">H41*$M41</f>
        <v>-0.00052242914118878</v>
      </c>
      <c r="V41" s="19" t="n">
        <f aca="false">I41*$M41</f>
        <v>-0.00015542962197558</v>
      </c>
      <c r="W41" s="19" t="n">
        <f aca="false">J41*$M41</f>
        <v>-0</v>
      </c>
      <c r="X41" s="19" t="n">
        <f aca="false">K41*$M41</f>
        <v>-0</v>
      </c>
    </row>
    <row r="42" customFormat="false" ht="15" hidden="false" customHeight="false" outlineLevel="0" collapsed="false">
      <c r="A42" s="20" t="str">
        <f aca="false">Datos!A50</f>
        <v>2016Q2</v>
      </c>
      <c r="B42" s="21" t="n">
        <f aca="false">Datos!F50</f>
        <v>-0.0385885964740134</v>
      </c>
      <c r="C42" s="21" t="n">
        <f aca="false">Datos!I50</f>
        <v>-0.0963649166129051</v>
      </c>
      <c r="D42" s="21" t="n">
        <f aca="false">Datos!H50</f>
        <v>-20.156746031746</v>
      </c>
      <c r="E42" s="21" t="n">
        <f aca="false">Datos!H48</f>
        <v>-78.2729603729604</v>
      </c>
      <c r="F42" s="21" t="n">
        <f aca="false">Datos!H44</f>
        <v>21.0197781762296</v>
      </c>
      <c r="G42" s="21" t="n">
        <f aca="false">Datos!J44</f>
        <v>-0.0169003162690849</v>
      </c>
      <c r="H42" s="21" t="n">
        <f aca="false">Datos!K43</f>
        <v>-0.0497386703925971</v>
      </c>
      <c r="I42" s="21" t="n">
        <f aca="false">Datos!F49</f>
        <v>0.00728692545281007</v>
      </c>
      <c r="J42" s="21" t="n">
        <f aca="false">IF($A42="2020Q2",1,0)</f>
        <v>0</v>
      </c>
      <c r="K42" s="21" t="n">
        <f aca="false">IF($A42="2021Q2",1,0)</f>
        <v>0</v>
      </c>
      <c r="L42" s="19" t="n">
        <v>1</v>
      </c>
      <c r="M42" s="19" t="n">
        <f aca="false">B42-($B$88+$B$89*C42+$B$90*D42+$B$91*E42+$B$92*F42+$B$93*G42+$B$94*H42+$B$95*I42+$B$96*J42+$B$97*K42)</f>
        <v>-0.0299591935022929</v>
      </c>
      <c r="N42" s="19" t="n">
        <f aca="false">M42^2</f>
        <v>0.00089755327530783</v>
      </c>
      <c r="O42" s="19" t="n">
        <f aca="false">L42*$M42</f>
        <v>-0.0299591935022929</v>
      </c>
      <c r="P42" s="19" t="n">
        <f aca="false">C42*$M42</f>
        <v>0.00288701518363835</v>
      </c>
      <c r="Q42" s="19" t="n">
        <f aca="false">D42*$M42</f>
        <v>0.603879854741654</v>
      </c>
      <c r="R42" s="19" t="n">
        <f aca="false">E42*$M42</f>
        <v>2.34499476581083</v>
      </c>
      <c r="S42" s="19" t="n">
        <f aca="false">F42*$M42</f>
        <v>-0.629735601756936</v>
      </c>
      <c r="T42" s="19" t="n">
        <f aca="false">G42*$M42</f>
        <v>0.000506319845355463</v>
      </c>
      <c r="U42" s="19" t="n">
        <f aca="false">H42*$M42</f>
        <v>0.00149013045083858</v>
      </c>
      <c r="V42" s="19" t="n">
        <f aca="false">I42*$M42</f>
        <v>-0.00021831040967752</v>
      </c>
      <c r="W42" s="19" t="n">
        <f aca="false">J42*$M42</f>
        <v>-0</v>
      </c>
      <c r="X42" s="19" t="n">
        <f aca="false">K42*$M42</f>
        <v>-0</v>
      </c>
    </row>
    <row r="43" customFormat="false" ht="15" hidden="false" customHeight="false" outlineLevel="0" collapsed="false">
      <c r="A43" s="20" t="str">
        <f aca="false">Datos!A51</f>
        <v>2016Q3</v>
      </c>
      <c r="B43" s="21" t="n">
        <f aca="false">Datos!F51</f>
        <v>-0.0332721885187776</v>
      </c>
      <c r="C43" s="21" t="n">
        <f aca="false">Datos!I51</f>
        <v>0.0125883030332315</v>
      </c>
      <c r="D43" s="21" t="n">
        <f aca="false">Datos!H51</f>
        <v>51.5281007751937</v>
      </c>
      <c r="E43" s="21" t="n">
        <f aca="false">Datos!H49</f>
        <v>-38.2862026862027</v>
      </c>
      <c r="F43" s="21" t="n">
        <f aca="false">Datos!H45</f>
        <v>-63.2494918032786</v>
      </c>
      <c r="G43" s="21" t="n">
        <f aca="false">Datos!J45</f>
        <v>-0.0227808354678118</v>
      </c>
      <c r="H43" s="21" t="n">
        <f aca="false">Datos!K44</f>
        <v>-0.0545195466572687</v>
      </c>
      <c r="I43" s="21" t="n">
        <f aca="false">Datos!F50</f>
        <v>-0.0385885964740134</v>
      </c>
      <c r="J43" s="21" t="n">
        <f aca="false">IF($A43="2020Q2",1,0)</f>
        <v>0</v>
      </c>
      <c r="K43" s="21" t="n">
        <f aca="false">IF($A43="2021Q2",1,0)</f>
        <v>0</v>
      </c>
      <c r="L43" s="19" t="n">
        <v>1</v>
      </c>
      <c r="M43" s="19" t="n">
        <f aca="false">B43-($B$88+$B$89*C43+$B$90*D43+$B$91*E43+$B$92*F43+$B$93*G43+$B$94*H43+$B$95*I43+$B$96*J43+$B$97*K43)</f>
        <v>-0.00476879843445232</v>
      </c>
      <c r="N43" s="19" t="n">
        <f aca="false">M43^2</f>
        <v>2.27414385084349E-005</v>
      </c>
      <c r="O43" s="19" t="n">
        <f aca="false">L43*$M43</f>
        <v>-0.00476879843445232</v>
      </c>
      <c r="P43" s="19" t="n">
        <f aca="false">C43*$M43</f>
        <v>-6.00310797972859E-005</v>
      </c>
      <c r="Q43" s="19" t="n">
        <f aca="false">D43*$M43</f>
        <v>-0.245727126307045</v>
      </c>
      <c r="R43" s="19" t="n">
        <f aca="false">E43*$M43</f>
        <v>0.182579183431087</v>
      </c>
      <c r="S43" s="19" t="n">
        <f aca="false">F43*$M43</f>
        <v>0.30162407749138</v>
      </c>
      <c r="T43" s="19" t="n">
        <f aca="false">G43*$M43</f>
        <v>0.000108637212514417</v>
      </c>
      <c r="U43" s="19" t="n">
        <f aca="false">H43*$M43</f>
        <v>0.000259992728746233</v>
      </c>
      <c r="V43" s="19" t="n">
        <f aca="false">I43*$M43</f>
        <v>0.000184021238452987</v>
      </c>
      <c r="W43" s="19" t="n">
        <f aca="false">J43*$M43</f>
        <v>-0</v>
      </c>
      <c r="X43" s="19" t="n">
        <f aca="false">K43*$M43</f>
        <v>-0</v>
      </c>
    </row>
    <row r="44" customFormat="false" ht="15" hidden="false" customHeight="false" outlineLevel="0" collapsed="false">
      <c r="A44" s="20" t="str">
        <f aca="false">Datos!A52</f>
        <v>2016Q4</v>
      </c>
      <c r="B44" s="21" t="n">
        <f aca="false">Datos!F52</f>
        <v>-0.0149328839288507</v>
      </c>
      <c r="C44" s="21" t="n">
        <f aca="false">Datos!I52</f>
        <v>0.0215081148240396</v>
      </c>
      <c r="D44" s="21" t="n">
        <f aca="false">Datos!H52</f>
        <v>-26.5005366726296</v>
      </c>
      <c r="E44" s="21" t="n">
        <f aca="false">Datos!H50</f>
        <v>-20.156746031746</v>
      </c>
      <c r="F44" s="21" t="n">
        <f aca="false">Datos!H46</f>
        <v>-69.448288776797</v>
      </c>
      <c r="G44" s="21" t="n">
        <f aca="false">Datos!J46</f>
        <v>-0.00580415466024192</v>
      </c>
      <c r="H44" s="21" t="n">
        <f aca="false">Datos!K45</f>
        <v>0.0452568848055677</v>
      </c>
      <c r="I44" s="21" t="n">
        <f aca="false">Datos!F51</f>
        <v>-0.0332721885187776</v>
      </c>
      <c r="J44" s="21" t="n">
        <f aca="false">IF($A44="2020Q2",1,0)</f>
        <v>0</v>
      </c>
      <c r="K44" s="21" t="n">
        <f aca="false">IF($A44="2021Q2",1,0)</f>
        <v>0</v>
      </c>
      <c r="L44" s="19" t="n">
        <v>1</v>
      </c>
      <c r="M44" s="19" t="n">
        <f aca="false">B44-($B$88+$B$89*C44+$B$90*D44+$B$91*E44+$B$92*F44+$B$93*G44+$B$94*H44+$B$95*I44+$B$96*J44+$B$97*K44)</f>
        <v>-0.00381615678768204</v>
      </c>
      <c r="N44" s="19" t="n">
        <f aca="false">M44^2</f>
        <v>1.45630526281717E-005</v>
      </c>
      <c r="O44" s="19" t="n">
        <f aca="false">L44*$M44</f>
        <v>-0.00381615678768204</v>
      </c>
      <c r="P44" s="19" t="n">
        <f aca="false">C44*$M44</f>
        <v>-8.20783383760034E-005</v>
      </c>
      <c r="Q44" s="19" t="n">
        <f aca="false">D44*$M44</f>
        <v>0.101130202900472</v>
      </c>
      <c r="R44" s="19" t="n">
        <f aca="false">E44*$M44</f>
        <v>0.0769213031866307</v>
      </c>
      <c r="S44" s="19" t="n">
        <f aca="false">F44*$M44</f>
        <v>0.265025558608477</v>
      </c>
      <c r="T44" s="19" t="n">
        <f aca="false">G44*$M44</f>
        <v>2.21495642034386E-005</v>
      </c>
      <c r="U44" s="19" t="n">
        <f aca="false">H44*$M44</f>
        <v>-0.000172707368140111</v>
      </c>
      <c r="V44" s="19" t="n">
        <f aca="false">I44*$M44</f>
        <v>0.00012697188805697</v>
      </c>
      <c r="W44" s="19" t="n">
        <f aca="false">J44*$M44</f>
        <v>-0</v>
      </c>
      <c r="X44" s="19" t="n">
        <f aca="false">K44*$M44</f>
        <v>-0</v>
      </c>
    </row>
    <row r="45" customFormat="false" ht="15" hidden="false" customHeight="false" outlineLevel="0" collapsed="false">
      <c r="A45" s="20" t="str">
        <f aca="false">Datos!A53</f>
        <v>2017Q1</v>
      </c>
      <c r="B45" s="21" t="n">
        <f aca="false">Datos!F53</f>
        <v>0.00559679082443165</v>
      </c>
      <c r="C45" s="21" t="n">
        <f aca="false">Datos!I53</f>
        <v>0.0929246843768103</v>
      </c>
      <c r="D45" s="21" t="n">
        <f aca="false">Datos!H53</f>
        <v>-15.9076923076924</v>
      </c>
      <c r="E45" s="21" t="n">
        <f aca="false">Datos!H51</f>
        <v>51.5281007751937</v>
      </c>
      <c r="F45" s="21" t="n">
        <f aca="false">Datos!H47</f>
        <v>-12.3885780885781</v>
      </c>
      <c r="G45" s="21" t="n">
        <f aca="false">Datos!J47</f>
        <v>-0.0725670071793785</v>
      </c>
      <c r="H45" s="21" t="n">
        <f aca="false">Datos!K46</f>
        <v>-0.0840598834733707</v>
      </c>
      <c r="I45" s="21" t="n">
        <f aca="false">Datos!F52</f>
        <v>-0.0149328839288507</v>
      </c>
      <c r="J45" s="21" t="n">
        <f aca="false">IF($A45="2020Q2",1,0)</f>
        <v>0</v>
      </c>
      <c r="K45" s="21" t="n">
        <f aca="false">IF($A45="2021Q2",1,0)</f>
        <v>0</v>
      </c>
      <c r="L45" s="19" t="n">
        <v>1</v>
      </c>
      <c r="M45" s="19" t="n">
        <f aca="false">B45-($B$88+$B$89*C45+$B$90*D45+$B$91*E45+$B$92*F45+$B$93*G45+$B$94*H45+$B$95*I45+$B$96*J45+$B$97*K45)</f>
        <v>0.00107573396792404</v>
      </c>
      <c r="N45" s="19" t="n">
        <f aca="false">M45^2</f>
        <v>1.15720356974559E-006</v>
      </c>
      <c r="O45" s="19" t="n">
        <f aca="false">L45*$M45</f>
        <v>0.00107573396792404</v>
      </c>
      <c r="P45" s="19" t="n">
        <f aca="false">C45*$M45</f>
        <v>9.99622394427548E-005</v>
      </c>
      <c r="Q45" s="19" t="n">
        <f aca="false">D45*$M45</f>
        <v>-0.0171124449666686</v>
      </c>
      <c r="R45" s="19" t="n">
        <f aca="false">E45*$M45</f>
        <v>0.0554305283064887</v>
      </c>
      <c r="S45" s="19" t="n">
        <f aca="false">F45*$M45</f>
        <v>-0.0133268142641629</v>
      </c>
      <c r="T45" s="19" t="n">
        <f aca="false">G45*$M45</f>
        <v>-7.80627945734448E-005</v>
      </c>
      <c r="U45" s="19" t="n">
        <f aca="false">H45*$M45</f>
        <v>-9.04260719920411E-005</v>
      </c>
      <c r="V45" s="19" t="n">
        <f aca="false">I45*$M45</f>
        <v>-1.60638104813316E-005</v>
      </c>
      <c r="W45" s="19" t="n">
        <f aca="false">J45*$M45</f>
        <v>0</v>
      </c>
      <c r="X45" s="19" t="n">
        <f aca="false">K45*$M45</f>
        <v>0</v>
      </c>
    </row>
    <row r="46" customFormat="false" ht="15" hidden="false" customHeight="false" outlineLevel="0" collapsed="false">
      <c r="A46" s="20" t="str">
        <f aca="false">Datos!A54</f>
        <v>2017Q2</v>
      </c>
      <c r="B46" s="21" t="n">
        <f aca="false">Datos!F54</f>
        <v>0.0232658340767662</v>
      </c>
      <c r="C46" s="21" t="n">
        <f aca="false">Datos!I54</f>
        <v>0.0763750387701306</v>
      </c>
      <c r="D46" s="21" t="n">
        <f aca="false">Datos!H54</f>
        <v>-40.3959134615384</v>
      </c>
      <c r="E46" s="21" t="n">
        <f aca="false">Datos!H52</f>
        <v>-26.5005366726296</v>
      </c>
      <c r="F46" s="21" t="n">
        <f aca="false">Datos!H48</f>
        <v>-78.2729603729604</v>
      </c>
      <c r="G46" s="21" t="n">
        <f aca="false">Datos!J48</f>
        <v>-0.0214726951640203</v>
      </c>
      <c r="H46" s="21" t="n">
        <f aca="false">Datos!K47</f>
        <v>0.0549125616583312</v>
      </c>
      <c r="I46" s="21" t="n">
        <f aca="false">Datos!F53</f>
        <v>0.00559679082443165</v>
      </c>
      <c r="J46" s="21" t="n">
        <f aca="false">IF($A46="2020Q2",1,0)</f>
        <v>0</v>
      </c>
      <c r="K46" s="21" t="n">
        <f aca="false">IF($A46="2021Q2",1,0)</f>
        <v>0</v>
      </c>
      <c r="L46" s="19" t="n">
        <v>1</v>
      </c>
      <c r="M46" s="19" t="n">
        <f aca="false">B46-($B$88+$B$89*C46+$B$90*D46+$B$91*E46+$B$92*F46+$B$93*G46+$B$94*H46+$B$95*I46+$B$96*J46+$B$97*K46)</f>
        <v>-0.00937008682023389</v>
      </c>
      <c r="N46" s="19" t="n">
        <f aca="false">M46^2</f>
        <v>8.77985270187208E-005</v>
      </c>
      <c r="O46" s="19" t="n">
        <f aca="false">L46*$M46</f>
        <v>-0.00937008682023389</v>
      </c>
      <c r="P46" s="19" t="n">
        <f aca="false">C46*$M46</f>
        <v>-0.000715640744174853</v>
      </c>
      <c r="Q46" s="19" t="n">
        <f aca="false">D46*$M46</f>
        <v>0.37851321631727</v>
      </c>
      <c r="R46" s="19" t="n">
        <f aca="false">E46*$M46</f>
        <v>0.248312329405332</v>
      </c>
      <c r="S46" s="19" t="n">
        <f aca="false">F46*$M46</f>
        <v>0.733424434371365</v>
      </c>
      <c r="T46" s="19" t="n">
        <f aca="false">G46*$M46</f>
        <v>0.000201201017951286</v>
      </c>
      <c r="U46" s="19" t="n">
        <f aca="false">H46*$M46</f>
        <v>-0.000514535470260009</v>
      </c>
      <c r="V46" s="19" t="n">
        <f aca="false">I46*$M46</f>
        <v>-5.2442415939613E-005</v>
      </c>
      <c r="W46" s="19" t="n">
        <f aca="false">J46*$M46</f>
        <v>-0</v>
      </c>
      <c r="X46" s="19" t="n">
        <f aca="false">K46*$M46</f>
        <v>-0</v>
      </c>
    </row>
    <row r="47" customFormat="false" ht="15" hidden="false" customHeight="false" outlineLevel="0" collapsed="false">
      <c r="A47" s="20" t="str">
        <f aca="false">Datos!A55</f>
        <v>2017Q3</v>
      </c>
      <c r="B47" s="21" t="n">
        <f aca="false">Datos!F55</f>
        <v>0.0385060856362685</v>
      </c>
      <c r="C47" s="21" t="n">
        <f aca="false">Datos!I55</f>
        <v>-0.0381479768126187</v>
      </c>
      <c r="D47" s="21" t="n">
        <f aca="false">Datos!H55</f>
        <v>0.498765624999805</v>
      </c>
      <c r="E47" s="21" t="n">
        <f aca="false">Datos!H53</f>
        <v>-15.9076923076924</v>
      </c>
      <c r="F47" s="21" t="n">
        <f aca="false">Datos!H49</f>
        <v>-38.2862026862027</v>
      </c>
      <c r="G47" s="21" t="n">
        <f aca="false">Datos!J49</f>
        <v>-0.013556503122827</v>
      </c>
      <c r="H47" s="21" t="n">
        <f aca="false">Datos!K48</f>
        <v>0.0929604971038175</v>
      </c>
      <c r="I47" s="21" t="n">
        <f aca="false">Datos!F54</f>
        <v>0.0232658340767662</v>
      </c>
      <c r="J47" s="21" t="n">
        <f aca="false">IF($A47="2020Q2",1,0)</f>
        <v>0</v>
      </c>
      <c r="K47" s="21" t="n">
        <f aca="false">IF($A47="2021Q2",1,0)</f>
        <v>0</v>
      </c>
      <c r="L47" s="19" t="n">
        <v>1</v>
      </c>
      <c r="M47" s="19" t="n">
        <f aca="false">B47-($B$88+$B$89*C47+$B$90*D47+$B$91*E47+$B$92*F47+$B$93*G47+$B$94*H47+$B$95*I47+$B$96*J47+$B$97*K47)</f>
        <v>0.0117648907174144</v>
      </c>
      <c r="N47" s="19" t="n">
        <f aca="false">M47^2</f>
        <v>0.000138412653592703</v>
      </c>
      <c r="O47" s="19" t="n">
        <f aca="false">L47*$M47</f>
        <v>0.0117648907174144</v>
      </c>
      <c r="P47" s="19" t="n">
        <f aca="false">C47*$M47</f>
        <v>-0.000448806778290917</v>
      </c>
      <c r="Q47" s="19" t="n">
        <f aca="false">D47*$M47</f>
        <v>0.0058679230717256</v>
      </c>
      <c r="R47" s="19" t="n">
        <f aca="false">E47*$M47</f>
        <v>-0.187152261566255</v>
      </c>
      <c r="S47" s="19" t="n">
        <f aca="false">F47*$M47</f>
        <v>-0.450432990587952</v>
      </c>
      <c r="T47" s="19" t="n">
        <f aca="false">G47*$M47</f>
        <v>-0.000159490777750346</v>
      </c>
      <c r="U47" s="19" t="n">
        <f aca="false">H47*$M47</f>
        <v>0.00109367008946293</v>
      </c>
      <c r="V47" s="19" t="n">
        <f aca="false">I47*$M47</f>
        <v>0.00027371999536265</v>
      </c>
      <c r="W47" s="19" t="n">
        <f aca="false">J47*$M47</f>
        <v>0</v>
      </c>
      <c r="X47" s="19" t="n">
        <f aca="false">K47*$M47</f>
        <v>0</v>
      </c>
    </row>
    <row r="48" customFormat="false" ht="15" hidden="false" customHeight="false" outlineLevel="0" collapsed="false">
      <c r="A48" s="20" t="str">
        <f aca="false">Datos!A56</f>
        <v>2017Q4</v>
      </c>
      <c r="B48" s="21" t="n">
        <f aca="false">Datos!F56</f>
        <v>0.0453268482640472</v>
      </c>
      <c r="C48" s="21" t="n">
        <f aca="false">Datos!I56</f>
        <v>-0.00847913753638218</v>
      </c>
      <c r="D48" s="21" t="n">
        <f aca="false">Datos!H56</f>
        <v>-54.5718281249997</v>
      </c>
      <c r="E48" s="21" t="n">
        <f aca="false">Datos!H54</f>
        <v>-40.3959134615384</v>
      </c>
      <c r="F48" s="21" t="n">
        <f aca="false">Datos!H50</f>
        <v>-20.156746031746</v>
      </c>
      <c r="G48" s="21" t="n">
        <f aca="false">Datos!J50</f>
        <v>-0.0260787645308853</v>
      </c>
      <c r="H48" s="21" t="n">
        <f aca="false">Datos!K49</f>
        <v>-0.0501806657673727</v>
      </c>
      <c r="I48" s="21" t="n">
        <f aca="false">Datos!F55</f>
        <v>0.0385060856362685</v>
      </c>
      <c r="J48" s="21" t="n">
        <f aca="false">IF($A48="2020Q2",1,0)</f>
        <v>0</v>
      </c>
      <c r="K48" s="21" t="n">
        <f aca="false">IF($A48="2021Q2",1,0)</f>
        <v>0</v>
      </c>
      <c r="L48" s="19" t="n">
        <v>1</v>
      </c>
      <c r="M48" s="19" t="n">
        <f aca="false">B48-($B$88+$B$89*C48+$B$90*D48+$B$91*E48+$B$92*F48+$B$93*G48+$B$94*H48+$B$95*I48+$B$96*J48+$B$97*K48)</f>
        <v>0.0136454454627766</v>
      </c>
      <c r="N48" s="19" t="n">
        <f aca="false">M48^2</f>
        <v>0.00018619818187761</v>
      </c>
      <c r="O48" s="19" t="n">
        <f aca="false">L48*$M48</f>
        <v>0.0136454454627766</v>
      </c>
      <c r="P48" s="19" t="n">
        <f aca="false">C48*$M48</f>
        <v>-0.000115701608824085</v>
      </c>
      <c r="Q48" s="19" t="n">
        <f aca="false">D48*$M48</f>
        <v>-0.7446569044837</v>
      </c>
      <c r="R48" s="19" t="n">
        <f aca="false">E48*$M48</f>
        <v>-0.551220234058464</v>
      </c>
      <c r="S48" s="19" t="n">
        <f aca="false">F48*$M48</f>
        <v>-0.275047778683229</v>
      </c>
      <c r="T48" s="19" t="n">
        <f aca="false">G48*$M48</f>
        <v>-0.000355856359142788</v>
      </c>
      <c r="U48" s="19" t="n">
        <f aca="false">H48*$M48</f>
        <v>-0.000684737538014503</v>
      </c>
      <c r="V48" s="19" t="n">
        <f aca="false">I48*$M48</f>
        <v>0.000525432691534706</v>
      </c>
      <c r="W48" s="19" t="n">
        <f aca="false">J48*$M48</f>
        <v>0</v>
      </c>
      <c r="X48" s="19" t="n">
        <f aca="false">K48*$M48</f>
        <v>0</v>
      </c>
    </row>
    <row r="49" customFormat="false" ht="15" hidden="false" customHeight="false" outlineLevel="0" collapsed="false">
      <c r="A49" s="20" t="str">
        <f aca="false">Datos!A57</f>
        <v>2018Q1</v>
      </c>
      <c r="B49" s="21" t="n">
        <f aca="false">Datos!F57</f>
        <v>0.0379774021814201</v>
      </c>
      <c r="C49" s="21" t="n">
        <f aca="false">Datos!I57</f>
        <v>0.015677961339587</v>
      </c>
      <c r="D49" s="21" t="n">
        <f aca="false">Datos!H57</f>
        <v>28.5320987903223</v>
      </c>
      <c r="E49" s="21" t="n">
        <f aca="false">Datos!H55</f>
        <v>0.498765624999805</v>
      </c>
      <c r="F49" s="21" t="n">
        <f aca="false">Datos!H51</f>
        <v>51.5281007751937</v>
      </c>
      <c r="G49" s="21" t="n">
        <f aca="false">Datos!J51</f>
        <v>0.0942185203778218</v>
      </c>
      <c r="H49" s="21" t="n">
        <f aca="false">Datos!K50</f>
        <v>0.114909941997091</v>
      </c>
      <c r="I49" s="21" t="n">
        <f aca="false">Datos!F56</f>
        <v>0.0453268482640472</v>
      </c>
      <c r="J49" s="21" t="n">
        <f aca="false">IF($A49="2020Q2",1,0)</f>
        <v>0</v>
      </c>
      <c r="K49" s="21" t="n">
        <f aca="false">IF($A49="2021Q2",1,0)</f>
        <v>0</v>
      </c>
      <c r="L49" s="19" t="n">
        <v>1</v>
      </c>
      <c r="M49" s="19" t="n">
        <f aca="false">B49-($B$88+$B$89*C49+$B$90*D49+$B$91*E49+$B$92*F49+$B$93*G49+$B$94*H49+$B$95*I49+$B$96*J49+$B$97*K49)</f>
        <v>-0.0111150304852139</v>
      </c>
      <c r="N49" s="19" t="n">
        <f aca="false">M49^2</f>
        <v>0.000123543902687234</v>
      </c>
      <c r="O49" s="19" t="n">
        <f aca="false">L49*$M49</f>
        <v>-0.0111150304852139</v>
      </c>
      <c r="P49" s="19" t="n">
        <f aca="false">C49*$M49</f>
        <v>-0.000174261018235514</v>
      </c>
      <c r="Q49" s="19" t="n">
        <f aca="false">D49*$M49</f>
        <v>-0.317135147861567</v>
      </c>
      <c r="R49" s="19" t="n">
        <f aca="false">E49*$M49</f>
        <v>-0.0055437951268496</v>
      </c>
      <c r="S49" s="19" t="n">
        <f aca="false">F49*$M49</f>
        <v>-0.572736410961452</v>
      </c>
      <c r="T49" s="19" t="n">
        <f aca="false">G49*$M49</f>
        <v>-0.00104724172627124</v>
      </c>
      <c r="U49" s="19" t="n">
        <f aca="false">H49*$M49</f>
        <v>-0.00127722750835182</v>
      </c>
      <c r="V49" s="19" t="n">
        <f aca="false">I49*$M49</f>
        <v>-0.000503809300253549</v>
      </c>
      <c r="W49" s="19" t="n">
        <f aca="false">J49*$M49</f>
        <v>-0</v>
      </c>
      <c r="X49" s="19" t="n">
        <f aca="false">K49*$M49</f>
        <v>-0</v>
      </c>
    </row>
    <row r="50" customFormat="false" ht="15" hidden="false" customHeight="false" outlineLevel="0" collapsed="false">
      <c r="A50" s="20" t="str">
        <f aca="false">Datos!A58</f>
        <v>2018Q2</v>
      </c>
      <c r="B50" s="21" t="n">
        <f aca="false">Datos!F58</f>
        <v>-0.039790994073943</v>
      </c>
      <c r="C50" s="21" t="n">
        <f aca="false">Datos!I58</f>
        <v>-0.0742810049049096</v>
      </c>
      <c r="D50" s="21" t="n">
        <f aca="false">Datos!H58</f>
        <v>77.2218156327545</v>
      </c>
      <c r="E50" s="21" t="n">
        <f aca="false">Datos!H56</f>
        <v>-54.5718281249997</v>
      </c>
      <c r="F50" s="21" t="n">
        <f aca="false">Datos!H52</f>
        <v>-26.5005366726296</v>
      </c>
      <c r="G50" s="21" t="n">
        <f aca="false">Datos!J52</f>
        <v>0.241810567395166</v>
      </c>
      <c r="H50" s="21" t="n">
        <f aca="false">Datos!K51</f>
        <v>0.0078308829818691</v>
      </c>
      <c r="I50" s="21" t="n">
        <f aca="false">Datos!F57</f>
        <v>0.0379774021814201</v>
      </c>
      <c r="J50" s="21" t="n">
        <f aca="false">IF($A50="2020Q2",1,0)</f>
        <v>0</v>
      </c>
      <c r="K50" s="21" t="n">
        <f aca="false">IF($A50="2021Q2",1,0)</f>
        <v>0</v>
      </c>
      <c r="L50" s="19" t="n">
        <v>1</v>
      </c>
      <c r="M50" s="19" t="n">
        <f aca="false">B50-($B$88+$B$89*C50+$B$90*D50+$B$91*E50+$B$92*F50+$B$93*G50+$B$94*H50+$B$95*I50+$B$96*J50+$B$97*K50)</f>
        <v>-0.0411324278574939</v>
      </c>
      <c r="N50" s="19" t="n">
        <f aca="false">M50^2</f>
        <v>0.00169187662145194</v>
      </c>
      <c r="O50" s="19" t="n">
        <f aca="false">L50*$M50</f>
        <v>-0.0411324278574939</v>
      </c>
      <c r="P50" s="19" t="n">
        <f aca="false">C50*$M50</f>
        <v>0.00305535807543335</v>
      </c>
      <c r="Q50" s="19" t="n">
        <f aca="false">D50*$M50</f>
        <v>-3.17632076053897</v>
      </c>
      <c r="R50" s="19" t="n">
        <f aca="false">E50*$M50</f>
        <v>2.24467178340311</v>
      </c>
      <c r="S50" s="19" t="n">
        <f aca="false">F50*$M50</f>
        <v>1.09003141287181</v>
      </c>
      <c r="T50" s="19" t="n">
        <f aca="false">G50*$M50</f>
        <v>-0.00994625571856133</v>
      </c>
      <c r="U50" s="19" t="n">
        <f aca="false">H50*$M50</f>
        <v>-0.000322103229312208</v>
      </c>
      <c r="V50" s="19" t="n">
        <f aca="false">I50*$M50</f>
        <v>-0.00156210275544229</v>
      </c>
      <c r="W50" s="19" t="n">
        <f aca="false">J50*$M50</f>
        <v>-0</v>
      </c>
      <c r="X50" s="19" t="n">
        <f aca="false">K50*$M50</f>
        <v>-0</v>
      </c>
    </row>
    <row r="51" customFormat="false" ht="15" hidden="false" customHeight="false" outlineLevel="0" collapsed="false">
      <c r="A51" s="20" t="str">
        <f aca="false">Datos!A59</f>
        <v>2018Q3</v>
      </c>
      <c r="B51" s="21" t="n">
        <f aca="false">Datos!F59</f>
        <v>-0.0346944038739507</v>
      </c>
      <c r="C51" s="21" t="n">
        <f aca="false">Datos!I59</f>
        <v>0.0297586266112664</v>
      </c>
      <c r="D51" s="21" t="n">
        <f aca="false">Datos!H59</f>
        <v>166.169284270953</v>
      </c>
      <c r="E51" s="21" t="n">
        <f aca="false">Datos!H57</f>
        <v>28.5320987903223</v>
      </c>
      <c r="F51" s="21" t="n">
        <f aca="false">Datos!H53</f>
        <v>-15.9076923076924</v>
      </c>
      <c r="G51" s="21" t="n">
        <f aca="false">Datos!J53</f>
        <v>-0.24283692228193</v>
      </c>
      <c r="H51" s="21" t="n">
        <f aca="false">Datos!K52</f>
        <v>-0.0600242033998368</v>
      </c>
      <c r="I51" s="21" t="n">
        <f aca="false">Datos!F58</f>
        <v>-0.039790994073943</v>
      </c>
      <c r="J51" s="21" t="n">
        <f aca="false">IF($A51="2020Q2",1,0)</f>
        <v>0</v>
      </c>
      <c r="K51" s="21" t="n">
        <f aca="false">IF($A51="2021Q2",1,0)</f>
        <v>0</v>
      </c>
      <c r="L51" s="19" t="n">
        <v>1</v>
      </c>
      <c r="M51" s="19" t="n">
        <f aca="false">B51-($B$88+$B$89*C51+$B$90*D51+$B$91*E51+$B$92*F51+$B$93*G51+$B$94*H51+$B$95*I51+$B$96*J51+$B$97*K51)</f>
        <v>-0.0195458628173631</v>
      </c>
      <c r="N51" s="19" t="n">
        <f aca="false">M51^2</f>
        <v>0.000382040753275176</v>
      </c>
      <c r="O51" s="19" t="n">
        <f aca="false">L51*$M51</f>
        <v>-0.0195458628173631</v>
      </c>
      <c r="P51" s="19" t="n">
        <f aca="false">C51*$M51</f>
        <v>-0.000581658033376943</v>
      </c>
      <c r="Q51" s="19" t="n">
        <f aca="false">D51*$M51</f>
        <v>-3.24792203481946</v>
      </c>
      <c r="R51" s="19" t="n">
        <f aca="false">E51*$M51</f>
        <v>-0.55768448884709</v>
      </c>
      <c r="S51" s="19" t="n">
        <f aca="false">F51*$M51</f>
        <v>0.310929571586977</v>
      </c>
      <c r="T51" s="19" t="n">
        <f aca="false">G51*$M51</f>
        <v>0.00474645716991325</v>
      </c>
      <c r="U51" s="19" t="n">
        <f aca="false">H51*$M51</f>
        <v>0.00117322484537471</v>
      </c>
      <c r="V51" s="19" t="n">
        <f aca="false">I51*$M51</f>
        <v>0.000777749311535797</v>
      </c>
      <c r="W51" s="19" t="n">
        <f aca="false">J51*$M51</f>
        <v>-0</v>
      </c>
      <c r="X51" s="19" t="n">
        <f aca="false">K51*$M51</f>
        <v>-0</v>
      </c>
    </row>
    <row r="52" customFormat="false" ht="15" hidden="false" customHeight="false" outlineLevel="0" collapsed="false">
      <c r="A52" s="20" t="str">
        <f aca="false">Datos!A60</f>
        <v>2018Q4</v>
      </c>
      <c r="B52" s="21" t="n">
        <f aca="false">Datos!F60</f>
        <v>-0.0633973916700751</v>
      </c>
      <c r="C52" s="21" t="n">
        <f aca="false">Datos!I60</f>
        <v>-0.0501462610157425</v>
      </c>
      <c r="D52" s="21" t="n">
        <f aca="false">Datos!H60</f>
        <v>56.51817630597</v>
      </c>
      <c r="E52" s="21" t="n">
        <f aca="false">Datos!H58</f>
        <v>77.2218156327545</v>
      </c>
      <c r="F52" s="21" t="n">
        <f aca="false">Datos!H54</f>
        <v>-40.3959134615384</v>
      </c>
      <c r="G52" s="21" t="n">
        <f aca="false">Datos!J54</f>
        <v>-0.0647458372468179</v>
      </c>
      <c r="H52" s="21" t="n">
        <f aca="false">Datos!K53</f>
        <v>-0.035749043779608</v>
      </c>
      <c r="I52" s="21" t="n">
        <f aca="false">Datos!F59</f>
        <v>-0.0346944038739507</v>
      </c>
      <c r="J52" s="21" t="n">
        <f aca="false">IF($A52="2020Q2",1,0)</f>
        <v>0</v>
      </c>
      <c r="K52" s="21" t="n">
        <f aca="false">IF($A52="2021Q2",1,0)</f>
        <v>0</v>
      </c>
      <c r="L52" s="19" t="n">
        <v>1</v>
      </c>
      <c r="M52" s="19" t="n">
        <f aca="false">B52-($B$88+$B$89*C52+$B$90*D52+$B$91*E52+$B$92*F52+$B$93*G52+$B$94*H52+$B$95*I52+$B$96*J52+$B$97*K52)</f>
        <v>-0.0255230760683946</v>
      </c>
      <c r="N52" s="19" t="n">
        <f aca="false">M52^2</f>
        <v>0.000651427411993059</v>
      </c>
      <c r="O52" s="19" t="n">
        <f aca="false">L52*$M52</f>
        <v>-0.0255230760683946</v>
      </c>
      <c r="P52" s="19" t="n">
        <f aca="false">C52*$M52</f>
        <v>0.00127988683445037</v>
      </c>
      <c r="Q52" s="19" t="n">
        <f aca="false">D52*$M52</f>
        <v>-1.44251771310421</v>
      </c>
      <c r="R52" s="19" t="n">
        <f aca="false">E52*$M52</f>
        <v>-1.97093827453434</v>
      </c>
      <c r="S52" s="19" t="n">
        <f aca="false">F52*$M52</f>
        <v>1.03102797213113</v>
      </c>
      <c r="T52" s="19" t="n">
        <f aca="false">G52*$M52</f>
        <v>0.00165251292916243</v>
      </c>
      <c r="U52" s="19" t="n">
        <f aca="false">H52*$M52</f>
        <v>0.000912425563759305</v>
      </c>
      <c r="V52" s="19" t="n">
        <f aca="false">I52*$M52</f>
        <v>0.00088550790922245</v>
      </c>
      <c r="W52" s="19" t="n">
        <f aca="false">J52*$M52</f>
        <v>-0</v>
      </c>
      <c r="X52" s="19" t="n">
        <f aca="false">K52*$M52</f>
        <v>-0</v>
      </c>
    </row>
    <row r="53" customFormat="false" ht="15" hidden="false" customHeight="false" outlineLevel="0" collapsed="false">
      <c r="A53" s="20" t="str">
        <f aca="false">Datos!A61</f>
        <v>2019Q1</v>
      </c>
      <c r="B53" s="21" t="n">
        <f aca="false">Datos!F61</f>
        <v>-0.0586372539873753</v>
      </c>
      <c r="C53" s="21" t="n">
        <f aca="false">Datos!I61</f>
        <v>-0.0500271266876492</v>
      </c>
      <c r="D53" s="21" t="n">
        <f aca="false">Datos!H61</f>
        <v>19.2017013888889</v>
      </c>
      <c r="E53" s="21" t="n">
        <f aca="false">Datos!H59</f>
        <v>166.169284270953</v>
      </c>
      <c r="F53" s="21" t="n">
        <f aca="false">Datos!H55</f>
        <v>0.498765624999805</v>
      </c>
      <c r="G53" s="21" t="n">
        <f aca="false">Datos!J55</f>
        <v>-0.0931139816863711</v>
      </c>
      <c r="H53" s="21" t="n">
        <f aca="false">Datos!K54</f>
        <v>-0.0598239352005628</v>
      </c>
      <c r="I53" s="21" t="n">
        <f aca="false">Datos!F60</f>
        <v>-0.0633973916700751</v>
      </c>
      <c r="J53" s="21" t="n">
        <f aca="false">IF($A53="2020Q2",1,0)</f>
        <v>0</v>
      </c>
      <c r="K53" s="21" t="n">
        <f aca="false">IF($A53="2021Q2",1,0)</f>
        <v>0</v>
      </c>
      <c r="L53" s="19" t="n">
        <v>1</v>
      </c>
      <c r="M53" s="19" t="n">
        <f aca="false">B53-($B$88+$B$89*C53+$B$90*D53+$B$91*E53+$B$92*F53+$B$93*G53+$B$94*H53+$B$95*I53+$B$96*J53+$B$97*K53)</f>
        <v>0.00457541554481983</v>
      </c>
      <c r="N53" s="19" t="n">
        <f aca="false">M53^2</f>
        <v>2.09344274077789E-005</v>
      </c>
      <c r="O53" s="19" t="n">
        <f aca="false">L53*$M53</f>
        <v>0.00457541554481983</v>
      </c>
      <c r="P53" s="19" t="n">
        <f aca="false">C53*$M53</f>
        <v>-0.000228894893109341</v>
      </c>
      <c r="Q53" s="19" t="n">
        <f aca="false">D53*$M53</f>
        <v>0.0878557630217106</v>
      </c>
      <c r="R53" s="19" t="n">
        <f aca="false">E53*$M53</f>
        <v>0.760293526324904</v>
      </c>
      <c r="S53" s="19" t="n">
        <f aca="false">F53*$M53</f>
        <v>0.00228205999384589</v>
      </c>
      <c r="T53" s="19" t="n">
        <f aca="false">G53*$M53</f>
        <v>-0.000426035159247891</v>
      </c>
      <c r="U53" s="19" t="n">
        <f aca="false">H53*$M53</f>
        <v>-0.000273719363068949</v>
      </c>
      <c r="V53" s="19" t="n">
        <f aca="false">I53*$M53</f>
        <v>-0.000290069411348293</v>
      </c>
      <c r="W53" s="19" t="n">
        <f aca="false">J53*$M53</f>
        <v>0</v>
      </c>
      <c r="X53" s="19" t="n">
        <f aca="false">K53*$M53</f>
        <v>0</v>
      </c>
    </row>
    <row r="54" customFormat="false" ht="15" hidden="false" customHeight="false" outlineLevel="0" collapsed="false">
      <c r="A54" s="20" t="str">
        <f aca="false">Datos!A62</f>
        <v>2019Q2</v>
      </c>
      <c r="B54" s="21" t="n">
        <f aca="false">Datos!F62</f>
        <v>0.00582819893603537</v>
      </c>
      <c r="C54" s="21" t="n">
        <f aca="false">Datos!I62</f>
        <v>0.000114296886335796</v>
      </c>
      <c r="D54" s="21" t="n">
        <f aca="false">Datos!H62</f>
        <v>162.790259661836</v>
      </c>
      <c r="E54" s="21" t="n">
        <f aca="false">Datos!H60</f>
        <v>56.51817630597</v>
      </c>
      <c r="F54" s="21" t="n">
        <f aca="false">Datos!H56</f>
        <v>-54.5718281249997</v>
      </c>
      <c r="G54" s="21" t="n">
        <f aca="false">Datos!J56</f>
        <v>-0.0800850350667679</v>
      </c>
      <c r="H54" s="21" t="n">
        <f aca="false">Datos!K55</f>
        <v>-0.0336017376367385</v>
      </c>
      <c r="I54" s="21" t="n">
        <f aca="false">Datos!F61</f>
        <v>-0.0586372539873753</v>
      </c>
      <c r="J54" s="21" t="n">
        <f aca="false">IF($A54="2020Q2",1,0)</f>
        <v>0</v>
      </c>
      <c r="K54" s="21" t="n">
        <f aca="false">IF($A54="2021Q2",1,0)</f>
        <v>0</v>
      </c>
      <c r="L54" s="19" t="n">
        <v>1</v>
      </c>
      <c r="M54" s="19" t="n">
        <f aca="false">B54-($B$88+$B$89*C54+$B$90*D54+$B$91*E54+$B$92*F54+$B$93*G54+$B$94*H54+$B$95*I54+$B$96*J54+$B$97*K54)</f>
        <v>0.0530373137347209</v>
      </c>
      <c r="N54" s="19" t="n">
        <f aca="false">M54^2</f>
        <v>0.00281295664819521</v>
      </c>
      <c r="O54" s="19" t="n">
        <f aca="false">L54*$M54</f>
        <v>0.0530373137347209</v>
      </c>
      <c r="P54" s="19" t="n">
        <f aca="false">C54*$M54</f>
        <v>6.06199981949336E-006</v>
      </c>
      <c r="Q54" s="19" t="n">
        <f aca="false">D54*$M54</f>
        <v>8.63395807464145</v>
      </c>
      <c r="R54" s="19" t="n">
        <f aca="false">E54*$M54</f>
        <v>2.997572248454</v>
      </c>
      <c r="S54" s="19" t="n">
        <f aca="false">F54*$M54</f>
        <v>-2.89434316934287</v>
      </c>
      <c r="T54" s="19" t="n">
        <f aca="false">G54*$M54</f>
        <v>-0.00424749513029229</v>
      </c>
      <c r="U54" s="19" t="n">
        <f aca="false">H54*$M54</f>
        <v>-0.00178214590107148</v>
      </c>
      <c r="V54" s="19" t="n">
        <f aca="false">I54*$M54</f>
        <v>-0.00310996243627093</v>
      </c>
      <c r="W54" s="19" t="n">
        <f aca="false">J54*$M54</f>
        <v>0</v>
      </c>
      <c r="X54" s="19" t="n">
        <f aca="false">K54*$M54</f>
        <v>0</v>
      </c>
    </row>
    <row r="55" customFormat="false" ht="15" hidden="false" customHeight="false" outlineLevel="0" collapsed="false">
      <c r="A55" s="20" t="str">
        <f aca="false">Datos!A63</f>
        <v>2019Q3</v>
      </c>
      <c r="B55" s="21" t="n">
        <f aca="false">Datos!F63</f>
        <v>-0.0175271616356651</v>
      </c>
      <c r="C55" s="21" t="n">
        <f aca="false">Datos!I63</f>
        <v>-0.0239132057868301</v>
      </c>
      <c r="D55" s="21" t="n">
        <f aca="false">Datos!H63</f>
        <v>679.618686815129</v>
      </c>
      <c r="E55" s="21" t="n">
        <f aca="false">Datos!H61</f>
        <v>19.2017013888889</v>
      </c>
      <c r="F55" s="21" t="n">
        <f aca="false">Datos!H57</f>
        <v>28.5320987903223</v>
      </c>
      <c r="G55" s="21" t="n">
        <f aca="false">Datos!J57</f>
        <v>0.072575912604689</v>
      </c>
      <c r="H55" s="21" t="n">
        <f aca="false">Datos!K56</f>
        <v>0.0834781752199751</v>
      </c>
      <c r="I55" s="21" t="n">
        <f aca="false">Datos!F62</f>
        <v>0.00582819893603537</v>
      </c>
      <c r="J55" s="21" t="n">
        <f aca="false">IF($A55="2020Q2",1,0)</f>
        <v>0</v>
      </c>
      <c r="K55" s="21" t="n">
        <f aca="false">IF($A55="2021Q2",1,0)</f>
        <v>0</v>
      </c>
      <c r="L55" s="19" t="n">
        <v>1</v>
      </c>
      <c r="M55" s="19" t="n">
        <f aca="false">B55-($B$88+$B$89*C55+$B$90*D55+$B$91*E55+$B$92*F55+$B$93*G55+$B$94*H55+$B$95*I55+$B$96*J55+$B$97*K55)</f>
        <v>-0.00688449005348575</v>
      </c>
      <c r="N55" s="19" t="n">
        <f aca="false">M55^2</f>
        <v>4.73962032965442E-005</v>
      </c>
      <c r="O55" s="19" t="n">
        <f aca="false">L55*$M55</f>
        <v>-0.00688449005348575</v>
      </c>
      <c r="P55" s="19" t="n">
        <f aca="false">C55*$M55</f>
        <v>0.00016463022738639</v>
      </c>
      <c r="Q55" s="19" t="n">
        <f aca="false">D55*$M55</f>
        <v>-4.6788280895418</v>
      </c>
      <c r="R55" s="19" t="n">
        <f aca="false">E55*$M55</f>
        <v>-0.132193922221809</v>
      </c>
      <c r="S55" s="19" t="n">
        <f aca="false">F55*$M55</f>
        <v>-0.196428950327046</v>
      </c>
      <c r="T55" s="19" t="n">
        <f aca="false">G55*$M55</f>
        <v>-0.000499648148449632</v>
      </c>
      <c r="U55" s="19" t="n">
        <f aca="false">H55*$M55</f>
        <v>-0.000574704666985059</v>
      </c>
      <c r="V55" s="19" t="n">
        <f aca="false">I55*$M55</f>
        <v>-4.01241776048717E-005</v>
      </c>
      <c r="W55" s="19" t="n">
        <f aca="false">J55*$M55</f>
        <v>-0</v>
      </c>
      <c r="X55" s="19" t="n">
        <f aca="false">K55*$M55</f>
        <v>-0</v>
      </c>
    </row>
    <row r="56" customFormat="false" ht="15" hidden="false" customHeight="false" outlineLevel="0" collapsed="false">
      <c r="A56" s="20" t="str">
        <f aca="false">Datos!A64</f>
        <v>2019Q4</v>
      </c>
      <c r="B56" s="21" t="n">
        <f aca="false">Datos!F64</f>
        <v>-0.0107484273951806</v>
      </c>
      <c r="C56" s="21" t="n">
        <f aca="false">Datos!I64</f>
        <v>-0.0444370543348369</v>
      </c>
      <c r="D56" s="21" t="n">
        <f aca="false">Datos!H64</f>
        <v>598.881251590669</v>
      </c>
      <c r="E56" s="21" t="n">
        <f aca="false">Datos!H62</f>
        <v>162.790259661836</v>
      </c>
      <c r="F56" s="21" t="n">
        <f aca="false">Datos!H58</f>
        <v>77.2218156327545</v>
      </c>
      <c r="G56" s="21" t="n">
        <f aca="false">Datos!J58</f>
        <v>0.016146963656916</v>
      </c>
      <c r="H56" s="21" t="n">
        <f aca="false">Datos!K57</f>
        <v>0.0156446596022237</v>
      </c>
      <c r="I56" s="21" t="n">
        <f aca="false">Datos!F63</f>
        <v>-0.0175271616356651</v>
      </c>
      <c r="J56" s="21" t="n">
        <f aca="false">IF($A56="2020Q2",1,0)</f>
        <v>0</v>
      </c>
      <c r="K56" s="21" t="n">
        <f aca="false">IF($A56="2021Q2",1,0)</f>
        <v>0</v>
      </c>
      <c r="L56" s="19" t="n">
        <v>1</v>
      </c>
      <c r="M56" s="19" t="n">
        <f aca="false">B56-($B$88+$B$89*C56+$B$90*D56+$B$91*E56+$B$92*F56+$B$93*G56+$B$94*H56+$B$95*I56+$B$96*J56+$B$97*K56)</f>
        <v>0.0295282726376006</v>
      </c>
      <c r="N56" s="19" t="n">
        <f aca="false">M56^2</f>
        <v>0.000871918884960472</v>
      </c>
      <c r="O56" s="19" t="n">
        <f aca="false">L56*$M56</f>
        <v>0.0295282726376006</v>
      </c>
      <c r="P56" s="19" t="n">
        <f aca="false">C56*$M56</f>
        <v>-0.00131214945561094</v>
      </c>
      <c r="Q56" s="19" t="n">
        <f aca="false">D56*$M56</f>
        <v>17.6839288745168</v>
      </c>
      <c r="R56" s="19" t="n">
        <f aca="false">E56*$M56</f>
        <v>4.80691517004048</v>
      </c>
      <c r="S56" s="19" t="n">
        <f aca="false">F56*$M56</f>
        <v>2.2802268255745</v>
      </c>
      <c r="T56" s="19" t="n">
        <f aca="false">G56*$M56</f>
        <v>0.000476791945130844</v>
      </c>
      <c r="U56" s="19" t="n">
        <f aca="false">H56*$M56</f>
        <v>0.000461959774056918</v>
      </c>
      <c r="V56" s="19" t="n">
        <f aca="false">I56*$M56</f>
        <v>-0.000517546807341214</v>
      </c>
      <c r="W56" s="19" t="n">
        <f aca="false">J56*$M56</f>
        <v>0</v>
      </c>
      <c r="X56" s="19" t="n">
        <f aca="false">K56*$M56</f>
        <v>0</v>
      </c>
    </row>
    <row r="57" customFormat="false" ht="15" hidden="false" customHeight="false" outlineLevel="0" collapsed="false">
      <c r="A57" s="20" t="str">
        <f aca="false">Datos!A65</f>
        <v>2020Q1</v>
      </c>
      <c r="B57" s="21" t="n">
        <f aca="false">Datos!F65</f>
        <v>-0.0502506965865937</v>
      </c>
      <c r="C57" s="21" t="n">
        <f aca="false">Datos!I65</f>
        <v>0.114946009672505</v>
      </c>
      <c r="D57" s="21" t="n">
        <f aca="false">Datos!H65</f>
        <v>187.118199188056</v>
      </c>
      <c r="E57" s="21" t="n">
        <f aca="false">Datos!H63</f>
        <v>679.618686815129</v>
      </c>
      <c r="F57" s="21" t="n">
        <f aca="false">Datos!H59</f>
        <v>166.169284270953</v>
      </c>
      <c r="G57" s="21" t="n">
        <f aca="false">Datos!J59</f>
        <v>0.0202539754709583</v>
      </c>
      <c r="H57" s="21" t="n">
        <f aca="false">Datos!K58</f>
        <v>0.0616247472334126</v>
      </c>
      <c r="I57" s="21" t="n">
        <f aca="false">Datos!F64</f>
        <v>-0.0107484273951806</v>
      </c>
      <c r="J57" s="21" t="n">
        <f aca="false">IF($A57="2020Q2",1,0)</f>
        <v>0</v>
      </c>
      <c r="K57" s="21" t="n">
        <f aca="false">IF($A57="2021Q2",1,0)</f>
        <v>0</v>
      </c>
      <c r="L57" s="19" t="n">
        <v>1</v>
      </c>
      <c r="M57" s="19" t="n">
        <f aca="false">B57-($B$88+$B$89*C57+$B$90*D57+$B$91*E57+$B$92*F57+$B$93*G57+$B$94*H57+$B$95*I57+$B$96*J57+$B$97*K57)</f>
        <v>-0.0391899868234243</v>
      </c>
      <c r="N57" s="19" t="n">
        <f aca="false">M57^2</f>
        <v>0.00153585506722017</v>
      </c>
      <c r="O57" s="19" t="n">
        <f aca="false">L57*$M57</f>
        <v>-0.0391899868234243</v>
      </c>
      <c r="P57" s="19" t="n">
        <f aca="false">C57*$M57</f>
        <v>-0.00450473260447066</v>
      </c>
      <c r="Q57" s="19" t="n">
        <f aca="false">D57*$M57</f>
        <v>-7.33315976060279</v>
      </c>
      <c r="R57" s="19" t="n">
        <f aca="false">E57*$M57</f>
        <v>-26.6342473812378</v>
      </c>
      <c r="S57" s="19" t="n">
        <f aca="false">F57*$M57</f>
        <v>-6.5121720610365</v>
      </c>
      <c r="T57" s="19" t="n">
        <f aca="false">G57*$M57</f>
        <v>-0.000793753031828815</v>
      </c>
      <c r="U57" s="19" t="n">
        <f aca="false">H57*$M57</f>
        <v>-0.00241507303207429</v>
      </c>
      <c r="V57" s="19" t="n">
        <f aca="false">I57*$M57</f>
        <v>0.000421230727989659</v>
      </c>
      <c r="W57" s="19" t="n">
        <f aca="false">J57*$M57</f>
        <v>-0</v>
      </c>
      <c r="X57" s="19" t="n">
        <f aca="false">K57*$M57</f>
        <v>-0</v>
      </c>
    </row>
    <row r="58" customFormat="false" ht="15" hidden="false" customHeight="false" outlineLevel="0" collapsed="false">
      <c r="A58" s="20" t="str">
        <f aca="false">Datos!A66</f>
        <v>2020Q2</v>
      </c>
      <c r="B58" s="21" t="n">
        <f aca="false">Datos!F66</f>
        <v>-0.189421940385846</v>
      </c>
      <c r="C58" s="21" t="n">
        <f aca="false">Datos!I66</f>
        <v>0.262181063646304</v>
      </c>
      <c r="D58" s="21" t="n">
        <f aca="false">Datos!H66</f>
        <v>756.86685274431</v>
      </c>
      <c r="E58" s="21" t="n">
        <f aca="false">Datos!H64</f>
        <v>598.881251590669</v>
      </c>
      <c r="F58" s="21" t="n">
        <f aca="false">Datos!H60</f>
        <v>56.51817630597</v>
      </c>
      <c r="G58" s="21" t="n">
        <f aca="false">Datos!J60</f>
        <v>0.0511719688039525</v>
      </c>
      <c r="H58" s="21" t="n">
        <f aca="false">Datos!K59</f>
        <v>-0.0680385631508205</v>
      </c>
      <c r="I58" s="21" t="n">
        <f aca="false">Datos!F65</f>
        <v>-0.0502506965865937</v>
      </c>
      <c r="J58" s="21" t="n">
        <f aca="false">IF($A58="2020Q2",1,0)</f>
        <v>1</v>
      </c>
      <c r="K58" s="21" t="n">
        <f aca="false">IF($A58="2021Q2",1,0)</f>
        <v>0</v>
      </c>
      <c r="L58" s="19" t="n">
        <v>1</v>
      </c>
      <c r="M58" s="19" t="n">
        <f aca="false">B58-($B$88+$B$89*C58+$B$90*D58+$B$91*E58+$B$92*F58+$B$93*G58+$B$94*H58+$B$95*I58+$B$96*J58+$B$97*K58)</f>
        <v>0</v>
      </c>
      <c r="N58" s="19" t="n">
        <f aca="false">M58^2</f>
        <v>0</v>
      </c>
      <c r="O58" s="19" t="n">
        <f aca="false">L58*$M58</f>
        <v>0</v>
      </c>
      <c r="P58" s="19" t="n">
        <f aca="false">C58*$M58</f>
        <v>0</v>
      </c>
      <c r="Q58" s="19" t="n">
        <f aca="false">D58*$M58</f>
        <v>0</v>
      </c>
      <c r="R58" s="19" t="n">
        <f aca="false">E58*$M58</f>
        <v>0</v>
      </c>
      <c r="S58" s="19" t="n">
        <f aca="false">F58*$M58</f>
        <v>0</v>
      </c>
      <c r="T58" s="19" t="n">
        <f aca="false">G58*$M58</f>
        <v>0</v>
      </c>
      <c r="U58" s="19" t="n">
        <f aca="false">H58*$M58</f>
        <v>-0</v>
      </c>
      <c r="V58" s="19" t="n">
        <f aca="false">I58*$M58</f>
        <v>-0</v>
      </c>
      <c r="W58" s="19" t="n">
        <f aca="false">J58*$M58</f>
        <v>0</v>
      </c>
      <c r="X58" s="19" t="n">
        <f aca="false">K58*$M58</f>
        <v>0</v>
      </c>
    </row>
    <row r="59" customFormat="false" ht="15" hidden="false" customHeight="false" outlineLevel="0" collapsed="false">
      <c r="A59" s="20" t="str">
        <f aca="false">Datos!A67</f>
        <v>2020Q3</v>
      </c>
      <c r="B59" s="21" t="n">
        <f aca="false">Datos!F67</f>
        <v>-0.101927662759163</v>
      </c>
      <c r="C59" s="21" t="n">
        <f aca="false">Datos!I67</f>
        <v>0.119661051181248</v>
      </c>
      <c r="D59" s="21" t="n">
        <f aca="false">Datos!H67</f>
        <v>-1097.40393434344</v>
      </c>
      <c r="E59" s="21" t="n">
        <f aca="false">Datos!H65</f>
        <v>187.118199188056</v>
      </c>
      <c r="F59" s="21" t="n">
        <f aca="false">Datos!H61</f>
        <v>19.2017013888889</v>
      </c>
      <c r="G59" s="21" t="n">
        <f aca="false">Datos!J61</f>
        <v>0.0364106470243743</v>
      </c>
      <c r="H59" s="21" t="n">
        <f aca="false">Datos!K60</f>
        <v>-0.0795880772476278</v>
      </c>
      <c r="I59" s="21" t="n">
        <f aca="false">Datos!F66</f>
        <v>-0.189421940385846</v>
      </c>
      <c r="J59" s="21" t="n">
        <f aca="false">IF($A59="2020Q2",1,0)</f>
        <v>0</v>
      </c>
      <c r="K59" s="21" t="n">
        <f aca="false">IF($A59="2021Q2",1,0)</f>
        <v>0</v>
      </c>
      <c r="L59" s="19" t="n">
        <v>1</v>
      </c>
      <c r="M59" s="19" t="n">
        <f aca="false">B59-($B$88+$B$89*C59+$B$90*D59+$B$91*E59+$B$92*F59+$B$93*G59+$B$94*H59+$B$95*I59+$B$96*J59+$B$97*K59)</f>
        <v>0.00744334360970872</v>
      </c>
      <c r="N59" s="19" t="n">
        <f aca="false">M59^2</f>
        <v>5.54033640921916E-005</v>
      </c>
      <c r="O59" s="19" t="n">
        <f aca="false">L59*$M59</f>
        <v>0.00744334360970872</v>
      </c>
      <c r="P59" s="19" t="n">
        <f aca="false">C59*$M59</f>
        <v>0.00089067832064097</v>
      </c>
      <c r="Q59" s="19" t="n">
        <f aca="false">D59*$M59</f>
        <v>-8.16835456196441</v>
      </c>
      <c r="R59" s="19" t="n">
        <f aca="false">E59*$M59</f>
        <v>1.39278505218662</v>
      </c>
      <c r="S59" s="19" t="n">
        <f aca="false">F59*$M59</f>
        <v>0.142924861328521</v>
      </c>
      <c r="T59" s="19" t="n">
        <f aca="false">G59*$M59</f>
        <v>0.000271016956854236</v>
      </c>
      <c r="U59" s="19" t="n">
        <f aca="false">H59*$M59</f>
        <v>-0.000592401406190135</v>
      </c>
      <c r="V59" s="19" t="n">
        <f aca="false">I59*$M59</f>
        <v>-0.00140993258950961</v>
      </c>
      <c r="W59" s="19" t="n">
        <f aca="false">J59*$M59</f>
        <v>0</v>
      </c>
      <c r="X59" s="19" t="n">
        <f aca="false">K59*$M59</f>
        <v>0</v>
      </c>
    </row>
    <row r="60" customFormat="false" ht="15" hidden="false" customHeight="false" outlineLevel="0" collapsed="false">
      <c r="A60" s="20" t="str">
        <f aca="false">Datos!A68</f>
        <v>2020Q4</v>
      </c>
      <c r="B60" s="21" t="n">
        <f aca="false">Datos!F68</f>
        <v>-0.0431329947641036</v>
      </c>
      <c r="C60" s="21" t="n">
        <f aca="false">Datos!I68</f>
        <v>0.0642375050953509</v>
      </c>
      <c r="D60" s="21" t="n">
        <f aca="false">Datos!H68</f>
        <v>-606.890139160839</v>
      </c>
      <c r="E60" s="21" t="n">
        <f aca="false">Datos!H66</f>
        <v>756.86685274431</v>
      </c>
      <c r="F60" s="21" t="n">
        <f aca="false">Datos!H62</f>
        <v>162.790259661836</v>
      </c>
      <c r="G60" s="21" t="n">
        <f aca="false">Datos!J62</f>
        <v>0.0549585965392439</v>
      </c>
      <c r="H60" s="21" t="n">
        <f aca="false">Datos!K61</f>
        <v>0.0351944925910753</v>
      </c>
      <c r="I60" s="21" t="n">
        <f aca="false">Datos!F67</f>
        <v>-0.101927662759163</v>
      </c>
      <c r="J60" s="21" t="n">
        <f aca="false">IF($A60="2020Q2",1,0)</f>
        <v>0</v>
      </c>
      <c r="K60" s="21" t="n">
        <f aca="false">IF($A60="2021Q2",1,0)</f>
        <v>0</v>
      </c>
      <c r="L60" s="19" t="n">
        <v>1</v>
      </c>
      <c r="M60" s="19" t="n">
        <f aca="false">B60-($B$88+$B$89*C60+$B$90*D60+$B$91*E60+$B$92*F60+$B$93*G60+$B$94*H60+$B$95*I60+$B$96*J60+$B$97*K60)</f>
        <v>0.0363632676420102</v>
      </c>
      <c r="N60" s="19" t="n">
        <f aca="false">M60^2</f>
        <v>0.00132228723360446</v>
      </c>
      <c r="O60" s="19" t="n">
        <f aca="false">L60*$M60</f>
        <v>0.0363632676420102</v>
      </c>
      <c r="P60" s="19" t="n">
        <f aca="false">C60*$M60</f>
        <v>0.00233588559043724</v>
      </c>
      <c r="Q60" s="19" t="n">
        <f aca="false">D60*$M60</f>
        <v>-22.0685085596024</v>
      </c>
      <c r="R60" s="19" t="n">
        <f aca="false">E60*$M60</f>
        <v>27.5221519357073</v>
      </c>
      <c r="S60" s="19" t="n">
        <f aca="false">F60*$M60</f>
        <v>5.91958578159566</v>
      </c>
      <c r="T60" s="19" t="n">
        <f aca="false">G60*$M60</f>
        <v>0.00199847415518578</v>
      </c>
      <c r="U60" s="19" t="n">
        <f aca="false">H60*$M60</f>
        <v>0.00127978675361402</v>
      </c>
      <c r="V60" s="19" t="n">
        <f aca="false">I60*$M60</f>
        <v>-0.00370642288103599</v>
      </c>
      <c r="W60" s="19" t="n">
        <f aca="false">J60*$M60</f>
        <v>0</v>
      </c>
      <c r="X60" s="19" t="n">
        <f aca="false">K60*$M60</f>
        <v>0</v>
      </c>
    </row>
    <row r="61" customFormat="false" ht="15" hidden="false" customHeight="false" outlineLevel="0" collapsed="false">
      <c r="A61" s="20" t="str">
        <f aca="false">Datos!A69</f>
        <v>2021Q1</v>
      </c>
      <c r="B61" s="21" t="n">
        <f aca="false">Datos!F69</f>
        <v>0.0323260077948051</v>
      </c>
      <c r="C61" s="21" t="n">
        <f aca="false">Datos!I69</f>
        <v>-0.193638860735541</v>
      </c>
      <c r="D61" s="21" t="n">
        <f aca="false">Datos!H69</f>
        <v>100.224470329671</v>
      </c>
      <c r="E61" s="21" t="n">
        <f aca="false">Datos!H67</f>
        <v>-1097.40393434344</v>
      </c>
      <c r="F61" s="21" t="n">
        <f aca="false">Datos!H63</f>
        <v>679.618686815129</v>
      </c>
      <c r="G61" s="21" t="n">
        <f aca="false">Datos!J63</f>
        <v>0.088789332367494</v>
      </c>
      <c r="H61" s="21" t="n">
        <f aca="false">Datos!K62</f>
        <v>-0.0270236391269938</v>
      </c>
      <c r="I61" s="21" t="n">
        <f aca="false">Datos!F68</f>
        <v>-0.0431329947641036</v>
      </c>
      <c r="J61" s="21" t="n">
        <f aca="false">IF($A61="2020Q2",1,0)</f>
        <v>0</v>
      </c>
      <c r="K61" s="21" t="n">
        <f aca="false">IF($A61="2021Q2",1,0)</f>
        <v>0</v>
      </c>
      <c r="L61" s="19" t="n">
        <v>1</v>
      </c>
      <c r="M61" s="19" t="n">
        <f aca="false">B61-($B$88+$B$89*C61+$B$90*D61+$B$91*E61+$B$92*F61+$B$93*G61+$B$94*H61+$B$95*I61+$B$96*J61+$B$97*K61)</f>
        <v>0.0423219093452142</v>
      </c>
      <c r="N61" s="19" t="n">
        <f aca="false">M61^2</f>
        <v>0.00179114401062453</v>
      </c>
      <c r="O61" s="19" t="n">
        <f aca="false">L61*$M61</f>
        <v>0.0423219093452142</v>
      </c>
      <c r="P61" s="19" t="n">
        <f aca="false">C61*$M61</f>
        <v>-0.00819516630976014</v>
      </c>
      <c r="Q61" s="19" t="n">
        <f aca="false">D61*$M61</f>
        <v>4.24169094746445</v>
      </c>
      <c r="R61" s="19" t="n">
        <f aca="false">E61*$M61</f>
        <v>-46.4442298243642</v>
      </c>
      <c r="S61" s="19" t="n">
        <f aca="false">F61*$M61</f>
        <v>28.7627604527034</v>
      </c>
      <c r="T61" s="19" t="n">
        <f aca="false">G61*$M61</f>
        <v>0.00375773407527917</v>
      </c>
      <c r="U61" s="19" t="n">
        <f aca="false">H61*$M61</f>
        <v>-0.00114369200531041</v>
      </c>
      <c r="V61" s="19" t="n">
        <f aca="false">I61*$M61</f>
        <v>-0.00182547069419399</v>
      </c>
      <c r="W61" s="19" t="n">
        <f aca="false">J61*$M61</f>
        <v>0</v>
      </c>
      <c r="X61" s="19" t="n">
        <f aca="false">K61*$M61</f>
        <v>0</v>
      </c>
    </row>
    <row r="62" customFormat="false" ht="15" hidden="false" customHeight="false" outlineLevel="0" collapsed="false">
      <c r="A62" s="20" t="str">
        <f aca="false">Datos!A70</f>
        <v>2021Q2</v>
      </c>
      <c r="B62" s="21" t="n">
        <f aca="false">Datos!F70</f>
        <v>0.187299607796633</v>
      </c>
      <c r="C62" s="21" t="n">
        <f aca="false">Datos!I70</f>
        <v>-0.244749418467121</v>
      </c>
      <c r="D62" s="21" t="n">
        <f aca="false">Datos!H70</f>
        <v>51.4231142857141</v>
      </c>
      <c r="E62" s="21" t="n">
        <f aca="false">Datos!H68</f>
        <v>-606.890139160839</v>
      </c>
      <c r="F62" s="21" t="n">
        <f aca="false">Datos!H64</f>
        <v>598.881251590669</v>
      </c>
      <c r="G62" s="21" t="n">
        <f aca="false">Datos!J64</f>
        <v>-0.0976170322305177</v>
      </c>
      <c r="H62" s="21" t="n">
        <f aca="false">Datos!K63</f>
        <v>0.0668497563295599</v>
      </c>
      <c r="I62" s="21" t="n">
        <f aca="false">Datos!F69</f>
        <v>0.0323260077948051</v>
      </c>
      <c r="J62" s="21" t="n">
        <f aca="false">IF($A62="2020Q2",1,0)</f>
        <v>0</v>
      </c>
      <c r="K62" s="21" t="n">
        <f aca="false">IF($A62="2021Q2",1,0)</f>
        <v>1</v>
      </c>
      <c r="L62" s="19" t="n">
        <v>1</v>
      </c>
      <c r="M62" s="19" t="n">
        <f aca="false">B62-($B$88+$B$89*C62+$B$90*D62+$B$91*E62+$B$92*F62+$B$93*G62+$B$94*H62+$B$95*I62+$B$96*J62+$B$97*K62)</f>
        <v>0</v>
      </c>
      <c r="N62" s="19" t="n">
        <f aca="false">M62^2</f>
        <v>0</v>
      </c>
      <c r="O62" s="19" t="n">
        <f aca="false">L62*$M62</f>
        <v>0</v>
      </c>
      <c r="P62" s="19" t="n">
        <f aca="false">C62*$M62</f>
        <v>-0</v>
      </c>
      <c r="Q62" s="19" t="n">
        <f aca="false">D62*$M62</f>
        <v>0</v>
      </c>
      <c r="R62" s="19" t="n">
        <f aca="false">E62*$M62</f>
        <v>-0</v>
      </c>
      <c r="S62" s="19" t="n">
        <f aca="false">F62*$M62</f>
        <v>0</v>
      </c>
      <c r="T62" s="19" t="n">
        <f aca="false">G62*$M62</f>
        <v>-0</v>
      </c>
      <c r="U62" s="19" t="n">
        <f aca="false">H62*$M62</f>
        <v>0</v>
      </c>
      <c r="V62" s="19" t="n">
        <f aca="false">I62*$M62</f>
        <v>0</v>
      </c>
      <c r="W62" s="19" t="n">
        <f aca="false">J62*$M62</f>
        <v>0</v>
      </c>
      <c r="X62" s="19" t="n">
        <f aca="false">K62*$M62</f>
        <v>0</v>
      </c>
    </row>
    <row r="63" customFormat="false" ht="15" hidden="false" customHeight="false" outlineLevel="0" collapsed="false">
      <c r="A63" s="20" t="str">
        <f aca="false">Datos!A71</f>
        <v>2021Q3</v>
      </c>
      <c r="B63" s="21" t="n">
        <f aca="false">Datos!F71</f>
        <v>0.118145356665691</v>
      </c>
      <c r="C63" s="21" t="n">
        <f aca="false">Datos!I71</f>
        <v>0.0155375869236292</v>
      </c>
      <c r="D63" s="21" t="n">
        <f aca="false">Datos!H71</f>
        <v>24.6869913043479</v>
      </c>
      <c r="E63" s="21" t="n">
        <f aca="false">Datos!H69</f>
        <v>100.224470329671</v>
      </c>
      <c r="F63" s="21" t="n">
        <f aca="false">Datos!H65</f>
        <v>187.118199188056</v>
      </c>
      <c r="G63" s="21" t="n">
        <f aca="false">Datos!J65</f>
        <v>0.221076901929335</v>
      </c>
      <c r="H63" s="21" t="n">
        <f aca="false">Datos!K64</f>
        <v>0.0445321255864519</v>
      </c>
      <c r="I63" s="21" t="n">
        <f aca="false">Datos!F70</f>
        <v>0.187299607796633</v>
      </c>
      <c r="J63" s="21" t="n">
        <f aca="false">IF($A63="2020Q2",1,0)</f>
        <v>0</v>
      </c>
      <c r="K63" s="21" t="n">
        <f aca="false">IF($A63="2021Q2",1,0)</f>
        <v>0</v>
      </c>
      <c r="L63" s="19" t="n">
        <v>1</v>
      </c>
      <c r="M63" s="19" t="n">
        <f aca="false">B63-($B$88+$B$89*C63+$B$90*D63+$B$91*E63+$B$92*F63+$B$93*G63+$B$94*H63+$B$95*I63+$B$96*J63+$B$97*K63)</f>
        <v>-0.0207342970392286</v>
      </c>
      <c r="N63" s="19" t="n">
        <f aca="false">M63^2</f>
        <v>0.000429911073710965</v>
      </c>
      <c r="O63" s="19" t="n">
        <f aca="false">L63*$M63</f>
        <v>-0.0207342970392286</v>
      </c>
      <c r="P63" s="19" t="n">
        <f aca="false">C63*$M63</f>
        <v>-0.000322160942547362</v>
      </c>
      <c r="Q63" s="19" t="n">
        <f aca="false">D63*$M63</f>
        <v>-0.511867410709203</v>
      </c>
      <c r="R63" s="19" t="n">
        <f aca="false">E63*$M63</f>
        <v>-2.07808393841475</v>
      </c>
      <c r="S63" s="19" t="n">
        <f aca="false">F63*$M63</f>
        <v>-3.8797643234107</v>
      </c>
      <c r="T63" s="19" t="n">
        <f aca="false">G63*$M63</f>
        <v>-0.00458387415311525</v>
      </c>
      <c r="U63" s="19" t="n">
        <f aca="false">H63*$M63</f>
        <v>-0.000923342319697727</v>
      </c>
      <c r="V63" s="19" t="n">
        <f aca="false">I63*$M63</f>
        <v>-0.00388352570338641</v>
      </c>
      <c r="W63" s="19" t="n">
        <f aca="false">J63*$M63</f>
        <v>-0</v>
      </c>
      <c r="X63" s="19" t="n">
        <f aca="false">K63*$M63</f>
        <v>-0</v>
      </c>
    </row>
    <row r="64" customFormat="false" ht="15" hidden="false" customHeight="false" outlineLevel="0" collapsed="false">
      <c r="A64" s="20" t="str">
        <f aca="false">Datos!A72</f>
        <v>2021Q4</v>
      </c>
      <c r="B64" s="21" t="n">
        <f aca="false">Datos!F72</f>
        <v>0.08364113941174</v>
      </c>
      <c r="C64" s="21" t="n">
        <f aca="false">Datos!I72</f>
        <v>0.0372511420898235</v>
      </c>
      <c r="D64" s="21" t="n">
        <f aca="false">Datos!H72</f>
        <v>144.162478260869</v>
      </c>
      <c r="E64" s="21" t="n">
        <f aca="false">Datos!H70</f>
        <v>51.4231142857141</v>
      </c>
      <c r="F64" s="21" t="n">
        <f aca="false">Datos!H66</f>
        <v>756.86685274431</v>
      </c>
      <c r="G64" s="21" t="n">
        <f aca="false">Datos!J66</f>
        <v>0.295953407381194</v>
      </c>
      <c r="H64" s="21" t="n">
        <f aca="false">Datos!K65</f>
        <v>-0.0349380110691591</v>
      </c>
      <c r="I64" s="21" t="n">
        <f aca="false">Datos!F71</f>
        <v>0.118145356665691</v>
      </c>
      <c r="J64" s="21" t="n">
        <f aca="false">IF($A64="2020Q2",1,0)</f>
        <v>0</v>
      </c>
      <c r="K64" s="21" t="n">
        <f aca="false">IF($A64="2021Q2",1,0)</f>
        <v>0</v>
      </c>
      <c r="L64" s="19" t="n">
        <v>1</v>
      </c>
      <c r="M64" s="19" t="n">
        <f aca="false">B64-($B$88+$B$89*C64+$B$90*D64+$B$91*E64+$B$92*F64+$B$93*G64+$B$94*H64+$B$95*I64+$B$96*J64+$B$97*K64)</f>
        <v>-0.0026988367910597</v>
      </c>
      <c r="N64" s="19" t="n">
        <f aca="false">M64^2</f>
        <v>7.28372002477742E-006</v>
      </c>
      <c r="O64" s="19" t="n">
        <f aca="false">L64*$M64</f>
        <v>-0.0026988367910597</v>
      </c>
      <c r="P64" s="19" t="n">
        <f aca="false">C64*$M64</f>
        <v>-0.000100534752781008</v>
      </c>
      <c r="Q64" s="19" t="n">
        <f aca="false">D64*$M64</f>
        <v>-0.389071000220777</v>
      </c>
      <c r="R64" s="19" t="n">
        <f aca="false">E64*$M64</f>
        <v>-0.138782592745153</v>
      </c>
      <c r="S64" s="19" t="n">
        <f aca="false">F64*$M64</f>
        <v>-2.04266010811991</v>
      </c>
      <c r="T64" s="19" t="n">
        <f aca="false">G64*$M64</f>
        <v>-0.000798729944279845</v>
      </c>
      <c r="U64" s="19" t="n">
        <f aca="false">H64*$M64</f>
        <v>9.42919896798975E-005</v>
      </c>
      <c r="V64" s="19" t="n">
        <f aca="false">I64*$M64</f>
        <v>-0.000318855035262236</v>
      </c>
      <c r="W64" s="19" t="n">
        <f aca="false">J64*$M64</f>
        <v>-0</v>
      </c>
      <c r="X64" s="19" t="n">
        <f aca="false">K64*$M64</f>
        <v>-0</v>
      </c>
    </row>
    <row r="65" customFormat="false" ht="15" hidden="false" customHeight="false" outlineLevel="0" collapsed="false">
      <c r="A65" s="20" t="str">
        <f aca="false">Datos!A73</f>
        <v>2022Q1</v>
      </c>
      <c r="B65" s="21" t="n">
        <f aca="false">Datos!F73</f>
        <v>0.0686138387185451</v>
      </c>
      <c r="C65" s="21" t="n">
        <f aca="false">Datos!I73</f>
        <v>0.0355016157142883</v>
      </c>
      <c r="D65" s="21" t="n">
        <f aca="false">Datos!H73</f>
        <v>94.729852657005</v>
      </c>
      <c r="E65" s="21" t="n">
        <f aca="false">Datos!H71</f>
        <v>24.6869913043479</v>
      </c>
      <c r="F65" s="21" t="n">
        <f aca="false">Datos!H67</f>
        <v>-1097.40393434344</v>
      </c>
      <c r="G65" s="21" t="n">
        <f aca="false">Datos!J67</f>
        <v>-0.245003429458452</v>
      </c>
      <c r="H65" s="21" t="n">
        <f aca="false">Datos!K66</f>
        <v>-0.0474907628165441</v>
      </c>
      <c r="I65" s="21" t="n">
        <f aca="false">Datos!F72</f>
        <v>0.08364113941174</v>
      </c>
      <c r="J65" s="21" t="n">
        <f aca="false">IF($A65="2020Q2",1,0)</f>
        <v>0</v>
      </c>
      <c r="K65" s="21" t="n">
        <f aca="false">IF($A65="2021Q2",1,0)</f>
        <v>0</v>
      </c>
      <c r="L65" s="19" t="n">
        <v>1</v>
      </c>
      <c r="M65" s="19" t="n">
        <f aca="false">B65-($B$88+$B$89*C65+$B$90*D65+$B$91*E65+$B$92*F65+$B$93*G65+$B$94*H65+$B$95*I65+$B$96*J65+$B$97*K65)</f>
        <v>0.00729805231880167</v>
      </c>
      <c r="N65" s="19" t="n">
        <f aca="false">M65^2</f>
        <v>5.32615676479664E-005</v>
      </c>
      <c r="O65" s="19" t="n">
        <f aca="false">L65*$M65</f>
        <v>0.00729805231880167</v>
      </c>
      <c r="P65" s="19" t="n">
        <f aca="false">C65*$M65</f>
        <v>0.000259092648884868</v>
      </c>
      <c r="Q65" s="19" t="n">
        <f aca="false">D65*$M65</f>
        <v>0.691343420843196</v>
      </c>
      <c r="R65" s="19" t="n">
        <f aca="false">E65*$M65</f>
        <v>0.180166954132933</v>
      </c>
      <c r="S65" s="19" t="n">
        <f aca="false">F65*$M65</f>
        <v>-8.00891132769718</v>
      </c>
      <c r="T65" s="19" t="n">
        <f aca="false">G65*$M65</f>
        <v>-0.00178804784647362</v>
      </c>
      <c r="U65" s="19" t="n">
        <f aca="false">H65*$M65</f>
        <v>-0.000346590071694939</v>
      </c>
      <c r="V65" s="19" t="n">
        <f aca="false">I65*$M65</f>
        <v>0.000610417411431062</v>
      </c>
      <c r="W65" s="19" t="n">
        <f aca="false">J65*$M65</f>
        <v>0</v>
      </c>
      <c r="X65" s="19" t="n">
        <f aca="false">K65*$M65</f>
        <v>0</v>
      </c>
    </row>
    <row r="66" customFormat="false" ht="15" hidden="false" customHeight="false" outlineLevel="0" collapsed="false">
      <c r="A66" s="20" t="str">
        <f aca="false">Datos!A74</f>
        <v>2022Q2</v>
      </c>
      <c r="B66" s="21" t="n">
        <f aca="false">Datos!F74</f>
        <v>0.0813001446194395</v>
      </c>
      <c r="C66" s="21" t="n">
        <f aca="false">Datos!I74</f>
        <v>-0.00674178026505711</v>
      </c>
      <c r="D66" s="21" t="n">
        <f aca="false">Datos!H74</f>
        <v>111.567003052503</v>
      </c>
      <c r="E66" s="21" t="n">
        <f aca="false">Datos!H72</f>
        <v>144.162478260869</v>
      </c>
      <c r="F66" s="21" t="n">
        <f aca="false">Datos!H68</f>
        <v>-606.890139160839</v>
      </c>
      <c r="G66" s="21" t="n">
        <f aca="false">Datos!J68</f>
        <v>-0.131027789991017</v>
      </c>
      <c r="H66" s="21" t="n">
        <f aca="false">Datos!K67</f>
        <v>0.0306557066678773</v>
      </c>
      <c r="I66" s="21" t="n">
        <f aca="false">Datos!F73</f>
        <v>0.0686138387185451</v>
      </c>
      <c r="J66" s="21" t="n">
        <f aca="false">IF($A66="2020Q2",1,0)</f>
        <v>0</v>
      </c>
      <c r="K66" s="21" t="n">
        <f aca="false">IF($A66="2021Q2",1,0)</f>
        <v>0</v>
      </c>
      <c r="L66" s="19" t="n">
        <v>1</v>
      </c>
      <c r="M66" s="19" t="n">
        <f aca="false">B66-($B$88+$B$89*C66+$B$90*D66+$B$91*E66+$B$92*F66+$B$93*G66+$B$94*H66+$B$95*I66+$B$96*J66+$B$97*K66)</f>
        <v>0.0351837991492608</v>
      </c>
      <c r="N66" s="19" t="n">
        <f aca="false">M66^2</f>
        <v>0.00123789972257552</v>
      </c>
      <c r="O66" s="19" t="n">
        <f aca="false">L66*$M66</f>
        <v>0.0351837991492608</v>
      </c>
      <c r="P66" s="19" t="n">
        <f aca="false">C66*$M66</f>
        <v>-0.000237201442754219</v>
      </c>
      <c r="Q66" s="19" t="n">
        <f aca="false">D66*$M66</f>
        <v>3.92535102708423</v>
      </c>
      <c r="R66" s="19" t="n">
        <f aca="false">E66*$M66</f>
        <v>5.07218367999009</v>
      </c>
      <c r="S66" s="19" t="n">
        <f aca="false">F66*$M66</f>
        <v>-21.3527007619019</v>
      </c>
      <c r="T66" s="19" t="n">
        <f aca="false">G66*$M66</f>
        <v>-0.00461005544601545</v>
      </c>
      <c r="U66" s="19" t="n">
        <f aca="false">H66*$M66</f>
        <v>0.00107858422618125</v>
      </c>
      <c r="V66" s="19" t="n">
        <f aca="false">I66*$M66</f>
        <v>0.00241409552033306</v>
      </c>
      <c r="W66" s="19" t="n">
        <f aca="false">J66*$M66</f>
        <v>0</v>
      </c>
      <c r="X66" s="19" t="n">
        <f aca="false">K66*$M66</f>
        <v>0</v>
      </c>
    </row>
    <row r="67" customFormat="false" ht="15" hidden="false" customHeight="false" outlineLevel="0" collapsed="false">
      <c r="A67" s="20" t="str">
        <f aca="false">Datos!A75</f>
        <v>2022Q3</v>
      </c>
      <c r="B67" s="21" t="n">
        <f aca="false">Datos!F75</f>
        <v>0.066844213632383</v>
      </c>
      <c r="C67" s="21" t="n">
        <f aca="false">Datos!I75</f>
        <v>-0.0371795981009521</v>
      </c>
      <c r="D67" s="21" t="n">
        <f aca="false">Datos!H75</f>
        <v>613.427821391941</v>
      </c>
      <c r="E67" s="21" t="n">
        <f aca="false">Datos!H73</f>
        <v>94.729852657005</v>
      </c>
      <c r="F67" s="21" t="n">
        <f aca="false">Datos!H69</f>
        <v>100.224470329671</v>
      </c>
      <c r="G67" s="21" t="n">
        <f aca="false">Datos!J69</f>
        <v>-0.0811045233564329</v>
      </c>
      <c r="H67" s="21" t="n">
        <f aca="false">Datos!K68</f>
        <v>0.0276558919383922</v>
      </c>
      <c r="I67" s="21" t="n">
        <f aca="false">Datos!F74</f>
        <v>0.0813001446194395</v>
      </c>
      <c r="J67" s="21" t="n">
        <f aca="false">IF($A67="2020Q2",1,0)</f>
        <v>0</v>
      </c>
      <c r="K67" s="21" t="n">
        <f aca="false">IF($A67="2021Q2",1,0)</f>
        <v>0</v>
      </c>
      <c r="L67" s="19" t="n">
        <v>1</v>
      </c>
      <c r="M67" s="19" t="n">
        <f aca="false">B67-($B$88+$B$89*C67+$B$90*D67+$B$91*E67+$B$92*F67+$B$93*G67+$B$94*H67+$B$95*I67+$B$96*J67+$B$97*K67)</f>
        <v>0.0168293491870413</v>
      </c>
      <c r="N67" s="19" t="n">
        <f aca="false">M67^2</f>
        <v>0.000283226994059368</v>
      </c>
      <c r="O67" s="19" t="n">
        <f aca="false">L67*$M67</f>
        <v>0.0168293491870413</v>
      </c>
      <c r="P67" s="19" t="n">
        <f aca="false">C67*$M67</f>
        <v>-0.000625708439074781</v>
      </c>
      <c r="Q67" s="19" t="n">
        <f aca="false">D67*$M67</f>
        <v>10.323591007251</v>
      </c>
      <c r="R67" s="19" t="n">
        <f aca="false">E67*$M67</f>
        <v>1.59424176880171</v>
      </c>
      <c r="S67" s="19" t="n">
        <f aca="false">F67*$M67</f>
        <v>1.6867126082643</v>
      </c>
      <c r="T67" s="19" t="n">
        <f aca="false">G67*$M67</f>
        <v>-0.00136493634421396</v>
      </c>
      <c r="U67" s="19" t="n">
        <f aca="false">H67*$M67</f>
        <v>0.000465430662510284</v>
      </c>
      <c r="V67" s="19" t="n">
        <f aca="false">I67*$M67</f>
        <v>0.00136822852275751</v>
      </c>
      <c r="W67" s="19" t="n">
        <f aca="false">J67*$M67</f>
        <v>0</v>
      </c>
      <c r="X67" s="19" t="n">
        <f aca="false">K67*$M67</f>
        <v>0</v>
      </c>
    </row>
    <row r="68" customFormat="false" ht="15" hidden="false" customHeight="false" outlineLevel="0" collapsed="false">
      <c r="A68" s="20" t="str">
        <f aca="false">Datos!A76</f>
        <v>2022Q4</v>
      </c>
      <c r="B68" s="21" t="n">
        <f aca="false">Datos!F76</f>
        <v>0.023854276267842</v>
      </c>
      <c r="C68" s="21" t="n">
        <f aca="false">Datos!I76</f>
        <v>-0.0252636786491897</v>
      </c>
      <c r="D68" s="21" t="n">
        <f aca="false">Datos!H76</f>
        <v>-69.2846118840562</v>
      </c>
      <c r="E68" s="21" t="n">
        <f aca="false">Datos!H74</f>
        <v>111.567003052503</v>
      </c>
      <c r="F68" s="21" t="n">
        <f aca="false">Datos!H70</f>
        <v>51.4231142857141</v>
      </c>
      <c r="G68" s="21" t="n">
        <f aca="false">Datos!J70</f>
        <v>-0.164266961512105</v>
      </c>
      <c r="H68" s="21" t="n">
        <f aca="false">Datos!K69</f>
        <v>0.0884101043961178</v>
      </c>
      <c r="I68" s="21" t="n">
        <f aca="false">Datos!F75</f>
        <v>0.066844213632383</v>
      </c>
      <c r="J68" s="21" t="n">
        <f aca="false">IF($A68="2020Q2",1,0)</f>
        <v>0</v>
      </c>
      <c r="K68" s="21" t="n">
        <f aca="false">IF($A68="2021Q2",1,0)</f>
        <v>0</v>
      </c>
      <c r="L68" s="19" t="n">
        <v>1</v>
      </c>
      <c r="M68" s="19" t="n">
        <f aca="false">B68-($B$88+$B$89*C68+$B$90*D68+$B$91*E68+$B$92*F68+$B$93*G68+$B$94*H68+$B$95*I68+$B$96*J68+$B$97*K68)</f>
        <v>-0.0477425478805861</v>
      </c>
      <c r="N68" s="19" t="n">
        <f aca="false">M68^2</f>
        <v>0.00227935087813006</v>
      </c>
      <c r="O68" s="19" t="n">
        <f aca="false">L68*$M68</f>
        <v>-0.0477425478805861</v>
      </c>
      <c r="P68" s="19" t="n">
        <f aca="false">C68*$M68</f>
        <v>0.00120615238754868</v>
      </c>
      <c r="Q68" s="19" t="n">
        <f aca="false">D68*$M68</f>
        <v>3.30782390026238</v>
      </c>
      <c r="R68" s="19" t="n">
        <f aca="false">E68*$M68</f>
        <v>-5.32649298512762</v>
      </c>
      <c r="S68" s="19" t="n">
        <f aca="false">F68*$M68</f>
        <v>-2.45507049595455</v>
      </c>
      <c r="T68" s="19" t="n">
        <f aca="false">G68*$M68</f>
        <v>0.00784252327519007</v>
      </c>
      <c r="U68" s="19" t="n">
        <f aca="false">H68*$M68</f>
        <v>-0.00422092364225927</v>
      </c>
      <c r="V68" s="19" t="n">
        <f aca="false">I68*$M68</f>
        <v>-0.00319131306988417</v>
      </c>
      <c r="W68" s="19" t="n">
        <f aca="false">J68*$M68</f>
        <v>-0</v>
      </c>
      <c r="X68" s="19" t="n">
        <f aca="false">K68*$M68</f>
        <v>-0</v>
      </c>
    </row>
    <row r="69" customFormat="false" ht="15" hidden="false" customHeight="false" outlineLevel="0" collapsed="false">
      <c r="A69" s="20" t="str">
        <f aca="false">Datos!A77</f>
        <v>2023Q1</v>
      </c>
      <c r="B69" s="21" t="n">
        <f aca="false">Datos!F77</f>
        <v>0.00911982377224452</v>
      </c>
      <c r="C69" s="21" t="n">
        <f aca="false">Datos!I77</f>
        <v>-0.00518521666359616</v>
      </c>
      <c r="D69" s="21" t="n">
        <f aca="false">Datos!H77</f>
        <v>-376.758957004832</v>
      </c>
      <c r="E69" s="21" t="n">
        <f aca="false">Datos!H75</f>
        <v>613.427821391941</v>
      </c>
      <c r="F69" s="21" t="n">
        <f aca="false">Datos!H71</f>
        <v>24.6869913043479</v>
      </c>
      <c r="G69" s="21" t="n">
        <f aca="false">Datos!J71</f>
        <v>0.249643026411689</v>
      </c>
      <c r="H69" s="21" t="n">
        <f aca="false">Datos!K70</f>
        <v>0.025645645716768</v>
      </c>
      <c r="I69" s="21" t="n">
        <f aca="false">Datos!F76</f>
        <v>0.023854276267842</v>
      </c>
      <c r="J69" s="21" t="n">
        <f aca="false">IF($A69="2020Q2",1,0)</f>
        <v>0</v>
      </c>
      <c r="K69" s="21" t="n">
        <f aca="false">IF($A69="2021Q2",1,0)</f>
        <v>0</v>
      </c>
      <c r="L69" s="19" t="n">
        <v>1</v>
      </c>
      <c r="M69" s="19" t="n">
        <f aca="false">B69-($B$88+$B$89*C69+$B$90*D69+$B$91*E69+$B$92*F69+$B$93*G69+$B$94*H69+$B$95*I69+$B$96*J69+$B$97*K69)</f>
        <v>0.023427502608073</v>
      </c>
      <c r="N69" s="19" t="n">
        <f aca="false">M69^2</f>
        <v>0.000548847878451266</v>
      </c>
      <c r="O69" s="19" t="n">
        <f aca="false">L69*$M69</f>
        <v>0.023427502608073</v>
      </c>
      <c r="P69" s="19" t="n">
        <f aca="false">C69*$M69</f>
        <v>-0.000121476676909823</v>
      </c>
      <c r="Q69" s="19" t="n">
        <f aca="false">D69*$M69</f>
        <v>-8.82652144784555</v>
      </c>
      <c r="R69" s="19" t="n">
        <f aca="false">E69*$M69</f>
        <v>14.3710818855242</v>
      </c>
      <c r="S69" s="19" t="n">
        <f aca="false">F69*$M69</f>
        <v>0.578354553168085</v>
      </c>
      <c r="T69" s="19" t="n">
        <f aca="false">G69*$M69</f>
        <v>0.00584851265234708</v>
      </c>
      <c r="U69" s="19" t="n">
        <f aca="false">H69*$M69</f>
        <v>0.000600813431915297</v>
      </c>
      <c r="V69" s="19" t="n">
        <f aca="false">I69*$M69</f>
        <v>0.000558846119478561</v>
      </c>
      <c r="W69" s="19" t="n">
        <f aca="false">J69*$M69</f>
        <v>0</v>
      </c>
      <c r="X69" s="19" t="n">
        <f aca="false">K69*$M69</f>
        <v>0</v>
      </c>
    </row>
    <row r="70" customFormat="false" ht="15" hidden="false" customHeight="false" outlineLevel="0" collapsed="false">
      <c r="A70" s="20" t="str">
        <f aca="false">Datos!A78</f>
        <v>2023Q2</v>
      </c>
      <c r="B70" s="21" t="n">
        <f aca="false">Datos!F78</f>
        <v>-0.0567487243252599</v>
      </c>
      <c r="C70" s="21" t="n">
        <f aca="false">Datos!I78</f>
        <v>-0.0211814413429257</v>
      </c>
      <c r="D70" s="21" t="n">
        <f aca="false">Datos!H78</f>
        <v>396.345972839506</v>
      </c>
      <c r="E70" s="21" t="n">
        <f aca="false">Datos!H76</f>
        <v>-69.2846118840562</v>
      </c>
      <c r="F70" s="21" t="n">
        <f aca="false">Datos!H72</f>
        <v>144.162478260869</v>
      </c>
      <c r="G70" s="21" t="n">
        <f aca="false">Datos!J72</f>
        <v>0.284553859686216</v>
      </c>
      <c r="H70" s="21" t="n">
        <f aca="false">Datos!K71</f>
        <v>-0.065948233834193</v>
      </c>
      <c r="I70" s="21" t="n">
        <f aca="false">Datos!F77</f>
        <v>0.00911982377224452</v>
      </c>
      <c r="J70" s="21" t="n">
        <f aca="false">IF($A70="2020Q2",1,0)</f>
        <v>0</v>
      </c>
      <c r="K70" s="21" t="n">
        <f aca="false">IF($A70="2021Q2",1,0)</f>
        <v>0</v>
      </c>
      <c r="L70" s="19" t="n">
        <v>1</v>
      </c>
      <c r="M70" s="19" t="n">
        <f aca="false">B70-($B$88+$B$89*C70+$B$90*D70+$B$91*E70+$B$92*F70+$B$93*G70+$B$94*H70+$B$95*I70+$B$96*J70+$B$97*K70)</f>
        <v>-0.0300451898704446</v>
      </c>
      <c r="N70" s="19" t="n">
        <f aca="false">M70^2</f>
        <v>0.000902713434351068</v>
      </c>
      <c r="O70" s="19" t="n">
        <f aca="false">L70*$M70</f>
        <v>-0.0300451898704446</v>
      </c>
      <c r="P70" s="19" t="n">
        <f aca="false">C70*$M70</f>
        <v>0.000636400426877887</v>
      </c>
      <c r="Q70" s="19" t="n">
        <f aca="false">D70*$M70</f>
        <v>-11.908290008349</v>
      </c>
      <c r="R70" s="19" t="n">
        <f aca="false">E70*$M70</f>
        <v>2.08166931915653</v>
      </c>
      <c r="S70" s="19" t="n">
        <f aca="false">F70*$M70</f>
        <v>-4.33138903154165</v>
      </c>
      <c r="T70" s="19" t="n">
        <f aca="false">G70*$M70</f>
        <v>-0.00854947474264022</v>
      </c>
      <c r="U70" s="19" t="n">
        <f aca="false">H70*$M70</f>
        <v>0.00198142720716881</v>
      </c>
      <c r="V70" s="19" t="n">
        <f aca="false">I70*$M70</f>
        <v>-0.000274006836822081</v>
      </c>
      <c r="W70" s="19" t="n">
        <f aca="false">J70*$M70</f>
        <v>-0</v>
      </c>
      <c r="X70" s="19" t="n">
        <f aca="false">K70*$M70</f>
        <v>-0</v>
      </c>
    </row>
    <row r="71" customFormat="false" ht="15" hidden="false" customHeight="false" outlineLevel="0" collapsed="false">
      <c r="A71" s="20" t="str">
        <f aca="false">Datos!A79</f>
        <v>2023Q3</v>
      </c>
      <c r="B71" s="21" t="n">
        <f aca="false">Datos!F79</f>
        <v>-0.00549172525238073</v>
      </c>
      <c r="C71" s="21" t="n">
        <f aca="false">Datos!I79</f>
        <v>-0.0552380565995734</v>
      </c>
      <c r="D71" s="21" t="n">
        <f aca="false">Datos!H79</f>
        <v>-393.961216440069</v>
      </c>
      <c r="E71" s="21" t="n">
        <f aca="false">Datos!H77</f>
        <v>-376.758957004832</v>
      </c>
      <c r="F71" s="21" t="n">
        <f aca="false">Datos!H73</f>
        <v>94.729852657005</v>
      </c>
      <c r="G71" s="21" t="n">
        <f aca="false">Datos!J73</f>
        <v>-0.167076079806291</v>
      </c>
      <c r="H71" s="21" t="n">
        <f aca="false">Datos!K72</f>
        <v>-0.0279737231897952</v>
      </c>
      <c r="I71" s="21" t="n">
        <f aca="false">Datos!F78</f>
        <v>-0.0567487243252599</v>
      </c>
      <c r="J71" s="21" t="n">
        <f aca="false">IF($A71="2020Q2",1,0)</f>
        <v>0</v>
      </c>
      <c r="K71" s="21" t="n">
        <f aca="false">IF($A71="2021Q2",1,0)</f>
        <v>0</v>
      </c>
      <c r="L71" s="19" t="n">
        <v>1</v>
      </c>
      <c r="M71" s="19" t="n">
        <f aca="false">B71-($B$88+$B$89*C71+$B$90*D71+$B$91*E71+$B$92*F71+$B$93*G71+$B$94*H71+$B$95*I71+$B$96*J71+$B$97*K71)</f>
        <v>0.00349700190782184</v>
      </c>
      <c r="N71" s="19" t="n">
        <f aca="false">M71^2</f>
        <v>1.22290223433096E-005</v>
      </c>
      <c r="O71" s="19" t="n">
        <f aca="false">L71*$M71</f>
        <v>0.00349700190782184</v>
      </c>
      <c r="P71" s="19" t="n">
        <f aca="false">C71*$M71</f>
        <v>-0.000193167589313079</v>
      </c>
      <c r="Q71" s="19" t="n">
        <f aca="false">D71*$M71</f>
        <v>-1.37768312549873</v>
      </c>
      <c r="R71" s="19" t="n">
        <f aca="false">E71*$M71</f>
        <v>-1.31752679143486</v>
      </c>
      <c r="S71" s="19" t="n">
        <f aca="false">F71*$M71</f>
        <v>0.331270475469228</v>
      </c>
      <c r="T71" s="19" t="n">
        <f aca="false">G71*$M71</f>
        <v>-0.000584265369833994</v>
      </c>
      <c r="U71" s="19" t="n">
        <f aca="false">H71*$M71</f>
        <v>-9.78241633635938E-005</v>
      </c>
      <c r="V71" s="19" t="n">
        <f aca="false">I71*$M71</f>
        <v>-0.000198450397231889</v>
      </c>
      <c r="W71" s="19" t="n">
        <f aca="false">J71*$M71</f>
        <v>0</v>
      </c>
      <c r="X71" s="19" t="n">
        <f aca="false">K71*$M71</f>
        <v>0</v>
      </c>
    </row>
    <row r="72" customFormat="false" ht="15" hidden="false" customHeight="false" outlineLevel="0" collapsed="false">
      <c r="A72" s="20" t="str">
        <f aca="false">Datos!A80</f>
        <v>2023Q4</v>
      </c>
      <c r="B72" s="21" t="n">
        <f aca="false">Datos!F80</f>
        <v>-0.0171598554874708</v>
      </c>
      <c r="C72" s="21" t="n">
        <f aca="false">Datos!I80</f>
        <v>-0.104830369197381</v>
      </c>
      <c r="D72" s="21" t="n">
        <f aca="false">Datos!H80</f>
        <v>122.080899625603</v>
      </c>
      <c r="E72" s="21" t="n">
        <f aca="false">Datos!H78</f>
        <v>396.345972839506</v>
      </c>
      <c r="F72" s="21" t="n">
        <f aca="false">Datos!H74</f>
        <v>111.567003052503</v>
      </c>
      <c r="G72" s="21" t="n">
        <f aca="false">Datos!J74</f>
        <v>0.169220698210594</v>
      </c>
      <c r="H72" s="21" t="n">
        <f aca="false">Datos!K73</f>
        <v>-0.0135796367455427</v>
      </c>
      <c r="I72" s="21" t="n">
        <f aca="false">Datos!F79</f>
        <v>-0.00549172525238073</v>
      </c>
      <c r="J72" s="21" t="n">
        <f aca="false">IF($A72="2020Q2",1,0)</f>
        <v>0</v>
      </c>
      <c r="K72" s="21" t="n">
        <f aca="false">IF($A72="2021Q2",1,0)</f>
        <v>0</v>
      </c>
      <c r="L72" s="19" t="n">
        <v>1</v>
      </c>
      <c r="M72" s="19" t="n">
        <f aca="false">B72-($B$88+$B$89*C72+$B$90*D72+$B$91*E72+$B$92*F72+$B$93*G72+$B$94*H72+$B$95*I72+$B$96*J72+$B$97*K72)</f>
        <v>0.0388495483198012</v>
      </c>
      <c r="N72" s="19" t="n">
        <f aca="false">M72^2</f>
        <v>0.00150928740465257</v>
      </c>
      <c r="O72" s="19" t="n">
        <f aca="false">L72*$M72</f>
        <v>0.0388495483198012</v>
      </c>
      <c r="P72" s="19" t="n">
        <f aca="false">C72*$M72</f>
        <v>-0.00407261249351625</v>
      </c>
      <c r="Q72" s="19" t="n">
        <f aca="false">D72*$M72</f>
        <v>4.74278780892966</v>
      </c>
      <c r="R72" s="19" t="n">
        <f aca="false">E72*$M72</f>
        <v>15.397862023187</v>
      </c>
      <c r="S72" s="19" t="n">
        <f aca="false">F72*$M72</f>
        <v>4.33432767598363</v>
      </c>
      <c r="T72" s="19" t="n">
        <f aca="false">G72*$M72</f>
        <v>0.00657414769184298</v>
      </c>
      <c r="U72" s="19" t="n">
        <f aca="false">H72*$M72</f>
        <v>-0.000527562753911311</v>
      </c>
      <c r="V72" s="19" t="n">
        <f aca="false">I72*$M72</f>
        <v>-0.000213351045551438</v>
      </c>
      <c r="W72" s="19" t="n">
        <f aca="false">J72*$M72</f>
        <v>0</v>
      </c>
      <c r="X72" s="19" t="n">
        <f aca="false">K72*$M72</f>
        <v>0</v>
      </c>
    </row>
    <row r="73" customFormat="false" ht="15" hidden="false" customHeight="false" outlineLevel="0" collapsed="false">
      <c r="A73" s="20" t="str">
        <f aca="false">Datos!A81</f>
        <v>2024Q1</v>
      </c>
      <c r="B73" s="21" t="n">
        <f aca="false">Datos!F81</f>
        <v>-0.0496170325779741</v>
      </c>
      <c r="C73" s="21" t="n">
        <f aca="false">Datos!I81</f>
        <v>-0.0995297912662513</v>
      </c>
      <c r="D73" s="21" t="n">
        <f aca="false">Datos!H81</f>
        <v>-454.938553802817</v>
      </c>
      <c r="E73" s="21" t="n">
        <f aca="false">Datos!H79</f>
        <v>-393.961216440069</v>
      </c>
      <c r="F73" s="21" t="n">
        <f aca="false">Datos!H75</f>
        <v>613.427821391941</v>
      </c>
      <c r="G73" s="21" t="n">
        <f aca="false">Datos!J75</f>
        <v>-0.0735093011783898</v>
      </c>
      <c r="H73" s="21" t="n">
        <f aca="false">Datos!K74</f>
        <v>-0.0666502884026636</v>
      </c>
      <c r="I73" s="21" t="n">
        <f aca="false">Datos!F80</f>
        <v>-0.0171598554874708</v>
      </c>
      <c r="J73" s="21" t="n">
        <f aca="false">IF($A73="2020Q2",1,0)</f>
        <v>0</v>
      </c>
      <c r="K73" s="21" t="n">
        <f aca="false">IF($A73="2021Q2",1,0)</f>
        <v>0</v>
      </c>
      <c r="L73" s="19" t="n">
        <v>1</v>
      </c>
      <c r="M73" s="19" t="n">
        <f aca="false">B73-($B$88+$B$89*C73+$B$90*D73+$B$91*E73+$B$92*F73+$B$93*G73+$B$94*H73+$B$95*I73+$B$96*J73+$B$97*K73)</f>
        <v>-0.0647173299079154</v>
      </c>
      <c r="N73" s="19" t="n">
        <f aca="false">M73^2</f>
        <v>0.00418833279040996</v>
      </c>
      <c r="O73" s="19" t="n">
        <f aca="false">L73*$M73</f>
        <v>-0.0647173299079154</v>
      </c>
      <c r="P73" s="19" t="n">
        <f aca="false">C73*$M73</f>
        <v>0.00644130233704395</v>
      </c>
      <c r="Q73" s="19" t="n">
        <f aca="false">D73*$M73</f>
        <v>29.4424084742868</v>
      </c>
      <c r="R73" s="19" t="n">
        <f aca="false">E73*$M73</f>
        <v>25.4961180152756</v>
      </c>
      <c r="S73" s="19" t="n">
        <f aca="false">F73*$M73</f>
        <v>-39.6994106917161</v>
      </c>
      <c r="T73" s="19" t="n">
        <f aca="false">G73*$M73</f>
        <v>0.00475732569566217</v>
      </c>
      <c r="U73" s="19" t="n">
        <f aca="false">H73*$M73</f>
        <v>0.00431342870301289</v>
      </c>
      <c r="V73" s="19" t="n">
        <f aca="false">I73*$M73</f>
        <v>0.0011105400287548</v>
      </c>
      <c r="W73" s="19" t="n">
        <f aca="false">J73*$M73</f>
        <v>-0</v>
      </c>
      <c r="X73" s="19" t="n">
        <f aca="false">K73*$M73</f>
        <v>-0</v>
      </c>
    </row>
    <row r="74" customFormat="false" ht="15" hidden="false" customHeight="false" outlineLevel="0" collapsed="false">
      <c r="A74" s="20" t="str">
        <f aca="false">Datos!A82</f>
        <v>2024Q2</v>
      </c>
      <c r="B74" s="21" t="n">
        <f aca="false">Datos!F82</f>
        <v>-0.0108329991805178</v>
      </c>
      <c r="C74" s="21" t="n">
        <f aca="false">Datos!I82</f>
        <v>0.0839810999883668</v>
      </c>
      <c r="D74" s="21" t="n">
        <f aca="false">Datos!H82</f>
        <v>-411.750199402986</v>
      </c>
      <c r="E74" s="21" t="n">
        <f aca="false">Datos!H80</f>
        <v>122.080899625603</v>
      </c>
      <c r="F74" s="21" t="n">
        <f aca="false">Datos!H76</f>
        <v>-69.2846118840562</v>
      </c>
      <c r="G74" s="21" t="n">
        <f aca="false">Datos!J76</f>
        <v>-0.0738502184948509</v>
      </c>
      <c r="H74" s="21" t="n">
        <f aca="false">Datos!K75</f>
        <v>-0.0294452458384041</v>
      </c>
      <c r="I74" s="21" t="n">
        <f aca="false">Datos!F81</f>
        <v>-0.0496170325779741</v>
      </c>
      <c r="J74" s="21" t="n">
        <f aca="false">IF($A74="2020Q2",1,0)</f>
        <v>0</v>
      </c>
      <c r="K74" s="21" t="n">
        <f aca="false">IF($A74="2021Q2",1,0)</f>
        <v>0</v>
      </c>
      <c r="L74" s="19" t="n">
        <v>1</v>
      </c>
      <c r="M74" s="19" t="n">
        <f aca="false">B74-($B$88+$B$89*C74+$B$90*D74+$B$91*E74+$B$92*F74+$B$93*G74+$B$94*H74+$B$95*I74+$B$96*J74+$B$97*K74)</f>
        <v>0.000630451175036167</v>
      </c>
      <c r="N74" s="19" t="n">
        <f aca="false">M74^2</f>
        <v>3.97468684104483E-007</v>
      </c>
      <c r="O74" s="19" t="n">
        <f aca="false">L74*$M74</f>
        <v>0.000630451175036167</v>
      </c>
      <c r="P74" s="19" t="n">
        <f aca="false">C74*$M74</f>
        <v>5.29459831684957E-005</v>
      </c>
      <c r="Q74" s="19" t="n">
        <f aca="false">D74*$M74</f>
        <v>-0.259588397034989</v>
      </c>
      <c r="R74" s="19" t="n">
        <f aca="false">E74*$M74</f>
        <v>0.0769660466184336</v>
      </c>
      <c r="S74" s="19" t="n">
        <f aca="false">F74*$M74</f>
        <v>-0.043680564974228</v>
      </c>
      <c r="T74" s="19" t="n">
        <f aca="false">G74*$M74</f>
        <v>-4.65589570267564E-005</v>
      </c>
      <c r="U74" s="19" t="n">
        <f aca="false">H74*$M74</f>
        <v>-1.85637898380507E-005</v>
      </c>
      <c r="V74" s="19" t="n">
        <f aca="false">I74*$M74</f>
        <v>-3.12811164905916E-005</v>
      </c>
      <c r="W74" s="19" t="n">
        <f aca="false">J74*$M74</f>
        <v>0</v>
      </c>
      <c r="X74" s="19" t="n">
        <f aca="false">K74*$M74</f>
        <v>0</v>
      </c>
    </row>
    <row r="75" customFormat="false" ht="15" hidden="false" customHeight="false" outlineLevel="0" collapsed="false">
      <c r="A75" s="20" t="str">
        <f aca="false">Datos!A83</f>
        <v>2024Q3</v>
      </c>
      <c r="B75" s="21" t="n">
        <f aca="false">Datos!F83</f>
        <v>-0.0193706719869603</v>
      </c>
      <c r="C75" s="21" t="n">
        <f aca="false">Datos!I83</f>
        <v>0.0583938784085901</v>
      </c>
      <c r="D75" s="21" t="n">
        <f aca="false">Datos!H83</f>
        <v>140.77357394844</v>
      </c>
      <c r="E75" s="21" t="n">
        <f aca="false">Datos!H81</f>
        <v>-454.938553802817</v>
      </c>
      <c r="F75" s="21" t="n">
        <f aca="false">Datos!H77</f>
        <v>-376.758957004832</v>
      </c>
      <c r="G75" s="21" t="n">
        <f aca="false">Datos!J77</f>
        <v>0.367099592287782</v>
      </c>
      <c r="H75" s="21" t="n">
        <f aca="false">Datos!K76</f>
        <v>0.11290837336386</v>
      </c>
      <c r="I75" s="21" t="n">
        <f aca="false">Datos!F82</f>
        <v>-0.0108329991805178</v>
      </c>
      <c r="J75" s="21" t="n">
        <f aca="false">IF($A75="2020Q2",1,0)</f>
        <v>0</v>
      </c>
      <c r="K75" s="21" t="n">
        <f aca="false">IF($A75="2021Q2",1,0)</f>
        <v>0</v>
      </c>
      <c r="L75" s="19" t="n">
        <v>1</v>
      </c>
      <c r="M75" s="19" t="n">
        <f aca="false">B75-($B$88+$B$89*C75+$B$90*D75+$B$91*E75+$B$92*F75+$B$93*G75+$B$94*H75+$B$95*I75+$B$96*J75+$B$97*K75)</f>
        <v>-0.0224611712625689</v>
      </c>
      <c r="N75" s="19" t="n">
        <f aca="false">M75^2</f>
        <v>0.00050450421448645</v>
      </c>
      <c r="O75" s="19" t="n">
        <f aca="false">L75*$M75</f>
        <v>-0.0224611712625689</v>
      </c>
      <c r="P75" s="19" t="n">
        <f aca="false">C75*$M75</f>
        <v>-0.00131159490362097</v>
      </c>
      <c r="Q75" s="19" t="n">
        <f aca="false">D75*$M75</f>
        <v>-3.16193935369981</v>
      </c>
      <c r="R75" s="19" t="n">
        <f aca="false">E75*$M75</f>
        <v>10.2184527709105</v>
      </c>
      <c r="S75" s="19" t="n">
        <f aca="false">F75*$M75</f>
        <v>8.46244745799236</v>
      </c>
      <c r="T75" s="19" t="n">
        <f aca="false">G75*$M75</f>
        <v>-0.00824548681279509</v>
      </c>
      <c r="U75" s="19" t="n">
        <f aca="false">H75*$M75</f>
        <v>-0.00253605431110372</v>
      </c>
      <c r="V75" s="19" t="n">
        <f aca="false">I75*$M75</f>
        <v>0.000243321849880879</v>
      </c>
      <c r="W75" s="19" t="n">
        <f aca="false">J75*$M75</f>
        <v>-0</v>
      </c>
      <c r="X75" s="19" t="n">
        <f aca="false">K75*$M75</f>
        <v>-0</v>
      </c>
    </row>
    <row r="76" customFormat="false" ht="15" hidden="false" customHeight="false" outlineLevel="0" collapsed="false">
      <c r="A76" s="20" t="str">
        <f aca="false">Datos!A84</f>
        <v>2024Q4</v>
      </c>
      <c r="B76" s="21" t="n">
        <f aca="false">Datos!F84</f>
        <v>0.0263829611146622</v>
      </c>
      <c r="C76" s="21" t="n">
        <f aca="false">Datos!I84</f>
        <v>0.209850652496816</v>
      </c>
      <c r="D76" s="21" t="n">
        <f aca="false">Datos!H84</f>
        <v>-564.145454545455</v>
      </c>
      <c r="E76" s="21" t="n">
        <f aca="false">Datos!H82</f>
        <v>-411.750199402986</v>
      </c>
      <c r="F76" s="21" t="n">
        <f aca="false">Datos!H78</f>
        <v>396.345972839506</v>
      </c>
      <c r="G76" s="21" t="n">
        <f aca="false">Datos!J78</f>
        <v>-0.00797161018467474</v>
      </c>
      <c r="H76" s="21" t="n">
        <f aca="false">Datos!K77</f>
        <v>-0.11679097674453</v>
      </c>
      <c r="I76" s="21" t="n">
        <f aca="false">Datos!F83</f>
        <v>-0.0193706719869603</v>
      </c>
      <c r="J76" s="21" t="n">
        <f aca="false">IF($A76="2020Q2",1,0)</f>
        <v>0</v>
      </c>
      <c r="K76" s="21" t="n">
        <f aca="false">IF($A76="2021Q2",1,0)</f>
        <v>0</v>
      </c>
      <c r="L76" s="19" t="n">
        <v>1</v>
      </c>
      <c r="M76" s="19" t="n">
        <f aca="false">B76-($B$88+$B$89*C76+$B$90*D76+$B$91*E76+$B$92*F76+$B$93*G76+$B$94*H76+$B$95*I76+$B$96*J76+$B$97*K76)</f>
        <v>-0.0363258062706619</v>
      </c>
      <c r="N76" s="19" t="n">
        <f aca="false">M76^2</f>
        <v>0.00131956420121366</v>
      </c>
      <c r="O76" s="19" t="n">
        <f aca="false">L76*$M76</f>
        <v>-0.0363258062706619</v>
      </c>
      <c r="P76" s="19" t="n">
        <f aca="false">C76*$M76</f>
        <v>-0.00762299414837132</v>
      </c>
      <c r="Q76" s="19" t="n">
        <f aca="false">D76*$M76</f>
        <v>20.4930384902927</v>
      </c>
      <c r="R76" s="19" t="n">
        <f aca="false">E76*$M76</f>
        <v>14.9571579754193</v>
      </c>
      <c r="S76" s="19" t="n">
        <f aca="false">F76*$M76</f>
        <v>-14.3975870255249</v>
      </c>
      <c r="T76" s="19" t="n">
        <f aca="false">G76*$M76</f>
        <v>0.00028957516723373</v>
      </c>
      <c r="U76" s="19" t="n">
        <f aca="false">H76*$M76</f>
        <v>0.00424252639538317</v>
      </c>
      <c r="V76" s="19" t="n">
        <f aca="false">I76*$M76</f>
        <v>0.000703655277930857</v>
      </c>
      <c r="W76" s="19" t="n">
        <f aca="false">J76*$M76</f>
        <v>-0</v>
      </c>
      <c r="X76" s="19" t="n">
        <f aca="false">K76*$M76</f>
        <v>-0</v>
      </c>
    </row>
    <row r="77" customFormat="false" ht="15" hidden="false" customHeight="false" outlineLevel="0" collapsed="false">
      <c r="A77" s="20" t="str">
        <f aca="false">Datos!A85</f>
        <v>2025Q1</v>
      </c>
      <c r="B77" s="21" t="n">
        <f aca="false">Datos!F85</f>
        <v>0.0583747415748432</v>
      </c>
      <c r="C77" s="21" t="n">
        <f aca="false">Datos!I85</f>
        <v>0.248983047054301</v>
      </c>
      <c r="D77" s="21" t="n">
        <f aca="false">Datos!H85</f>
        <v>-235.861538461538</v>
      </c>
      <c r="E77" s="21" t="n">
        <f aca="false">Datos!H83</f>
        <v>140.77357394844</v>
      </c>
      <c r="F77" s="21" t="n">
        <f aca="false">Datos!H79</f>
        <v>-393.961216440069</v>
      </c>
      <c r="G77" s="21" t="n">
        <f aca="false">Datos!J79</f>
        <v>0.183376294592147</v>
      </c>
      <c r="H77" s="21" t="n">
        <f aca="false">Datos!K78</f>
        <v>0.0155541344453244</v>
      </c>
      <c r="I77" s="21" t="n">
        <f aca="false">Datos!F84</f>
        <v>0.0263829611146622</v>
      </c>
      <c r="J77" s="21" t="n">
        <f aca="false">IF($A77="2020Q2",1,0)</f>
        <v>0</v>
      </c>
      <c r="K77" s="21" t="n">
        <f aca="false">IF($A77="2021Q2",1,0)</f>
        <v>0</v>
      </c>
      <c r="L77" s="19" t="n">
        <v>1</v>
      </c>
      <c r="M77" s="19" t="n">
        <f aca="false">B77-($B$88+$B$89*C77+$B$90*D77+$B$91*E77+$B$92*F77+$B$93*G77+$B$94*H77+$B$95*I77+$B$96*J77+$B$97*K77)</f>
        <v>0.0059696912910218</v>
      </c>
      <c r="N77" s="19" t="n">
        <f aca="false">M77^2</f>
        <v>3.56372141101015E-005</v>
      </c>
      <c r="O77" s="19" t="n">
        <f aca="false">L77*$M77</f>
        <v>0.0059696912910218</v>
      </c>
      <c r="P77" s="19" t="n">
        <f aca="false">C77*$M77</f>
        <v>0.00148635192761213</v>
      </c>
      <c r="Q77" s="19" t="n">
        <f aca="false">D77*$M77</f>
        <v>-1.40802057204085</v>
      </c>
      <c r="R77" s="19" t="n">
        <f aca="false">E77*$M77</f>
        <v>0.840374778406014</v>
      </c>
      <c r="S77" s="19" t="n">
        <f aca="false">F77*$M77</f>
        <v>-2.35182684278263</v>
      </c>
      <c r="T77" s="19" t="n">
        <f aca="false">G77*$M77</f>
        <v>0.00109469986880659</v>
      </c>
      <c r="U77" s="19" t="n">
        <f aca="false">H77*$M77</f>
        <v>9.28533809376351E-005</v>
      </c>
      <c r="V77" s="19" t="n">
        <f aca="false">I77*$M77</f>
        <v>0.000157498133197566</v>
      </c>
      <c r="W77" s="19" t="n">
        <f aca="false">J77*$M77</f>
        <v>0</v>
      </c>
      <c r="X77" s="19" t="n">
        <f aca="false">K77*$M77</f>
        <v>0</v>
      </c>
    </row>
    <row r="78" customFormat="false" ht="15" hidden="false" customHeight="false" outlineLevel="0" collapsed="false">
      <c r="A78" s="20" t="str">
        <f aca="false">Datos!A86</f>
        <v>2025Q2</v>
      </c>
      <c r="B78" s="21" t="n">
        <f aca="false">Datos!F86</f>
        <v>0.0638141408959982</v>
      </c>
      <c r="C78" s="21" t="n">
        <f aca="false">Datos!I86</f>
        <v>-0.0247458039655413</v>
      </c>
      <c r="D78" s="21" t="n">
        <f aca="false">Datos!H86</f>
        <v>39.3076923076923</v>
      </c>
      <c r="E78" s="21" t="n">
        <f aca="false">Datos!H84</f>
        <v>-564.145454545455</v>
      </c>
      <c r="F78" s="21" t="n">
        <f aca="false">Datos!H80</f>
        <v>122.080899625603</v>
      </c>
      <c r="G78" s="21" t="n">
        <f aca="false">Datos!J80</f>
        <v>0.44451895067595</v>
      </c>
      <c r="H78" s="21" t="n">
        <f aca="false">Datos!K79</f>
        <v>0.0783071254305534</v>
      </c>
      <c r="I78" s="21" t="n">
        <f aca="false">Datos!F85</f>
        <v>0.0583747415748432</v>
      </c>
      <c r="J78" s="21" t="n">
        <f aca="false">IF($A78="2020Q2",1,0)</f>
        <v>0</v>
      </c>
      <c r="K78" s="21" t="n">
        <f aca="false">IF($A78="2021Q2",1,0)</f>
        <v>0</v>
      </c>
      <c r="L78" s="19" t="n">
        <v>1</v>
      </c>
      <c r="M78" s="19" t="n">
        <f aca="false">B78-($B$88+$B$89*C78+$B$90*D78+$B$91*E78+$B$92*F78+$B$93*G78+$B$94*H78+$B$95*I78+$B$96*J78+$B$97*K78)</f>
        <v>0.014401958928454</v>
      </c>
      <c r="N78" s="19" t="n">
        <f aca="false">M78^2</f>
        <v>0.000207416420976876</v>
      </c>
      <c r="O78" s="19" t="n">
        <f aca="false">L78*$M78</f>
        <v>0.014401958928454</v>
      </c>
      <c r="P78" s="19" t="n">
        <f aca="false">C78*$M78</f>
        <v>-0.000356388052363301</v>
      </c>
      <c r="Q78" s="19" t="n">
        <f aca="false">D78*$M78</f>
        <v>0.566107770187692</v>
      </c>
      <c r="R78" s="19" t="n">
        <f aca="false">E78*$M78</f>
        <v>-8.12479966603766</v>
      </c>
      <c r="S78" s="19" t="n">
        <f aca="false">F78*$M78</f>
        <v>1.75820410235665</v>
      </c>
      <c r="T78" s="19" t="n">
        <f aca="false">G78*$M78</f>
        <v>0.00640194367055451</v>
      </c>
      <c r="U78" s="19" t="n">
        <f aca="false">H78*$M78</f>
        <v>0.00112777600425613</v>
      </c>
      <c r="V78" s="19" t="n">
        <f aca="false">I78*$M78</f>
        <v>0.000840710630620009</v>
      </c>
      <c r="W78" s="19" t="n">
        <f aca="false">J78*$M78</f>
        <v>0</v>
      </c>
      <c r="X78" s="19" t="n">
        <f aca="false">K78*$M78</f>
        <v>0</v>
      </c>
    </row>
    <row r="79" customFormat="false" ht="15" hidden="false" customHeight="false" outlineLevel="0" collapsed="false">
      <c r="A79" s="20" t="str">
        <f aca="false">Datos!A87</f>
        <v>2025Q3</v>
      </c>
      <c r="B79" s="21" t="n">
        <f aca="false">Datos!F87</f>
        <v>0.0325690447876617</v>
      </c>
      <c r="C79" s="21" t="n">
        <f aca="false">Datos!I87</f>
        <v>-0.0607636894755312</v>
      </c>
      <c r="D79" s="21" t="n">
        <f aca="false">Datos!H87</f>
        <v>142.307692307692</v>
      </c>
      <c r="E79" s="21" t="n">
        <f aca="false">Datos!H85</f>
        <v>-235.861538461538</v>
      </c>
      <c r="F79" s="21" t="n">
        <f aca="false">Datos!H81</f>
        <v>-454.938553802817</v>
      </c>
      <c r="G79" s="21" t="n">
        <f aca="false">Datos!J81</f>
        <v>-0.185892833904252</v>
      </c>
      <c r="H79" s="21" t="n">
        <f aca="false">Datos!K80</f>
        <v>-0.105805285831385</v>
      </c>
      <c r="I79" s="21" t="n">
        <f aca="false">Datos!F86</f>
        <v>0.0638141408959982</v>
      </c>
      <c r="J79" s="21" t="n">
        <f aca="false">IF($A79="2020Q2",1,0)</f>
        <v>0</v>
      </c>
      <c r="K79" s="21" t="n">
        <f aca="false">IF($A79="2021Q2",1,0)</f>
        <v>0</v>
      </c>
      <c r="L79" s="19" t="n">
        <v>1</v>
      </c>
      <c r="M79" s="19" t="n">
        <f aca="false">B79-($B$88+$B$89*C79+$B$90*D79+$B$91*E79+$B$92*F79+$B$93*G79+$B$94*H79+$B$95*I79+$B$96*J79+$B$97*K79)</f>
        <v>-0.00892254383107808</v>
      </c>
      <c r="N79" s="19" t="n">
        <f aca="false">M79^2</f>
        <v>7.96117884175095E-005</v>
      </c>
      <c r="O79" s="19" t="n">
        <f aca="false">L79*$M79</f>
        <v>-0.00892254383107808</v>
      </c>
      <c r="P79" s="19" t="n">
        <f aca="false">C79*$M79</f>
        <v>0.000542166682683445</v>
      </c>
      <c r="Q79" s="19" t="n">
        <f aca="false">D79*$M79</f>
        <v>-1.26974662211496</v>
      </c>
      <c r="R79" s="19" t="n">
        <f aca="false">E79*$M79</f>
        <v>2.10448491498858</v>
      </c>
      <c r="S79" s="19" t="n">
        <f aca="false">F79*$M79</f>
        <v>4.05920918675291</v>
      </c>
      <c r="T79" s="19" t="n">
        <f aca="false">G79*$M79</f>
        <v>0.00165863695839401</v>
      </c>
      <c r="U79" s="19" t="n">
        <f aca="false">H79*$M79</f>
        <v>0.000944052300390282</v>
      </c>
      <c r="V79" s="19" t="n">
        <f aca="false">I79*$M79</f>
        <v>-0.000569384469187136</v>
      </c>
      <c r="W79" s="19" t="n">
        <f aca="false">J79*$M79</f>
        <v>-0</v>
      </c>
      <c r="X79" s="19" t="n">
        <f aca="false">K79*$M79</f>
        <v>-0</v>
      </c>
    </row>
    <row r="80" customFormat="false" ht="15" hidden="false" customHeight="false" outlineLevel="0" collapsed="false">
      <c r="A80" s="20" t="str">
        <f aca="false">Datos!A88</f>
        <v>2025Q4</v>
      </c>
      <c r="B80" s="21" t="n">
        <f aca="false">Datos!F88</f>
        <v>0.0205805070747371</v>
      </c>
      <c r="C80" s="21" t="n">
        <f aca="false">Datos!I88</f>
        <v>-0.0750355248434347</v>
      </c>
      <c r="D80" s="21" t="n">
        <f aca="false">Datos!H88</f>
        <v>-113.153846153846</v>
      </c>
      <c r="E80" s="21" t="n">
        <f aca="false">Datos!H86</f>
        <v>39.3076923076923</v>
      </c>
      <c r="F80" s="21" t="n">
        <f aca="false">Datos!H82</f>
        <v>-411.750199402986</v>
      </c>
      <c r="G80" s="21" t="n">
        <f aca="false">Datos!J82</f>
        <v>0.211724770440168</v>
      </c>
      <c r="H80" s="21" t="n">
        <f aca="false">Datos!K81</f>
        <v>0.0467744313554986</v>
      </c>
      <c r="I80" s="21" t="n">
        <f aca="false">Datos!F87</f>
        <v>0.0325690447876617</v>
      </c>
      <c r="J80" s="21" t="n">
        <f aca="false">IF($A80="2020Q2",1,0)</f>
        <v>0</v>
      </c>
      <c r="K80" s="21" t="n">
        <f aca="false">IF($A80="2021Q2",1,0)</f>
        <v>0</v>
      </c>
      <c r="L80" s="19" t="n">
        <v>1</v>
      </c>
      <c r="M80" s="19" t="n">
        <f aca="false">B80-($B$88+$B$89*C80+$B$90*D80+$B$91*E80+$B$92*F80+$B$93*G80+$B$94*H80+$B$95*I80+$B$96*J80+$B$97*K80)</f>
        <v>0.0246612979953226</v>
      </c>
      <c r="N80" s="19" t="n">
        <f aca="false">M80^2</f>
        <v>0.000608179618814101</v>
      </c>
      <c r="O80" s="19" t="n">
        <f aca="false">L80*$M80</f>
        <v>0.0246612979953226</v>
      </c>
      <c r="P80" s="19" t="n">
        <f aca="false">C80*$M80</f>
        <v>-0.00185047343839937</v>
      </c>
      <c r="Q80" s="19" t="n">
        <f aca="false">D80*$M80</f>
        <v>-2.79052071931689</v>
      </c>
      <c r="R80" s="19" t="n">
        <f aca="false">E80*$M80</f>
        <v>0.969378713508448</v>
      </c>
      <c r="S80" s="19" t="n">
        <f aca="false">F80*$M80</f>
        <v>-10.1542943671105</v>
      </c>
      <c r="T80" s="19" t="n">
        <f aca="false">G80*$M80</f>
        <v>0.00522140765681625</v>
      </c>
      <c r="U80" s="19" t="n">
        <f aca="false">H80*$M80</f>
        <v>0.00115351819021971</v>
      </c>
      <c r="V80" s="19" t="n">
        <f aca="false">I80*$M80</f>
        <v>0.000803194918931531</v>
      </c>
      <c r="W80" s="19" t="n">
        <f aca="false">J80*$M80</f>
        <v>0</v>
      </c>
      <c r="X80" s="19" t="n">
        <f aca="false">K80*$M80</f>
        <v>0</v>
      </c>
    </row>
    <row r="81" customFormat="false" ht="15" hidden="false" customHeight="false" outlineLevel="0" collapsed="false">
      <c r="A81" s="20" t="str">
        <f aca="false">Datos!A89</f>
        <v>2026Q1</v>
      </c>
      <c r="B81" s="21" t="n">
        <f aca="false">Datos!F89</f>
        <v>0.024694045208276</v>
      </c>
      <c r="C81" s="21" t="n">
        <f aca="false">Datos!I89</f>
        <v>-0.0996496025806773</v>
      </c>
      <c r="D81" s="21" t="n">
        <f aca="false">Datos!H89</f>
        <v>-216.777777777778</v>
      </c>
      <c r="E81" s="21" t="n">
        <f aca="false">Datos!H87</f>
        <v>142.307692307692</v>
      </c>
      <c r="F81" s="21" t="n">
        <f aca="false">Datos!H83</f>
        <v>140.77357394844</v>
      </c>
      <c r="G81" s="21" t="n">
        <f aca="false">Datos!J83</f>
        <v>-0.11430199205953</v>
      </c>
      <c r="H81" s="21" t="n">
        <f aca="false">Datos!K82</f>
        <v>0.0075734886805694</v>
      </c>
      <c r="I81" s="21" t="n">
        <f aca="false">Datos!F88</f>
        <v>0.0205805070747371</v>
      </c>
      <c r="J81" s="21" t="n">
        <f aca="false">IF($A81="2020Q2",1,0)</f>
        <v>0</v>
      </c>
      <c r="K81" s="21" t="n">
        <f aca="false">IF($A81="2021Q2",1,0)</f>
        <v>0</v>
      </c>
      <c r="L81" s="19" t="n">
        <v>1</v>
      </c>
      <c r="M81" s="19" t="n">
        <f aca="false">B81-($B$88+$B$89*C81+$B$90*D81+$B$91*E81+$B$92*F81+$B$93*G81+$B$94*H81+$B$95*I81+$B$96*J81+$B$97*K81)</f>
        <v>0.0124460396767948</v>
      </c>
      <c r="N81" s="19" t="n">
        <f aca="false">M81^2</f>
        <v>0.000154903903636349</v>
      </c>
      <c r="O81" s="19" t="n">
        <f aca="false">L81*$M81</f>
        <v>0.0124460396767948</v>
      </c>
      <c r="P81" s="19" t="n">
        <f aca="false">C81*$M81</f>
        <v>-0.00124024290749594</v>
      </c>
      <c r="Q81" s="19" t="n">
        <f aca="false">D81*$M81</f>
        <v>-2.69802482326962</v>
      </c>
      <c r="R81" s="19" t="n">
        <f aca="false">E81*$M81</f>
        <v>1.77116718477464</v>
      </c>
      <c r="S81" s="19" t="n">
        <f aca="false">F81*$M81</f>
        <v>1.75207348680648</v>
      </c>
      <c r="T81" s="19" t="n">
        <f aca="false">G81*$M81</f>
        <v>-0.00142260712830959</v>
      </c>
      <c r="U81" s="19" t="n">
        <f aca="false">H81*$M81</f>
        <v>9.42599406101227E-005</v>
      </c>
      <c r="V81" s="19" t="n">
        <f aca="false">I81*$M81</f>
        <v>0.000256145807620733</v>
      </c>
      <c r="W81" s="19" t="n">
        <f aca="false">J81*$M81</f>
        <v>0</v>
      </c>
      <c r="X81" s="19" t="n">
        <f aca="false">K81*$M81</f>
        <v>0</v>
      </c>
    </row>
    <row r="86" customFormat="false" ht="15" hidden="false" customHeight="false" outlineLevel="0" collapsed="false">
      <c r="A86" s="22" t="s">
        <v>157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customFormat="false" ht="15" hidden="false" customHeight="false" outlineLevel="0" collapsed="false">
      <c r="A87" s="15" t="s">
        <v>28</v>
      </c>
      <c r="B87" s="15" t="s">
        <v>29</v>
      </c>
      <c r="C87" s="15" t="s">
        <v>158</v>
      </c>
      <c r="D87" s="15" t="s">
        <v>159</v>
      </c>
      <c r="E87" s="15" t="s">
        <v>26</v>
      </c>
      <c r="G87" s="11" t="s">
        <v>160</v>
      </c>
      <c r="H87" s="24" t="n">
        <f aca="false">INDEX(LINEST($B$6:$B$81,$C$6:$K$81,TRUE(),TRUE()),4,2)</f>
        <v>66</v>
      </c>
    </row>
    <row r="88" customFormat="false" ht="15" hidden="false" customHeight="false" outlineLevel="0" collapsed="false">
      <c r="A88" s="25" t="s">
        <v>161</v>
      </c>
      <c r="B88" s="26" t="n">
        <f aca="false">INDEX(LINEST($B$6:$B$81,$C$6:$K$81,TRUE(),TRUE()),1,10)</f>
        <v>0.00438737791013122</v>
      </c>
      <c r="C88" s="8" t="n">
        <f aca="false">INDEX(LINEST($B$6:$B$81,$C$6:$K$81,TRUE(),TRUE()),2,10)</f>
        <v>0.00320464560266137</v>
      </c>
      <c r="D88" s="5" t="n">
        <f aca="false">B88/C88</f>
        <v>1.369068051234</v>
      </c>
      <c r="E88" s="7" t="n">
        <f aca="false">TDIST(ABS(D88),$H$87,2)</f>
        <v>0.175619300288721</v>
      </c>
    </row>
    <row r="89" customFormat="false" ht="15" hidden="false" customHeight="false" outlineLevel="0" collapsed="false">
      <c r="A89" s="25" t="s">
        <v>141</v>
      </c>
      <c r="B89" s="26" t="n">
        <f aca="false">INDEX(LINEST($B$6:$B$81,$C$6:$K$81,TRUE(),TRUE()),1,9)</f>
        <v>0.197734072595783</v>
      </c>
      <c r="C89" s="8" t="n">
        <f aca="false">INDEX(LINEST($B$6:$B$81,$C$6:$K$81,TRUE(),TRUE()),2,9)</f>
        <v>0.0459502606111519</v>
      </c>
      <c r="D89" s="5" t="n">
        <f aca="false">B89/C89</f>
        <v>4.30321982869873</v>
      </c>
      <c r="E89" s="7" t="n">
        <f aca="false">TDIST(ABS(D89),$H$87,2)</f>
        <v>5.69466780829662E-005</v>
      </c>
    </row>
    <row r="90" customFormat="false" ht="15" hidden="false" customHeight="false" outlineLevel="0" collapsed="false">
      <c r="A90" s="25" t="s">
        <v>142</v>
      </c>
      <c r="B90" s="26" t="n">
        <f aca="false">INDEX(LINEST($B$6:$B$81,$C$6:$K$81,TRUE(),TRUE()),1,8)</f>
        <v>-2.74880419480457E-005</v>
      </c>
      <c r="C90" s="8" t="n">
        <f aca="false">INDEX(LINEST($B$6:$B$81,$C$6:$K$81,TRUE(),TRUE()),2,8)</f>
        <v>1.23704804706558E-005</v>
      </c>
      <c r="D90" s="5" t="n">
        <f aca="false">B90/C90</f>
        <v>-2.22206744622818</v>
      </c>
      <c r="E90" s="7" t="n">
        <f aca="false">TDIST(ABS(D90),$H$87,2)</f>
        <v>0.0297117286507238</v>
      </c>
    </row>
    <row r="91" customFormat="false" ht="15" hidden="false" customHeight="false" outlineLevel="0" collapsed="false">
      <c r="A91" s="25" t="s">
        <v>143</v>
      </c>
      <c r="B91" s="26" t="n">
        <f aca="false">INDEX(LINEST($B$6:$B$81,$C$6:$K$81,TRUE(),TRUE()),1,7)</f>
        <v>-5.01356041510077E-005</v>
      </c>
      <c r="C91" s="8" t="n">
        <f aca="false">INDEX(LINEST($B$6:$B$81,$C$6:$K$81,TRUE(),TRUE()),2,7)</f>
        <v>1.1256852257612E-005</v>
      </c>
      <c r="D91" s="5" t="n">
        <f aca="false">B91/C91</f>
        <v>-4.45378539254662</v>
      </c>
      <c r="E91" s="7" t="n">
        <f aca="false">TDIST(ABS(D91),$H$87,2)</f>
        <v>3.33637899082692E-005</v>
      </c>
    </row>
    <row r="92" customFormat="false" ht="15" hidden="false" customHeight="false" outlineLevel="0" collapsed="false">
      <c r="A92" s="25" t="s">
        <v>144</v>
      </c>
      <c r="B92" s="26" t="n">
        <f aca="false">INDEX(LINEST($B$6:$B$81,$C$6:$K$81,TRUE(),TRUE()),1,6)</f>
        <v>2.21064378224377E-005</v>
      </c>
      <c r="C92" s="8" t="n">
        <f aca="false">INDEX(LINEST($B$6:$B$81,$C$6:$K$81,TRUE(),TRUE()),2,6)</f>
        <v>1.16539853533019E-005</v>
      </c>
      <c r="D92" s="5" t="n">
        <f aca="false">B92/C92</f>
        <v>1.8968993998413</v>
      </c>
      <c r="E92" s="7" t="n">
        <f aca="false">TDIST(ABS(D92),$H$87,2)</f>
        <v>0.0622182814736143</v>
      </c>
    </row>
    <row r="93" customFormat="false" ht="15" hidden="false" customHeight="false" outlineLevel="0" collapsed="false">
      <c r="A93" s="25" t="s">
        <v>145</v>
      </c>
      <c r="B93" s="26" t="n">
        <f aca="false">INDEX(LINEST($B$6:$B$81,$C$6:$K$81,TRUE(),TRUE()),1,5)</f>
        <v>-0.0772116983606726</v>
      </c>
      <c r="C93" s="8" t="n">
        <f aca="false">INDEX(LINEST($B$6:$B$81,$C$6:$K$81,TRUE(),TRUE()),2,5)</f>
        <v>0.0259122161632335</v>
      </c>
      <c r="D93" s="5" t="n">
        <f aca="false">B93/C93</f>
        <v>-2.97974121064285</v>
      </c>
      <c r="E93" s="7" t="n">
        <f aca="false">TDIST(ABS(D93),$H$87,2)</f>
        <v>0.00403475515566456</v>
      </c>
    </row>
    <row r="94" customFormat="false" ht="15" hidden="false" customHeight="false" outlineLevel="0" collapsed="false">
      <c r="A94" s="25" t="s">
        <v>146</v>
      </c>
      <c r="B94" s="26" t="n">
        <f aca="false">INDEX(LINEST($B$6:$B$81,$C$6:$K$81,TRUE(),TRUE()),1,4)</f>
        <v>0.117503347802478</v>
      </c>
      <c r="C94" s="8" t="n">
        <f aca="false">INDEX(LINEST($B$6:$B$81,$C$6:$K$81,TRUE(),TRUE()),2,4)</f>
        <v>0.0478960380782721</v>
      </c>
      <c r="D94" s="5" t="n">
        <f aca="false">B94/C94</f>
        <v>2.45329994957941</v>
      </c>
      <c r="E94" s="7" t="n">
        <f aca="false">TDIST(ABS(D94),$H$87,2)</f>
        <v>0.0168040844442706</v>
      </c>
    </row>
    <row r="95" customFormat="false" ht="15" hidden="false" customHeight="false" outlineLevel="0" collapsed="false">
      <c r="A95" s="25" t="s">
        <v>189</v>
      </c>
      <c r="B95" s="26" t="n">
        <f aca="false">INDEX(LINEST($B$6:$B$81,$C$6:$K$81,TRUE(),TRUE()),1,3)</f>
        <v>0.773220568747091</v>
      </c>
      <c r="C95" s="8" t="n">
        <f aca="false">INDEX(LINEST($B$6:$B$81,$C$6:$K$81,TRUE(),TRUE()),2,3)</f>
        <v>0.0566928273448829</v>
      </c>
      <c r="D95" s="5" t="n">
        <f aca="false">B95/C95</f>
        <v>13.6387723978434</v>
      </c>
      <c r="E95" s="7" t="n">
        <f aca="false">TDIST(ABS(D95),$H$87,2)</f>
        <v>7.11278224188309E-021</v>
      </c>
    </row>
    <row r="96" customFormat="false" ht="15" hidden="false" customHeight="false" outlineLevel="0" collapsed="false">
      <c r="A96" s="25" t="s">
        <v>178</v>
      </c>
      <c r="B96" s="26" t="n">
        <f aca="false">INDEX(LINEST($B$6:$B$81,$C$6:$K$81,TRUE(),TRUE()),1,2)</f>
        <v>-0.145270096393742</v>
      </c>
      <c r="C96" s="8" t="n">
        <f aca="false">INDEX(LINEST($B$6:$B$81,$C$6:$K$81,TRUE(),TRUE()),2,2)</f>
        <v>0.0327743559588529</v>
      </c>
      <c r="D96" s="5" t="n">
        <f aca="false">B96/C96</f>
        <v>-4.4324317639109</v>
      </c>
      <c r="E96" s="7" t="n">
        <f aca="false">TDIST(ABS(D96),$H$87,2)</f>
        <v>3.60106565015199E-005</v>
      </c>
    </row>
    <row r="97" customFormat="false" ht="15" hidden="false" customHeight="false" outlineLevel="0" collapsed="false">
      <c r="A97" s="25" t="s">
        <v>179</v>
      </c>
      <c r="B97" s="26" t="n">
        <f aca="false">INDEX(LINEST($B$6:$B$81,$C$6:$K$81,TRUE(),TRUE()),1,1)</f>
        <v>0.148667733808237</v>
      </c>
      <c r="C97" s="8" t="n">
        <f aca="false">INDEX(LINEST($B$6:$B$81,$C$6:$K$81,TRUE(),TRUE()),2,1)</f>
        <v>0.029937882036243</v>
      </c>
      <c r="D97" s="5" t="n">
        <f aca="false">B97/C97</f>
        <v>4.9658734585252</v>
      </c>
      <c r="E97" s="7" t="n">
        <f aca="false">TDIST(ABS(D97),$H$87,2)</f>
        <v>5.10240957092427E-006</v>
      </c>
    </row>
    <row r="99" customFormat="false" ht="15" hidden="false" customHeight="false" outlineLevel="0" collapsed="false">
      <c r="A99" s="22" t="s">
        <v>162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customFormat="false" ht="15" hidden="false" customHeight="false" outlineLevel="0" collapsed="false">
      <c r="A100" s="25" t="s">
        <v>163</v>
      </c>
      <c r="B100" s="5" t="n">
        <f aca="false">COUNT($B$6:$B$81)</f>
        <v>76</v>
      </c>
    </row>
    <row r="101" customFormat="false" ht="15" hidden="false" customHeight="false" outlineLevel="0" collapsed="false">
      <c r="A101" s="25" t="s">
        <v>9</v>
      </c>
      <c r="B101" s="5" t="n">
        <v>10</v>
      </c>
    </row>
    <row r="102" customFormat="false" ht="15" hidden="false" customHeight="false" outlineLevel="0" collapsed="false">
      <c r="A102" s="25" t="s">
        <v>10</v>
      </c>
      <c r="B102" s="6" t="n">
        <f aca="false">INDEX(LINEST($B$6:$B$81,$C$6:$K$81,TRUE(),TRUE()),3,1)</f>
        <v>0.83631974929572</v>
      </c>
    </row>
    <row r="103" customFormat="false" ht="15" hidden="false" customHeight="false" outlineLevel="0" collapsed="false">
      <c r="A103" s="25" t="s">
        <v>11</v>
      </c>
      <c r="B103" s="27" t="n">
        <f aca="false">1-(1-B102)*(B100-1)/(B100-B101)</f>
        <v>0.813999715108772</v>
      </c>
    </row>
    <row r="104" customFormat="false" ht="15" hidden="false" customHeight="false" outlineLevel="0" collapsed="false">
      <c r="A104" s="25" t="s">
        <v>12</v>
      </c>
      <c r="B104" s="8" t="n">
        <f aca="false">INDEX(LINEST($B$6:$B$81,$C$6:$K$81,TRUE(),TRUE()),5,2)</f>
        <v>0.0451943773599721</v>
      </c>
    </row>
    <row r="105" customFormat="false" ht="15" hidden="false" customHeight="false" outlineLevel="0" collapsed="false">
      <c r="A105" s="25" t="s">
        <v>164</v>
      </c>
      <c r="B105" s="6" t="n">
        <f aca="false">-B100/2*(LN(2*PI())+LN(B104/B100)+1)</f>
        <v>174.40627700108</v>
      </c>
    </row>
    <row r="106" customFormat="false" ht="15" hidden="false" customHeight="false" outlineLevel="0" collapsed="false">
      <c r="A106" s="25" t="s">
        <v>13</v>
      </c>
      <c r="B106" s="28" t="n">
        <f aca="false">-2*B105+2*B101</f>
        <v>-328.812554002161</v>
      </c>
    </row>
    <row r="107" customFormat="false" ht="15" hidden="false" customHeight="false" outlineLevel="0" collapsed="false">
      <c r="A107" s="25" t="s">
        <v>14</v>
      </c>
      <c r="B107" s="28" t="n">
        <f aca="false">-2*B105+LN(B100)*B101</f>
        <v>-305.505220599297</v>
      </c>
    </row>
    <row r="109" customFormat="false" ht="15" hidden="false" customHeight="false" outlineLevel="0" collapsed="false">
      <c r="A109" s="10" t="s">
        <v>15</v>
      </c>
      <c r="B109" s="29" t="n">
        <f aca="false">SUMXMY2(M7:M81,M6:M80)/SUMSQ(M6:M81)</f>
        <v>1.96248587374096</v>
      </c>
    </row>
    <row r="111" customFormat="false" ht="15" hidden="false" customHeight="false" outlineLevel="0" collapsed="false">
      <c r="A111" s="22" t="s">
        <v>165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customFormat="false" ht="15" hidden="false" customHeight="false" outlineLevel="0" collapsed="false">
      <c r="A112" s="2" t="s">
        <v>166</v>
      </c>
    </row>
    <row r="113" customFormat="false" ht="15" hidden="false" customHeight="false" outlineLevel="0" collapsed="false">
      <c r="A113" s="10" t="s">
        <v>167</v>
      </c>
    </row>
    <row r="114" customFormat="false" ht="15" hidden="false" customHeight="false" outlineLevel="0" collapsed="false">
      <c r="B114" s="30" t="n">
        <f aca="false">SUMPRODUCT($L$6:$L$81,$L$6:$L$81)</f>
        <v>76</v>
      </c>
      <c r="C114" s="30" t="n">
        <f aca="false">SUMPRODUCT($L$6:$L$81,$C$6:$C$81)</f>
        <v>-0.121233612767257</v>
      </c>
      <c r="D114" s="30" t="n">
        <f aca="false">SUMPRODUCT($L$6:$L$81,$D$6:$D$81)</f>
        <v>325.942786738351</v>
      </c>
      <c r="E114" s="30" t="n">
        <f aca="false">SUMPRODUCT($L$6:$L$81,$E$6:$E$81)</f>
        <v>527.108560439561</v>
      </c>
      <c r="F114" s="30" t="n">
        <f aca="false">SUMPRODUCT($L$6:$L$81,$F$6:$F$81)</f>
        <v>1070.81611079546</v>
      </c>
      <c r="G114" s="30" t="n">
        <f aca="false">SUMPRODUCT($L$6:$L$81,$G$6:$G$81)</f>
        <v>1.2903791864309</v>
      </c>
      <c r="H114" s="30" t="n">
        <f aca="false">SUMPRODUCT($L$6:$L$81,$H$6:$H$81)</f>
        <v>0.0713274305954488</v>
      </c>
      <c r="I114" s="30" t="n">
        <f aca="false">SUMPRODUCT($L$6:$L$81,$I$6:$I$81)</f>
        <v>1.18527524866206</v>
      </c>
      <c r="J114" s="30" t="n">
        <f aca="false">SUMPRODUCT($L$6:$L$81,$J$6:$J$81)</f>
        <v>1</v>
      </c>
      <c r="K114" s="30" t="n">
        <f aca="false">SUMPRODUCT($L$6:$L$81,$K$6:$K$81)</f>
        <v>1</v>
      </c>
    </row>
    <row r="115" customFormat="false" ht="15" hidden="false" customHeight="false" outlineLevel="0" collapsed="false">
      <c r="B115" s="30" t="n">
        <f aca="false">SUMPRODUCT($C$6:$C$81,$L$6:$L$81)</f>
        <v>-0.121233612767257</v>
      </c>
      <c r="C115" s="30" t="n">
        <f aca="false">SUMPRODUCT($C$6:$C$81,$C$6:$C$81)</f>
        <v>0.493963661653485</v>
      </c>
      <c r="D115" s="30" t="n">
        <f aca="false">SUMPRODUCT($C$6:$C$81,$D$6:$D$81)</f>
        <v>-213.844074053853</v>
      </c>
      <c r="E115" s="30" t="n">
        <f aca="false">SUMPRODUCT($C$6:$C$81,$E$6:$E$81)</f>
        <v>536.092904308499</v>
      </c>
      <c r="F115" s="30" t="n">
        <f aca="false">SUMPRODUCT($C$6:$C$81,$F$6:$F$81)</f>
        <v>-258.35726775354</v>
      </c>
      <c r="G115" s="30" t="n">
        <f aca="false">SUMPRODUCT($C$6:$C$81,$G$6:$G$81)</f>
        <v>0.0704398903859033</v>
      </c>
      <c r="H115" s="30" t="n">
        <f aca="false">SUMPRODUCT($C$6:$C$81,$H$6:$H$81)</f>
        <v>-0.036860379912551</v>
      </c>
      <c r="I115" s="30" t="n">
        <f aca="false">SUMPRODUCT($C$6:$C$81,$I$6:$I$81)</f>
        <v>-0.0682841104375105</v>
      </c>
      <c r="J115" s="30" t="n">
        <f aca="false">SUMPRODUCT($C$6:$C$81,$J$6:$J$81)</f>
        <v>0.262181063646304</v>
      </c>
      <c r="K115" s="30" t="n">
        <f aca="false">SUMPRODUCT($C$6:$C$81,$K$6:$K$81)</f>
        <v>-0.244749418467121</v>
      </c>
    </row>
    <row r="116" customFormat="false" ht="15" hidden="false" customHeight="false" outlineLevel="0" collapsed="false">
      <c r="B116" s="30" t="n">
        <f aca="false">SUMPRODUCT($D$6:$D$81,$L$6:$L$81)</f>
        <v>325.942786738351</v>
      </c>
      <c r="C116" s="30" t="n">
        <f aca="false">SUMPRODUCT($D$6:$D$81,$C$6:$C$81)</f>
        <v>-213.844074053853</v>
      </c>
      <c r="D116" s="30" t="n">
        <f aca="false">SUMPRODUCT($D$6:$D$81,$D$6:$D$81)</f>
        <v>6554410.02196266</v>
      </c>
      <c r="E116" s="30" t="n">
        <f aca="false">SUMPRODUCT($D$6:$D$81,$E$6:$E$81)</f>
        <v>6110.73710727444</v>
      </c>
      <c r="F116" s="30" t="n">
        <f aca="false">SUMPRODUCT($D$6:$D$81,$F$6:$F$81)</f>
        <v>-350848.584297187</v>
      </c>
      <c r="G116" s="30" t="n">
        <f aca="false">SUMPRODUCT($D$6:$D$81,$G$6:$G$81)</f>
        <v>157.921881700649</v>
      </c>
      <c r="H116" s="30" t="n">
        <f aca="false">SUMPRODUCT($D$6:$D$81,$H$6:$H$81)</f>
        <v>160.36468791988</v>
      </c>
      <c r="I116" s="30" t="n">
        <f aca="false">SUMPRODUCT($D$6:$D$81,$I$6:$I$81)</f>
        <v>510.589251260376</v>
      </c>
      <c r="J116" s="30" t="n">
        <f aca="false">SUMPRODUCT($D$6:$D$81,$J$6:$J$81)</f>
        <v>756.86685274431</v>
      </c>
      <c r="K116" s="30" t="n">
        <f aca="false">SUMPRODUCT($D$6:$D$81,$K$6:$K$81)</f>
        <v>51.4231142857141</v>
      </c>
    </row>
    <row r="117" customFormat="false" ht="15" hidden="false" customHeight="false" outlineLevel="0" collapsed="false">
      <c r="B117" s="30" t="n">
        <f aca="false">SUMPRODUCT($E$6:$E$81,$L$6:$L$81)</f>
        <v>527.108560439561</v>
      </c>
      <c r="C117" s="30" t="n">
        <f aca="false">SUMPRODUCT($E$6:$E$81,$C$6:$C$81)</f>
        <v>536.092904308499</v>
      </c>
      <c r="D117" s="30" t="n">
        <f aca="false">SUMPRODUCT($E$6:$E$81,$D$6:$D$81)</f>
        <v>6110.73710727444</v>
      </c>
      <c r="E117" s="30" t="n">
        <f aca="false">SUMPRODUCT($E$6:$E$81,$E$6:$E$81)</f>
        <v>6503003.15102718</v>
      </c>
      <c r="F117" s="30" t="n">
        <f aca="false">SUMPRODUCT($E$6:$E$81,$F$6:$F$81)</f>
        <v>-1377315.04912634</v>
      </c>
      <c r="G117" s="30" t="n">
        <f aca="false">SUMPRODUCT($E$6:$E$81,$G$6:$G$81)</f>
        <v>-103.939166691169</v>
      </c>
      <c r="H117" s="30" t="n">
        <f aca="false">SUMPRODUCT($E$6:$E$81,$H$6:$H$81)</f>
        <v>-14.3096811472102</v>
      </c>
      <c r="I117" s="30" t="n">
        <f aca="false">SUMPRODUCT($E$6:$E$81,$I$6:$I$81)</f>
        <v>-125.85293421443</v>
      </c>
      <c r="J117" s="30" t="n">
        <f aca="false">SUMPRODUCT($E$6:$E$81,$J$6:$J$81)</f>
        <v>598.881251590669</v>
      </c>
      <c r="K117" s="30" t="n">
        <f aca="false">SUMPRODUCT($E$6:$E$81,$K$6:$K$81)</f>
        <v>-606.890139160839</v>
      </c>
    </row>
    <row r="118" customFormat="false" ht="15" hidden="false" customHeight="false" outlineLevel="0" collapsed="false">
      <c r="B118" s="30" t="n">
        <f aca="false">SUMPRODUCT($F$6:$F$81,$L$6:$L$81)</f>
        <v>1070.81611079546</v>
      </c>
      <c r="C118" s="30" t="n">
        <f aca="false">SUMPRODUCT($F$6:$F$81,$C$6:$C$81)</f>
        <v>-258.35726775354</v>
      </c>
      <c r="D118" s="30" t="n">
        <f aca="false">SUMPRODUCT($F$6:$F$81,$D$6:$D$81)</f>
        <v>-350848.584297187</v>
      </c>
      <c r="E118" s="30" t="n">
        <f aca="false">SUMPRODUCT($F$6:$F$81,$E$6:$E$81)</f>
        <v>-1377315.04912634</v>
      </c>
      <c r="F118" s="30" t="n">
        <f aca="false">SUMPRODUCT($F$6:$F$81,$F$6:$F$81)</f>
        <v>6110122.48283867</v>
      </c>
      <c r="G118" s="30" t="n">
        <f aca="false">SUMPRODUCT($F$6:$F$81,$G$6:$G$81)</f>
        <v>479.134334705858</v>
      </c>
      <c r="H118" s="30" t="n">
        <f aca="false">SUMPRODUCT($F$6:$F$81,$H$6:$H$81)</f>
        <v>-67.7085780845978</v>
      </c>
      <c r="I118" s="30" t="n">
        <f aca="false">SUMPRODUCT($F$6:$F$81,$I$6:$I$81)</f>
        <v>-143.671156423574</v>
      </c>
      <c r="J118" s="30" t="n">
        <f aca="false">SUMPRODUCT($F$6:$F$81,$J$6:$J$81)</f>
        <v>56.51817630597</v>
      </c>
      <c r="K118" s="30" t="n">
        <f aca="false">SUMPRODUCT($F$6:$F$81,$K$6:$K$81)</f>
        <v>598.881251590669</v>
      </c>
    </row>
    <row r="119" customFormat="false" ht="15" hidden="false" customHeight="false" outlineLevel="0" collapsed="false">
      <c r="B119" s="30" t="n">
        <f aca="false">SUMPRODUCT($G$6:$G$81,$L$6:$L$81)</f>
        <v>1.2903791864309</v>
      </c>
      <c r="C119" s="30" t="n">
        <f aca="false">SUMPRODUCT($G$6:$G$81,$C$6:$C$81)</f>
        <v>0.0704398903859033</v>
      </c>
      <c r="D119" s="30" t="n">
        <f aca="false">SUMPRODUCT($G$6:$G$81,$D$6:$D$81)</f>
        <v>157.921881700649</v>
      </c>
      <c r="E119" s="30" t="n">
        <f aca="false">SUMPRODUCT($G$6:$G$81,$E$6:$E$81)</f>
        <v>-103.939166691169</v>
      </c>
      <c r="F119" s="30" t="n">
        <f aca="false">SUMPRODUCT($G$6:$G$81,$F$6:$F$81)</f>
        <v>479.134334705858</v>
      </c>
      <c r="G119" s="30" t="n">
        <f aca="false">SUMPRODUCT($G$6:$G$81,$G$6:$G$81)</f>
        <v>1.22816223067722</v>
      </c>
      <c r="H119" s="30" t="n">
        <f aca="false">SUMPRODUCT($G$6:$G$81,$H$6:$H$81)</f>
        <v>0.138854123435612</v>
      </c>
      <c r="I119" s="30" t="n">
        <f aca="false">SUMPRODUCT($G$6:$G$81,$I$6:$I$81)</f>
        <v>0.098093387671017</v>
      </c>
      <c r="J119" s="30" t="n">
        <f aca="false">SUMPRODUCT($G$6:$G$81,$J$6:$J$81)</f>
        <v>0.0511719688039525</v>
      </c>
      <c r="K119" s="30" t="n">
        <f aca="false">SUMPRODUCT($G$6:$G$81,$K$6:$K$81)</f>
        <v>-0.0976170322305177</v>
      </c>
    </row>
    <row r="120" customFormat="false" ht="15" hidden="false" customHeight="false" outlineLevel="0" collapsed="false">
      <c r="B120" s="30" t="n">
        <f aca="false">SUMPRODUCT($H$6:$H$81,$L$6:$L$81)</f>
        <v>0.0713274305954488</v>
      </c>
      <c r="C120" s="30" t="n">
        <f aca="false">SUMPRODUCT($H$6:$H$81,$C$6:$C$81)</f>
        <v>-0.036860379912551</v>
      </c>
      <c r="D120" s="30" t="n">
        <f aca="false">SUMPRODUCT($H$6:$H$81,$D$6:$D$81)</f>
        <v>160.36468791988</v>
      </c>
      <c r="E120" s="30" t="n">
        <f aca="false">SUMPRODUCT($H$6:$H$81,$E$6:$E$81)</f>
        <v>-14.3096811472102</v>
      </c>
      <c r="F120" s="30" t="n">
        <f aca="false">SUMPRODUCT($H$6:$H$81,$F$6:$F$81)</f>
        <v>-67.7085780845978</v>
      </c>
      <c r="G120" s="30" t="n">
        <f aca="false">SUMPRODUCT($H$6:$H$81,$G$6:$G$81)</f>
        <v>0.138854123435612</v>
      </c>
      <c r="H120" s="30" t="n">
        <f aca="false">SUMPRODUCT($H$6:$H$81,$H$6:$H$81)</f>
        <v>0.339609588911864</v>
      </c>
      <c r="I120" s="30" t="n">
        <f aca="false">SUMPRODUCT($H$6:$H$81,$I$6:$I$81)</f>
        <v>0.0171184710462488</v>
      </c>
      <c r="J120" s="30" t="n">
        <f aca="false">SUMPRODUCT($H$6:$H$81,$J$6:$J$81)</f>
        <v>-0.0680385631508205</v>
      </c>
      <c r="K120" s="30" t="n">
        <f aca="false">SUMPRODUCT($H$6:$H$81,$K$6:$K$81)</f>
        <v>0.0668497563295599</v>
      </c>
    </row>
    <row r="121" customFormat="false" ht="15" hidden="false" customHeight="false" outlineLevel="0" collapsed="false">
      <c r="B121" s="30" t="n">
        <f aca="false">SUMPRODUCT($I$6:$I$81,$L$6:$L$81)</f>
        <v>1.18527524866206</v>
      </c>
      <c r="C121" s="30" t="n">
        <f aca="false">SUMPRODUCT($I$6:$I$81,$C$6:$C$81)</f>
        <v>-0.0682841104375105</v>
      </c>
      <c r="D121" s="30" t="n">
        <f aca="false">SUMPRODUCT($I$6:$I$81,$D$6:$D$81)</f>
        <v>510.589251260376</v>
      </c>
      <c r="E121" s="30" t="n">
        <f aca="false">SUMPRODUCT($I$6:$I$81,$E$6:$E$81)</f>
        <v>-125.85293421443</v>
      </c>
      <c r="F121" s="30" t="n">
        <f aca="false">SUMPRODUCT($I$6:$I$81,$F$6:$F$81)</f>
        <v>-143.671156423574</v>
      </c>
      <c r="G121" s="30" t="n">
        <f aca="false">SUMPRODUCT($I$6:$I$81,$G$6:$G$81)</f>
        <v>0.098093387671017</v>
      </c>
      <c r="H121" s="30" t="n">
        <f aca="false">SUMPRODUCT($I$6:$I$81,$H$6:$H$81)</f>
        <v>0.0171184710462488</v>
      </c>
      <c r="I121" s="30" t="n">
        <f aca="false">SUMPRODUCT($I$6:$I$81,$I$6:$I$81)</f>
        <v>0.299185039454418</v>
      </c>
      <c r="J121" s="30" t="n">
        <f aca="false">SUMPRODUCT($I$6:$I$81,$J$6:$J$81)</f>
        <v>-0.0502506965865937</v>
      </c>
      <c r="K121" s="30" t="n">
        <f aca="false">SUMPRODUCT($I$6:$I$81,$K$6:$K$81)</f>
        <v>0.0323260077948051</v>
      </c>
    </row>
    <row r="122" customFormat="false" ht="15" hidden="false" customHeight="false" outlineLevel="0" collapsed="false">
      <c r="B122" s="30" t="n">
        <f aca="false">SUMPRODUCT($J$6:$J$81,$L$6:$L$81)</f>
        <v>1</v>
      </c>
      <c r="C122" s="30" t="n">
        <f aca="false">SUMPRODUCT($J$6:$J$81,$C$6:$C$81)</f>
        <v>0.262181063646304</v>
      </c>
      <c r="D122" s="30" t="n">
        <f aca="false">SUMPRODUCT($J$6:$J$81,$D$6:$D$81)</f>
        <v>756.86685274431</v>
      </c>
      <c r="E122" s="30" t="n">
        <f aca="false">SUMPRODUCT($J$6:$J$81,$E$6:$E$81)</f>
        <v>598.881251590669</v>
      </c>
      <c r="F122" s="30" t="n">
        <f aca="false">SUMPRODUCT($J$6:$J$81,$F$6:$F$81)</f>
        <v>56.51817630597</v>
      </c>
      <c r="G122" s="30" t="n">
        <f aca="false">SUMPRODUCT($J$6:$J$81,$G$6:$G$81)</f>
        <v>0.0511719688039525</v>
      </c>
      <c r="H122" s="30" t="n">
        <f aca="false">SUMPRODUCT($J$6:$J$81,$H$6:$H$81)</f>
        <v>-0.0680385631508205</v>
      </c>
      <c r="I122" s="30" t="n">
        <f aca="false">SUMPRODUCT($J$6:$J$81,$I$6:$I$81)</f>
        <v>-0.0502506965865937</v>
      </c>
      <c r="J122" s="30" t="n">
        <f aca="false">SUMPRODUCT($J$6:$J$81,$J$6:$J$81)</f>
        <v>1</v>
      </c>
      <c r="K122" s="30" t="n">
        <f aca="false">SUMPRODUCT($J$6:$J$81,$K$6:$K$81)</f>
        <v>0</v>
      </c>
    </row>
    <row r="123" customFormat="false" ht="15" hidden="false" customHeight="false" outlineLevel="0" collapsed="false">
      <c r="B123" s="30" t="n">
        <f aca="false">SUMPRODUCT($K$6:$K$81,$L$6:$L$81)</f>
        <v>1</v>
      </c>
      <c r="C123" s="30" t="n">
        <f aca="false">SUMPRODUCT($K$6:$K$81,$C$6:$C$81)</f>
        <v>-0.244749418467121</v>
      </c>
      <c r="D123" s="30" t="n">
        <f aca="false">SUMPRODUCT($K$6:$K$81,$D$6:$D$81)</f>
        <v>51.4231142857141</v>
      </c>
      <c r="E123" s="30" t="n">
        <f aca="false">SUMPRODUCT($K$6:$K$81,$E$6:$E$81)</f>
        <v>-606.890139160839</v>
      </c>
      <c r="F123" s="30" t="n">
        <f aca="false">SUMPRODUCT($K$6:$K$81,$F$6:$F$81)</f>
        <v>598.881251590669</v>
      </c>
      <c r="G123" s="30" t="n">
        <f aca="false">SUMPRODUCT($K$6:$K$81,$G$6:$G$81)</f>
        <v>-0.0976170322305177</v>
      </c>
      <c r="H123" s="30" t="n">
        <f aca="false">SUMPRODUCT($K$6:$K$81,$H$6:$H$81)</f>
        <v>0.0668497563295599</v>
      </c>
      <c r="I123" s="30" t="n">
        <f aca="false">SUMPRODUCT($K$6:$K$81,$I$6:$I$81)</f>
        <v>0.0323260077948051</v>
      </c>
      <c r="J123" s="30" t="n">
        <f aca="false">SUMPRODUCT($K$6:$K$81,$J$6:$J$81)</f>
        <v>0</v>
      </c>
      <c r="K123" s="30" t="n">
        <f aca="false">SUMPRODUCT($K$6:$K$81,$K$6:$K$81)</f>
        <v>1</v>
      </c>
    </row>
    <row r="124" customFormat="false" ht="15" hidden="false" customHeight="false" outlineLevel="0" collapsed="false">
      <c r="A124" s="10" t="s">
        <v>168</v>
      </c>
    </row>
    <row r="125" customFormat="false" ht="15" hidden="false" customHeight="false" outlineLevel="0" collapsed="false">
      <c r="B125" s="30" t="n">
        <f aca="false">INDEX(MINVERSE($B$114:$K$123),1,1)</f>
        <v>0.0149975232881883</v>
      </c>
      <c r="C125" s="30" t="n">
        <f aca="false">INDEX(MINVERSE($B$114:$K$123),1,2)</f>
        <v>0.00741431826680805</v>
      </c>
      <c r="D125" s="30" t="n">
        <f aca="false">INDEX(MINVERSE($B$114:$K$123),1,3)</f>
        <v>8.33992847883044E-006</v>
      </c>
      <c r="E125" s="30" t="n">
        <f aca="false">INDEX(MINVERSE($B$114:$K$123),1,4)</f>
        <v>-2.73551155849811E-006</v>
      </c>
      <c r="F125" s="30" t="n">
        <f aca="false">INDEX(MINVERSE($B$114:$K$123),1,5)</f>
        <v>-1.86028917085229E-006</v>
      </c>
      <c r="G125" s="30" t="n">
        <f aca="false">INDEX(MINVERSE($B$114:$K$123),1,6)</f>
        <v>-0.0107758425246745</v>
      </c>
      <c r="H125" s="30" t="n">
        <f aca="false">INDEX(MINVERSE($B$114:$K$123),1,7)</f>
        <v>-0.00111228983175418</v>
      </c>
      <c r="I125" s="30" t="n">
        <f aca="false">INDEX(MINVERSE($B$114:$K$123),1,8)</f>
        <v>-0.0731741994416732</v>
      </c>
      <c r="J125" s="30" t="n">
        <f aca="false">INDEX(MINVERSE($B$114:$K$123),1,9)</f>
        <v>-0.0247115578388062</v>
      </c>
      <c r="K125" s="30" t="n">
        <f aca="false">INDEX(MINVERSE($B$114:$K$123),1,10)</f>
        <v>-0.0127699207041022</v>
      </c>
    </row>
    <row r="126" customFormat="false" ht="15" hidden="false" customHeight="false" outlineLevel="0" collapsed="false">
      <c r="B126" s="30" t="n">
        <f aca="false">INDEX(MINVERSE($B$114:$K$123),2,1)</f>
        <v>0.00741431826680788</v>
      </c>
      <c r="C126" s="30" t="n">
        <f aca="false">INDEX(MINVERSE($B$114:$K$123),2,2)</f>
        <v>3.08343988468766</v>
      </c>
      <c r="D126" s="30" t="n">
        <f aca="false">INDEX(MINVERSE($B$114:$K$123),2,3)</f>
        <v>0.000191226337509752</v>
      </c>
      <c r="E126" s="30" t="n">
        <f aca="false">INDEX(MINVERSE($B$114:$K$123),2,4)</f>
        <v>-9.82253612111122E-005</v>
      </c>
      <c r="F126" s="30" t="n">
        <f aca="false">INDEX(MINVERSE($B$114:$K$123),2,5)</f>
        <v>8.67103987730296E-005</v>
      </c>
      <c r="G126" s="30" t="n">
        <f aca="false">INDEX(MINVERSE($B$114:$K$123),2,6)</f>
        <v>-0.185285764989851</v>
      </c>
      <c r="H126" s="30" t="n">
        <f aca="false">INDEX(MINVERSE($B$114:$K$123),2,7)</f>
        <v>0.026455545186015</v>
      </c>
      <c r="I126" s="30" t="n">
        <f aca="false">INDEX(MINVERSE($B$114:$K$123),2,8)</f>
        <v>0.194033525304423</v>
      </c>
      <c r="J126" s="30" t="n">
        <f aca="false">INDEX(MINVERSE($B$114:$K$123),2,9)</f>
        <v>-0.885610375026438</v>
      </c>
      <c r="K126" s="30" t="n">
        <f aca="false">INDEX(MINVERSE($B$114:$K$123),2,10)</f>
        <v>0.599753188809403</v>
      </c>
    </row>
    <row r="127" customFormat="false" ht="15" hidden="false" customHeight="false" outlineLevel="0" collapsed="false">
      <c r="B127" s="30" t="n">
        <f aca="false">INDEX(MINVERSE($B$114:$K$123),3,1)</f>
        <v>8.33992847883045E-006</v>
      </c>
      <c r="C127" s="30" t="n">
        <f aca="false">INDEX(MINVERSE($B$114:$K$123),3,2)</f>
        <v>0.000191226337509752</v>
      </c>
      <c r="D127" s="30" t="n">
        <f aca="false">INDEX(MINVERSE($B$114:$K$123),3,3)</f>
        <v>2.23476913211934E-007</v>
      </c>
      <c r="E127" s="30" t="n">
        <f aca="false">INDEX(MINVERSE($B$114:$K$123),3,4)</f>
        <v>5.30666536720206E-009</v>
      </c>
      <c r="F127" s="30" t="n">
        <f aca="false">INDEX(MINVERSE($B$114:$K$123),3,5)</f>
        <v>6.10318443085732E-009</v>
      </c>
      <c r="G127" s="30" t="n">
        <f aca="false">INDEX(MINVERSE($B$114:$K$123),3,6)</f>
        <v>1.21754477953301E-005</v>
      </c>
      <c r="H127" s="30" t="n">
        <f aca="false">INDEX(MINVERSE($B$114:$K$123),3,7)</f>
        <v>-0.000131496591353704</v>
      </c>
      <c r="I127" s="30" t="n">
        <f aca="false">INDEX(MINVERSE($B$114:$K$123),3,8)</f>
        <v>-0.000411370241427673</v>
      </c>
      <c r="J127" s="30" t="n">
        <f aca="false">INDEX(MINVERSE($B$114:$K$123),3,9)</f>
        <v>-0.000261382646215057</v>
      </c>
      <c r="K127" s="30" t="n">
        <f aca="false">INDEX(MINVERSE($B$114:$K$123),3,10)</f>
        <v>4.98132115274661E-005</v>
      </c>
    </row>
    <row r="128" customFormat="false" ht="15" hidden="false" customHeight="false" outlineLevel="0" collapsed="false">
      <c r="B128" s="30" t="n">
        <f aca="false">INDEX(MINVERSE($B$114:$K$123),4,1)</f>
        <v>-2.73551155849798E-006</v>
      </c>
      <c r="C128" s="30" t="n">
        <f aca="false">INDEX(MINVERSE($B$114:$K$123),4,2)</f>
        <v>-9.82253612111124E-005</v>
      </c>
      <c r="D128" s="30" t="n">
        <f aca="false">INDEX(MINVERSE($B$114:$K$123),4,3)</f>
        <v>5.30666536720215E-009</v>
      </c>
      <c r="E128" s="30" t="n">
        <f aca="false">INDEX(MINVERSE($B$114:$K$123),4,4)</f>
        <v>1.85051862422331E-007</v>
      </c>
      <c r="F128" s="30" t="n">
        <f aca="false">INDEX(MINVERSE($B$114:$K$123),4,5)</f>
        <v>3.04601689545481E-008</v>
      </c>
      <c r="G128" s="30" t="n">
        <f aca="false">INDEX(MINVERSE($B$114:$K$123),4,6)</f>
        <v>2.28307073897753E-005</v>
      </c>
      <c r="H128" s="30" t="n">
        <f aca="false">INDEX(MINVERSE($B$114:$K$123),4,7)</f>
        <v>-4.3279527805394E-005</v>
      </c>
      <c r="I128" s="30" t="n">
        <f aca="false">INDEX(MINVERSE($B$114:$K$123),4,8)</f>
        <v>4.3473030744986E-005</v>
      </c>
      <c r="J128" s="30" t="n">
        <f aca="false">INDEX(MINVERSE($B$114:$K$123),4,9)</f>
        <v>-9.00021611075052E-005</v>
      </c>
      <c r="K128" s="30" t="n">
        <f aca="false">INDEX(MINVERSE($B$114:$K$123),4,10)</f>
        <v>7.62027349502356E-005</v>
      </c>
    </row>
    <row r="129" customFormat="false" ht="15" hidden="false" customHeight="false" outlineLevel="0" collapsed="false">
      <c r="B129" s="30" t="n">
        <f aca="false">INDEX(MINVERSE($B$114:$K$123),5,1)</f>
        <v>-1.86028917085225E-006</v>
      </c>
      <c r="C129" s="30" t="n">
        <f aca="false">INDEX(MINVERSE($B$114:$K$123),5,2)</f>
        <v>8.67103987730313E-005</v>
      </c>
      <c r="D129" s="30" t="n">
        <f aca="false">INDEX(MINVERSE($B$114:$K$123),5,3)</f>
        <v>6.10318443085749E-009</v>
      </c>
      <c r="E129" s="30" t="n">
        <f aca="false">INDEX(MINVERSE($B$114:$K$123),5,4)</f>
        <v>3.0460168954548E-008</v>
      </c>
      <c r="F129" s="30" t="n">
        <f aca="false">INDEX(MINVERSE($B$114:$K$123),5,5)</f>
        <v>1.98339157395439E-007</v>
      </c>
      <c r="G129" s="30" t="n">
        <f aca="false">INDEX(MINVERSE($B$114:$K$123),5,6)</f>
        <v>-0.000108805726517428</v>
      </c>
      <c r="H129" s="30" t="n">
        <f aca="false">INDEX(MINVERSE($B$114:$K$123),5,7)</f>
        <v>9.68552978856019E-005</v>
      </c>
      <c r="I129" s="30" t="n">
        <f aca="false">INDEX(MINVERSE($B$114:$K$123),5,8)</f>
        <v>0.000159878965658796</v>
      </c>
      <c r="J129" s="30" t="n">
        <f aca="false">INDEX(MINVERSE($B$114:$K$123),5,9)</f>
        <v>-3.47528970351525E-005</v>
      </c>
      <c r="K129" s="30" t="n">
        <f aca="false">INDEX(MINVERSE($B$114:$K$123),5,10)</f>
        <v>-9.97911564149298E-005</v>
      </c>
    </row>
    <row r="130" customFormat="false" ht="15" hidden="false" customHeight="false" outlineLevel="0" collapsed="false">
      <c r="B130" s="30" t="n">
        <f aca="false">INDEX(MINVERSE($B$114:$K$123),6,1)</f>
        <v>-0.0107758425246744</v>
      </c>
      <c r="C130" s="30" t="n">
        <f aca="false">INDEX(MINVERSE($B$114:$K$123),6,2)</f>
        <v>-0.185285764989851</v>
      </c>
      <c r="D130" s="30" t="n">
        <f aca="false">INDEX(MINVERSE($B$114:$K$123),6,3)</f>
        <v>1.217544779533E-005</v>
      </c>
      <c r="E130" s="30" t="n">
        <f aca="false">INDEX(MINVERSE($B$114:$K$123),6,4)</f>
        <v>2.28307073897755E-005</v>
      </c>
      <c r="F130" s="30" t="n">
        <f aca="false">INDEX(MINVERSE($B$114:$K$123),6,5)</f>
        <v>-0.000108805726517428</v>
      </c>
      <c r="G130" s="30" t="n">
        <f aca="false">INDEX(MINVERSE($B$114:$K$123),6,6)</f>
        <v>0.980547516240337</v>
      </c>
      <c r="H130" s="30" t="n">
        <f aca="false">INDEX(MINVERSE($B$114:$K$123),6,7)</f>
        <v>-0.473755645539421</v>
      </c>
      <c r="I130" s="30" t="n">
        <f aca="false">INDEX(MINVERSE($B$114:$K$123),6,8)</f>
        <v>-0.38720885948997</v>
      </c>
      <c r="J130" s="30" t="n">
        <f aca="false">INDEX(MINVERSE($B$114:$K$123),6,9)</f>
        <v>-0.059252028000056</v>
      </c>
      <c r="K130" s="30" t="n">
        <f aca="false">INDEX(MINVERSE($B$114:$K$123),6,10)</f>
        <v>0.183724105282165</v>
      </c>
    </row>
    <row r="131" customFormat="false" ht="15" hidden="false" customHeight="false" outlineLevel="0" collapsed="false">
      <c r="B131" s="30" t="n">
        <f aca="false">INDEX(MINVERSE($B$114:$K$123),7,1)</f>
        <v>-0.00111228983175423</v>
      </c>
      <c r="C131" s="30" t="n">
        <f aca="false">INDEX(MINVERSE($B$114:$K$123),7,2)</f>
        <v>0.0264555451860153</v>
      </c>
      <c r="D131" s="30" t="n">
        <f aca="false">INDEX(MINVERSE($B$114:$K$123),7,3)</f>
        <v>-0.000131496591353704</v>
      </c>
      <c r="E131" s="30" t="n">
        <f aca="false">INDEX(MINVERSE($B$114:$K$123),7,4)</f>
        <v>-4.3279527805394E-005</v>
      </c>
      <c r="F131" s="30" t="n">
        <f aca="false">INDEX(MINVERSE($B$114:$K$123),7,5)</f>
        <v>9.68552978856018E-005</v>
      </c>
      <c r="G131" s="30" t="n">
        <f aca="false">INDEX(MINVERSE($B$114:$K$123),7,6)</f>
        <v>-0.47375564553942</v>
      </c>
      <c r="H131" s="30" t="n">
        <f aca="false">INDEX(MINVERSE($B$114:$K$123),7,7)</f>
        <v>3.35010723549401</v>
      </c>
      <c r="I131" s="30" t="n">
        <f aca="false">INDEX(MINVERSE($B$114:$K$123),7,8)</f>
        <v>0.32901106281003</v>
      </c>
      <c r="J131" s="30" t="n">
        <f aca="false">INDEX(MINVERSE($B$114:$K$123),7,9)</f>
        <v>0.382859297987625</v>
      </c>
      <c r="K131" s="30" t="n">
        <f aca="false">INDEX(MINVERSE($B$114:$K$123),7,10)</f>
        <v>-0.350757593968577</v>
      </c>
    </row>
    <row r="132" customFormat="false" ht="15" hidden="false" customHeight="false" outlineLevel="0" collapsed="false">
      <c r="B132" s="30" t="n">
        <f aca="false">INDEX(MINVERSE($B$114:$K$123),8,1)</f>
        <v>-0.0731741994416734</v>
      </c>
      <c r="C132" s="30" t="n">
        <f aca="false">INDEX(MINVERSE($B$114:$K$123),8,2)</f>
        <v>0.194033525304424</v>
      </c>
      <c r="D132" s="30" t="n">
        <f aca="false">INDEX(MINVERSE($B$114:$K$123),8,3)</f>
        <v>-0.000411370241427673</v>
      </c>
      <c r="E132" s="30" t="n">
        <f aca="false">INDEX(MINVERSE($B$114:$K$123),8,4)</f>
        <v>4.34730307449867E-005</v>
      </c>
      <c r="F132" s="30" t="n">
        <f aca="false">INDEX(MINVERSE($B$114:$K$123),8,5)</f>
        <v>0.000159878965658796</v>
      </c>
      <c r="G132" s="30" t="n">
        <f aca="false">INDEX(MINVERSE($B$114:$K$123),8,6)</f>
        <v>-0.38720885948997</v>
      </c>
      <c r="H132" s="30" t="n">
        <f aca="false">INDEX(MINVERSE($B$114:$K$123),8,7)</f>
        <v>0.32901106281003</v>
      </c>
      <c r="I132" s="30" t="n">
        <f aca="false">INDEX(MINVERSE($B$114:$K$123),8,8)</f>
        <v>4.69370467671099</v>
      </c>
      <c r="J132" s="30" t="n">
        <f aca="false">INDEX(MINVERSE($B$114:$K$123),8,9)</f>
        <v>0.576645141933863</v>
      </c>
      <c r="K132" s="30" t="n">
        <f aca="false">INDEX(MINVERSE($B$114:$K$123),8,10)</f>
        <v>-0.139068653577687</v>
      </c>
    </row>
    <row r="133" customFormat="false" ht="15" hidden="false" customHeight="false" outlineLevel="0" collapsed="false">
      <c r="B133" s="30" t="n">
        <f aca="false">INDEX(MINVERSE($B$114:$K$123),9,1)</f>
        <v>-0.0247115578388063</v>
      </c>
      <c r="C133" s="30" t="n">
        <f aca="false">INDEX(MINVERSE($B$114:$K$123),9,2)</f>
        <v>-0.885610375026438</v>
      </c>
      <c r="D133" s="30" t="n">
        <f aca="false">INDEX(MINVERSE($B$114:$K$123),9,3)</f>
        <v>-0.000261382646215057</v>
      </c>
      <c r="E133" s="30" t="n">
        <f aca="false">INDEX(MINVERSE($B$114:$K$123),9,4)</f>
        <v>-9.00021611075048E-005</v>
      </c>
      <c r="F133" s="30" t="n">
        <f aca="false">INDEX(MINVERSE($B$114:$K$123),9,5)</f>
        <v>-3.47528970351518E-005</v>
      </c>
      <c r="G133" s="30" t="n">
        <f aca="false">INDEX(MINVERSE($B$114:$K$123),9,6)</f>
        <v>-0.059252028000056</v>
      </c>
      <c r="H133" s="30" t="n">
        <f aca="false">INDEX(MINVERSE($B$114:$K$123),9,7)</f>
        <v>0.382859297987625</v>
      </c>
      <c r="I133" s="30" t="n">
        <f aca="false">INDEX(MINVERSE($B$114:$K$123),9,8)</f>
        <v>0.576645141933864</v>
      </c>
      <c r="J133" s="30" t="n">
        <f aca="false">INDEX(MINVERSE($B$114:$K$123),9,9)</f>
        <v>1.56865652551177</v>
      </c>
      <c r="K133" s="30" t="n">
        <f aca="false">INDEX(MINVERSE($B$114:$K$123),9,10)</f>
        <v>-0.262427215614216</v>
      </c>
    </row>
    <row r="134" customFormat="false" ht="15" hidden="false" customHeight="false" outlineLevel="0" collapsed="false">
      <c r="B134" s="30" t="n">
        <f aca="false">INDEX(MINVERSE($B$114:$K$123),10,1)</f>
        <v>-0.0127699207041022</v>
      </c>
      <c r="C134" s="30" t="n">
        <f aca="false">INDEX(MINVERSE($B$114:$K$123),10,2)</f>
        <v>0.599753188809402</v>
      </c>
      <c r="D134" s="30" t="n">
        <f aca="false">INDEX(MINVERSE($B$114:$K$123),10,3)</f>
        <v>4.9813211527466E-005</v>
      </c>
      <c r="E134" s="30" t="n">
        <f aca="false">INDEX(MINVERSE($B$114:$K$123),10,4)</f>
        <v>7.62027349502358E-005</v>
      </c>
      <c r="F134" s="30" t="n">
        <f aca="false">INDEX(MINVERSE($B$114:$K$123),10,5)</f>
        <v>-9.97911564149302E-005</v>
      </c>
      <c r="G134" s="30" t="n">
        <f aca="false">INDEX(MINVERSE($B$114:$K$123),10,6)</f>
        <v>0.183724105282166</v>
      </c>
      <c r="H134" s="30" t="n">
        <f aca="false">INDEX(MINVERSE($B$114:$K$123),10,7)</f>
        <v>-0.350757593968577</v>
      </c>
      <c r="I134" s="30" t="n">
        <f aca="false">INDEX(MINVERSE($B$114:$K$123),10,8)</f>
        <v>-0.139068653577687</v>
      </c>
      <c r="J134" s="30" t="n">
        <f aca="false">INDEX(MINVERSE($B$114:$K$123),10,9)</f>
        <v>-0.262427215614215</v>
      </c>
      <c r="K134" s="30" t="n">
        <f aca="false">INDEX(MINVERSE($B$114:$K$123),10,10)</f>
        <v>1.30888555146349</v>
      </c>
    </row>
    <row r="135" customFormat="false" ht="15" hidden="false" customHeight="false" outlineLevel="0" collapsed="false">
      <c r="A135" s="10" t="s">
        <v>169</v>
      </c>
    </row>
    <row r="136" customFormat="false" ht="15" hidden="false" customHeight="false" outlineLevel="0" collapsed="false">
      <c r="B136" s="30" t="n">
        <f aca="false">SUMPRODUCT($O$6:$O$81,$O$6:$O$81)</f>
        <v>0.0451943773599721</v>
      </c>
      <c r="C136" s="30" t="n">
        <f aca="false">SUMPRODUCT($O$6:$O$81,$P$6:$P$81)</f>
        <v>-0.000514932645682547</v>
      </c>
      <c r="D136" s="30" t="n">
        <f aca="false">SUMPRODUCT($O$6:$O$81,$Q$6:$Q$81)</f>
        <v>0.430956940107371</v>
      </c>
      <c r="E136" s="30" t="n">
        <f aca="false">SUMPRODUCT($O$6:$O$81,$R$6:$R$81)</f>
        <v>-0.822059670403552</v>
      </c>
      <c r="F136" s="30" t="n">
        <f aca="false">SUMPRODUCT($O$6:$O$81,$S$6:$S$81)</f>
        <v>7.54852595746523</v>
      </c>
      <c r="G136" s="30" t="n">
        <f aca="false">SUMPRODUCT($O$6:$O$81,$T$6:$T$81)</f>
        <v>0.000535800901819065</v>
      </c>
      <c r="H136" s="30" t="n">
        <f aca="false">SUMPRODUCT($O$6:$O$81,$U$6:$U$81)</f>
        <v>-0.000132475994699225</v>
      </c>
      <c r="I136" s="30" t="n">
        <f aca="false">SUMPRODUCT($O$6:$O$81,$V$6:$V$81)</f>
        <v>0.000546236163522331</v>
      </c>
      <c r="J136" s="30" t="n">
        <f aca="false">SUMPRODUCT($O$6:$O$81,$W$6:$W$81)</f>
        <v>0</v>
      </c>
      <c r="K136" s="30" t="n">
        <f aca="false">SUMPRODUCT($O$6:$O$81,$X$6:$X$81)</f>
        <v>0</v>
      </c>
    </row>
    <row r="137" customFormat="false" ht="15" hidden="false" customHeight="false" outlineLevel="0" collapsed="false">
      <c r="B137" s="30" t="n">
        <f aca="false">SUMPRODUCT($P$6:$P$81,$O$6:$O$81)</f>
        <v>-0.000514932645682547</v>
      </c>
      <c r="C137" s="30" t="n">
        <f aca="false">SUMPRODUCT($P$6:$P$81,$P$6:$P$81)</f>
        <v>0.0003083146779504</v>
      </c>
      <c r="D137" s="30" t="n">
        <f aca="false">SUMPRODUCT($P$6:$P$81,$Q$6:$Q$81)</f>
        <v>-0.10053304216975</v>
      </c>
      <c r="E137" s="30" t="n">
        <f aca="false">SUMPRODUCT($P$6:$P$81,$R$6:$R$81)</f>
        <v>0.43059145708215</v>
      </c>
      <c r="F137" s="30" t="n">
        <f aca="false">SUMPRODUCT($P$6:$P$81,$S$6:$S$81)</f>
        <v>0.0367002226489422</v>
      </c>
      <c r="G137" s="30" t="n">
        <f aca="false">SUMPRODUCT($P$6:$P$81,$T$6:$T$81)</f>
        <v>-2.91388409610065E-005</v>
      </c>
      <c r="H137" s="30" t="n">
        <f aca="false">SUMPRODUCT($P$6:$P$81,$U$6:$U$81)</f>
        <v>2.03701010130658E-005</v>
      </c>
      <c r="I137" s="30" t="n">
        <f aca="false">SUMPRODUCT($P$6:$P$81,$V$6:$V$81)</f>
        <v>1.2449584787473E-005</v>
      </c>
      <c r="J137" s="30" t="n">
        <f aca="false">SUMPRODUCT($P$6:$P$81,$W$6:$W$81)</f>
        <v>0</v>
      </c>
      <c r="K137" s="30" t="n">
        <f aca="false">SUMPRODUCT($P$6:$P$81,$X$6:$X$81)</f>
        <v>0</v>
      </c>
    </row>
    <row r="138" customFormat="false" ht="15" hidden="false" customHeight="false" outlineLevel="0" collapsed="false">
      <c r="B138" s="30" t="n">
        <f aca="false">SUMPRODUCT($Q$6:$Q$81,$O$6:$O$81)</f>
        <v>0.430956940107371</v>
      </c>
      <c r="C138" s="30" t="n">
        <f aca="false">SUMPRODUCT($Q$6:$Q$81,$P$6:$P$81)</f>
        <v>-0.10053304216975</v>
      </c>
      <c r="D138" s="30" t="n">
        <f aca="false">SUMPRODUCT($Q$6:$Q$81,$Q$6:$Q$81)</f>
        <v>4806.68924767326</v>
      </c>
      <c r="E138" s="30" t="n">
        <f aca="false">SUMPRODUCT($Q$6:$Q$81,$R$6:$R$81)</f>
        <v>519.91596914286</v>
      </c>
      <c r="F138" s="30" t="n">
        <f aca="false">SUMPRODUCT($Q$6:$Q$81,$S$6:$S$81)</f>
        <v>-1361.37374957409</v>
      </c>
      <c r="G138" s="30" t="n">
        <f aca="false">SUMPRODUCT($Q$6:$Q$81,$T$6:$T$81)</f>
        <v>0.218744956116325</v>
      </c>
      <c r="H138" s="30" t="n">
        <f aca="false">SUMPRODUCT($Q$6:$Q$81,$U$6:$U$81)</f>
        <v>0.233721260297593</v>
      </c>
      <c r="I138" s="30" t="n">
        <f aca="false">SUMPRODUCT($Q$6:$Q$81,$V$6:$V$81)</f>
        <v>0.239561190635374</v>
      </c>
      <c r="J138" s="30" t="n">
        <f aca="false">SUMPRODUCT($Q$6:$Q$81,$W$6:$W$81)</f>
        <v>0</v>
      </c>
      <c r="K138" s="30" t="n">
        <f aca="false">SUMPRODUCT($Q$6:$Q$81,$X$6:$X$81)</f>
        <v>0</v>
      </c>
    </row>
    <row r="139" customFormat="false" ht="15" hidden="false" customHeight="false" outlineLevel="0" collapsed="false">
      <c r="B139" s="30" t="n">
        <f aca="false">SUMPRODUCT($R$6:$R$81,$O$6:$O$81)</f>
        <v>-0.822059670403552</v>
      </c>
      <c r="C139" s="30" t="n">
        <f aca="false">SUMPRODUCT($R$6:$R$81,$P$6:$P$81)</f>
        <v>0.43059145708215</v>
      </c>
      <c r="D139" s="30" t="n">
        <f aca="false">SUMPRODUCT($R$6:$R$81,$Q$6:$Q$81)</f>
        <v>519.91596914286</v>
      </c>
      <c r="E139" s="30" t="n">
        <f aca="false">SUMPRODUCT($R$6:$R$81,$R$6:$R$81)</f>
        <v>6216.4701025334</v>
      </c>
      <c r="F139" s="30" t="n">
        <f aca="false">SUMPRODUCT($R$6:$R$81,$S$6:$S$81)</f>
        <v>-2929.66475736587</v>
      </c>
      <c r="G139" s="30" t="n">
        <f aca="false">SUMPRODUCT($R$6:$R$81,$T$6:$T$81)</f>
        <v>-0.0997721140838401</v>
      </c>
      <c r="H139" s="30" t="n">
        <f aca="false">SUMPRODUCT($R$6:$R$81,$U$6:$U$81)</f>
        <v>0.285711702574941</v>
      </c>
      <c r="I139" s="30" t="n">
        <f aca="false">SUMPRODUCT($R$6:$R$81,$V$6:$V$81)</f>
        <v>-0.0329569232246768</v>
      </c>
      <c r="J139" s="30" t="n">
        <f aca="false">SUMPRODUCT($R$6:$R$81,$W$6:$W$81)</f>
        <v>0</v>
      </c>
      <c r="K139" s="30" t="n">
        <f aca="false">SUMPRODUCT($R$6:$R$81,$X$6:$X$81)</f>
        <v>0</v>
      </c>
    </row>
    <row r="140" customFormat="false" ht="15" hidden="false" customHeight="false" outlineLevel="0" collapsed="false">
      <c r="B140" s="30" t="n">
        <f aca="false">SUMPRODUCT($S$6:$S$81,$O$6:$O$81)</f>
        <v>7.54852595746523</v>
      </c>
      <c r="C140" s="30" t="n">
        <f aca="false">SUMPRODUCT($S$6:$S$81,$P$6:$P$81)</f>
        <v>0.0367002226489422</v>
      </c>
      <c r="D140" s="30" t="n">
        <f aca="false">SUMPRODUCT($S$6:$S$81,$Q$6:$Q$81)</f>
        <v>-1361.37374957409</v>
      </c>
      <c r="E140" s="30" t="n">
        <f aca="false">SUMPRODUCT($S$6:$S$81,$R$6:$R$81)</f>
        <v>-2929.66475736587</v>
      </c>
      <c r="F140" s="30" t="n">
        <f aca="false">SUMPRODUCT($S$6:$S$81,$S$6:$S$81)</f>
        <v>7295.41426835053</v>
      </c>
      <c r="G140" s="30" t="n">
        <f aca="false">SUMPRODUCT($S$6:$S$81,$T$6:$T$81)</f>
        <v>0.107604148012173</v>
      </c>
      <c r="H140" s="30" t="n">
        <f aca="false">SUMPRODUCT($S$6:$S$81,$U$6:$U$81)</f>
        <v>-0.199909551924063</v>
      </c>
      <c r="I140" s="30" t="n">
        <f aca="false">SUMPRODUCT($S$6:$S$81,$V$6:$V$81)</f>
        <v>0.0203650083363522</v>
      </c>
      <c r="J140" s="30" t="n">
        <f aca="false">SUMPRODUCT($S$6:$S$81,$W$6:$W$81)</f>
        <v>0</v>
      </c>
      <c r="K140" s="30" t="n">
        <f aca="false">SUMPRODUCT($S$6:$S$81,$X$6:$X$81)</f>
        <v>0</v>
      </c>
    </row>
    <row r="141" customFormat="false" ht="15" hidden="false" customHeight="false" outlineLevel="0" collapsed="false">
      <c r="B141" s="30" t="n">
        <f aca="false">SUMPRODUCT($T$6:$T$81,$O$6:$O$81)</f>
        <v>0.000535800901819065</v>
      </c>
      <c r="C141" s="30" t="n">
        <f aca="false">SUMPRODUCT($T$6:$T$81,$P$6:$P$81)</f>
        <v>-2.91388409610065E-005</v>
      </c>
      <c r="D141" s="30" t="n">
        <f aca="false">SUMPRODUCT($T$6:$T$81,$Q$6:$Q$81)</f>
        <v>0.218744956116325</v>
      </c>
      <c r="E141" s="30" t="n">
        <f aca="false">SUMPRODUCT($T$6:$T$81,$R$6:$R$81)</f>
        <v>-0.0997721140838401</v>
      </c>
      <c r="F141" s="30" t="n">
        <f aca="false">SUMPRODUCT($T$6:$T$81,$S$6:$S$81)</f>
        <v>0.107604148012173</v>
      </c>
      <c r="G141" s="30" t="n">
        <f aca="false">SUMPRODUCT($T$6:$T$81,$T$6:$T$81)</f>
        <v>0.000663166596830465</v>
      </c>
      <c r="H141" s="30" t="n">
        <f aca="false">SUMPRODUCT($T$6:$T$81,$U$6:$U$81)</f>
        <v>5.14997049580575E-005</v>
      </c>
      <c r="I141" s="30" t="n">
        <f aca="false">SUMPRODUCT($T$6:$T$81,$V$6:$V$81)</f>
        <v>2.25421565900575E-005</v>
      </c>
      <c r="J141" s="30" t="n">
        <f aca="false">SUMPRODUCT($T$6:$T$81,$W$6:$W$81)</f>
        <v>0</v>
      </c>
      <c r="K141" s="30" t="n">
        <f aca="false">SUMPRODUCT($T$6:$T$81,$X$6:$X$81)</f>
        <v>0</v>
      </c>
    </row>
    <row r="142" customFormat="false" ht="15" hidden="false" customHeight="false" outlineLevel="0" collapsed="false">
      <c r="B142" s="30" t="n">
        <f aca="false">SUMPRODUCT($U$6:$U$81,$O$6:$O$81)</f>
        <v>-0.000132475994699225</v>
      </c>
      <c r="C142" s="30" t="n">
        <f aca="false">SUMPRODUCT($U$6:$U$81,$P$6:$P$81)</f>
        <v>2.03701010130658E-005</v>
      </c>
      <c r="D142" s="30" t="n">
        <f aca="false">SUMPRODUCT($U$6:$U$81,$Q$6:$Q$81)</f>
        <v>0.233721260297593</v>
      </c>
      <c r="E142" s="30" t="n">
        <f aca="false">SUMPRODUCT($U$6:$U$81,$R$6:$R$81)</f>
        <v>0.285711702574941</v>
      </c>
      <c r="F142" s="30" t="n">
        <f aca="false">SUMPRODUCT($U$6:$U$81,$S$6:$S$81)</f>
        <v>-0.199909551924063</v>
      </c>
      <c r="G142" s="30" t="n">
        <f aca="false">SUMPRODUCT($U$6:$U$81,$T$6:$T$81)</f>
        <v>5.14997049580575E-005</v>
      </c>
      <c r="H142" s="30" t="n">
        <f aca="false">SUMPRODUCT($U$6:$U$81,$U$6:$U$81)</f>
        <v>0.000143766262574626</v>
      </c>
      <c r="I142" s="30" t="n">
        <f aca="false">SUMPRODUCT($U$6:$U$81,$V$6:$V$81)</f>
        <v>2.95415332866659E-005</v>
      </c>
      <c r="J142" s="30" t="n">
        <f aca="false">SUMPRODUCT($U$6:$U$81,$W$6:$W$81)</f>
        <v>0</v>
      </c>
      <c r="K142" s="30" t="n">
        <f aca="false">SUMPRODUCT($U$6:$U$81,$X$6:$X$81)</f>
        <v>0</v>
      </c>
    </row>
    <row r="143" customFormat="false" ht="15" hidden="false" customHeight="false" outlineLevel="0" collapsed="false">
      <c r="B143" s="30" t="n">
        <f aca="false">SUMPRODUCT($V$6:$V$81,$O$6:$O$81)</f>
        <v>0.000546236163522331</v>
      </c>
      <c r="C143" s="30" t="n">
        <f aca="false">SUMPRODUCT($V$6:$V$81,$P$6:$P$81)</f>
        <v>1.2449584787473E-005</v>
      </c>
      <c r="D143" s="30" t="n">
        <f aca="false">SUMPRODUCT($V$6:$V$81,$Q$6:$Q$81)</f>
        <v>0.239561190635374</v>
      </c>
      <c r="E143" s="30" t="n">
        <f aca="false">SUMPRODUCT($V$6:$V$81,$R$6:$R$81)</f>
        <v>-0.0329569232246768</v>
      </c>
      <c r="F143" s="30" t="n">
        <f aca="false">SUMPRODUCT($V$6:$V$81,$S$6:$S$81)</f>
        <v>0.0203650083363522</v>
      </c>
      <c r="G143" s="30" t="n">
        <f aca="false">SUMPRODUCT($V$6:$V$81,$T$6:$T$81)</f>
        <v>2.25421565900575E-005</v>
      </c>
      <c r="H143" s="30" t="n">
        <f aca="false">SUMPRODUCT($V$6:$V$81,$U$6:$U$81)</f>
        <v>2.95415332866659E-005</v>
      </c>
      <c r="I143" s="30" t="n">
        <f aca="false">SUMPRODUCT($V$6:$V$81,$V$6:$V$81)</f>
        <v>0.000128891855369147</v>
      </c>
      <c r="J143" s="30" t="n">
        <f aca="false">SUMPRODUCT($V$6:$V$81,$W$6:$W$81)</f>
        <v>0</v>
      </c>
      <c r="K143" s="30" t="n">
        <f aca="false">SUMPRODUCT($V$6:$V$81,$X$6:$X$81)</f>
        <v>0</v>
      </c>
    </row>
    <row r="144" customFormat="false" ht="15" hidden="false" customHeight="false" outlineLevel="0" collapsed="false">
      <c r="B144" s="30" t="n">
        <f aca="false">SUMPRODUCT($W$6:$W$81,$O$6:$O$81)</f>
        <v>0</v>
      </c>
      <c r="C144" s="30" t="n">
        <f aca="false">SUMPRODUCT($W$6:$W$81,$P$6:$P$81)</f>
        <v>0</v>
      </c>
      <c r="D144" s="30" t="n">
        <f aca="false">SUMPRODUCT($W$6:$W$81,$Q$6:$Q$81)</f>
        <v>0</v>
      </c>
      <c r="E144" s="30" t="n">
        <f aca="false">SUMPRODUCT($W$6:$W$81,$R$6:$R$81)</f>
        <v>0</v>
      </c>
      <c r="F144" s="30" t="n">
        <f aca="false">SUMPRODUCT($W$6:$W$81,$S$6:$S$81)</f>
        <v>0</v>
      </c>
      <c r="G144" s="30" t="n">
        <f aca="false">SUMPRODUCT($W$6:$W$81,$T$6:$T$81)</f>
        <v>0</v>
      </c>
      <c r="H144" s="30" t="n">
        <f aca="false">SUMPRODUCT($W$6:$W$81,$U$6:$U$81)</f>
        <v>0</v>
      </c>
      <c r="I144" s="30" t="n">
        <f aca="false">SUMPRODUCT($W$6:$W$81,$V$6:$V$81)</f>
        <v>0</v>
      </c>
      <c r="J144" s="30" t="n">
        <f aca="false">SUMPRODUCT($W$6:$W$81,$W$6:$W$81)</f>
        <v>0</v>
      </c>
      <c r="K144" s="30" t="n">
        <f aca="false">SUMPRODUCT($W$6:$W$81,$X$6:$X$81)</f>
        <v>0</v>
      </c>
    </row>
    <row r="145" customFormat="false" ht="15" hidden="false" customHeight="false" outlineLevel="0" collapsed="false">
      <c r="B145" s="30" t="n">
        <f aca="false">SUMPRODUCT($X$6:$X$81,$O$6:$O$81)</f>
        <v>0</v>
      </c>
      <c r="C145" s="30" t="n">
        <f aca="false">SUMPRODUCT($X$6:$X$81,$P$6:$P$81)</f>
        <v>0</v>
      </c>
      <c r="D145" s="30" t="n">
        <f aca="false">SUMPRODUCT($X$6:$X$81,$Q$6:$Q$81)</f>
        <v>0</v>
      </c>
      <c r="E145" s="30" t="n">
        <f aca="false">SUMPRODUCT($X$6:$X$81,$R$6:$R$81)</f>
        <v>0</v>
      </c>
      <c r="F145" s="30" t="n">
        <f aca="false">SUMPRODUCT($X$6:$X$81,$S$6:$S$81)</f>
        <v>0</v>
      </c>
      <c r="G145" s="30" t="n">
        <f aca="false">SUMPRODUCT($X$6:$X$81,$T$6:$T$81)</f>
        <v>0</v>
      </c>
      <c r="H145" s="30" t="n">
        <f aca="false">SUMPRODUCT($X$6:$X$81,$U$6:$U$81)</f>
        <v>0</v>
      </c>
      <c r="I145" s="30" t="n">
        <f aca="false">SUMPRODUCT($X$6:$X$81,$V$6:$V$81)</f>
        <v>0</v>
      </c>
      <c r="J145" s="30" t="n">
        <f aca="false">SUMPRODUCT($X$6:$X$81,$W$6:$W$81)</f>
        <v>0</v>
      </c>
      <c r="K145" s="30" t="n">
        <f aca="false">SUMPRODUCT($X$6:$X$81,$X$6:$X$81)</f>
        <v>0</v>
      </c>
    </row>
    <row r="146" customFormat="false" ht="15" hidden="false" customHeight="false" outlineLevel="0" collapsed="false">
      <c r="A146" s="10" t="s">
        <v>170</v>
      </c>
    </row>
    <row r="147" customFormat="false" ht="15" hidden="false" customHeight="false" outlineLevel="0" collapsed="false">
      <c r="B147" s="30" t="n">
        <f aca="false">SUMPRODUCT($O$7:$O$81,$O$6:$O$80)</f>
        <v>0.000698258245558337</v>
      </c>
      <c r="C147" s="30" t="n">
        <f aca="false">SUMPRODUCT($O$7:$O$81,$P$6:$P$80)</f>
        <v>0.000230932097685312</v>
      </c>
      <c r="D147" s="30" t="n">
        <f aca="false">SUMPRODUCT($O$7:$O$81,$Q$6:$Q$80)</f>
        <v>-1.33601971733556</v>
      </c>
      <c r="E147" s="30" t="n">
        <f aca="false">SUMPRODUCT($O$7:$O$81,$R$6:$R$80)</f>
        <v>-0.880243072716411</v>
      </c>
      <c r="F147" s="30" t="n">
        <f aca="false">SUMPRODUCT($O$7:$O$81,$S$6:$S$80)</f>
        <v>-2.4577779327174</v>
      </c>
      <c r="G147" s="30" t="n">
        <f aca="false">SUMPRODUCT($O$7:$O$81,$T$6:$T$80)</f>
        <v>-6.66054950489682E-005</v>
      </c>
      <c r="H147" s="30" t="n">
        <f aca="false">SUMPRODUCT($O$7:$O$81,$U$6:$U$80)</f>
        <v>0.000178044991494712</v>
      </c>
      <c r="I147" s="30" t="n">
        <f aca="false">SUMPRODUCT($O$7:$O$81,$V$6:$V$80)</f>
        <v>-0.000300657676905788</v>
      </c>
      <c r="J147" s="30" t="n">
        <f aca="false">SUMPRODUCT($O$7:$O$81,$W$6:$W$80)</f>
        <v>0</v>
      </c>
      <c r="K147" s="30" t="n">
        <f aca="false">SUMPRODUCT($O$7:$O$81,$X$6:$X$80)</f>
        <v>0</v>
      </c>
    </row>
    <row r="148" customFormat="false" ht="15" hidden="false" customHeight="false" outlineLevel="0" collapsed="false">
      <c r="B148" s="30" t="n">
        <f aca="false">SUMPRODUCT($P$7:$P$81,$O$6:$O$80)</f>
        <v>-0.000113018649554272</v>
      </c>
      <c r="C148" s="30" t="n">
        <f aca="false">SUMPRODUCT($P$7:$P$81,$P$6:$P$80)</f>
        <v>-3.7424048985188E-005</v>
      </c>
      <c r="D148" s="30" t="n">
        <f aca="false">SUMPRODUCT($P$7:$P$81,$Q$6:$Q$80)</f>
        <v>0.13927203118801</v>
      </c>
      <c r="E148" s="30" t="n">
        <f aca="false">SUMPRODUCT($P$7:$P$81,$R$6:$R$80)</f>
        <v>-0.253496793432126</v>
      </c>
      <c r="F148" s="30" t="n">
        <f aca="false">SUMPRODUCT($P$7:$P$81,$S$6:$S$80)</f>
        <v>-0.095085528272849</v>
      </c>
      <c r="G148" s="30" t="n">
        <f aca="false">SUMPRODUCT($P$7:$P$81,$T$6:$T$80)</f>
        <v>8.56914158370535E-005</v>
      </c>
      <c r="H148" s="30" t="n">
        <f aca="false">SUMPRODUCT($P$7:$P$81,$U$6:$U$80)</f>
        <v>-9.30783433460709E-006</v>
      </c>
      <c r="I148" s="30" t="n">
        <f aca="false">SUMPRODUCT($P$7:$P$81,$V$6:$V$80)</f>
        <v>1.86303966820567E-005</v>
      </c>
      <c r="J148" s="30" t="n">
        <f aca="false">SUMPRODUCT($P$7:$P$81,$W$6:$W$80)</f>
        <v>0</v>
      </c>
      <c r="K148" s="30" t="n">
        <f aca="false">SUMPRODUCT($P$7:$P$81,$X$6:$X$80)</f>
        <v>0</v>
      </c>
    </row>
    <row r="149" customFormat="false" ht="15" hidden="false" customHeight="false" outlineLevel="0" collapsed="false">
      <c r="B149" s="30" t="n">
        <f aca="false">SUMPRODUCT($Q$7:$Q$81,$O$6:$O$80)</f>
        <v>-0.199479028699941</v>
      </c>
      <c r="C149" s="30" t="n">
        <f aca="false">SUMPRODUCT($Q$7:$Q$81,$P$6:$P$80)</f>
        <v>-0.150264776373145</v>
      </c>
      <c r="D149" s="30" t="n">
        <f aca="false">SUMPRODUCT($Q$7:$Q$81,$Q$6:$Q$80)</f>
        <v>-44.9647464857855</v>
      </c>
      <c r="E149" s="30" t="n">
        <f aca="false">SUMPRODUCT($Q$7:$Q$81,$R$6:$R$80)</f>
        <v>369.799753947791</v>
      </c>
      <c r="F149" s="30" t="n">
        <f aca="false">SUMPRODUCT($Q$7:$Q$81,$S$6:$S$80)</f>
        <v>217.700085578184</v>
      </c>
      <c r="G149" s="30" t="n">
        <f aca="false">SUMPRODUCT($Q$7:$Q$81,$T$6:$T$80)</f>
        <v>-0.204300550681351</v>
      </c>
      <c r="H149" s="30" t="n">
        <f aca="false">SUMPRODUCT($Q$7:$Q$81,$U$6:$U$80)</f>
        <v>-0.0432720930580261</v>
      </c>
      <c r="I149" s="30" t="n">
        <f aca="false">SUMPRODUCT($Q$7:$Q$81,$V$6:$V$80)</f>
        <v>0.0575304214398117</v>
      </c>
      <c r="J149" s="30" t="n">
        <f aca="false">SUMPRODUCT($Q$7:$Q$81,$W$6:$W$80)</f>
        <v>0</v>
      </c>
      <c r="K149" s="30" t="n">
        <f aca="false">SUMPRODUCT($Q$7:$Q$81,$X$6:$X$80)</f>
        <v>0</v>
      </c>
    </row>
    <row r="150" customFormat="false" ht="15" hidden="false" customHeight="false" outlineLevel="0" collapsed="false">
      <c r="B150" s="30" t="n">
        <f aca="false">SUMPRODUCT($R$7:$R$81,$O$6:$O$80)</f>
        <v>-1.70143449407209</v>
      </c>
      <c r="C150" s="30" t="n">
        <f aca="false">SUMPRODUCT($R$7:$R$81,$P$6:$P$80)</f>
        <v>-0.228620591938861</v>
      </c>
      <c r="D150" s="30" t="n">
        <f aca="false">SUMPRODUCT($R$7:$R$81,$Q$6:$Q$80)</f>
        <v>526.251606344319</v>
      </c>
      <c r="E150" s="30" t="n">
        <f aca="false">SUMPRODUCT($R$7:$R$81,$R$6:$R$80)</f>
        <v>-691.218596479125</v>
      </c>
      <c r="F150" s="30" t="n">
        <f aca="false">SUMPRODUCT($R$7:$R$81,$S$6:$S$80)</f>
        <v>-147.892269257278</v>
      </c>
      <c r="G150" s="30" t="n">
        <f aca="false">SUMPRODUCT($R$7:$R$81,$T$6:$T$80)</f>
        <v>0.144837515053145</v>
      </c>
      <c r="H150" s="30" t="n">
        <f aca="false">SUMPRODUCT($R$7:$R$81,$U$6:$U$80)</f>
        <v>-0.209975925603249</v>
      </c>
      <c r="I150" s="30" t="n">
        <f aca="false">SUMPRODUCT($R$7:$R$81,$V$6:$V$80)</f>
        <v>0.0980070483961853</v>
      </c>
      <c r="J150" s="30" t="n">
        <f aca="false">SUMPRODUCT($R$7:$R$81,$W$6:$W$80)</f>
        <v>0</v>
      </c>
      <c r="K150" s="30" t="n">
        <f aca="false">SUMPRODUCT($R$7:$R$81,$X$6:$X$80)</f>
        <v>0</v>
      </c>
    </row>
    <row r="151" customFormat="false" ht="15" hidden="false" customHeight="false" outlineLevel="0" collapsed="false">
      <c r="B151" s="30" t="n">
        <f aca="false">SUMPRODUCT($S$7:$S$81,$O$6:$O$80)</f>
        <v>0.942148461650797</v>
      </c>
      <c r="C151" s="30" t="n">
        <f aca="false">SUMPRODUCT($S$7:$S$81,$P$6:$P$80)</f>
        <v>0.314018577607388</v>
      </c>
      <c r="D151" s="30" t="n">
        <f aca="false">SUMPRODUCT($S$7:$S$81,$Q$6:$Q$80)</f>
        <v>-886.801297261123</v>
      </c>
      <c r="E151" s="30" t="n">
        <f aca="false">SUMPRODUCT($S$7:$S$81,$R$6:$R$80)</f>
        <v>-687.675478201298</v>
      </c>
      <c r="F151" s="30" t="n">
        <f aca="false">SUMPRODUCT($S$7:$S$81,$S$6:$S$80)</f>
        <v>131.384826909505</v>
      </c>
      <c r="G151" s="30" t="n">
        <f aca="false">SUMPRODUCT($S$7:$S$81,$T$6:$T$80)</f>
        <v>-0.140367602059388</v>
      </c>
      <c r="H151" s="30" t="n">
        <f aca="false">SUMPRODUCT($S$7:$S$81,$U$6:$U$80)</f>
        <v>-0.0326111629240305</v>
      </c>
      <c r="I151" s="30" t="n">
        <f aca="false">SUMPRODUCT($S$7:$S$81,$V$6:$V$80)</f>
        <v>-0.0844674376581865</v>
      </c>
      <c r="J151" s="30" t="n">
        <f aca="false">SUMPRODUCT($S$7:$S$81,$W$6:$W$80)</f>
        <v>0</v>
      </c>
      <c r="K151" s="30" t="n">
        <f aca="false">SUMPRODUCT($S$7:$S$81,$X$6:$X$80)</f>
        <v>0</v>
      </c>
    </row>
    <row r="152" customFormat="false" ht="15" hidden="false" customHeight="false" outlineLevel="0" collapsed="false">
      <c r="B152" s="30" t="n">
        <f aca="false">SUMPRODUCT($T$7:$T$81,$O$6:$O$80)</f>
        <v>-0.000106883183047835</v>
      </c>
      <c r="C152" s="30" t="n">
        <f aca="false">SUMPRODUCT($T$7:$T$81,$P$6:$P$80)</f>
        <v>2.90806710669984E-005</v>
      </c>
      <c r="D152" s="30" t="n">
        <f aca="false">SUMPRODUCT($T$7:$T$81,$Q$6:$Q$80)</f>
        <v>0.176173078873929</v>
      </c>
      <c r="E152" s="30" t="n">
        <f aca="false">SUMPRODUCT($T$7:$T$81,$R$6:$R$80)</f>
        <v>0.00530118002986778</v>
      </c>
      <c r="F152" s="30" t="n">
        <f aca="false">SUMPRODUCT($T$7:$T$81,$S$6:$S$80)</f>
        <v>0.239055625673489</v>
      </c>
      <c r="G152" s="30" t="n">
        <f aca="false">SUMPRODUCT($T$7:$T$81,$T$6:$T$80)</f>
        <v>2.71139265248084E-005</v>
      </c>
      <c r="H152" s="30" t="n">
        <f aca="false">SUMPRODUCT($T$7:$T$81,$U$6:$U$80)</f>
        <v>5.43830049139032E-006</v>
      </c>
      <c r="I152" s="30" t="n">
        <f aca="false">SUMPRODUCT($T$7:$T$81,$V$6:$V$80)</f>
        <v>-2.17330706871265E-005</v>
      </c>
      <c r="J152" s="30" t="n">
        <f aca="false">SUMPRODUCT($T$7:$T$81,$W$6:$W$80)</f>
        <v>0</v>
      </c>
      <c r="K152" s="30" t="n">
        <f aca="false">SUMPRODUCT($T$7:$T$81,$X$6:$X$80)</f>
        <v>0</v>
      </c>
    </row>
    <row r="153" customFormat="false" ht="15" hidden="false" customHeight="false" outlineLevel="0" collapsed="false">
      <c r="B153" s="30" t="n">
        <f aca="false">SUMPRODUCT($U$7:$U$81,$O$6:$O$80)</f>
        <v>-5.98026438704731E-005</v>
      </c>
      <c r="C153" s="30" t="n">
        <f aca="false">SUMPRODUCT($U$7:$U$81,$P$6:$P$80)</f>
        <v>1.66446256658075E-005</v>
      </c>
      <c r="D153" s="30" t="n">
        <f aca="false">SUMPRODUCT($U$7:$U$81,$Q$6:$Q$80)</f>
        <v>-0.12992174235031</v>
      </c>
      <c r="E153" s="30" t="n">
        <f aca="false">SUMPRODUCT($U$7:$U$81,$R$6:$R$80)</f>
        <v>0.0630000820985512</v>
      </c>
      <c r="F153" s="30" t="n">
        <f aca="false">SUMPRODUCT($U$7:$U$81,$S$6:$S$80)</f>
        <v>0.261424848554867</v>
      </c>
      <c r="G153" s="30" t="n">
        <f aca="false">SUMPRODUCT($U$7:$U$81,$T$6:$T$80)</f>
        <v>1.70107415510614E-005</v>
      </c>
      <c r="H153" s="30" t="n">
        <f aca="false">SUMPRODUCT($U$7:$U$81,$U$6:$U$80)</f>
        <v>-2.3213832598875E-005</v>
      </c>
      <c r="I153" s="30" t="n">
        <f aca="false">SUMPRODUCT($U$7:$U$81,$V$6:$V$80)</f>
        <v>1.25052196280972E-005</v>
      </c>
      <c r="J153" s="30" t="n">
        <f aca="false">SUMPRODUCT($U$7:$U$81,$W$6:$W$80)</f>
        <v>0</v>
      </c>
      <c r="K153" s="30" t="n">
        <f aca="false">SUMPRODUCT($U$7:$U$81,$X$6:$X$80)</f>
        <v>0</v>
      </c>
    </row>
    <row r="154" customFormat="false" ht="15" hidden="false" customHeight="false" outlineLevel="0" collapsed="false">
      <c r="B154" s="30" t="n">
        <f aca="false">SUMPRODUCT($V$7:$V$81,$O$6:$O$80)</f>
        <v>-0.000340510780220696</v>
      </c>
      <c r="C154" s="30" t="n">
        <f aca="false">SUMPRODUCT($V$7:$V$81,$P$6:$P$80)</f>
        <v>-2.95180294335092E-005</v>
      </c>
      <c r="D154" s="30" t="n">
        <f aca="false">SUMPRODUCT($V$7:$V$81,$Q$6:$Q$80)</f>
        <v>0.0462882202103225</v>
      </c>
      <c r="E154" s="30" t="n">
        <f aca="false">SUMPRODUCT($V$7:$V$81,$R$6:$R$80)</f>
        <v>-0.0478205216410656</v>
      </c>
      <c r="F154" s="30" t="n">
        <f aca="false">SUMPRODUCT($V$7:$V$81,$S$6:$S$80)</f>
        <v>-0.260006372967137</v>
      </c>
      <c r="G154" s="30" t="n">
        <f aca="false">SUMPRODUCT($V$7:$V$81,$T$6:$T$80)</f>
        <v>-2.23237856525218E-005</v>
      </c>
      <c r="H154" s="30" t="n">
        <f aca="false">SUMPRODUCT($V$7:$V$81,$U$6:$U$80)</f>
        <v>1.77294741106378E-006</v>
      </c>
      <c r="I154" s="30" t="n">
        <f aca="false">SUMPRODUCT($V$7:$V$81,$V$6:$V$80)</f>
        <v>2.44951000963656E-007</v>
      </c>
      <c r="J154" s="30" t="n">
        <f aca="false">SUMPRODUCT($V$7:$V$81,$W$6:$W$80)</f>
        <v>0</v>
      </c>
      <c r="K154" s="30" t="n">
        <f aca="false">SUMPRODUCT($V$7:$V$81,$X$6:$X$80)</f>
        <v>0</v>
      </c>
    </row>
    <row r="155" customFormat="false" ht="15" hidden="false" customHeight="false" outlineLevel="0" collapsed="false">
      <c r="B155" s="30" t="n">
        <f aca="false">SUMPRODUCT($W$7:$W$81,$O$6:$O$80)</f>
        <v>0</v>
      </c>
      <c r="C155" s="30" t="n">
        <f aca="false">SUMPRODUCT($W$7:$W$81,$P$6:$P$80)</f>
        <v>0</v>
      </c>
      <c r="D155" s="30" t="n">
        <f aca="false">SUMPRODUCT($W$7:$W$81,$Q$6:$Q$80)</f>
        <v>0</v>
      </c>
      <c r="E155" s="30" t="n">
        <f aca="false">SUMPRODUCT($W$7:$W$81,$R$6:$R$80)</f>
        <v>0</v>
      </c>
      <c r="F155" s="30" t="n">
        <f aca="false">SUMPRODUCT($W$7:$W$81,$S$6:$S$80)</f>
        <v>0</v>
      </c>
      <c r="G155" s="30" t="n">
        <f aca="false">SUMPRODUCT($W$7:$W$81,$T$6:$T$80)</f>
        <v>0</v>
      </c>
      <c r="H155" s="30" t="n">
        <f aca="false">SUMPRODUCT($W$7:$W$81,$U$6:$U$80)</f>
        <v>0</v>
      </c>
      <c r="I155" s="30" t="n">
        <f aca="false">SUMPRODUCT($W$7:$W$81,$V$6:$V$80)</f>
        <v>0</v>
      </c>
      <c r="J155" s="30" t="n">
        <f aca="false">SUMPRODUCT($W$7:$W$81,$W$6:$W$80)</f>
        <v>0</v>
      </c>
      <c r="K155" s="30" t="n">
        <f aca="false">SUMPRODUCT($W$7:$W$81,$X$6:$X$80)</f>
        <v>0</v>
      </c>
    </row>
    <row r="156" customFormat="false" ht="15" hidden="false" customHeight="false" outlineLevel="0" collapsed="false">
      <c r="B156" s="30" t="n">
        <f aca="false">SUMPRODUCT($X$7:$X$81,$O$6:$O$80)</f>
        <v>0</v>
      </c>
      <c r="C156" s="30" t="n">
        <f aca="false">SUMPRODUCT($X$7:$X$81,$P$6:$P$80)</f>
        <v>0</v>
      </c>
      <c r="D156" s="30" t="n">
        <f aca="false">SUMPRODUCT($X$7:$X$81,$Q$6:$Q$80)</f>
        <v>0</v>
      </c>
      <c r="E156" s="30" t="n">
        <f aca="false">SUMPRODUCT($X$7:$X$81,$R$6:$R$80)</f>
        <v>0</v>
      </c>
      <c r="F156" s="30" t="n">
        <f aca="false">SUMPRODUCT($X$7:$X$81,$S$6:$S$80)</f>
        <v>0</v>
      </c>
      <c r="G156" s="30" t="n">
        <f aca="false">SUMPRODUCT($X$7:$X$81,$T$6:$T$80)</f>
        <v>0</v>
      </c>
      <c r="H156" s="30" t="n">
        <f aca="false">SUMPRODUCT($X$7:$X$81,$U$6:$U$80)</f>
        <v>0</v>
      </c>
      <c r="I156" s="30" t="n">
        <f aca="false">SUMPRODUCT($X$7:$X$81,$V$6:$V$80)</f>
        <v>0</v>
      </c>
      <c r="J156" s="30" t="n">
        <f aca="false">SUMPRODUCT($X$7:$X$81,$W$6:$W$80)</f>
        <v>0</v>
      </c>
      <c r="K156" s="30" t="n">
        <f aca="false">SUMPRODUCT($X$7:$X$81,$X$6:$X$80)</f>
        <v>0</v>
      </c>
    </row>
    <row r="157" customFormat="false" ht="15" hidden="false" customHeight="false" outlineLevel="0" collapsed="false">
      <c r="A157" s="10" t="s">
        <v>171</v>
      </c>
    </row>
    <row r="158" customFormat="false" ht="15" hidden="false" customHeight="false" outlineLevel="0" collapsed="false">
      <c r="B158" s="30" t="n">
        <f aca="false">SUMPRODUCT($O$8:$O$81,$O$6:$O$79)</f>
        <v>0.00127310992907678</v>
      </c>
      <c r="C158" s="30" t="n">
        <f aca="false">SUMPRODUCT($O$8:$O$81,$P$6:$P$79)</f>
        <v>-8.61144367194096E-005</v>
      </c>
      <c r="D158" s="30" t="n">
        <f aca="false">SUMPRODUCT($O$8:$O$81,$Q$6:$Q$79)</f>
        <v>-0.196522869549557</v>
      </c>
      <c r="E158" s="30" t="n">
        <f aca="false">SUMPRODUCT($O$8:$O$81,$R$6:$R$79)</f>
        <v>0.163744355398976</v>
      </c>
      <c r="F158" s="30" t="n">
        <f aca="false">SUMPRODUCT($O$8:$O$81,$S$6:$S$79)</f>
        <v>2.49123464253445</v>
      </c>
      <c r="G158" s="30" t="n">
        <f aca="false">SUMPRODUCT($O$8:$O$81,$T$6:$T$79)</f>
        <v>9.37585969703647E-005</v>
      </c>
      <c r="H158" s="30" t="n">
        <f aca="false">SUMPRODUCT($O$8:$O$81,$U$6:$U$79)</f>
        <v>0.00052116892792226</v>
      </c>
      <c r="I158" s="30" t="n">
        <f aca="false">SUMPRODUCT($O$8:$O$81,$V$6:$V$79)</f>
        <v>7.14427288341096E-005</v>
      </c>
      <c r="J158" s="30" t="n">
        <f aca="false">SUMPRODUCT($O$8:$O$81,$W$6:$W$79)</f>
        <v>0</v>
      </c>
      <c r="K158" s="30" t="n">
        <f aca="false">SUMPRODUCT($O$8:$O$81,$X$6:$X$79)</f>
        <v>0</v>
      </c>
    </row>
    <row r="159" customFormat="false" ht="15" hidden="false" customHeight="false" outlineLevel="0" collapsed="false">
      <c r="B159" s="30" t="n">
        <f aca="false">SUMPRODUCT($P$8:$P$81,$O$6:$O$79)</f>
        <v>0.000132641889808665</v>
      </c>
      <c r="C159" s="30" t="n">
        <f aca="false">SUMPRODUCT($P$8:$P$81,$P$6:$P$79)</f>
        <v>-7.98423206617294E-006</v>
      </c>
      <c r="D159" s="30" t="n">
        <f aca="false">SUMPRODUCT($P$8:$P$81,$Q$6:$Q$79)</f>
        <v>0.0328087625905746</v>
      </c>
      <c r="E159" s="30" t="n">
        <f aca="false">SUMPRODUCT($P$8:$P$81,$R$6:$R$79)</f>
        <v>-0.0790048864058115</v>
      </c>
      <c r="F159" s="30" t="n">
        <f aca="false">SUMPRODUCT($P$8:$P$81,$S$6:$S$79)</f>
        <v>0.0961188403481949</v>
      </c>
      <c r="G159" s="30" t="n">
        <f aca="false">SUMPRODUCT($P$8:$P$81,$T$6:$T$79)</f>
        <v>-1.25670804395683E-005</v>
      </c>
      <c r="H159" s="30" t="n">
        <f aca="false">SUMPRODUCT($P$8:$P$81,$U$6:$U$79)</f>
        <v>-2.17330427796457E-005</v>
      </c>
      <c r="I159" s="30" t="n">
        <f aca="false">SUMPRODUCT($P$8:$P$81,$V$6:$V$79)</f>
        <v>9.13723005997957E-006</v>
      </c>
      <c r="J159" s="30" t="n">
        <f aca="false">SUMPRODUCT($P$8:$P$81,$W$6:$W$79)</f>
        <v>0</v>
      </c>
      <c r="K159" s="30" t="n">
        <f aca="false">SUMPRODUCT($P$8:$P$81,$X$6:$X$79)</f>
        <v>0</v>
      </c>
    </row>
    <row r="160" customFormat="false" ht="15" hidden="false" customHeight="false" outlineLevel="0" collapsed="false">
      <c r="B160" s="30" t="n">
        <f aca="false">SUMPRODUCT($Q$8:$Q$81,$O$6:$O$79)</f>
        <v>0.845770519115432</v>
      </c>
      <c r="C160" s="30" t="n">
        <f aca="false">SUMPRODUCT($Q$8:$Q$81,$P$6:$P$79)</f>
        <v>0.0447841437777031</v>
      </c>
      <c r="D160" s="30" t="n">
        <f aca="false">SUMPRODUCT($Q$8:$Q$81,$Q$6:$Q$79)</f>
        <v>-346.440356431788</v>
      </c>
      <c r="E160" s="30" t="n">
        <f aca="false">SUMPRODUCT($Q$8:$Q$81,$R$6:$R$79)</f>
        <v>307.387315738811</v>
      </c>
      <c r="F160" s="30" t="n">
        <f aca="false">SUMPRODUCT($Q$8:$Q$81,$S$6:$S$79)</f>
        <v>-229.815191756184</v>
      </c>
      <c r="G160" s="30" t="n">
        <f aca="false">SUMPRODUCT($Q$8:$Q$81,$T$6:$T$79)</f>
        <v>-0.311018409196357</v>
      </c>
      <c r="H160" s="30" t="n">
        <f aca="false">SUMPRODUCT($Q$8:$Q$81,$U$6:$U$79)</f>
        <v>0.0583092585670432</v>
      </c>
      <c r="I160" s="30" t="n">
        <f aca="false">SUMPRODUCT($Q$8:$Q$81,$V$6:$V$79)</f>
        <v>-0.102738015094511</v>
      </c>
      <c r="J160" s="30" t="n">
        <f aca="false">SUMPRODUCT($Q$8:$Q$81,$W$6:$W$79)</f>
        <v>0</v>
      </c>
      <c r="K160" s="30" t="n">
        <f aca="false">SUMPRODUCT($Q$8:$Q$81,$X$6:$X$79)</f>
        <v>0</v>
      </c>
    </row>
    <row r="161" customFormat="false" ht="15" hidden="false" customHeight="false" outlineLevel="0" collapsed="false">
      <c r="B161" s="30" t="n">
        <f aca="false">SUMPRODUCT($R$8:$R$81,$O$6:$O$79)</f>
        <v>-0.196522869549557</v>
      </c>
      <c r="C161" s="30" t="n">
        <f aca="false">SUMPRODUCT($R$8:$R$81,$P$6:$P$79)</f>
        <v>0.0975698387833483</v>
      </c>
      <c r="D161" s="30" t="n">
        <f aca="false">SUMPRODUCT($R$8:$R$81,$Q$6:$Q$79)</f>
        <v>1544.45724569469</v>
      </c>
      <c r="E161" s="30" t="n">
        <f aca="false">SUMPRODUCT($R$8:$R$81,$R$6:$R$79)</f>
        <v>259.081494157209</v>
      </c>
      <c r="F161" s="30" t="n">
        <f aca="false">SUMPRODUCT($R$8:$R$81,$S$6:$S$79)</f>
        <v>-301.484901992976</v>
      </c>
      <c r="G161" s="30" t="n">
        <f aca="false">SUMPRODUCT($R$8:$R$81,$T$6:$T$79)</f>
        <v>-0.0836714658067432</v>
      </c>
      <c r="H161" s="30" t="n">
        <f aca="false">SUMPRODUCT($R$8:$R$81,$U$6:$U$79)</f>
        <v>0.104271195731344</v>
      </c>
      <c r="I161" s="30" t="n">
        <f aca="false">SUMPRODUCT($R$8:$R$81,$V$6:$V$79)</f>
        <v>0.106317154528928</v>
      </c>
      <c r="J161" s="30" t="n">
        <f aca="false">SUMPRODUCT($R$8:$R$81,$W$6:$W$79)</f>
        <v>0</v>
      </c>
      <c r="K161" s="30" t="n">
        <f aca="false">SUMPRODUCT($R$8:$R$81,$X$6:$X$79)</f>
        <v>0</v>
      </c>
    </row>
    <row r="162" customFormat="false" ht="15" hidden="false" customHeight="false" outlineLevel="0" collapsed="false">
      <c r="B162" s="30" t="n">
        <f aca="false">SUMPRODUCT($S$8:$S$81,$O$6:$O$79)</f>
        <v>-0.220230663981338</v>
      </c>
      <c r="C162" s="30" t="n">
        <f aca="false">SUMPRODUCT($S$8:$S$81,$P$6:$P$79)</f>
        <v>0.114849754189297</v>
      </c>
      <c r="D162" s="30" t="n">
        <f aca="false">SUMPRODUCT($S$8:$S$81,$Q$6:$Q$79)</f>
        <v>-123.276198918892</v>
      </c>
      <c r="E162" s="30" t="n">
        <f aca="false">SUMPRODUCT($S$8:$S$81,$R$6:$R$79)</f>
        <v>512.557707433469</v>
      </c>
      <c r="F162" s="30" t="n">
        <f aca="false">SUMPRODUCT($S$8:$S$81,$S$6:$S$79)</f>
        <v>-705.369289238924</v>
      </c>
      <c r="G162" s="30" t="n">
        <f aca="false">SUMPRODUCT($S$8:$S$81,$T$6:$T$79)</f>
        <v>0.052937818488841</v>
      </c>
      <c r="H162" s="30" t="n">
        <f aca="false">SUMPRODUCT($S$8:$S$81,$U$6:$U$79)</f>
        <v>0.118265605741933</v>
      </c>
      <c r="I162" s="30" t="n">
        <f aca="false">SUMPRODUCT($S$8:$S$81,$V$6:$V$79)</f>
        <v>-0.0544370911177441</v>
      </c>
      <c r="J162" s="30" t="n">
        <f aca="false">SUMPRODUCT($S$8:$S$81,$W$6:$W$79)</f>
        <v>0</v>
      </c>
      <c r="K162" s="30" t="n">
        <f aca="false">SUMPRODUCT($S$8:$S$81,$X$6:$X$79)</f>
        <v>0</v>
      </c>
    </row>
    <row r="163" customFormat="false" ht="15" hidden="false" customHeight="false" outlineLevel="0" collapsed="false">
      <c r="B163" s="30" t="n">
        <f aca="false">SUMPRODUCT($T$8:$T$81,$O$6:$O$79)</f>
        <v>0.00063215236891034</v>
      </c>
      <c r="C163" s="30" t="n">
        <f aca="false">SUMPRODUCT($T$8:$T$81,$P$6:$P$79)</f>
        <v>-7.28292037059063E-005</v>
      </c>
      <c r="D163" s="30" t="n">
        <f aca="false">SUMPRODUCT($T$8:$T$81,$Q$6:$Q$79)</f>
        <v>-0.272779638530026</v>
      </c>
      <c r="E163" s="30" t="n">
        <f aca="false">SUMPRODUCT($T$8:$T$81,$R$6:$R$79)</f>
        <v>0.105796493833692</v>
      </c>
      <c r="F163" s="30" t="n">
        <f aca="false">SUMPRODUCT($T$8:$T$81,$S$6:$S$79)</f>
        <v>0.0642554916244942</v>
      </c>
      <c r="G163" s="30" t="n">
        <f aca="false">SUMPRODUCT($T$8:$T$81,$T$6:$T$79)</f>
        <v>-0.000225935197677712</v>
      </c>
      <c r="H163" s="30" t="n">
        <f aca="false">SUMPRODUCT($T$8:$T$81,$U$6:$U$79)</f>
        <v>4.95006110571334E-005</v>
      </c>
      <c r="I163" s="30" t="n">
        <f aca="false">SUMPRODUCT($T$8:$T$81,$V$6:$V$79)</f>
        <v>4.05539124791903E-005</v>
      </c>
      <c r="J163" s="30" t="n">
        <f aca="false">SUMPRODUCT($T$8:$T$81,$W$6:$W$79)</f>
        <v>0</v>
      </c>
      <c r="K163" s="30" t="n">
        <f aca="false">SUMPRODUCT($T$8:$T$81,$X$6:$X$79)</f>
        <v>0</v>
      </c>
    </row>
    <row r="164" customFormat="false" ht="15" hidden="false" customHeight="false" outlineLevel="0" collapsed="false">
      <c r="B164" s="30" t="n">
        <f aca="false">SUMPRODUCT($U$8:$U$81,$O$6:$O$79)</f>
        <v>-0.000108468632926259</v>
      </c>
      <c r="C164" s="30" t="n">
        <f aca="false">SUMPRODUCT($U$8:$U$81,$P$6:$P$79)</f>
        <v>-2.60160051765017E-005</v>
      </c>
      <c r="D164" s="30" t="n">
        <f aca="false">SUMPRODUCT($U$8:$U$81,$Q$6:$Q$79)</f>
        <v>-0.0628058263976151</v>
      </c>
      <c r="E164" s="30" t="n">
        <f aca="false">SUMPRODUCT($U$8:$U$81,$R$6:$R$79)</f>
        <v>-0.068143756703829</v>
      </c>
      <c r="F164" s="30" t="n">
        <f aca="false">SUMPRODUCT($U$8:$U$81,$S$6:$S$79)</f>
        <v>0.0832034911391952</v>
      </c>
      <c r="G164" s="30" t="n">
        <f aca="false">SUMPRODUCT($U$8:$U$81,$T$6:$T$79)</f>
        <v>-9.5569285279511E-007</v>
      </c>
      <c r="H164" s="30" t="n">
        <f aca="false">SUMPRODUCT($U$8:$U$81,$U$6:$U$79)</f>
        <v>-2.94648511707201E-005</v>
      </c>
      <c r="I164" s="30" t="n">
        <f aca="false">SUMPRODUCT($U$8:$U$81,$V$6:$V$79)</f>
        <v>-2.91256545307094E-005</v>
      </c>
      <c r="J164" s="30" t="n">
        <f aca="false">SUMPRODUCT($U$8:$U$81,$W$6:$W$79)</f>
        <v>0</v>
      </c>
      <c r="K164" s="30" t="n">
        <f aca="false">SUMPRODUCT($U$8:$U$81,$X$6:$X$79)</f>
        <v>0</v>
      </c>
    </row>
    <row r="165" customFormat="false" ht="15" hidden="false" customHeight="false" outlineLevel="0" collapsed="false">
      <c r="B165" s="30" t="n">
        <f aca="false">SUMPRODUCT($V$8:$V$81,$O$6:$O$79)</f>
        <v>-0.000287738023023155</v>
      </c>
      <c r="C165" s="30" t="n">
        <f aca="false">SUMPRODUCT($V$8:$V$81,$P$6:$P$79)</f>
        <v>3.94653964282294E-005</v>
      </c>
      <c r="D165" s="30" t="n">
        <f aca="false">SUMPRODUCT($V$8:$V$81,$Q$6:$Q$79)</f>
        <v>-0.0397783163687994</v>
      </c>
      <c r="E165" s="30" t="n">
        <f aca="false">SUMPRODUCT($V$8:$V$81,$R$6:$R$79)</f>
        <v>0.229329688719921</v>
      </c>
      <c r="F165" s="30" t="n">
        <f aca="false">SUMPRODUCT($V$8:$V$81,$S$6:$S$79)</f>
        <v>0.0351157857468384</v>
      </c>
      <c r="G165" s="30" t="n">
        <f aca="false">SUMPRODUCT($V$8:$V$81,$T$6:$T$79)</f>
        <v>-8.83126876648153E-006</v>
      </c>
      <c r="H165" s="30" t="n">
        <f aca="false">SUMPRODUCT($V$8:$V$81,$U$6:$U$79)</f>
        <v>2.71680195464805E-005</v>
      </c>
      <c r="I165" s="30" t="n">
        <f aca="false">SUMPRODUCT($V$8:$V$81,$V$6:$V$79)</f>
        <v>5.97177763542373E-007</v>
      </c>
      <c r="J165" s="30" t="n">
        <f aca="false">SUMPRODUCT($V$8:$V$81,$W$6:$W$79)</f>
        <v>0</v>
      </c>
      <c r="K165" s="30" t="n">
        <f aca="false">SUMPRODUCT($V$8:$V$81,$X$6:$X$79)</f>
        <v>0</v>
      </c>
    </row>
    <row r="166" customFormat="false" ht="15" hidden="false" customHeight="false" outlineLevel="0" collapsed="false">
      <c r="B166" s="30" t="n">
        <f aca="false">SUMPRODUCT($W$8:$W$81,$O$6:$O$79)</f>
        <v>0</v>
      </c>
      <c r="C166" s="30" t="n">
        <f aca="false">SUMPRODUCT($W$8:$W$81,$P$6:$P$79)</f>
        <v>0</v>
      </c>
      <c r="D166" s="30" t="n">
        <f aca="false">SUMPRODUCT($W$8:$W$81,$Q$6:$Q$79)</f>
        <v>0</v>
      </c>
      <c r="E166" s="30" t="n">
        <f aca="false">SUMPRODUCT($W$8:$W$81,$R$6:$R$79)</f>
        <v>0</v>
      </c>
      <c r="F166" s="30" t="n">
        <f aca="false">SUMPRODUCT($W$8:$W$81,$S$6:$S$79)</f>
        <v>0</v>
      </c>
      <c r="G166" s="30" t="n">
        <f aca="false">SUMPRODUCT($W$8:$W$81,$T$6:$T$79)</f>
        <v>0</v>
      </c>
      <c r="H166" s="30" t="n">
        <f aca="false">SUMPRODUCT($W$8:$W$81,$U$6:$U$79)</f>
        <v>0</v>
      </c>
      <c r="I166" s="30" t="n">
        <f aca="false">SUMPRODUCT($W$8:$W$81,$V$6:$V$79)</f>
        <v>0</v>
      </c>
      <c r="J166" s="30" t="n">
        <f aca="false">SUMPRODUCT($W$8:$W$81,$W$6:$W$79)</f>
        <v>0</v>
      </c>
      <c r="K166" s="30" t="n">
        <f aca="false">SUMPRODUCT($W$8:$W$81,$X$6:$X$79)</f>
        <v>0</v>
      </c>
    </row>
    <row r="167" customFormat="false" ht="15" hidden="false" customHeight="false" outlineLevel="0" collapsed="false">
      <c r="B167" s="30" t="n">
        <f aca="false">SUMPRODUCT($X$8:$X$81,$O$6:$O$79)</f>
        <v>0</v>
      </c>
      <c r="C167" s="30" t="n">
        <f aca="false">SUMPRODUCT($X$8:$X$81,$P$6:$P$79)</f>
        <v>0</v>
      </c>
      <c r="D167" s="30" t="n">
        <f aca="false">SUMPRODUCT($X$8:$X$81,$Q$6:$Q$79)</f>
        <v>0</v>
      </c>
      <c r="E167" s="30" t="n">
        <f aca="false">SUMPRODUCT($X$8:$X$81,$R$6:$R$79)</f>
        <v>0</v>
      </c>
      <c r="F167" s="30" t="n">
        <f aca="false">SUMPRODUCT($X$8:$X$81,$S$6:$S$79)</f>
        <v>0</v>
      </c>
      <c r="G167" s="30" t="n">
        <f aca="false">SUMPRODUCT($X$8:$X$81,$T$6:$T$79)</f>
        <v>0</v>
      </c>
      <c r="H167" s="30" t="n">
        <f aca="false">SUMPRODUCT($X$8:$X$81,$U$6:$U$79)</f>
        <v>0</v>
      </c>
      <c r="I167" s="30" t="n">
        <f aca="false">SUMPRODUCT($X$8:$X$81,$V$6:$V$79)</f>
        <v>0</v>
      </c>
      <c r="J167" s="30" t="n">
        <f aca="false">SUMPRODUCT($X$8:$X$81,$W$6:$W$79)</f>
        <v>0</v>
      </c>
      <c r="K167" s="30" t="n">
        <f aca="false">SUMPRODUCT($X$8:$X$81,$X$6:$X$79)</f>
        <v>0</v>
      </c>
    </row>
    <row r="168" customFormat="false" ht="15" hidden="false" customHeight="false" outlineLevel="0" collapsed="false">
      <c r="A168" s="10" t="s">
        <v>172</v>
      </c>
    </row>
    <row r="169" customFormat="false" ht="15" hidden="false" customHeight="false" outlineLevel="0" collapsed="false">
      <c r="B169" s="30" t="n">
        <f aca="false">SUMPRODUCT($O$9:$O$81,$O$6:$O$78)</f>
        <v>-0.00325588023732386</v>
      </c>
      <c r="C169" s="30" t="n">
        <f aca="false">SUMPRODUCT($O$9:$O$81,$P$6:$P$78)</f>
        <v>-0.000379298114105989</v>
      </c>
      <c r="D169" s="30" t="n">
        <f aca="false">SUMPRODUCT($O$9:$O$81,$Q$6:$Q$78)</f>
        <v>-0.867825068669861</v>
      </c>
      <c r="E169" s="30" t="n">
        <f aca="false">SUMPRODUCT($O$9:$O$81,$R$6:$R$78)</f>
        <v>-2.92192801759626</v>
      </c>
      <c r="F169" s="30" t="n">
        <f aca="false">SUMPRODUCT($O$9:$O$81,$S$6:$S$78)</f>
        <v>0.974864620871161</v>
      </c>
      <c r="G169" s="30" t="n">
        <f aca="false">SUMPRODUCT($O$9:$O$81,$T$6:$T$78)</f>
        <v>0.000504037030626057</v>
      </c>
      <c r="H169" s="30" t="n">
        <f aca="false">SUMPRODUCT($O$9:$O$81,$U$6:$U$78)</f>
        <v>-0.000500611670802119</v>
      </c>
      <c r="I169" s="30" t="n">
        <f aca="false">SUMPRODUCT($O$9:$O$81,$V$6:$V$78)</f>
        <v>0.00028231866341526</v>
      </c>
      <c r="J169" s="30" t="n">
        <f aca="false">SUMPRODUCT($O$9:$O$81,$W$6:$W$78)</f>
        <v>0</v>
      </c>
      <c r="K169" s="30" t="n">
        <f aca="false">SUMPRODUCT($O$9:$O$81,$X$6:$X$78)</f>
        <v>0</v>
      </c>
    </row>
    <row r="170" customFormat="false" ht="15" hidden="false" customHeight="false" outlineLevel="0" collapsed="false">
      <c r="B170" s="30" t="n">
        <f aca="false">SUMPRODUCT($P$9:$P$81,$O$6:$O$78)</f>
        <v>-0.000229807808439316</v>
      </c>
      <c r="C170" s="30" t="n">
        <f aca="false">SUMPRODUCT($P$9:$P$81,$P$6:$P$78)</f>
        <v>-6.06305574637415E-005</v>
      </c>
      <c r="D170" s="30" t="n">
        <f aca="false">SUMPRODUCT($P$9:$P$81,$Q$6:$Q$78)</f>
        <v>-0.232720330604307</v>
      </c>
      <c r="E170" s="30" t="n">
        <f aca="false">SUMPRODUCT($P$9:$P$81,$R$6:$R$78)</f>
        <v>-0.348093025939383</v>
      </c>
      <c r="F170" s="30" t="n">
        <f aca="false">SUMPRODUCT($P$9:$P$81,$S$6:$S$78)</f>
        <v>0.213037634206432</v>
      </c>
      <c r="G170" s="30" t="n">
        <f aca="false">SUMPRODUCT($P$9:$P$81,$T$6:$T$78)</f>
        <v>-0.000108640102918145</v>
      </c>
      <c r="H170" s="30" t="n">
        <f aca="false">SUMPRODUCT($P$9:$P$81,$U$6:$U$78)</f>
        <v>-2.07856814357671E-005</v>
      </c>
      <c r="I170" s="30" t="n">
        <f aca="false">SUMPRODUCT($P$9:$P$81,$V$6:$V$78)</f>
        <v>1.79874760589008E-005</v>
      </c>
      <c r="J170" s="30" t="n">
        <f aca="false">SUMPRODUCT($P$9:$P$81,$W$6:$W$78)</f>
        <v>0</v>
      </c>
      <c r="K170" s="30" t="n">
        <f aca="false">SUMPRODUCT($P$9:$P$81,$X$6:$X$78)</f>
        <v>0</v>
      </c>
    </row>
    <row r="171" customFormat="false" ht="15" hidden="false" customHeight="false" outlineLevel="0" collapsed="false">
      <c r="B171" s="30" t="n">
        <f aca="false">SUMPRODUCT($Q$9:$Q$81,$O$6:$O$78)</f>
        <v>-3.14591584572531</v>
      </c>
      <c r="C171" s="30" t="n">
        <f aca="false">SUMPRODUCT($Q$9:$Q$81,$P$6:$P$78)</f>
        <v>0.286083807639457</v>
      </c>
      <c r="D171" s="30" t="n">
        <f aca="false">SUMPRODUCT($Q$9:$Q$81,$Q$6:$Q$78)</f>
        <v>-329.288496447809</v>
      </c>
      <c r="E171" s="30" t="n">
        <f aca="false">SUMPRODUCT($Q$9:$Q$81,$R$6:$R$78)</f>
        <v>1062.36362036627</v>
      </c>
      <c r="F171" s="30" t="n">
        <f aca="false">SUMPRODUCT($Q$9:$Q$81,$S$6:$S$78)</f>
        <v>-731.719500782337</v>
      </c>
      <c r="G171" s="30" t="n">
        <f aca="false">SUMPRODUCT($Q$9:$Q$81,$T$6:$T$78)</f>
        <v>-0.088589041735868</v>
      </c>
      <c r="H171" s="30" t="n">
        <f aca="false">SUMPRODUCT($Q$9:$Q$81,$U$6:$U$78)</f>
        <v>0.162300728466726</v>
      </c>
      <c r="I171" s="30" t="n">
        <f aca="false">SUMPRODUCT($Q$9:$Q$81,$V$6:$V$78)</f>
        <v>-0.0595979927156994</v>
      </c>
      <c r="J171" s="30" t="n">
        <f aca="false">SUMPRODUCT($Q$9:$Q$81,$W$6:$W$78)</f>
        <v>0</v>
      </c>
      <c r="K171" s="30" t="n">
        <f aca="false">SUMPRODUCT($Q$9:$Q$81,$X$6:$X$78)</f>
        <v>0</v>
      </c>
    </row>
    <row r="172" customFormat="false" ht="15" hidden="false" customHeight="false" outlineLevel="0" collapsed="false">
      <c r="B172" s="30" t="n">
        <f aca="false">SUMPRODUCT($R$9:$R$81,$O$6:$O$78)</f>
        <v>-3.23733226069556</v>
      </c>
      <c r="C172" s="30" t="n">
        <f aca="false">SUMPRODUCT($R$9:$R$81,$P$6:$P$78)</f>
        <v>-0.094855742410322</v>
      </c>
      <c r="D172" s="30" t="n">
        <f aca="false">SUMPRODUCT($R$9:$R$81,$Q$6:$Q$78)</f>
        <v>-423.529803848499</v>
      </c>
      <c r="E172" s="30" t="n">
        <f aca="false">SUMPRODUCT($R$9:$R$81,$R$6:$R$78)</f>
        <v>151.277134817945</v>
      </c>
      <c r="F172" s="30" t="n">
        <f aca="false">SUMPRODUCT($R$9:$R$81,$S$6:$S$78)</f>
        <v>-1067.56583976826</v>
      </c>
      <c r="G172" s="30" t="n">
        <f aca="false">SUMPRODUCT($R$9:$R$81,$T$6:$T$78)</f>
        <v>0.0576979569700012</v>
      </c>
      <c r="H172" s="30" t="n">
        <f aca="false">SUMPRODUCT($R$9:$R$81,$U$6:$U$78)</f>
        <v>0.164164171849781</v>
      </c>
      <c r="I172" s="30" t="n">
        <f aca="false">SUMPRODUCT($R$9:$R$81,$V$6:$V$78)</f>
        <v>0.0656397005740967</v>
      </c>
      <c r="J172" s="30" t="n">
        <f aca="false">SUMPRODUCT($R$9:$R$81,$W$6:$W$78)</f>
        <v>0</v>
      </c>
      <c r="K172" s="30" t="n">
        <f aca="false">SUMPRODUCT($R$9:$R$81,$X$6:$X$78)</f>
        <v>0</v>
      </c>
    </row>
    <row r="173" customFormat="false" ht="15" hidden="false" customHeight="false" outlineLevel="0" collapsed="false">
      <c r="B173" s="30" t="n">
        <f aca="false">SUMPRODUCT($S$9:$S$81,$O$6:$O$78)</f>
        <v>1.57859877297929</v>
      </c>
      <c r="C173" s="30" t="n">
        <f aca="false">SUMPRODUCT($S$9:$S$81,$P$6:$P$78)</f>
        <v>-0.204841621866082</v>
      </c>
      <c r="D173" s="30" t="n">
        <f aca="false">SUMPRODUCT($S$9:$S$81,$Q$6:$Q$78)</f>
        <v>474.716630101252</v>
      </c>
      <c r="E173" s="30" t="n">
        <f aca="false">SUMPRODUCT($S$9:$S$81,$R$6:$R$78)</f>
        <v>-373.738282738842</v>
      </c>
      <c r="F173" s="30" t="n">
        <f aca="false">SUMPRODUCT($S$9:$S$81,$S$6:$S$78)</f>
        <v>867.51452479551</v>
      </c>
      <c r="G173" s="30" t="n">
        <f aca="false">SUMPRODUCT($S$9:$S$81,$T$6:$T$78)</f>
        <v>0.469984524957736</v>
      </c>
      <c r="H173" s="30" t="n">
        <f aca="false">SUMPRODUCT($S$9:$S$81,$U$6:$U$78)</f>
        <v>-0.161436648179399</v>
      </c>
      <c r="I173" s="30" t="n">
        <f aca="false">SUMPRODUCT($S$9:$S$81,$V$6:$V$78)</f>
        <v>0.173963211401474</v>
      </c>
      <c r="J173" s="30" t="n">
        <f aca="false">SUMPRODUCT($S$9:$S$81,$W$6:$W$78)</f>
        <v>0</v>
      </c>
      <c r="K173" s="30" t="n">
        <f aca="false">SUMPRODUCT($S$9:$S$81,$X$6:$X$78)</f>
        <v>0</v>
      </c>
    </row>
    <row r="174" customFormat="false" ht="15" hidden="false" customHeight="false" outlineLevel="0" collapsed="false">
      <c r="B174" s="30" t="n">
        <f aca="false">SUMPRODUCT($T$9:$T$81,$O$6:$O$78)</f>
        <v>-0.000400231537371288</v>
      </c>
      <c r="C174" s="30" t="n">
        <f aca="false">SUMPRODUCT($T$9:$T$81,$P$6:$P$78)</f>
        <v>2.860939393355E-005</v>
      </c>
      <c r="D174" s="30" t="n">
        <f aca="false">SUMPRODUCT($T$9:$T$81,$Q$6:$Q$78)</f>
        <v>-0.114920383233181</v>
      </c>
      <c r="E174" s="30" t="n">
        <f aca="false">SUMPRODUCT($T$9:$T$81,$R$6:$R$78)</f>
        <v>0.00473676135957813</v>
      </c>
      <c r="F174" s="30" t="n">
        <f aca="false">SUMPRODUCT($T$9:$T$81,$S$6:$S$78)</f>
        <v>-0.286302208002916</v>
      </c>
      <c r="G174" s="30" t="n">
        <f aca="false">SUMPRODUCT($T$9:$T$81,$T$6:$T$78)</f>
        <v>-0.000157054567743654</v>
      </c>
      <c r="H174" s="30" t="n">
        <f aca="false">SUMPRODUCT($T$9:$T$81,$U$6:$U$78)</f>
        <v>-1.76117587226466E-005</v>
      </c>
      <c r="I174" s="30" t="n">
        <f aca="false">SUMPRODUCT($T$9:$T$81,$V$6:$V$78)</f>
        <v>5.30920250357391E-005</v>
      </c>
      <c r="J174" s="30" t="n">
        <f aca="false">SUMPRODUCT($T$9:$T$81,$W$6:$W$78)</f>
        <v>0</v>
      </c>
      <c r="K174" s="30" t="n">
        <f aca="false">SUMPRODUCT($T$9:$T$81,$X$6:$X$78)</f>
        <v>0</v>
      </c>
    </row>
    <row r="175" customFormat="false" ht="15" hidden="false" customHeight="false" outlineLevel="0" collapsed="false">
      <c r="B175" s="30" t="n">
        <f aca="false">SUMPRODUCT($U$9:$U$81,$O$6:$O$78)</f>
        <v>-0.000588698791396843</v>
      </c>
      <c r="C175" s="30" t="n">
        <f aca="false">SUMPRODUCT($U$9:$U$81,$P$6:$P$78)</f>
        <v>1.72568485562798E-005</v>
      </c>
      <c r="D175" s="30" t="n">
        <f aca="false">SUMPRODUCT($U$9:$U$81,$Q$6:$Q$78)</f>
        <v>0.124646476701601</v>
      </c>
      <c r="E175" s="30" t="n">
        <f aca="false">SUMPRODUCT($U$9:$U$81,$R$6:$R$78)</f>
        <v>0.0787210273176114</v>
      </c>
      <c r="F175" s="30" t="n">
        <f aca="false">SUMPRODUCT($U$9:$U$81,$S$6:$S$78)</f>
        <v>-0.246370850499594</v>
      </c>
      <c r="G175" s="30" t="n">
        <f aca="false">SUMPRODUCT($U$9:$U$81,$T$6:$T$78)</f>
        <v>-4.9045414453448E-005</v>
      </c>
      <c r="H175" s="30" t="n">
        <f aca="false">SUMPRODUCT($U$9:$U$81,$U$6:$U$78)</f>
        <v>2.81599897549783E-005</v>
      </c>
      <c r="I175" s="30" t="n">
        <f aca="false">SUMPRODUCT($U$9:$U$81,$V$6:$V$78)</f>
        <v>1.39373387777416E-005</v>
      </c>
      <c r="J175" s="30" t="n">
        <f aca="false">SUMPRODUCT($U$9:$U$81,$W$6:$W$78)</f>
        <v>0</v>
      </c>
      <c r="K175" s="30" t="n">
        <f aca="false">SUMPRODUCT($U$9:$U$81,$X$6:$X$78)</f>
        <v>0</v>
      </c>
    </row>
    <row r="176" customFormat="false" ht="15" hidden="false" customHeight="false" outlineLevel="0" collapsed="false">
      <c r="B176" s="30" t="n">
        <f aca="false">SUMPRODUCT($V$9:$V$81,$O$6:$O$78)</f>
        <v>-9.00526262412889E-005</v>
      </c>
      <c r="C176" s="30" t="n">
        <f aca="false">SUMPRODUCT($V$9:$V$81,$P$6:$P$78)</f>
        <v>1.72844118906896E-005</v>
      </c>
      <c r="D176" s="30" t="n">
        <f aca="false">SUMPRODUCT($V$9:$V$81,$Q$6:$Q$78)</f>
        <v>0.0737782920652267</v>
      </c>
      <c r="E176" s="30" t="n">
        <f aca="false">SUMPRODUCT($V$9:$V$81,$R$6:$R$78)</f>
        <v>0.0160031092951153</v>
      </c>
      <c r="F176" s="30" t="n">
        <f aca="false">SUMPRODUCT($V$9:$V$81,$S$6:$S$78)</f>
        <v>-0.0671809920700708</v>
      </c>
      <c r="G176" s="30" t="n">
        <f aca="false">SUMPRODUCT($V$9:$V$81,$T$6:$T$78)</f>
        <v>-4.70745303773111E-005</v>
      </c>
      <c r="H176" s="30" t="n">
        <f aca="false">SUMPRODUCT($V$9:$V$81,$U$6:$U$78)</f>
        <v>-2.2991841916077E-005</v>
      </c>
      <c r="I176" s="30" t="n">
        <f aca="false">SUMPRODUCT($V$9:$V$81,$V$6:$V$78)</f>
        <v>1.41832203262925E-005</v>
      </c>
      <c r="J176" s="30" t="n">
        <f aca="false">SUMPRODUCT($V$9:$V$81,$W$6:$W$78)</f>
        <v>0</v>
      </c>
      <c r="K176" s="30" t="n">
        <f aca="false">SUMPRODUCT($V$9:$V$81,$X$6:$X$78)</f>
        <v>0</v>
      </c>
    </row>
    <row r="177" customFormat="false" ht="15" hidden="false" customHeight="false" outlineLevel="0" collapsed="false">
      <c r="B177" s="30" t="n">
        <f aca="false">SUMPRODUCT($W$9:$W$81,$O$6:$O$78)</f>
        <v>0</v>
      </c>
      <c r="C177" s="30" t="n">
        <f aca="false">SUMPRODUCT($W$9:$W$81,$P$6:$P$78)</f>
        <v>0</v>
      </c>
      <c r="D177" s="30" t="n">
        <f aca="false">SUMPRODUCT($W$9:$W$81,$Q$6:$Q$78)</f>
        <v>0</v>
      </c>
      <c r="E177" s="30" t="n">
        <f aca="false">SUMPRODUCT($W$9:$W$81,$R$6:$R$78)</f>
        <v>0</v>
      </c>
      <c r="F177" s="30" t="n">
        <f aca="false">SUMPRODUCT($W$9:$W$81,$S$6:$S$78)</f>
        <v>0</v>
      </c>
      <c r="G177" s="30" t="n">
        <f aca="false">SUMPRODUCT($W$9:$W$81,$T$6:$T$78)</f>
        <v>0</v>
      </c>
      <c r="H177" s="30" t="n">
        <f aca="false">SUMPRODUCT($W$9:$W$81,$U$6:$U$78)</f>
        <v>0</v>
      </c>
      <c r="I177" s="30" t="n">
        <f aca="false">SUMPRODUCT($W$9:$W$81,$V$6:$V$78)</f>
        <v>0</v>
      </c>
      <c r="J177" s="30" t="n">
        <f aca="false">SUMPRODUCT($W$9:$W$81,$W$6:$W$78)</f>
        <v>0</v>
      </c>
      <c r="K177" s="30" t="n">
        <f aca="false">SUMPRODUCT($W$9:$W$81,$X$6:$X$78)</f>
        <v>0</v>
      </c>
    </row>
    <row r="178" customFormat="false" ht="15" hidden="false" customHeight="false" outlineLevel="0" collapsed="false">
      <c r="B178" s="30" t="n">
        <f aca="false">SUMPRODUCT($X$9:$X$81,$O$6:$O$78)</f>
        <v>0</v>
      </c>
      <c r="C178" s="30" t="n">
        <f aca="false">SUMPRODUCT($X$9:$X$81,$P$6:$P$78)</f>
        <v>0</v>
      </c>
      <c r="D178" s="30" t="n">
        <f aca="false">SUMPRODUCT($X$9:$X$81,$Q$6:$Q$78)</f>
        <v>0</v>
      </c>
      <c r="E178" s="30" t="n">
        <f aca="false">SUMPRODUCT($X$9:$X$81,$R$6:$R$78)</f>
        <v>0</v>
      </c>
      <c r="F178" s="30" t="n">
        <f aca="false">SUMPRODUCT($X$9:$X$81,$S$6:$S$78)</f>
        <v>0</v>
      </c>
      <c r="G178" s="30" t="n">
        <f aca="false">SUMPRODUCT($X$9:$X$81,$T$6:$T$78)</f>
        <v>0</v>
      </c>
      <c r="H178" s="30" t="n">
        <f aca="false">SUMPRODUCT($X$9:$X$81,$U$6:$U$78)</f>
        <v>0</v>
      </c>
      <c r="I178" s="30" t="n">
        <f aca="false">SUMPRODUCT($X$9:$X$81,$V$6:$V$78)</f>
        <v>0</v>
      </c>
      <c r="J178" s="30" t="n">
        <f aca="false">SUMPRODUCT($X$9:$X$81,$W$6:$W$78)</f>
        <v>0</v>
      </c>
      <c r="K178" s="30" t="n">
        <f aca="false">SUMPRODUCT($X$9:$X$81,$X$6:$X$78)</f>
        <v>0</v>
      </c>
    </row>
    <row r="179" customFormat="false" ht="15" hidden="false" customHeight="false" outlineLevel="0" collapsed="false">
      <c r="A179" s="10" t="s">
        <v>173</v>
      </c>
    </row>
    <row r="180" customFormat="false" ht="15" hidden="false" customHeight="false" outlineLevel="0" collapsed="false">
      <c r="B180" s="30" t="n">
        <f aca="false">SUMPRODUCT($O$10:$O$81,$O$6:$O$77)</f>
        <v>-0.0206285074538439</v>
      </c>
      <c r="C180" s="30" t="n">
        <f aca="false">SUMPRODUCT($O$10:$O$81,$P$6:$P$77)</f>
        <v>-1.34087047371827E-005</v>
      </c>
      <c r="D180" s="30" t="n">
        <f aca="false">SUMPRODUCT($O$10:$O$81,$Q$6:$Q$77)</f>
        <v>1.00711172338782</v>
      </c>
      <c r="E180" s="30" t="n">
        <f aca="false">SUMPRODUCT($O$10:$O$81,$R$6:$R$77)</f>
        <v>-4.53988990412038</v>
      </c>
      <c r="F180" s="30" t="n">
        <f aca="false">SUMPRODUCT($O$10:$O$81,$S$6:$S$77)</f>
        <v>-1.62445274379796</v>
      </c>
      <c r="G180" s="30" t="n">
        <f aca="false">SUMPRODUCT($O$10:$O$81,$T$6:$T$77)</f>
        <v>-0.000408838548525799</v>
      </c>
      <c r="H180" s="30" t="n">
        <f aca="false">SUMPRODUCT($O$10:$O$81,$U$6:$U$77)</f>
        <v>5.60538316274877E-006</v>
      </c>
      <c r="I180" s="30" t="n">
        <f aca="false">SUMPRODUCT($O$10:$O$81,$V$6:$V$77)</f>
        <v>-0.000454005431352886</v>
      </c>
      <c r="J180" s="30" t="n">
        <f aca="false">SUMPRODUCT($O$10:$O$81,$W$6:$W$77)</f>
        <v>0</v>
      </c>
      <c r="K180" s="30" t="n">
        <f aca="false">SUMPRODUCT($O$10:$O$81,$X$6:$X$77)</f>
        <v>0</v>
      </c>
    </row>
    <row r="181" customFormat="false" ht="15" hidden="false" customHeight="false" outlineLevel="0" collapsed="false">
      <c r="B181" s="30" t="n">
        <f aca="false">SUMPRODUCT($P$10:$P$81,$O$6:$O$77)</f>
        <v>0.00037511677106298</v>
      </c>
      <c r="C181" s="30" t="n">
        <f aca="false">SUMPRODUCT($P$10:$P$81,$P$6:$P$77)</f>
        <v>9.23098331045111E-005</v>
      </c>
      <c r="D181" s="30" t="n">
        <f aca="false">SUMPRODUCT($P$10:$P$81,$Q$6:$Q$77)</f>
        <v>0.0412513316479701</v>
      </c>
      <c r="E181" s="30" t="n">
        <f aca="false">SUMPRODUCT($P$10:$P$81,$R$6:$R$77)</f>
        <v>0.0815187915537655</v>
      </c>
      <c r="F181" s="30" t="n">
        <f aca="false">SUMPRODUCT($P$10:$P$81,$S$6:$S$77)</f>
        <v>0.0516796722566147</v>
      </c>
      <c r="G181" s="30" t="n">
        <f aca="false">SUMPRODUCT($P$10:$P$81,$T$6:$T$77)</f>
        <v>-3.34834564059754E-005</v>
      </c>
      <c r="H181" s="30" t="n">
        <f aca="false">SUMPRODUCT($P$10:$P$81,$U$6:$U$77)</f>
        <v>3.30183249282198E-005</v>
      </c>
      <c r="I181" s="30" t="n">
        <f aca="false">SUMPRODUCT($P$10:$P$81,$V$6:$V$77)</f>
        <v>3.17684319178401E-005</v>
      </c>
      <c r="J181" s="30" t="n">
        <f aca="false">SUMPRODUCT($P$10:$P$81,$W$6:$W$77)</f>
        <v>0</v>
      </c>
      <c r="K181" s="30" t="n">
        <f aca="false">SUMPRODUCT($P$10:$P$81,$X$6:$X$77)</f>
        <v>0</v>
      </c>
    </row>
    <row r="182" customFormat="false" ht="15" hidden="false" customHeight="false" outlineLevel="0" collapsed="false">
      <c r="B182" s="30" t="n">
        <f aca="false">SUMPRODUCT($Q$10:$Q$81,$O$6:$O$77)</f>
        <v>-1.46712012650846</v>
      </c>
      <c r="C182" s="30" t="n">
        <f aca="false">SUMPRODUCT($Q$10:$Q$81,$P$6:$P$77)</f>
        <v>0.0396291230036869</v>
      </c>
      <c r="D182" s="30" t="n">
        <f aca="false">SUMPRODUCT($Q$10:$Q$81,$Q$6:$Q$77)</f>
        <v>-548.342869491015</v>
      </c>
      <c r="E182" s="30" t="n">
        <f aca="false">SUMPRODUCT($Q$10:$Q$81,$R$6:$R$77)</f>
        <v>165.294623102889</v>
      </c>
      <c r="F182" s="30" t="n">
        <f aca="false">SUMPRODUCT($Q$10:$Q$81,$S$6:$S$77)</f>
        <v>431.33059576918</v>
      </c>
      <c r="G182" s="30" t="n">
        <f aca="false">SUMPRODUCT($Q$10:$Q$81,$T$6:$T$77)</f>
        <v>0.317787147703362</v>
      </c>
      <c r="H182" s="30" t="n">
        <f aca="false">SUMPRODUCT($Q$10:$Q$81,$U$6:$U$77)</f>
        <v>-0.0754789665460952</v>
      </c>
      <c r="I182" s="30" t="n">
        <f aca="false">SUMPRODUCT($Q$10:$Q$81,$V$6:$V$77)</f>
        <v>-0.151686977880185</v>
      </c>
      <c r="J182" s="30" t="n">
        <f aca="false">SUMPRODUCT($Q$10:$Q$81,$W$6:$W$77)</f>
        <v>0</v>
      </c>
      <c r="K182" s="30" t="n">
        <f aca="false">SUMPRODUCT($Q$10:$Q$81,$X$6:$X$77)</f>
        <v>0</v>
      </c>
    </row>
    <row r="183" customFormat="false" ht="15" hidden="false" customHeight="false" outlineLevel="0" collapsed="false">
      <c r="B183" s="30" t="n">
        <f aca="false">SUMPRODUCT($R$10:$R$81,$O$6:$O$77)</f>
        <v>3.55835661077061</v>
      </c>
      <c r="C183" s="30" t="n">
        <f aca="false">SUMPRODUCT($R$10:$R$81,$P$6:$P$77)</f>
        <v>0.171384482253303</v>
      </c>
      <c r="D183" s="30" t="n">
        <f aca="false">SUMPRODUCT($R$10:$R$81,$Q$6:$Q$77)</f>
        <v>800.068940136183</v>
      </c>
      <c r="E183" s="30" t="n">
        <f aca="false">SUMPRODUCT($R$10:$R$81,$R$6:$R$77)</f>
        <v>2169.13311443289</v>
      </c>
      <c r="F183" s="30" t="n">
        <f aca="false">SUMPRODUCT($R$10:$R$81,$S$6:$S$77)</f>
        <v>519.286529728475</v>
      </c>
      <c r="G183" s="30" t="n">
        <f aca="false">SUMPRODUCT($R$10:$R$81,$T$6:$T$77)</f>
        <v>0.309875583377293</v>
      </c>
      <c r="H183" s="30" t="n">
        <f aca="false">SUMPRODUCT($R$10:$R$81,$U$6:$U$77)</f>
        <v>0.0690516585352301</v>
      </c>
      <c r="I183" s="30" t="n">
        <f aca="false">SUMPRODUCT($R$10:$R$81,$V$6:$V$77)</f>
        <v>-0.0785480554836049</v>
      </c>
      <c r="J183" s="30" t="n">
        <f aca="false">SUMPRODUCT($R$10:$R$81,$W$6:$W$77)</f>
        <v>0</v>
      </c>
      <c r="K183" s="30" t="n">
        <f aca="false">SUMPRODUCT($R$10:$R$81,$X$6:$X$77)</f>
        <v>0</v>
      </c>
    </row>
    <row r="184" customFormat="false" ht="15" hidden="false" customHeight="false" outlineLevel="0" collapsed="false">
      <c r="B184" s="30" t="n">
        <f aca="false">SUMPRODUCT($S$10:$S$81,$O$6:$O$77)</f>
        <v>-4.53988990412038</v>
      </c>
      <c r="C184" s="30" t="n">
        <f aca="false">SUMPRODUCT($S$10:$S$81,$P$6:$P$77)</f>
        <v>0.122605209604414</v>
      </c>
      <c r="D184" s="30" t="n">
        <f aca="false">SUMPRODUCT($S$10:$S$81,$Q$6:$Q$77)</f>
        <v>137.559153515179</v>
      </c>
      <c r="E184" s="30" t="n">
        <f aca="false">SUMPRODUCT($S$10:$S$81,$R$6:$R$77)</f>
        <v>-3070.75277550921</v>
      </c>
      <c r="F184" s="30" t="n">
        <f aca="false">SUMPRODUCT($S$10:$S$81,$S$6:$S$77)</f>
        <v>206.18105352831</v>
      </c>
      <c r="G184" s="30" t="n">
        <f aca="false">SUMPRODUCT($S$10:$S$81,$T$6:$T$77)</f>
        <v>-0.241116390061866</v>
      </c>
      <c r="H184" s="30" t="n">
        <f aca="false">SUMPRODUCT($S$10:$S$81,$U$6:$U$77)</f>
        <v>-0.124143055102301</v>
      </c>
      <c r="I184" s="30" t="n">
        <f aca="false">SUMPRODUCT($S$10:$S$81,$V$6:$V$77)</f>
        <v>0.0597709800590128</v>
      </c>
      <c r="J184" s="30" t="n">
        <f aca="false">SUMPRODUCT($S$10:$S$81,$W$6:$W$77)</f>
        <v>0</v>
      </c>
      <c r="K184" s="30" t="n">
        <f aca="false">SUMPRODUCT($S$10:$S$81,$X$6:$X$77)</f>
        <v>0</v>
      </c>
    </row>
    <row r="185" customFormat="false" ht="15" hidden="false" customHeight="false" outlineLevel="0" collapsed="false">
      <c r="B185" s="30" t="n">
        <f aca="false">SUMPRODUCT($T$10:$T$81,$O$6:$O$77)</f>
        <v>-0.000532894621262114</v>
      </c>
      <c r="C185" s="30" t="n">
        <f aca="false">SUMPRODUCT($T$10:$T$81,$P$6:$P$77)</f>
        <v>-5.29906143345523E-005</v>
      </c>
      <c r="D185" s="30" t="n">
        <f aca="false">SUMPRODUCT($T$10:$T$81,$Q$6:$Q$77)</f>
        <v>0.196644223875078</v>
      </c>
      <c r="E185" s="30" t="n">
        <f aca="false">SUMPRODUCT($T$10:$T$81,$R$6:$R$77)</f>
        <v>0.0399650433593958</v>
      </c>
      <c r="F185" s="30" t="n">
        <f aca="false">SUMPRODUCT($T$10:$T$81,$S$6:$S$77)</f>
        <v>-0.162657737541672</v>
      </c>
      <c r="G185" s="30" t="n">
        <f aca="false">SUMPRODUCT($T$10:$T$81,$T$6:$T$77)</f>
        <v>0.000166041128162969</v>
      </c>
      <c r="H185" s="30" t="n">
        <f aca="false">SUMPRODUCT($T$10:$T$81,$U$6:$U$77)</f>
        <v>2.6448130133665E-007</v>
      </c>
      <c r="I185" s="30" t="n">
        <f aca="false">SUMPRODUCT($T$10:$T$81,$V$6:$V$77)</f>
        <v>1.60441537693055E-006</v>
      </c>
      <c r="J185" s="30" t="n">
        <f aca="false">SUMPRODUCT($T$10:$T$81,$W$6:$W$77)</f>
        <v>0</v>
      </c>
      <c r="K185" s="30" t="n">
        <f aca="false">SUMPRODUCT($T$10:$T$81,$X$6:$X$77)</f>
        <v>0</v>
      </c>
    </row>
    <row r="186" customFormat="false" ht="15" hidden="false" customHeight="false" outlineLevel="0" collapsed="false">
      <c r="B186" s="30" t="n">
        <f aca="false">SUMPRODUCT($U$10:$U$81,$O$6:$O$77)</f>
        <v>0.000277992452178287</v>
      </c>
      <c r="C186" s="30" t="n">
        <f aca="false">SUMPRODUCT($U$10:$U$81,$P$6:$P$77)</f>
        <v>-3.21354091896052E-005</v>
      </c>
      <c r="D186" s="30" t="n">
        <f aca="false">SUMPRODUCT($U$10:$U$81,$Q$6:$Q$77)</f>
        <v>0.0342425415656348</v>
      </c>
      <c r="E186" s="30" t="n">
        <f aca="false">SUMPRODUCT($U$10:$U$81,$R$6:$R$77)</f>
        <v>0.195645172914503</v>
      </c>
      <c r="F186" s="30" t="n">
        <f aca="false">SUMPRODUCT($U$10:$U$81,$S$6:$S$77)</f>
        <v>-0.104277166683176</v>
      </c>
      <c r="G186" s="30" t="n">
        <f aca="false">SUMPRODUCT($U$10:$U$81,$T$6:$T$77)</f>
        <v>8.11777012638185E-005</v>
      </c>
      <c r="H186" s="30" t="n">
        <f aca="false">SUMPRODUCT($U$10:$U$81,$U$6:$U$77)</f>
        <v>1.31144929665475E-005</v>
      </c>
      <c r="I186" s="30" t="n">
        <f aca="false">SUMPRODUCT($U$10:$U$81,$V$6:$V$77)</f>
        <v>6.29542617226451E-006</v>
      </c>
      <c r="J186" s="30" t="n">
        <f aca="false">SUMPRODUCT($U$10:$U$81,$W$6:$W$77)</f>
        <v>0</v>
      </c>
      <c r="K186" s="30" t="n">
        <f aca="false">SUMPRODUCT($U$10:$U$81,$X$6:$X$77)</f>
        <v>0</v>
      </c>
    </row>
    <row r="187" customFormat="false" ht="15" hidden="false" customHeight="false" outlineLevel="0" collapsed="false">
      <c r="B187" s="30" t="n">
        <f aca="false">SUMPRODUCT($V$10:$V$81,$O$6:$O$77)</f>
        <v>2.85285617907531E-005</v>
      </c>
      <c r="C187" s="30" t="n">
        <f aca="false">SUMPRODUCT($V$10:$V$81,$P$6:$P$77)</f>
        <v>-2.08145809556573E-005</v>
      </c>
      <c r="D187" s="30" t="n">
        <f aca="false">SUMPRODUCT($V$10:$V$81,$Q$6:$Q$77)</f>
        <v>0.0546413924891843</v>
      </c>
      <c r="E187" s="30" t="n">
        <f aca="false">SUMPRODUCT($V$10:$V$81,$R$6:$R$77)</f>
        <v>-0.0537025865576078</v>
      </c>
      <c r="F187" s="30" t="n">
        <f aca="false">SUMPRODUCT($V$10:$V$81,$S$6:$S$77)</f>
        <v>-0.0973914008579436</v>
      </c>
      <c r="G187" s="30" t="n">
        <f aca="false">SUMPRODUCT($V$10:$V$81,$T$6:$T$77)</f>
        <v>5.15522848167514E-005</v>
      </c>
      <c r="H187" s="30" t="n">
        <f aca="false">SUMPRODUCT($V$10:$V$81,$U$6:$U$77)</f>
        <v>1.99205205700153E-005</v>
      </c>
      <c r="I187" s="30" t="n">
        <f aca="false">SUMPRODUCT($V$10:$V$81,$V$6:$V$77)</f>
        <v>3.71325419698819E-006</v>
      </c>
      <c r="J187" s="30" t="n">
        <f aca="false">SUMPRODUCT($V$10:$V$81,$W$6:$W$77)</f>
        <v>0</v>
      </c>
      <c r="K187" s="30" t="n">
        <f aca="false">SUMPRODUCT($V$10:$V$81,$X$6:$X$77)</f>
        <v>0</v>
      </c>
    </row>
    <row r="188" customFormat="false" ht="15" hidden="false" customHeight="false" outlineLevel="0" collapsed="false">
      <c r="B188" s="30" t="n">
        <f aca="false">SUMPRODUCT($W$10:$W$81,$O$6:$O$77)</f>
        <v>0</v>
      </c>
      <c r="C188" s="30" t="n">
        <f aca="false">SUMPRODUCT($W$10:$W$81,$P$6:$P$77)</f>
        <v>0</v>
      </c>
      <c r="D188" s="30" t="n">
        <f aca="false">SUMPRODUCT($W$10:$W$81,$Q$6:$Q$77)</f>
        <v>0</v>
      </c>
      <c r="E188" s="30" t="n">
        <f aca="false">SUMPRODUCT($W$10:$W$81,$R$6:$R$77)</f>
        <v>0</v>
      </c>
      <c r="F188" s="30" t="n">
        <f aca="false">SUMPRODUCT($W$10:$W$81,$S$6:$S$77)</f>
        <v>0</v>
      </c>
      <c r="G188" s="30" t="n">
        <f aca="false">SUMPRODUCT($W$10:$W$81,$T$6:$T$77)</f>
        <v>0</v>
      </c>
      <c r="H188" s="30" t="n">
        <f aca="false">SUMPRODUCT($W$10:$W$81,$U$6:$U$77)</f>
        <v>0</v>
      </c>
      <c r="I188" s="30" t="n">
        <f aca="false">SUMPRODUCT($W$10:$W$81,$V$6:$V$77)</f>
        <v>0</v>
      </c>
      <c r="J188" s="30" t="n">
        <f aca="false">SUMPRODUCT($W$10:$W$81,$W$6:$W$77)</f>
        <v>0</v>
      </c>
      <c r="K188" s="30" t="n">
        <f aca="false">SUMPRODUCT($W$10:$W$81,$X$6:$X$77)</f>
        <v>0</v>
      </c>
    </row>
    <row r="189" customFormat="false" ht="15" hidden="false" customHeight="false" outlineLevel="0" collapsed="false">
      <c r="B189" s="30" t="n">
        <f aca="false">SUMPRODUCT($X$10:$X$81,$O$6:$O$77)</f>
        <v>0</v>
      </c>
      <c r="C189" s="30" t="n">
        <f aca="false">SUMPRODUCT($X$10:$X$81,$P$6:$P$77)</f>
        <v>0</v>
      </c>
      <c r="D189" s="30" t="n">
        <f aca="false">SUMPRODUCT($X$10:$X$81,$Q$6:$Q$77)</f>
        <v>0</v>
      </c>
      <c r="E189" s="30" t="n">
        <f aca="false">SUMPRODUCT($X$10:$X$81,$R$6:$R$77)</f>
        <v>0</v>
      </c>
      <c r="F189" s="30" t="n">
        <f aca="false">SUMPRODUCT($X$10:$X$81,$S$6:$S$77)</f>
        <v>0</v>
      </c>
      <c r="G189" s="30" t="n">
        <f aca="false">SUMPRODUCT($X$10:$X$81,$T$6:$T$77)</f>
        <v>0</v>
      </c>
      <c r="H189" s="30" t="n">
        <f aca="false">SUMPRODUCT($X$10:$X$81,$U$6:$U$77)</f>
        <v>0</v>
      </c>
      <c r="I189" s="30" t="n">
        <f aca="false">SUMPRODUCT($X$10:$X$81,$V$6:$V$77)</f>
        <v>0</v>
      </c>
      <c r="J189" s="30" t="n">
        <f aca="false">SUMPRODUCT($X$10:$X$81,$W$6:$W$77)</f>
        <v>0</v>
      </c>
      <c r="K189" s="30" t="n">
        <f aca="false">SUMPRODUCT($X$10:$X$81,$X$6:$X$77)</f>
        <v>0</v>
      </c>
    </row>
    <row r="190" customFormat="false" ht="15" hidden="false" customHeight="false" outlineLevel="0" collapsed="false">
      <c r="A190" s="10" t="s">
        <v>174</v>
      </c>
    </row>
    <row r="191" customFormat="false" ht="15" hidden="false" customHeight="false" outlineLevel="0" collapsed="false">
      <c r="B191" s="30" t="n">
        <f aca="false">INDEX($B$136:$K$145,1,1)+0.8*(INDEX($B$147:$K$156,1,1)+INDEX($B$147:$K$156,1,1))+0.6*(INDEX($B$158:$K$167,1,1)+INDEX($B$158:$K$167,1,1))+0.4*(INDEX($B$169:$K$178,1,1)+INDEX($B$169:$K$178,1,1))+0.2*(INDEX($B$180:$K$189,1,1)+INDEX($B$180:$K$189,1,1))</f>
        <v>0.0369832152963609</v>
      </c>
      <c r="C191" s="30" t="n">
        <f aca="false">INDEX($B$136:$K$145,1,2)+0.8*(INDEX($B$147:$K$156,1,2)+INDEX($B$147:$K$156,2,1))+0.6*(INDEX($B$158:$K$167,1,2)+INDEX($B$158:$K$167,2,1))+0.4*(INDEX($B$169:$K$178,1,2)+INDEX($B$169:$K$178,2,1))+0.2*(INDEX($B$180:$K$189,1,2)+INDEX($B$180:$K$189,2,1))</f>
        <v>-0.000563986171077124</v>
      </c>
      <c r="D191" s="30" t="n">
        <f aca="false">INDEX($B$136:$K$145,1,3)+0.8*(INDEX($B$147:$K$156,1,3)+INDEX($B$147:$K$156,3,1))+0.6*(INDEX($B$158:$K$167,1,3)+INDEX($B$158:$K$167,3,1))+0.4*(INDEX($B$169:$K$178,1,3)+INDEX($B$169:$K$178,3,1))+0.2*(INDEX($B$180:$K$189,1,3)+INDEX($B$180:$K$189,3,1))</f>
        <v>-2.1053915133637</v>
      </c>
      <c r="E191" s="30" t="n">
        <f aca="false">INDEX($B$136:$K$145,1,4)+0.8*(INDEX($B$147:$K$156,1,4)+INDEX($B$147:$K$156,4,1))+0.6*(INDEX($B$158:$K$167,1,4)+INDEX($B$158:$K$167,4,1))+0.4*(INDEX($B$169:$K$178,1,4)+INDEX($B$169:$K$178,4,1))+0.2*(INDEX($B$180:$K$189,1,4)+INDEX($B$180:$K$189,4,1))</f>
        <v>-5.56707960231138</v>
      </c>
      <c r="F191" s="30" t="n">
        <f aca="false">INDEX($B$136:$K$145,1,5)+0.8*(INDEX($B$147:$K$156,1,5)+INDEX($B$147:$K$156,5,1))+0.6*(INDEX($B$158:$K$167,1,5)+INDEX($B$158:$K$167,5,1))+0.4*(INDEX($B$169:$K$178,1,5)+INDEX($B$169:$K$178,5,1))+0.2*(INDEX($B$180:$K$189,1,5)+INDEX($B$180:$K$189,5,1))</f>
        <v>7.48714159570033</v>
      </c>
      <c r="G191" s="30" t="n">
        <f aca="false">INDEX($B$136:$K$145,1,6)+0.8*(INDEX($B$147:$K$156,1,6)+INDEX($B$147:$K$156,6,1))+0.6*(INDEX($B$158:$K$167,1,6)+INDEX($B$158:$K$167,6,1))+0.4*(INDEX($B$169:$K$178,1,6)+INDEX($B$169:$K$178,6,1))+0.2*(INDEX($B$180:$K$189,1,6)+INDEX($B$180:$K$189,6,1))</f>
        <v>0.00068573210221437</v>
      </c>
      <c r="H191" s="30" t="n">
        <f aca="false">INDEX($B$136:$K$145,1,7)+0.8*(INDEX($B$147:$K$156,1,7)+INDEX($B$147:$K$156,7,1))+0.6*(INDEX($B$158:$K$167,1,7)+INDEX($B$158:$K$167,7,1))+0.4*(INDEX($B$169:$K$178,1,7)+INDEX($B$169:$K$178,7,1))+0.2*(INDEX($B$180:$K$189,1,7)+INDEX($B$180:$K$189,7,1))</f>
        <v>-0.000169266557413611</v>
      </c>
      <c r="I191" s="30" t="n">
        <f aca="false">INDEX($B$136:$K$145,1,8)+0.8*(INDEX($B$147:$K$156,1,8)+INDEX($B$147:$K$156,8,1))+0.6*(INDEX($B$158:$K$167,1,8)+INDEX($B$158:$K$167,8,1))+0.4*(INDEX($B$169:$K$178,1,8)+INDEX($B$169:$K$178,8,1))+0.2*(INDEX($B$180:$K$189,1,8)+INDEX($B$180:$K$189,8,1))</f>
        <v>-0.000104664737735121</v>
      </c>
      <c r="J191" s="30" t="n">
        <f aca="false">INDEX($B$136:$K$145,1,9)+0.8*(INDEX($B$147:$K$156,1,9)+INDEX($B$147:$K$156,9,1))+0.6*(INDEX($B$158:$K$167,1,9)+INDEX($B$158:$K$167,9,1))+0.4*(INDEX($B$169:$K$178,1,9)+INDEX($B$169:$K$178,9,1))+0.2*(INDEX($B$180:$K$189,1,9)+INDEX($B$180:$K$189,9,1))</f>
        <v>0</v>
      </c>
      <c r="K191" s="30" t="n">
        <f aca="false">INDEX($B$136:$K$145,1,10)+0.8*(INDEX($B$147:$K$156,1,10)+INDEX($B$147:$K$156,10,1))+0.6*(INDEX($B$158:$K$167,1,10)+INDEX($B$158:$K$167,10,1))+0.4*(INDEX($B$169:$K$178,1,10)+INDEX($B$169:$K$178,10,1))+0.2*(INDEX($B$180:$K$189,1,10)+INDEX($B$180:$K$189,10,1))</f>
        <v>0</v>
      </c>
    </row>
    <row r="192" customFormat="false" ht="15" hidden="false" customHeight="false" outlineLevel="0" collapsed="false">
      <c r="B192" s="30" t="n">
        <f aca="false">INDEX($B$136:$K$145,2,1)+0.8*(INDEX($B$147:$K$156,2,1)+INDEX($B$147:$K$156,1,2))+0.6*(INDEX($B$158:$K$167,2,1)+INDEX($B$158:$K$167,1,2))+0.4*(INDEX($B$169:$K$178,2,1)+INDEX($B$169:$K$178,1,2))+0.2*(INDEX($B$180:$K$189,2,1)+INDEX($B$180:$K$189,1,2))</f>
        <v>-0.000563986171077124</v>
      </c>
      <c r="C192" s="30" t="n">
        <f aca="false">INDEX($B$136:$K$145,2,2)+0.8*(INDEX($B$147:$K$156,2,2)+INDEX($B$147:$K$156,2,2))+0.6*(INDEX($B$158:$K$167,2,2)+INDEX($B$158:$K$167,2,2))+0.4*(INDEX($B$169:$K$178,2,2)+INDEX($B$169:$K$178,2,2))+0.2*(INDEX($B$180:$K$189,2,2)+INDEX($B$180:$K$189,2,2))</f>
        <v>0.000227274608365503</v>
      </c>
      <c r="D192" s="30" t="n">
        <f aca="false">INDEX($B$136:$K$145,2,3)+0.8*(INDEX($B$147:$K$156,2,3)+INDEX($B$147:$K$156,3,2))+0.6*(INDEX($B$158:$K$167,2,3)+INDEX($B$158:$K$167,3,2))+0.4*(INDEX($B$169:$K$178,2,3)+INDEX($B$169:$K$178,3,2))+0.2*(INDEX($B$180:$K$189,2,3)+INDEX($B$180:$K$189,3,2))</f>
        <v>-0.0252500127525001</v>
      </c>
      <c r="E192" s="30" t="n">
        <f aca="false">INDEX($B$136:$K$145,2,4)+0.8*(INDEX($B$147:$K$156,2,4)+INDEX($B$147:$K$156,4,2))+0.6*(INDEX($B$158:$K$167,2,4)+INDEX($B$158:$K$167,4,2))+0.4*(INDEX($B$169:$K$178,2,4)+INDEX($B$169:$K$178,4,2))+0.2*(INDEX($B$180:$K$189,2,4)+INDEX($B$180:$K$189,4,2))</f>
        <v>-0.0705623323665859</v>
      </c>
      <c r="F192" s="30" t="n">
        <f aca="false">INDEX($B$136:$K$145,2,5)+0.8*(INDEX($B$147:$K$156,2,5)+INDEX($B$147:$K$156,5,2))+0.6*(INDEX($B$158:$K$167,2,5)+INDEX($B$158:$K$167,5,2))+0.4*(INDEX($B$169:$K$178,2,5)+INDEX($B$169:$K$178,5,2))+0.2*(INDEX($B$180:$K$189,2,5)+INDEX($B$180:$K$189,5,2))</f>
        <v>0.376563200147414</v>
      </c>
      <c r="G192" s="30" t="n">
        <f aca="false">INDEX($B$136:$K$145,2,6)+0.8*(INDEX($B$147:$K$156,2,6)+INDEX($B$147:$K$156,6,2))+0.6*(INDEX($B$158:$K$167,2,6)+INDEX($B$158:$K$167,6,2))+0.4*(INDEX($B$169:$K$178,2,6)+INDEX($B$169:$K$178,6,2))+0.2*(INDEX($B$180:$K$189,2,6)+INDEX($B$180:$K$189,6,2))</f>
        <v>-3.78660396669934E-005</v>
      </c>
      <c r="H192" s="30" t="n">
        <f aca="false">INDEX($B$136:$K$145,2,7)+0.8*(INDEX($B$147:$K$156,2,7)+INDEX($B$147:$K$156,7,2))+0.6*(INDEX($B$158:$K$167,2,7)+INDEX($B$158:$K$167,7,2))+0.4*(INDEX($B$169:$K$178,2,7)+INDEX($B$169:$K$178,7,2))+0.2*(INDEX($B$180:$K$189,2,7)+INDEX($B$180:$K$189,7,2))</f>
        <v>-3.64484469973432E-006</v>
      </c>
      <c r="I192" s="30" t="n">
        <f aca="false">INDEX($B$136:$K$145,2,8)+0.8*(INDEX($B$147:$K$156,2,8)+INDEX($B$147:$K$156,8,2))+0.6*(INDEX($B$158:$K$167,2,8)+INDEX($B$158:$K$167,8,2))+0.4*(INDEX($B$169:$K$178,2,8)+INDEX($B$169:$K$178,8,2))+0.2*(INDEX($B$180:$K$189,2,8)+INDEX($B$180:$K$189,8,2))</f>
        <v>4.92005798515091E-005</v>
      </c>
      <c r="J192" s="30" t="n">
        <f aca="false">INDEX($B$136:$K$145,2,9)+0.8*(INDEX($B$147:$K$156,2,9)+INDEX($B$147:$K$156,9,2))+0.6*(INDEX($B$158:$K$167,2,9)+INDEX($B$158:$K$167,9,2))+0.4*(INDEX($B$169:$K$178,2,9)+INDEX($B$169:$K$178,9,2))+0.2*(INDEX($B$180:$K$189,2,9)+INDEX($B$180:$K$189,9,2))</f>
        <v>0</v>
      </c>
      <c r="K192" s="30" t="n">
        <f aca="false">INDEX($B$136:$K$145,2,10)+0.8*(INDEX($B$147:$K$156,2,10)+INDEX($B$147:$K$156,10,2))+0.6*(INDEX($B$158:$K$167,2,10)+INDEX($B$158:$K$167,10,2))+0.4*(INDEX($B$169:$K$178,2,10)+INDEX($B$169:$K$178,10,2))+0.2*(INDEX($B$180:$K$189,2,10)+INDEX($B$180:$K$189,10,2))</f>
        <v>0</v>
      </c>
    </row>
    <row r="193" customFormat="false" ht="15" hidden="false" customHeight="false" outlineLevel="0" collapsed="false">
      <c r="B193" s="30" t="n">
        <f aca="false">INDEX($B$136:$K$145,3,1)+0.8*(INDEX($B$147:$K$156,3,1)+INDEX($B$147:$K$156,1,3))+0.6*(INDEX($B$158:$K$167,3,1)+INDEX($B$158:$K$167,1,3))+0.4*(INDEX($B$169:$K$178,3,1)+INDEX($B$169:$K$178,1,3))+0.2*(INDEX($B$180:$K$189,3,1)+INDEX($B$180:$K$189,1,3))</f>
        <v>-2.1053915133637</v>
      </c>
      <c r="C193" s="30" t="n">
        <f aca="false">INDEX($B$136:$K$145,3,2)+0.8*(INDEX($B$147:$K$156,3,2)+INDEX($B$147:$K$156,2,3))+0.6*(INDEX($B$158:$K$167,3,2)+INDEX($B$158:$K$167,2,3))+0.4*(INDEX($B$169:$K$178,3,2)+INDEX($B$169:$K$178,2,3))+0.2*(INDEX($B$180:$K$189,3,2)+INDEX($B$180:$K$189,2,3))</f>
        <v>-0.0252500127525001</v>
      </c>
      <c r="D193" s="30" t="n">
        <f aca="false">INDEX($B$136:$K$145,3,3)+0.8*(INDEX($B$147:$K$156,3,3)+INDEX($B$147:$K$156,3,3))+0.6*(INDEX($B$158:$K$167,3,3)+INDEX($B$158:$K$167,3,3))+0.4*(INDEX($B$169:$K$178,3,3)+INDEX($B$169:$K$178,3,3))+0.2*(INDEX($B$180:$K$189,3,3)+INDEX($B$180:$K$189,3,3))</f>
        <v>3836.24928062321</v>
      </c>
      <c r="E193" s="30" t="n">
        <f aca="false">INDEX($B$136:$K$145,3,4)+0.8*(INDEX($B$147:$K$156,3,4)+INDEX($B$147:$K$156,4,3))+0.6*(INDEX($B$158:$K$167,3,4)+INDEX($B$158:$K$167,4,3))+0.4*(INDEX($B$169:$K$178,3,4)+INDEX($B$169:$K$178,4,3))+0.2*(INDEX($B$180:$K$189,3,4)+INDEX($B$180:$K$189,4,3))</f>
        <v>2796.47003349157</v>
      </c>
      <c r="F193" s="30" t="n">
        <f aca="false">INDEX($B$136:$K$145,3,5)+0.8*(INDEX($B$147:$K$156,3,5)+INDEX($B$147:$K$156,5,3))+0.6*(INDEX($B$158:$K$167,3,5)+INDEX($B$158:$K$167,5,3))+0.4*(INDEX($B$169:$K$178,3,5)+INDEX($B$169:$K$178,5,3))+0.2*(INDEX($B$180:$K$189,3,5)+INDEX($B$180:$K$189,5,3))</f>
        <v>-2097.53275174105</v>
      </c>
      <c r="G193" s="30" t="n">
        <f aca="false">INDEX($B$136:$K$145,3,6)+0.8*(INDEX($B$147:$K$156,3,6)+INDEX($B$147:$K$156,6,3))+0.6*(INDEX($B$158:$K$167,3,6)+INDEX($B$158:$K$167,6,3))+0.4*(INDEX($B$169:$K$178,3,6)+INDEX($B$169:$K$178,6,3))+0.2*(INDEX($B$180:$K$189,3,6)+INDEX($B$180:$K$189,6,3))</f>
        <v>-0.132553345637374</v>
      </c>
      <c r="H193" s="30" t="n">
        <f aca="false">INDEX($B$136:$K$145,3,7)+0.8*(INDEX($B$147:$K$156,3,7)+INDEX($B$147:$K$156,7,3))+0.6*(INDEX($B$158:$K$167,3,7)+INDEX($B$158:$K$167,7,3))+0.4*(INDEX($B$169:$K$178,3,7)+INDEX($B$169:$K$178,7,3))+0.2*(INDEX($B$180:$K$189,3,7)+INDEX($B$180:$K$189,7,3))</f>
        <v>0.19899984834382</v>
      </c>
      <c r="I193" s="30" t="n">
        <f aca="false">INDEX($B$136:$K$145,3,8)+0.8*(INDEX($B$147:$K$156,3,8)+INDEX($B$147:$K$156,8,3))+0.6*(INDEX($B$158:$K$167,3,8)+INDEX($B$158:$K$167,8,3))+0.4*(INDEX($B$169:$K$178,3,8)+INDEX($B$169:$K$178,8,3))+0.2*(INDEX($B$180:$K$189,3,8)+INDEX($B$180:$K$189,8,3))</f>
        <v>0.223369307739106</v>
      </c>
      <c r="J193" s="30" t="n">
        <f aca="false">INDEX($B$136:$K$145,3,9)+0.8*(INDEX($B$147:$K$156,3,9)+INDEX($B$147:$K$156,9,3))+0.6*(INDEX($B$158:$K$167,3,9)+INDEX($B$158:$K$167,9,3))+0.4*(INDEX($B$169:$K$178,3,9)+INDEX($B$169:$K$178,9,3))+0.2*(INDEX($B$180:$K$189,3,9)+INDEX($B$180:$K$189,9,3))</f>
        <v>0</v>
      </c>
      <c r="K193" s="30" t="n">
        <f aca="false">INDEX($B$136:$K$145,3,10)+0.8*(INDEX($B$147:$K$156,3,10)+INDEX($B$147:$K$156,10,3))+0.6*(INDEX($B$158:$K$167,3,10)+INDEX($B$158:$K$167,10,3))+0.4*(INDEX($B$169:$K$178,3,10)+INDEX($B$169:$K$178,10,3))+0.2*(INDEX($B$180:$K$189,3,10)+INDEX($B$180:$K$189,10,3))</f>
        <v>0</v>
      </c>
    </row>
    <row r="194" customFormat="false" ht="15" hidden="false" customHeight="false" outlineLevel="0" collapsed="false">
      <c r="B194" s="30" t="n">
        <f aca="false">INDEX($B$136:$K$145,4,1)+0.8*(INDEX($B$147:$K$156,4,1)+INDEX($B$147:$K$156,1,4))+0.6*(INDEX($B$158:$K$167,4,1)+INDEX($B$158:$K$167,1,4))+0.4*(INDEX($B$169:$K$178,4,1)+INDEX($B$169:$K$178,1,4))+0.2*(INDEX($B$180:$K$189,4,1)+INDEX($B$180:$K$189,1,4))</f>
        <v>-5.56707960231138</v>
      </c>
      <c r="C194" s="30" t="n">
        <f aca="false">INDEX($B$136:$K$145,4,2)+0.8*(INDEX($B$147:$K$156,4,2)+INDEX($B$147:$K$156,2,4))+0.6*(INDEX($B$158:$K$167,4,2)+INDEX($B$158:$K$167,2,4))+0.4*(INDEX($B$169:$K$178,4,2)+INDEX($B$169:$K$178,2,4))+0.2*(INDEX($B$180:$K$189,4,2)+INDEX($B$180:$K$189,2,4))</f>
        <v>-0.0705623323665859</v>
      </c>
      <c r="D194" s="30" t="n">
        <f aca="false">INDEX($B$136:$K$145,4,3)+0.8*(INDEX($B$147:$K$156,4,3)+INDEX($B$147:$K$156,3,4))+0.6*(INDEX($B$158:$K$167,4,3)+INDEX($B$158:$K$167,3,4))+0.4*(INDEX($B$169:$K$178,4,3)+INDEX($B$169:$K$178,3,4))+0.2*(INDEX($B$180:$K$189,4,3)+INDEX($B$180:$K$189,3,4))</f>
        <v>2796.47003349157</v>
      </c>
      <c r="E194" s="30" t="n">
        <f aca="false">INDEX($B$136:$K$145,4,4)+0.8*(INDEX($B$147:$K$156,4,4)+INDEX($B$147:$K$156,4,4))+0.6*(INDEX($B$158:$K$167,4,4)+INDEX($B$158:$K$167,4,4))+0.4*(INDEX($B$169:$K$178,4,4)+INDEX($B$169:$K$178,4,4))+0.2*(INDEX($B$180:$K$189,4,4)+INDEX($B$180:$K$189,4,4))</f>
        <v>6410.09309478296</v>
      </c>
      <c r="F194" s="30" t="n">
        <f aca="false">INDEX($B$136:$K$145,4,5)+0.8*(INDEX($B$147:$K$156,4,5)+INDEX($B$147:$K$156,5,4))+0.6*(INDEX($B$158:$K$167,4,5)+INDEX($B$158:$K$167,5,4))+0.4*(INDEX($B$169:$K$178,4,5)+INDEX($B$169:$K$178,5,4))+0.2*(INDEX($B$180:$K$189,4,5)+INDEX($B$180:$K$189,5,4))</f>
        <v>-4558.29017022742</v>
      </c>
      <c r="G194" s="30" t="n">
        <f aca="false">INDEX($B$136:$K$145,4,6)+0.8*(INDEX($B$147:$K$156,4,6)+INDEX($B$147:$K$156,6,4))+0.6*(INDEX($B$158:$K$167,4,6)+INDEX($B$158:$K$167,6,4))+0.4*(INDEX($B$169:$K$178,4,6)+INDEX($B$169:$K$178,6,4))+0.2*(INDEX($B$180:$K$189,4,6)+INDEX($B$180:$K$189,6,4))</f>
        <v>0.128555871477908</v>
      </c>
      <c r="H194" s="30" t="n">
        <f aca="false">INDEX($B$136:$K$145,4,7)+0.8*(INDEX($B$147:$K$156,4,7)+INDEX($B$147:$K$156,7,4))+0.6*(INDEX($B$158:$K$167,4,7)+INDEX($B$158:$K$167,7,4))+0.4*(INDEX($B$169:$K$178,4,7)+INDEX($B$169:$K$178,7,4))+0.2*(INDEX($B$180:$K$189,4,7)+INDEX($B$180:$K$189,7,4))</f>
        <v>0.339900937144596</v>
      </c>
      <c r="I194" s="30" t="n">
        <f aca="false">INDEX($B$136:$K$145,4,8)+0.8*(INDEX($B$147:$K$156,4,8)+INDEX($B$147:$K$156,8,4))+0.6*(INDEX($B$158:$K$167,4,8)+INDEX($B$158:$K$167,8,4))+0.4*(INDEX($B$169:$K$178,4,8)+INDEX($B$169:$K$178,8,4))+0.2*(INDEX($B$180:$K$189,4,8)+INDEX($B$180:$K$189,8,4))</f>
        <v>0.214787399668171</v>
      </c>
      <c r="J194" s="30" t="n">
        <f aca="false">INDEX($B$136:$K$145,4,9)+0.8*(INDEX($B$147:$K$156,4,9)+INDEX($B$147:$K$156,9,4))+0.6*(INDEX($B$158:$K$167,4,9)+INDEX($B$158:$K$167,9,4))+0.4*(INDEX($B$169:$K$178,4,9)+INDEX($B$169:$K$178,9,4))+0.2*(INDEX($B$180:$K$189,4,9)+INDEX($B$180:$K$189,9,4))</f>
        <v>0</v>
      </c>
      <c r="K194" s="30" t="n">
        <f aca="false">INDEX($B$136:$K$145,4,10)+0.8*(INDEX($B$147:$K$156,4,10)+INDEX($B$147:$K$156,10,4))+0.6*(INDEX($B$158:$K$167,4,10)+INDEX($B$158:$K$167,10,4))+0.4*(INDEX($B$169:$K$178,4,10)+INDEX($B$169:$K$178,10,4))+0.2*(INDEX($B$180:$K$189,4,10)+INDEX($B$180:$K$189,10,4))</f>
        <v>0</v>
      </c>
    </row>
    <row r="195" customFormat="false" ht="15" hidden="false" customHeight="false" outlineLevel="0" collapsed="false">
      <c r="B195" s="30" t="n">
        <f aca="false">INDEX($B$136:$K$145,5,1)+0.8*(INDEX($B$147:$K$156,5,1)+INDEX($B$147:$K$156,1,5))+0.6*(INDEX($B$158:$K$167,5,1)+INDEX($B$158:$K$167,1,5))+0.4*(INDEX($B$169:$K$178,5,1)+INDEX($B$169:$K$178,1,5))+0.2*(INDEX($B$180:$K$189,5,1)+INDEX($B$180:$K$189,1,5))</f>
        <v>7.48714159570033</v>
      </c>
      <c r="C195" s="30" t="n">
        <f aca="false">INDEX($B$136:$K$145,5,2)+0.8*(INDEX($B$147:$K$156,5,2)+INDEX($B$147:$K$156,2,5))+0.6*(INDEX($B$158:$K$167,5,2)+INDEX($B$158:$K$167,2,5))+0.4*(INDEX($B$169:$K$178,5,2)+INDEX($B$169:$K$178,2,5))+0.2*(INDEX($B$180:$K$189,5,2)+INDEX($B$180:$K$189,2,5))</f>
        <v>0.376563200147414</v>
      </c>
      <c r="D195" s="30" t="n">
        <f aca="false">INDEX($B$136:$K$145,5,3)+0.8*(INDEX($B$147:$K$156,5,3)+INDEX($B$147:$K$156,3,5))+0.6*(INDEX($B$158:$K$167,5,3)+INDEX($B$158:$K$167,3,5))+0.4*(INDEX($B$169:$K$178,5,3)+INDEX($B$169:$K$178,3,5))+0.2*(INDEX($B$180:$K$189,5,3)+INDEX($B$180:$K$189,3,5))</f>
        <v>-2097.53275174105</v>
      </c>
      <c r="E195" s="30" t="n">
        <f aca="false">INDEX($B$136:$K$145,5,4)+0.8*(INDEX($B$147:$K$156,5,4)+INDEX($B$147:$K$156,4,5))+0.6*(INDEX($B$158:$K$167,5,4)+INDEX($B$158:$K$167,4,5))+0.4*(INDEX($B$169:$K$178,5,4)+INDEX($B$169:$K$178,4,5))+0.2*(INDEX($B$180:$K$189,5,4)+INDEX($B$180:$K$189,4,5))</f>
        <v>-4558.29017022742</v>
      </c>
      <c r="F195" s="30" t="n">
        <f aca="false">INDEX($B$136:$K$145,5,5)+0.8*(INDEX($B$147:$K$156,5,5)+INDEX($B$147:$K$156,5,5))+0.6*(INDEX($B$158:$K$167,5,5)+INDEX($B$158:$K$167,5,5))+0.4*(INDEX($B$169:$K$178,5,5)+INDEX($B$169:$K$178,5,5))+0.2*(INDEX($B$180:$K$189,5,5)+INDEX($B$180:$K$189,5,5))</f>
        <v>7435.67088556677</v>
      </c>
      <c r="G195" s="30" t="n">
        <f aca="false">INDEX($B$136:$K$145,5,6)+0.8*(INDEX($B$147:$K$156,5,6)+INDEX($B$147:$K$156,6,5))+0.6*(INDEX($B$158:$K$167,5,6)+INDEX($B$158:$K$167,6,5))+0.4*(INDEX($B$169:$K$178,5,6)+INDEX($B$169:$K$178,6,5))+0.2*(INDEX($B$180:$K$189,5,6)+INDEX($B$180:$K$189,6,5))</f>
        <v>0.249588654232676</v>
      </c>
      <c r="H195" s="30" t="n">
        <f aca="false">INDEX($B$136:$K$145,5,7)+0.8*(INDEX($B$147:$K$156,5,7)+INDEX($B$147:$K$156,7,5))+0.6*(INDEX($B$158:$K$167,5,7)+INDEX($B$158:$K$167,7,5))+0.4*(INDEX($B$169:$K$178,5,7)+INDEX($B$169:$K$178,7,5))+0.2*(INDEX($B$180:$K$189,5,7)+INDEX($B$180:$K$189,7,5))</f>
        <v>-0.10478418911941</v>
      </c>
      <c r="I195" s="30" t="n">
        <f aca="false">INDEX($B$136:$K$145,5,8)+0.8*(INDEX($B$147:$K$156,5,8)+INDEX($B$147:$K$156,8,5))+0.6*(INDEX($B$158:$K$167,5,8)+INDEX($B$158:$K$167,8,5))+0.4*(INDEX($B$169:$K$178,5,8)+INDEX($B$169:$K$178,8,5))+0.2*(INDEX($B$180:$K$189,5,8)+INDEX($B$180:$K$189,8,5))</f>
        <v>-0.231618019813675</v>
      </c>
      <c r="J195" s="30" t="n">
        <f aca="false">INDEX($B$136:$K$145,5,9)+0.8*(INDEX($B$147:$K$156,5,9)+INDEX($B$147:$K$156,9,5))+0.6*(INDEX($B$158:$K$167,5,9)+INDEX($B$158:$K$167,9,5))+0.4*(INDEX($B$169:$K$178,5,9)+INDEX($B$169:$K$178,9,5))+0.2*(INDEX($B$180:$K$189,5,9)+INDEX($B$180:$K$189,9,5))</f>
        <v>0</v>
      </c>
      <c r="K195" s="30" t="n">
        <f aca="false">INDEX($B$136:$K$145,5,10)+0.8*(INDEX($B$147:$K$156,5,10)+INDEX($B$147:$K$156,10,5))+0.6*(INDEX($B$158:$K$167,5,10)+INDEX($B$158:$K$167,10,5))+0.4*(INDEX($B$169:$K$178,5,10)+INDEX($B$169:$K$178,10,5))+0.2*(INDEX($B$180:$K$189,5,10)+INDEX($B$180:$K$189,10,5))</f>
        <v>0</v>
      </c>
    </row>
    <row r="196" customFormat="false" ht="15" hidden="false" customHeight="false" outlineLevel="0" collapsed="false">
      <c r="B196" s="30" t="n">
        <f aca="false">INDEX($B$136:$K$145,6,1)+0.8*(INDEX($B$147:$K$156,6,1)+INDEX($B$147:$K$156,1,6))+0.6*(INDEX($B$158:$K$167,6,1)+INDEX($B$158:$K$167,1,6))+0.4*(INDEX($B$169:$K$178,6,1)+INDEX($B$169:$K$178,1,6))+0.2*(INDEX($B$180:$K$189,6,1)+INDEX($B$180:$K$189,1,6))</f>
        <v>0.00068573210221437</v>
      </c>
      <c r="C196" s="30" t="n">
        <f aca="false">INDEX($B$136:$K$145,6,2)+0.8*(INDEX($B$147:$K$156,6,2)+INDEX($B$147:$K$156,2,6))+0.6*(INDEX($B$158:$K$167,6,2)+INDEX($B$158:$K$167,2,6))+0.4*(INDEX($B$169:$K$178,6,2)+INDEX($B$169:$K$178,2,6))+0.2*(INDEX($B$180:$K$189,6,2)+INDEX($B$180:$K$189,2,6))</f>
        <v>-3.78660396669934E-005</v>
      </c>
      <c r="D196" s="30" t="n">
        <f aca="false">INDEX($B$136:$K$145,6,3)+0.8*(INDEX($B$147:$K$156,6,3)+INDEX($B$147:$K$156,3,6))+0.6*(INDEX($B$158:$K$167,6,3)+INDEX($B$158:$K$167,3,6))+0.4*(INDEX($B$169:$K$178,6,3)+INDEX($B$169:$K$178,3,6))+0.2*(INDEX($B$180:$K$189,6,3)+INDEX($B$180:$K$189,3,6))</f>
        <v>-0.132553345637374</v>
      </c>
      <c r="E196" s="30" t="n">
        <f aca="false">INDEX($B$136:$K$145,6,4)+0.8*(INDEX($B$147:$K$156,6,4)+INDEX($B$147:$K$156,4,6))+0.6*(INDEX($B$158:$K$167,6,4)+INDEX($B$158:$K$167,4,6))+0.4*(INDEX($B$169:$K$178,6,4)+INDEX($B$169:$K$178,4,6))+0.2*(INDEX($B$180:$K$189,6,4)+INDEX($B$180:$K$189,4,6))</f>
        <v>0.128555871477908</v>
      </c>
      <c r="F196" s="30" t="n">
        <f aca="false">INDEX($B$136:$K$145,6,5)+0.8*(INDEX($B$147:$K$156,6,5)+INDEX($B$147:$K$156,5,6))+0.6*(INDEX($B$158:$K$167,6,5)+INDEX($B$158:$K$167,5,6))+0.4*(INDEX($B$169:$K$178,6,5)+INDEX($B$169:$K$178,5,6))+0.2*(INDEX($B$180:$K$189,6,5)+INDEX($B$180:$K$189,5,6))</f>
        <v>0.249588654232676</v>
      </c>
      <c r="G196" s="30" t="n">
        <f aca="false">INDEX($B$136:$K$145,6,6)+0.8*(INDEX($B$147:$K$156,6,6)+INDEX($B$147:$K$156,6,6))+0.6*(INDEX($B$158:$K$167,6,6)+INDEX($B$158:$K$167,6,6))+0.4*(INDEX($B$169:$K$178,6,6)+INDEX($B$169:$K$178,6,6))+0.2*(INDEX($B$180:$K$189,6,6)+INDEX($B$180:$K$189,6,6))</f>
        <v>0.000376199439127168</v>
      </c>
      <c r="H196" s="30" t="n">
        <f aca="false">INDEX($B$136:$K$145,6,7)+0.8*(INDEX($B$147:$K$156,6,7)+INDEX($B$147:$K$156,7,6))+0.6*(INDEX($B$158:$K$167,6,7)+INDEX($B$158:$K$167,7,6))+0.4*(INDEX($B$169:$K$178,6,7)+INDEX($B$169:$K$178,7,6))+0.2*(INDEX($B$180:$K$189,6,7)+INDEX($B$180:$K$189,7,6))</f>
        <v>8.8211456757215E-005</v>
      </c>
      <c r="I196" s="30" t="n">
        <f aca="false">INDEX($B$136:$K$145,6,8)+0.8*(INDEX($B$147:$K$156,6,8)+INDEX($B$147:$K$156,8,6))+0.6*(INDEX($B$158:$K$167,6,8)+INDEX($B$158:$K$167,8,6))+0.4*(INDEX($B$169:$K$178,6,8)+INDEX($B$169:$K$178,8,6))+0.2*(INDEX($B$180:$K$189,6,8)+INDEX($B$180:$K$189,8,6))</f>
        <v>1.93685956480717E-005</v>
      </c>
      <c r="J196" s="30" t="n">
        <f aca="false">INDEX($B$136:$K$145,6,9)+0.8*(INDEX($B$147:$K$156,6,9)+INDEX($B$147:$K$156,9,6))+0.6*(INDEX($B$158:$K$167,6,9)+INDEX($B$158:$K$167,9,6))+0.4*(INDEX($B$169:$K$178,6,9)+INDEX($B$169:$K$178,9,6))+0.2*(INDEX($B$180:$K$189,6,9)+INDEX($B$180:$K$189,9,6))</f>
        <v>0</v>
      </c>
      <c r="K196" s="30" t="n">
        <f aca="false">INDEX($B$136:$K$145,6,10)+0.8*(INDEX($B$147:$K$156,6,10)+INDEX($B$147:$K$156,10,6))+0.6*(INDEX($B$158:$K$167,6,10)+INDEX($B$158:$K$167,10,6))+0.4*(INDEX($B$169:$K$178,6,10)+INDEX($B$169:$K$178,10,6))+0.2*(INDEX($B$180:$K$189,6,10)+INDEX($B$180:$K$189,10,6))</f>
        <v>0</v>
      </c>
    </row>
    <row r="197" customFormat="false" ht="15" hidden="false" customHeight="false" outlineLevel="0" collapsed="false">
      <c r="B197" s="30" t="n">
        <f aca="false">INDEX($B$136:$K$145,7,1)+0.8*(INDEX($B$147:$K$156,7,1)+INDEX($B$147:$K$156,1,7))+0.6*(INDEX($B$158:$K$167,7,1)+INDEX($B$158:$K$167,1,7))+0.4*(INDEX($B$169:$K$178,7,1)+INDEX($B$169:$K$178,1,7))+0.2*(INDEX($B$180:$K$189,7,1)+INDEX($B$180:$K$189,1,7))</f>
        <v>-0.000169266557413611</v>
      </c>
      <c r="C197" s="30" t="n">
        <f aca="false">INDEX($B$136:$K$145,7,2)+0.8*(INDEX($B$147:$K$156,7,2)+INDEX($B$147:$K$156,2,7))+0.6*(INDEX($B$158:$K$167,7,2)+INDEX($B$158:$K$167,2,7))+0.4*(INDEX($B$169:$K$178,7,2)+INDEX($B$169:$K$178,2,7))+0.2*(INDEX($B$180:$K$189,7,2)+INDEX($B$180:$K$189,2,7))</f>
        <v>-3.64484469973432E-006</v>
      </c>
      <c r="D197" s="30" t="n">
        <f aca="false">INDEX($B$136:$K$145,7,3)+0.8*(INDEX($B$147:$K$156,7,3)+INDEX($B$147:$K$156,3,7))+0.6*(INDEX($B$158:$K$167,7,3)+INDEX($B$158:$K$167,3,7))+0.4*(INDEX($B$169:$K$178,7,3)+INDEX($B$169:$K$178,3,7))+0.2*(INDEX($B$180:$K$189,7,3)+INDEX($B$180:$K$189,3,7))</f>
        <v>0.19899984834382</v>
      </c>
      <c r="E197" s="30" t="n">
        <f aca="false">INDEX($B$136:$K$145,7,4)+0.8*(INDEX($B$147:$K$156,7,4)+INDEX($B$147:$K$156,4,7))+0.6*(INDEX($B$158:$K$167,7,4)+INDEX($B$158:$K$167,4,7))+0.4*(INDEX($B$169:$K$178,7,4)+INDEX($B$169:$K$178,4,7))+0.2*(INDEX($B$180:$K$189,7,4)+INDEX($B$180:$K$189,4,7))</f>
        <v>0.339900937144596</v>
      </c>
      <c r="F197" s="30" t="n">
        <f aca="false">INDEX($B$136:$K$145,7,5)+0.8*(INDEX($B$147:$K$156,7,5)+INDEX($B$147:$K$156,5,7))+0.6*(INDEX($B$158:$K$167,7,5)+INDEX($B$158:$K$167,5,7))+0.4*(INDEX($B$169:$K$178,7,5)+INDEX($B$169:$K$178,5,7))+0.2*(INDEX($B$180:$K$189,7,5)+INDEX($B$180:$K$189,5,7))</f>
        <v>-0.10478418911941</v>
      </c>
      <c r="G197" s="30" t="n">
        <f aca="false">INDEX($B$136:$K$145,7,6)+0.8*(INDEX($B$147:$K$156,7,6)+INDEX($B$147:$K$156,6,7))+0.6*(INDEX($B$158:$K$167,7,6)+INDEX($B$158:$K$167,6,7))+0.4*(INDEX($B$169:$K$178,7,6)+INDEX($B$169:$K$178,6,7))+0.2*(INDEX($B$180:$K$189,7,6)+INDEX($B$180:$K$189,6,7))</f>
        <v>8.8211456757215E-005</v>
      </c>
      <c r="H197" s="30" t="n">
        <f aca="false">INDEX($B$136:$K$145,7,7)+0.8*(INDEX($B$147:$K$156,7,7)+INDEX($B$147:$K$156,7,7))+0.6*(INDEX($B$158:$K$167,7,7)+INDEX($B$158:$K$167,7,7))+0.4*(INDEX($B$169:$K$178,7,7)+INDEX($B$169:$K$178,7,7))+0.2*(INDEX($B$180:$K$189,7,7)+INDEX($B$180:$K$189,7,7))</f>
        <v>9.90400980021633E-005</v>
      </c>
      <c r="I197" s="30" t="n">
        <f aca="false">INDEX($B$136:$K$145,7,8)+0.8*(INDEX($B$147:$K$156,7,8)+INDEX($B$147:$K$156,8,7))+0.6*(INDEX($B$158:$K$167,7,8)+INDEX($B$158:$K$167,8,7))+0.4*(INDEX($B$169:$K$178,7,8)+INDEX($B$169:$K$178,8,7))+0.2*(INDEX($B$180:$K$189,7,8)+INDEX($B$180:$K$189,8,7))</f>
        <v>4.14108740205792E-005</v>
      </c>
      <c r="J197" s="30" t="n">
        <f aca="false">INDEX($B$136:$K$145,7,9)+0.8*(INDEX($B$147:$K$156,7,9)+INDEX($B$147:$K$156,9,7))+0.6*(INDEX($B$158:$K$167,7,9)+INDEX($B$158:$K$167,9,7))+0.4*(INDEX($B$169:$K$178,7,9)+INDEX($B$169:$K$178,9,7))+0.2*(INDEX($B$180:$K$189,7,9)+INDEX($B$180:$K$189,9,7))</f>
        <v>0</v>
      </c>
      <c r="K197" s="30" t="n">
        <f aca="false">INDEX($B$136:$K$145,7,10)+0.8*(INDEX($B$147:$K$156,7,10)+INDEX($B$147:$K$156,10,7))+0.6*(INDEX($B$158:$K$167,7,10)+INDEX($B$158:$K$167,10,7))+0.4*(INDEX($B$169:$K$178,7,10)+INDEX($B$169:$K$178,10,7))+0.2*(INDEX($B$180:$K$189,7,10)+INDEX($B$180:$K$189,10,7))</f>
        <v>0</v>
      </c>
    </row>
    <row r="198" customFormat="false" ht="15" hidden="false" customHeight="false" outlineLevel="0" collapsed="false">
      <c r="B198" s="30" t="n">
        <f aca="false">INDEX($B$136:$K$145,8,1)+0.8*(INDEX($B$147:$K$156,8,1)+INDEX($B$147:$K$156,1,8))+0.6*(INDEX($B$158:$K$167,8,1)+INDEX($B$158:$K$167,1,8))+0.4*(INDEX($B$169:$K$178,8,1)+INDEX($B$169:$K$178,1,8))+0.2*(INDEX($B$180:$K$189,8,1)+INDEX($B$180:$K$189,1,8))</f>
        <v>-0.000104664737735121</v>
      </c>
      <c r="C198" s="30" t="n">
        <f aca="false">INDEX($B$136:$K$145,8,2)+0.8*(INDEX($B$147:$K$156,8,2)+INDEX($B$147:$K$156,2,8))+0.6*(INDEX($B$158:$K$167,8,2)+INDEX($B$158:$K$167,2,8))+0.4*(INDEX($B$169:$K$178,8,2)+INDEX($B$169:$K$178,2,8))+0.2*(INDEX($B$180:$K$189,8,2)+INDEX($B$180:$K$189,2,8))</f>
        <v>4.92005798515091E-005</v>
      </c>
      <c r="D198" s="30" t="n">
        <f aca="false">INDEX($B$136:$K$145,8,3)+0.8*(INDEX($B$147:$K$156,8,3)+INDEX($B$147:$K$156,3,8))+0.6*(INDEX($B$158:$K$167,8,3)+INDEX($B$158:$K$167,3,8))+0.4*(INDEX($B$169:$K$178,8,3)+INDEX($B$169:$K$178,3,8))+0.2*(INDEX($B$180:$K$189,8,3)+INDEX($B$180:$K$189,3,8))</f>
        <v>0.223369307739106</v>
      </c>
      <c r="E198" s="30" t="n">
        <f aca="false">INDEX($B$136:$K$145,8,4)+0.8*(INDEX($B$147:$K$156,8,4)+INDEX($B$147:$K$156,4,8))+0.6*(INDEX($B$158:$K$167,8,4)+INDEX($B$158:$K$167,4,8))+0.4*(INDEX($B$169:$K$178,8,4)+INDEX($B$169:$K$178,4,8))+0.2*(INDEX($B$180:$K$189,8,4)+INDEX($B$180:$K$189,4,8))</f>
        <v>0.214787399668171</v>
      </c>
      <c r="F198" s="30" t="n">
        <f aca="false">INDEX($B$136:$K$145,8,5)+0.8*(INDEX($B$147:$K$156,8,5)+INDEX($B$147:$K$156,5,8))+0.6*(INDEX($B$158:$K$167,8,5)+INDEX($B$158:$K$167,5,8))+0.4*(INDEX($B$169:$K$178,8,5)+INDEX($B$169:$K$178,5,8))+0.2*(INDEX($B$180:$K$189,8,5)+INDEX($B$180:$K$189,5,8))</f>
        <v>-0.231618019813675</v>
      </c>
      <c r="G198" s="30" t="n">
        <f aca="false">INDEX($B$136:$K$145,8,6)+0.8*(INDEX($B$147:$K$156,8,6)+INDEX($B$147:$K$156,6,8))+0.6*(INDEX($B$158:$K$167,8,6)+INDEX($B$158:$K$167,6,8))+0.4*(INDEX($B$169:$K$178,8,6)+INDEX($B$169:$K$178,6,8))+0.2*(INDEX($B$180:$K$189,8,6)+INDEX($B$180:$K$189,6,8))</f>
        <v>1.93685956480717E-005</v>
      </c>
      <c r="H198" s="30" t="n">
        <f aca="false">INDEX($B$136:$K$145,8,7)+0.8*(INDEX($B$147:$K$156,8,7)+INDEX($B$147:$K$156,7,8))+0.6*(INDEX($B$158:$K$167,8,7)+INDEX($B$158:$K$167,7,8))+0.4*(INDEX($B$169:$K$178,8,7)+INDEX($B$169:$K$178,7,8))+0.2*(INDEX($B$180:$K$189,8,7)+INDEX($B$180:$K$189,7,8))</f>
        <v>4.14108740205792E-005</v>
      </c>
      <c r="I198" s="30" t="n">
        <f aca="false">INDEX($B$136:$K$145,8,8)+0.8*(INDEX($B$147:$K$156,8,8)+INDEX($B$147:$K$156,8,8))+0.6*(INDEX($B$158:$K$167,8,8)+INDEX($B$158:$K$167,8,8))+0.4*(INDEX($B$169:$K$178,8,8)+INDEX($B$169:$K$178,8,8))+0.2*(INDEX($B$180:$K$189,8,8)+INDEX($B$180:$K$189,8,8))</f>
        <v>0.000142832268226769</v>
      </c>
      <c r="J198" s="30" t="n">
        <f aca="false">INDEX($B$136:$K$145,8,9)+0.8*(INDEX($B$147:$K$156,8,9)+INDEX($B$147:$K$156,9,8))+0.6*(INDEX($B$158:$K$167,8,9)+INDEX($B$158:$K$167,9,8))+0.4*(INDEX($B$169:$K$178,8,9)+INDEX($B$169:$K$178,9,8))+0.2*(INDEX($B$180:$K$189,8,9)+INDEX($B$180:$K$189,9,8))</f>
        <v>0</v>
      </c>
      <c r="K198" s="30" t="n">
        <f aca="false">INDEX($B$136:$K$145,8,10)+0.8*(INDEX($B$147:$K$156,8,10)+INDEX($B$147:$K$156,10,8))+0.6*(INDEX($B$158:$K$167,8,10)+INDEX($B$158:$K$167,10,8))+0.4*(INDEX($B$169:$K$178,8,10)+INDEX($B$169:$K$178,10,8))+0.2*(INDEX($B$180:$K$189,8,10)+INDEX($B$180:$K$189,10,8))</f>
        <v>0</v>
      </c>
    </row>
    <row r="199" customFormat="false" ht="15" hidden="false" customHeight="false" outlineLevel="0" collapsed="false">
      <c r="B199" s="30" t="n">
        <f aca="false">INDEX($B$136:$K$145,9,1)+0.8*(INDEX($B$147:$K$156,9,1)+INDEX($B$147:$K$156,1,9))+0.6*(INDEX($B$158:$K$167,9,1)+INDEX($B$158:$K$167,1,9))+0.4*(INDEX($B$169:$K$178,9,1)+INDEX($B$169:$K$178,1,9))+0.2*(INDEX($B$180:$K$189,9,1)+INDEX($B$180:$K$189,1,9))</f>
        <v>0</v>
      </c>
      <c r="C199" s="30" t="n">
        <f aca="false">INDEX($B$136:$K$145,9,2)+0.8*(INDEX($B$147:$K$156,9,2)+INDEX($B$147:$K$156,2,9))+0.6*(INDEX($B$158:$K$167,9,2)+INDEX($B$158:$K$167,2,9))+0.4*(INDEX($B$169:$K$178,9,2)+INDEX($B$169:$K$178,2,9))+0.2*(INDEX($B$180:$K$189,9,2)+INDEX($B$180:$K$189,2,9))</f>
        <v>0</v>
      </c>
      <c r="D199" s="30" t="n">
        <f aca="false">INDEX($B$136:$K$145,9,3)+0.8*(INDEX($B$147:$K$156,9,3)+INDEX($B$147:$K$156,3,9))+0.6*(INDEX($B$158:$K$167,9,3)+INDEX($B$158:$K$167,3,9))+0.4*(INDEX($B$169:$K$178,9,3)+INDEX($B$169:$K$178,3,9))+0.2*(INDEX($B$180:$K$189,9,3)+INDEX($B$180:$K$189,3,9))</f>
        <v>0</v>
      </c>
      <c r="E199" s="30" t="n">
        <f aca="false">INDEX($B$136:$K$145,9,4)+0.8*(INDEX($B$147:$K$156,9,4)+INDEX($B$147:$K$156,4,9))+0.6*(INDEX($B$158:$K$167,9,4)+INDEX($B$158:$K$167,4,9))+0.4*(INDEX($B$169:$K$178,9,4)+INDEX($B$169:$K$178,4,9))+0.2*(INDEX($B$180:$K$189,9,4)+INDEX($B$180:$K$189,4,9))</f>
        <v>0</v>
      </c>
      <c r="F199" s="30" t="n">
        <f aca="false">INDEX($B$136:$K$145,9,5)+0.8*(INDEX($B$147:$K$156,9,5)+INDEX($B$147:$K$156,5,9))+0.6*(INDEX($B$158:$K$167,9,5)+INDEX($B$158:$K$167,5,9))+0.4*(INDEX($B$169:$K$178,9,5)+INDEX($B$169:$K$178,5,9))+0.2*(INDEX($B$180:$K$189,9,5)+INDEX($B$180:$K$189,5,9))</f>
        <v>0</v>
      </c>
      <c r="G199" s="30" t="n">
        <f aca="false">INDEX($B$136:$K$145,9,6)+0.8*(INDEX($B$147:$K$156,9,6)+INDEX($B$147:$K$156,6,9))+0.6*(INDEX($B$158:$K$167,9,6)+INDEX($B$158:$K$167,6,9))+0.4*(INDEX($B$169:$K$178,9,6)+INDEX($B$169:$K$178,6,9))+0.2*(INDEX($B$180:$K$189,9,6)+INDEX($B$180:$K$189,6,9))</f>
        <v>0</v>
      </c>
      <c r="H199" s="30" t="n">
        <f aca="false">INDEX($B$136:$K$145,9,7)+0.8*(INDEX($B$147:$K$156,9,7)+INDEX($B$147:$K$156,7,9))+0.6*(INDEX($B$158:$K$167,9,7)+INDEX($B$158:$K$167,7,9))+0.4*(INDEX($B$169:$K$178,9,7)+INDEX($B$169:$K$178,7,9))+0.2*(INDEX($B$180:$K$189,9,7)+INDEX($B$180:$K$189,7,9))</f>
        <v>0</v>
      </c>
      <c r="I199" s="30" t="n">
        <f aca="false">INDEX($B$136:$K$145,9,8)+0.8*(INDEX($B$147:$K$156,9,8)+INDEX($B$147:$K$156,8,9))+0.6*(INDEX($B$158:$K$167,9,8)+INDEX($B$158:$K$167,8,9))+0.4*(INDEX($B$169:$K$178,9,8)+INDEX($B$169:$K$178,8,9))+0.2*(INDEX($B$180:$K$189,9,8)+INDEX($B$180:$K$189,8,9))</f>
        <v>0</v>
      </c>
      <c r="J199" s="30" t="n">
        <f aca="false">INDEX($B$136:$K$145,9,9)+0.8*(INDEX($B$147:$K$156,9,9)+INDEX($B$147:$K$156,9,9))+0.6*(INDEX($B$158:$K$167,9,9)+INDEX($B$158:$K$167,9,9))+0.4*(INDEX($B$169:$K$178,9,9)+INDEX($B$169:$K$178,9,9))+0.2*(INDEX($B$180:$K$189,9,9)+INDEX($B$180:$K$189,9,9))</f>
        <v>0</v>
      </c>
      <c r="K199" s="30" t="n">
        <f aca="false">INDEX($B$136:$K$145,9,10)+0.8*(INDEX($B$147:$K$156,9,10)+INDEX($B$147:$K$156,10,9))+0.6*(INDEX($B$158:$K$167,9,10)+INDEX($B$158:$K$167,10,9))+0.4*(INDEX($B$169:$K$178,9,10)+INDEX($B$169:$K$178,10,9))+0.2*(INDEX($B$180:$K$189,9,10)+INDEX($B$180:$K$189,10,9))</f>
        <v>0</v>
      </c>
    </row>
    <row r="200" customFormat="false" ht="15" hidden="false" customHeight="false" outlineLevel="0" collapsed="false">
      <c r="B200" s="30" t="n">
        <f aca="false">INDEX($B$136:$K$145,10,1)+0.8*(INDEX($B$147:$K$156,10,1)+INDEX($B$147:$K$156,1,10))+0.6*(INDEX($B$158:$K$167,10,1)+INDEX($B$158:$K$167,1,10))+0.4*(INDEX($B$169:$K$178,10,1)+INDEX($B$169:$K$178,1,10))+0.2*(INDEX($B$180:$K$189,10,1)+INDEX($B$180:$K$189,1,10))</f>
        <v>0</v>
      </c>
      <c r="C200" s="30" t="n">
        <f aca="false">INDEX($B$136:$K$145,10,2)+0.8*(INDEX($B$147:$K$156,10,2)+INDEX($B$147:$K$156,2,10))+0.6*(INDEX($B$158:$K$167,10,2)+INDEX($B$158:$K$167,2,10))+0.4*(INDEX($B$169:$K$178,10,2)+INDEX($B$169:$K$178,2,10))+0.2*(INDEX($B$180:$K$189,10,2)+INDEX($B$180:$K$189,2,10))</f>
        <v>0</v>
      </c>
      <c r="D200" s="30" t="n">
        <f aca="false">INDEX($B$136:$K$145,10,3)+0.8*(INDEX($B$147:$K$156,10,3)+INDEX($B$147:$K$156,3,10))+0.6*(INDEX($B$158:$K$167,10,3)+INDEX($B$158:$K$167,3,10))+0.4*(INDEX($B$169:$K$178,10,3)+INDEX($B$169:$K$178,3,10))+0.2*(INDEX($B$180:$K$189,10,3)+INDEX($B$180:$K$189,3,10))</f>
        <v>0</v>
      </c>
      <c r="E200" s="30" t="n">
        <f aca="false">INDEX($B$136:$K$145,10,4)+0.8*(INDEX($B$147:$K$156,10,4)+INDEX($B$147:$K$156,4,10))+0.6*(INDEX($B$158:$K$167,10,4)+INDEX($B$158:$K$167,4,10))+0.4*(INDEX($B$169:$K$178,10,4)+INDEX($B$169:$K$178,4,10))+0.2*(INDEX($B$180:$K$189,10,4)+INDEX($B$180:$K$189,4,10))</f>
        <v>0</v>
      </c>
      <c r="F200" s="30" t="n">
        <f aca="false">INDEX($B$136:$K$145,10,5)+0.8*(INDEX($B$147:$K$156,10,5)+INDEX($B$147:$K$156,5,10))+0.6*(INDEX($B$158:$K$167,10,5)+INDEX($B$158:$K$167,5,10))+0.4*(INDEX($B$169:$K$178,10,5)+INDEX($B$169:$K$178,5,10))+0.2*(INDEX($B$180:$K$189,10,5)+INDEX($B$180:$K$189,5,10))</f>
        <v>0</v>
      </c>
      <c r="G200" s="30" t="n">
        <f aca="false">INDEX($B$136:$K$145,10,6)+0.8*(INDEX($B$147:$K$156,10,6)+INDEX($B$147:$K$156,6,10))+0.6*(INDEX($B$158:$K$167,10,6)+INDEX($B$158:$K$167,6,10))+0.4*(INDEX($B$169:$K$178,10,6)+INDEX($B$169:$K$178,6,10))+0.2*(INDEX($B$180:$K$189,10,6)+INDEX($B$180:$K$189,6,10))</f>
        <v>0</v>
      </c>
      <c r="H200" s="30" t="n">
        <f aca="false">INDEX($B$136:$K$145,10,7)+0.8*(INDEX($B$147:$K$156,10,7)+INDEX($B$147:$K$156,7,10))+0.6*(INDEX($B$158:$K$167,10,7)+INDEX($B$158:$K$167,7,10))+0.4*(INDEX($B$169:$K$178,10,7)+INDEX($B$169:$K$178,7,10))+0.2*(INDEX($B$180:$K$189,10,7)+INDEX($B$180:$K$189,7,10))</f>
        <v>0</v>
      </c>
      <c r="I200" s="30" t="n">
        <f aca="false">INDEX($B$136:$K$145,10,8)+0.8*(INDEX($B$147:$K$156,10,8)+INDEX($B$147:$K$156,8,10))+0.6*(INDEX($B$158:$K$167,10,8)+INDEX($B$158:$K$167,8,10))+0.4*(INDEX($B$169:$K$178,10,8)+INDEX($B$169:$K$178,8,10))+0.2*(INDEX($B$180:$K$189,10,8)+INDEX($B$180:$K$189,8,10))</f>
        <v>0</v>
      </c>
      <c r="J200" s="30" t="n">
        <f aca="false">INDEX($B$136:$K$145,10,9)+0.8*(INDEX($B$147:$K$156,10,9)+INDEX($B$147:$K$156,9,10))+0.6*(INDEX($B$158:$K$167,10,9)+INDEX($B$158:$K$167,9,10))+0.4*(INDEX($B$169:$K$178,10,9)+INDEX($B$169:$K$178,9,10))+0.2*(INDEX($B$180:$K$189,10,9)+INDEX($B$180:$K$189,9,10))</f>
        <v>0</v>
      </c>
      <c r="K200" s="30" t="n">
        <f aca="false">INDEX($B$136:$K$145,10,10)+0.8*(INDEX($B$147:$K$156,10,10)+INDEX($B$147:$K$156,10,10))+0.6*(INDEX($B$158:$K$167,10,10)+INDEX($B$158:$K$167,10,10))+0.4*(INDEX($B$169:$K$178,10,10)+INDEX($B$169:$K$178,10,10))+0.2*(INDEX($B$180:$K$189,10,10)+INDEX($B$180:$K$189,10,10))</f>
        <v>0</v>
      </c>
    </row>
    <row r="201" customFormat="false" ht="15" hidden="false" customHeight="false" outlineLevel="0" collapsed="false">
      <c r="A201" s="10" t="s">
        <v>175</v>
      </c>
    </row>
    <row r="202" customFormat="false" ht="15" hidden="false" customHeight="false" outlineLevel="0" collapsed="false">
      <c r="B202" s="30" t="n">
        <f aca="false">INDEX(MMULT(MMULT($B$125:$K$134,$B$191:$K$200),$B$125:$K$134),1,1)</f>
        <v>8.5429529539197E-006</v>
      </c>
      <c r="C202" s="30" t="n">
        <f aca="false">INDEX(MMULT(MMULT($B$125:$K$134,$B$191:$K$200),$B$125:$K$134),1,2)</f>
        <v>-1.69717544005537E-005</v>
      </c>
      <c r="D202" s="30" t="n">
        <f aca="false">INDEX(MMULT(MMULT($B$125:$K$134,$B$191:$K$200),$B$125:$K$134),1,3)</f>
        <v>3.44261310530661E-009</v>
      </c>
      <c r="E202" s="30" t="n">
        <f aca="false">INDEX(MMULT(MMULT($B$125:$K$134,$B$191:$K$200),$B$125:$K$134),1,4)</f>
        <v>-1.34237535906151E-008</v>
      </c>
      <c r="F202" s="30" t="n">
        <f aca="false">INDEX(MMULT(MMULT($B$125:$K$134,$B$191:$K$200),$B$125:$K$134),1,5)</f>
        <v>1.47845461712404E-008</v>
      </c>
      <c r="G202" s="30" t="n">
        <f aca="false">INDEX(MMULT(MMULT($B$125:$K$134,$B$191:$K$200),$B$125:$K$134),1,6)</f>
        <v>-8.90438936910061E-006</v>
      </c>
      <c r="H202" s="30" t="n">
        <f aca="false">INDEX(MMULT(MMULT($B$125:$K$134,$B$191:$K$200),$B$125:$K$134),1,7)</f>
        <v>-7.68693857617806E-006</v>
      </c>
      <c r="I202" s="30" t="n">
        <f aca="false">INDEX(MMULT(MMULT($B$125:$K$134,$B$191:$K$200),$B$125:$K$134),1,8)</f>
        <v>-7.03908858719191E-005</v>
      </c>
      <c r="J202" s="30" t="n">
        <f aca="false">INDEX(MMULT(MMULT($B$125:$K$134,$B$191:$K$200),$B$125:$K$134),1,9)</f>
        <v>-3.09978548433528E-006</v>
      </c>
      <c r="K202" s="30" t="n">
        <f aca="false">INDEX(MMULT(MMULT($B$125:$K$134,$B$191:$K$200),$B$125:$K$134),1,10)</f>
        <v>-2.79546348287992E-005</v>
      </c>
    </row>
    <row r="203" customFormat="false" ht="15" hidden="false" customHeight="false" outlineLevel="0" collapsed="false">
      <c r="B203" s="30" t="n">
        <f aca="false">INDEX(MMULT(MMULT($B$125:$K$134,$B$191:$K$200),$B$125:$K$134),2,1)</f>
        <v>-1.69717544005542E-005</v>
      </c>
      <c r="C203" s="30" t="n">
        <f aca="false">INDEX(MMULT(MMULT($B$125:$K$134,$B$191:$K$200),$B$125:$K$134),2,2)</f>
        <v>0.00264647976089399</v>
      </c>
      <c r="D203" s="30" t="n">
        <f aca="false">INDEX(MMULT(MMULT($B$125:$K$134,$B$191:$K$200),$B$125:$K$134),2,3)</f>
        <v>1.2829558974041E-007</v>
      </c>
      <c r="E203" s="30" t="n">
        <f aca="false">INDEX(MMULT(MMULT($B$125:$K$134,$B$191:$K$200),$B$125:$K$134),2,4)</f>
        <v>-1.43888305356301E-007</v>
      </c>
      <c r="F203" s="30" t="n">
        <f aca="false">INDEX(MMULT(MMULT($B$125:$K$134,$B$191:$K$200),$B$125:$K$134),2,5)</f>
        <v>4.52811754520284E-007</v>
      </c>
      <c r="G203" s="30" t="n">
        <f aca="false">INDEX(MMULT(MMULT($B$125:$K$134,$B$191:$K$200),$B$125:$K$134),2,6)</f>
        <v>-0.00058641591804195</v>
      </c>
      <c r="H203" s="30" t="n">
        <f aca="false">INDEX(MMULT(MMULT($B$125:$K$134,$B$191:$K$200),$B$125:$K$134),2,7)</f>
        <v>0.00026741808714394</v>
      </c>
      <c r="I203" s="30" t="n">
        <f aca="false">INDEX(MMULT(MMULT($B$125:$K$134,$B$191:$K$200),$B$125:$K$134),2,8)</f>
        <v>0.00125912755264127</v>
      </c>
      <c r="J203" s="30" t="n">
        <f aca="false">INDEX(MMULT(MMULT($B$125:$K$134,$B$191:$K$200),$B$125:$K$134),2,9)</f>
        <v>-0.000601933053545604</v>
      </c>
      <c r="K203" s="30" t="n">
        <f aca="false">INDEX(MMULT(MMULT($B$125:$K$134,$B$191:$K$200),$B$125:$K$134),2,10)</f>
        <v>0.000183770331530397</v>
      </c>
    </row>
    <row r="204" customFormat="false" ht="15" hidden="false" customHeight="false" outlineLevel="0" collapsed="false">
      <c r="B204" s="30" t="n">
        <f aca="false">INDEX(MMULT(MMULT($B$125:$K$134,$B$191:$K$200),$B$125:$K$134),3,1)</f>
        <v>3.44261310530666E-009</v>
      </c>
      <c r="C204" s="30" t="n">
        <f aca="false">INDEX(MMULT(MMULT($B$125:$K$134,$B$191:$K$200),$B$125:$K$134),3,2)</f>
        <v>1.28295589740409E-007</v>
      </c>
      <c r="D204" s="30" t="n">
        <f aca="false">INDEX(MMULT(MMULT($B$125:$K$134,$B$191:$K$200),$B$125:$K$134),3,3)</f>
        <v>1.62670326778522E-010</v>
      </c>
      <c r="E204" s="30" t="n">
        <f aca="false">INDEX(MMULT(MMULT($B$125:$K$134,$B$191:$K$200),$B$125:$K$134),3,4)</f>
        <v>7.62104351536785E-011</v>
      </c>
      <c r="F204" s="30" t="n">
        <f aca="false">INDEX(MMULT(MMULT($B$125:$K$134,$B$191:$K$200),$B$125:$K$134),3,5)</f>
        <v>-1.52132462603804E-011</v>
      </c>
      <c r="G204" s="30" t="n">
        <f aca="false">INDEX(MMULT(MMULT($B$125:$K$134,$B$191:$K$200),$B$125:$K$134),3,6)</f>
        <v>-7.88136696408108E-009</v>
      </c>
      <c r="H204" s="30" t="n">
        <f aca="false">INDEX(MMULT(MMULT($B$125:$K$134,$B$191:$K$200),$B$125:$K$134),3,7)</f>
        <v>-6.4603526596207E-008</v>
      </c>
      <c r="I204" s="30" t="n">
        <f aca="false">INDEX(MMULT(MMULT($B$125:$K$134,$B$191:$K$200),$B$125:$K$134),3,8)</f>
        <v>-2.97409236439627E-007</v>
      </c>
      <c r="J204" s="30" t="n">
        <f aca="false">INDEX(MMULT(MMULT($B$125:$K$134,$B$191:$K$200),$B$125:$K$134),3,9)</f>
        <v>-2.23917488765141E-007</v>
      </c>
      <c r="K204" s="30" t="n">
        <f aca="false">INDEX(MMULT(MMULT($B$125:$K$134,$B$191:$K$200),$B$125:$K$134),3,10)</f>
        <v>8.81183602812541E-008</v>
      </c>
    </row>
    <row r="205" customFormat="false" ht="15" hidden="false" customHeight="false" outlineLevel="0" collapsed="false">
      <c r="B205" s="30" t="n">
        <f aca="false">INDEX(MMULT(MMULT($B$125:$K$134,$B$191:$K$200),$B$125:$K$134),4,1)</f>
        <v>-1.34237535906149E-008</v>
      </c>
      <c r="C205" s="30" t="n">
        <f aca="false">INDEX(MMULT(MMULT($B$125:$K$134,$B$191:$K$200),$B$125:$K$134),4,2)</f>
        <v>-1.43888305356302E-007</v>
      </c>
      <c r="D205" s="30" t="n">
        <f aca="false">INDEX(MMULT(MMULT($B$125:$K$134,$B$191:$K$200),$B$125:$K$134),4,3)</f>
        <v>7.62104351536785E-011</v>
      </c>
      <c r="E205" s="30" t="n">
        <f aca="false">INDEX(MMULT(MMULT($B$125:$K$134,$B$191:$K$200),$B$125:$K$134),4,4)</f>
        <v>1.85961226622051E-010</v>
      </c>
      <c r="F205" s="30" t="n">
        <f aca="false">INDEX(MMULT(MMULT($B$125:$K$134,$B$191:$K$200),$B$125:$K$134),4,5)</f>
        <v>-9.30962411308569E-011</v>
      </c>
      <c r="G205" s="30" t="n">
        <f aca="false">INDEX(MMULT(MMULT($B$125:$K$134,$B$191:$K$200),$B$125:$K$134),4,6)</f>
        <v>1.13305967780542E-007</v>
      </c>
      <c r="H205" s="30" t="n">
        <f aca="false">INDEX(MMULT(MMULT($B$125:$K$134,$B$191:$K$200),$B$125:$K$134),4,7)</f>
        <v>2.19185872421304E-008</v>
      </c>
      <c r="I205" s="30" t="n">
        <f aca="false">INDEX(MMULT(MMULT($B$125:$K$134,$B$191:$K$200),$B$125:$K$134),4,8)</f>
        <v>-3.68865819648302E-008</v>
      </c>
      <c r="J205" s="30" t="n">
        <f aca="false">INDEX(MMULT(MMULT($B$125:$K$134,$B$191:$K$200),$B$125:$K$134),4,9)</f>
        <v>-1.18800028747686E-007</v>
      </c>
      <c r="K205" s="30" t="n">
        <f aca="false">INDEX(MMULT(MMULT($B$125:$K$134,$B$191:$K$200),$B$125:$K$134),4,10)</f>
        <v>1.53687560752417E-007</v>
      </c>
    </row>
    <row r="206" customFormat="false" ht="15" hidden="false" customHeight="false" outlineLevel="0" collapsed="false">
      <c r="B206" s="30" t="n">
        <f aca="false">INDEX(MMULT(MMULT($B$125:$K$134,$B$191:$K$200),$B$125:$K$134),5,1)</f>
        <v>1.47845461712403E-008</v>
      </c>
      <c r="C206" s="30" t="n">
        <f aca="false">INDEX(MMULT(MMULT($B$125:$K$134,$B$191:$K$200),$B$125:$K$134),5,2)</f>
        <v>4.52811754520288E-007</v>
      </c>
      <c r="D206" s="30" t="n">
        <f aca="false">INDEX(MMULT(MMULT($B$125:$K$134,$B$191:$K$200),$B$125:$K$134),5,3)</f>
        <v>-1.52132462603801E-011</v>
      </c>
      <c r="E206" s="30" t="n">
        <f aca="false">INDEX(MMULT(MMULT($B$125:$K$134,$B$191:$K$200),$B$125:$K$134),5,4)</f>
        <v>-9.30962411308571E-011</v>
      </c>
      <c r="F206" s="30" t="n">
        <f aca="false">INDEX(MMULT(MMULT($B$125:$K$134,$B$191:$K$200),$B$125:$K$134),5,5)</f>
        <v>2.34013978561572E-010</v>
      </c>
      <c r="G206" s="30" t="n">
        <f aca="false">INDEX(MMULT(MMULT($B$125:$K$134,$B$191:$K$200),$B$125:$K$134),5,6)</f>
        <v>-1.63245206237595E-007</v>
      </c>
      <c r="H206" s="30" t="n">
        <f aca="false">INDEX(MMULT(MMULT($B$125:$K$134,$B$191:$K$200),$B$125:$K$134),5,7)</f>
        <v>1.62356589072019E-007</v>
      </c>
      <c r="I206" s="30" t="n">
        <f aca="false">INDEX(MMULT(MMULT($B$125:$K$134,$B$191:$K$200),$B$125:$K$134),5,8)</f>
        <v>1.6421423191167E-007</v>
      </c>
      <c r="J206" s="30" t="n">
        <f aca="false">INDEX(MMULT(MMULT($B$125:$K$134,$B$191:$K$200),$B$125:$K$134),5,9)</f>
        <v>-5.18092944948633E-008</v>
      </c>
      <c r="K206" s="30" t="n">
        <f aca="false">INDEX(MMULT(MMULT($B$125:$K$134,$B$191:$K$200),$B$125:$K$134),5,10)</f>
        <v>-1.31919996699672E-007</v>
      </c>
    </row>
    <row r="207" customFormat="false" ht="15" hidden="false" customHeight="false" outlineLevel="0" collapsed="false">
      <c r="B207" s="30" t="n">
        <f aca="false">INDEX(MMULT(MMULT($B$125:$K$134,$B$191:$K$200),$B$125:$K$134),6,1)</f>
        <v>-8.90438936910042E-006</v>
      </c>
      <c r="C207" s="30" t="n">
        <f aca="false">INDEX(MMULT(MMULT($B$125:$K$134,$B$191:$K$200),$B$125:$K$134),6,2)</f>
        <v>-0.000586415918041951</v>
      </c>
      <c r="D207" s="30" t="n">
        <f aca="false">INDEX(MMULT(MMULT($B$125:$K$134,$B$191:$K$200),$B$125:$K$134),6,3)</f>
        <v>-7.88136696408119E-009</v>
      </c>
      <c r="E207" s="30" t="n">
        <f aca="false">INDEX(MMULT(MMULT($B$125:$K$134,$B$191:$K$200),$B$125:$K$134),6,4)</f>
        <v>1.13305967780542E-007</v>
      </c>
      <c r="F207" s="30" t="n">
        <f aca="false">INDEX(MMULT(MMULT($B$125:$K$134,$B$191:$K$200),$B$125:$K$134),6,5)</f>
        <v>-1.63245206237595E-007</v>
      </c>
      <c r="G207" s="30" t="n">
        <f aca="false">INDEX(MMULT(MMULT($B$125:$K$134,$B$191:$K$200),$B$125:$K$134),6,6)</f>
        <v>0.000398713137930997</v>
      </c>
      <c r="H207" s="30" t="n">
        <f aca="false">INDEX(MMULT(MMULT($B$125:$K$134,$B$191:$K$200),$B$125:$K$134),6,7)</f>
        <v>-9.5579813580867E-005</v>
      </c>
      <c r="I207" s="30" t="n">
        <f aca="false">INDEX(MMULT(MMULT($B$125:$K$134,$B$191:$K$200),$B$125:$K$134),6,8)</f>
        <v>-0.000343568662152146</v>
      </c>
      <c r="J207" s="30" t="n">
        <f aca="false">INDEX(MMULT(MMULT($B$125:$K$134,$B$191:$K$200),$B$125:$K$134),6,9)</f>
        <v>6.58155714233621E-005</v>
      </c>
      <c r="K207" s="30" t="n">
        <f aca="false">INDEX(MMULT(MMULT($B$125:$K$134,$B$191:$K$200),$B$125:$K$134),6,10)</f>
        <v>8.87303705992538E-005</v>
      </c>
    </row>
    <row r="208" customFormat="false" ht="15" hidden="false" customHeight="false" outlineLevel="0" collapsed="false">
      <c r="B208" s="30" t="n">
        <f aca="false">INDEX(MMULT(MMULT($B$125:$K$134,$B$191:$K$200),$B$125:$K$134),7,1)</f>
        <v>-7.6869385761781E-006</v>
      </c>
      <c r="C208" s="30" t="n">
        <f aca="false">INDEX(MMULT(MMULT($B$125:$K$134,$B$191:$K$200),$B$125:$K$134),7,2)</f>
        <v>0.000267418087143941</v>
      </c>
      <c r="D208" s="30" t="n">
        <f aca="false">INDEX(MMULT(MMULT($B$125:$K$134,$B$191:$K$200),$B$125:$K$134),7,3)</f>
        <v>-6.46035265962068E-008</v>
      </c>
      <c r="E208" s="30" t="n">
        <f aca="false">INDEX(MMULT(MMULT($B$125:$K$134,$B$191:$K$200),$B$125:$K$134),7,4)</f>
        <v>2.19185872421306E-008</v>
      </c>
      <c r="F208" s="30" t="n">
        <f aca="false">INDEX(MMULT(MMULT($B$125:$K$134,$B$191:$K$200),$B$125:$K$134),7,5)</f>
        <v>1.62356589072019E-007</v>
      </c>
      <c r="G208" s="30" t="n">
        <f aca="false">INDEX(MMULT(MMULT($B$125:$K$134,$B$191:$K$200),$B$125:$K$134),7,6)</f>
        <v>-9.5579813580867E-005</v>
      </c>
      <c r="H208" s="30" t="n">
        <f aca="false">INDEX(MMULT(MMULT($B$125:$K$134,$B$191:$K$200),$B$125:$K$134),7,7)</f>
        <v>0.000874968647937828</v>
      </c>
      <c r="I208" s="30" t="n">
        <f aca="false">INDEX(MMULT(MMULT($B$125:$K$134,$B$191:$K$200),$B$125:$K$134),7,8)</f>
        <v>0.00068188311014077</v>
      </c>
      <c r="J208" s="30" t="n">
        <f aca="false">INDEX(MMULT(MMULT($B$125:$K$134,$B$191:$K$200),$B$125:$K$134),7,9)</f>
        <v>6.28562367370595E-005</v>
      </c>
      <c r="K208" s="30" t="n">
        <f aca="false">INDEX(MMULT(MMULT($B$125:$K$134,$B$191:$K$200),$B$125:$K$134),7,10)</f>
        <v>-9.73348857693076E-005</v>
      </c>
    </row>
    <row r="209" customFormat="false" ht="15" hidden="false" customHeight="false" outlineLevel="0" collapsed="false">
      <c r="B209" s="30" t="n">
        <f aca="false">INDEX(MMULT(MMULT($B$125:$K$134,$B$191:$K$200),$B$125:$K$134),8,1)</f>
        <v>-7.03908858719194E-005</v>
      </c>
      <c r="C209" s="30" t="n">
        <f aca="false">INDEX(MMULT(MMULT($B$125:$K$134,$B$191:$K$200),$B$125:$K$134),8,2)</f>
        <v>0.00125912755264128</v>
      </c>
      <c r="D209" s="30" t="n">
        <f aca="false">INDEX(MMULT(MMULT($B$125:$K$134,$B$191:$K$200),$B$125:$K$134),8,3)</f>
        <v>-2.97409236439626E-007</v>
      </c>
      <c r="E209" s="30" t="n">
        <f aca="false">INDEX(MMULT(MMULT($B$125:$K$134,$B$191:$K$200),$B$125:$K$134),8,4)</f>
        <v>-3.68865819648287E-008</v>
      </c>
      <c r="F209" s="30" t="n">
        <f aca="false">INDEX(MMULT(MMULT($B$125:$K$134,$B$191:$K$200),$B$125:$K$134),8,5)</f>
        <v>1.6421423191167E-007</v>
      </c>
      <c r="G209" s="30" t="n">
        <f aca="false">INDEX(MMULT(MMULT($B$125:$K$134,$B$191:$K$200),$B$125:$K$134),8,6)</f>
        <v>-0.000343568662152146</v>
      </c>
      <c r="H209" s="30" t="n">
        <f aca="false">INDEX(MMULT(MMULT($B$125:$K$134,$B$191:$K$200),$B$125:$K$134),8,7)</f>
        <v>0.00068188311014077</v>
      </c>
      <c r="I209" s="30" t="n">
        <f aca="false">INDEX(MMULT(MMULT($B$125:$K$134,$B$191:$K$200),$B$125:$K$134),8,8)</f>
        <v>0.00315360729800488</v>
      </c>
      <c r="J209" s="30" t="n">
        <f aca="false">INDEX(MMULT(MMULT($B$125:$K$134,$B$191:$K$200),$B$125:$K$134),8,9)</f>
        <v>0.000200626666475842</v>
      </c>
      <c r="K209" s="30" t="n">
        <f aca="false">INDEX(MMULT(MMULT($B$125:$K$134,$B$191:$K$200),$B$125:$K$134),8,10)</f>
        <v>9.2058996691884E-005</v>
      </c>
    </row>
    <row r="210" customFormat="false" ht="15" hidden="false" customHeight="false" outlineLevel="0" collapsed="false">
      <c r="B210" s="30" t="n">
        <f aca="false">INDEX(MMULT(MMULT($B$125:$K$134,$B$191:$K$200),$B$125:$K$134),9,1)</f>
        <v>-3.09978548433533E-006</v>
      </c>
      <c r="C210" s="30" t="n">
        <f aca="false">INDEX(MMULT(MMULT($B$125:$K$134,$B$191:$K$200),$B$125:$K$134),9,2)</f>
        <v>-0.000601933053545603</v>
      </c>
      <c r="D210" s="30" t="n">
        <f aca="false">INDEX(MMULT(MMULT($B$125:$K$134,$B$191:$K$200),$B$125:$K$134),9,3)</f>
        <v>-2.23917488765141E-007</v>
      </c>
      <c r="E210" s="30" t="n">
        <f aca="false">INDEX(MMULT(MMULT($B$125:$K$134,$B$191:$K$200),$B$125:$K$134),9,4)</f>
        <v>-1.18800028747686E-007</v>
      </c>
      <c r="F210" s="30" t="n">
        <f aca="false">INDEX(MMULT(MMULT($B$125:$K$134,$B$191:$K$200),$B$125:$K$134),9,5)</f>
        <v>-5.18092944948623E-008</v>
      </c>
      <c r="G210" s="30" t="n">
        <f aca="false">INDEX(MMULT(MMULT($B$125:$K$134,$B$191:$K$200),$B$125:$K$134),9,6)</f>
        <v>6.58155714233619E-005</v>
      </c>
      <c r="H210" s="30" t="n">
        <f aca="false">INDEX(MMULT(MMULT($B$125:$K$134,$B$191:$K$200),$B$125:$K$134),9,7)</f>
        <v>6.28562367370602E-005</v>
      </c>
      <c r="I210" s="30" t="n">
        <f aca="false">INDEX(MMULT(MMULT($B$125:$K$134,$B$191:$K$200),$B$125:$K$134),9,8)</f>
        <v>0.000200626666475843</v>
      </c>
      <c r="J210" s="30" t="n">
        <f aca="false">INDEX(MMULT(MMULT($B$125:$K$134,$B$191:$K$200),$B$125:$K$134),9,9)</f>
        <v>0.000415456600858066</v>
      </c>
      <c r="K210" s="30" t="n">
        <f aca="false">INDEX(MMULT(MMULT($B$125:$K$134,$B$191:$K$200),$B$125:$K$134),9,10)</f>
        <v>-0.000178042058096737</v>
      </c>
    </row>
    <row r="211" customFormat="false" ht="15" hidden="false" customHeight="false" outlineLevel="0" collapsed="false">
      <c r="B211" s="30" t="n">
        <f aca="false">INDEX(MMULT(MMULT($B$125:$K$134,$B$191:$K$200),$B$125:$K$134),10,1)</f>
        <v>-2.79546348287992E-005</v>
      </c>
      <c r="C211" s="30" t="n">
        <f aca="false">INDEX(MMULT(MMULT($B$125:$K$134,$B$191:$K$200),$B$125:$K$134),10,2)</f>
        <v>0.000183770331530394</v>
      </c>
      <c r="D211" s="30" t="n">
        <f aca="false">INDEX(MMULT(MMULT($B$125:$K$134,$B$191:$K$200),$B$125:$K$134),10,3)</f>
        <v>8.81183602812541E-008</v>
      </c>
      <c r="E211" s="30" t="n">
        <f aca="false">INDEX(MMULT(MMULT($B$125:$K$134,$B$191:$K$200),$B$125:$K$134),10,4)</f>
        <v>1.53687560752418E-007</v>
      </c>
      <c r="F211" s="30" t="n">
        <f aca="false">INDEX(MMULT(MMULT($B$125:$K$134,$B$191:$K$200),$B$125:$K$134),10,5)</f>
        <v>-1.31919996699673E-007</v>
      </c>
      <c r="G211" s="30" t="n">
        <f aca="false">INDEX(MMULT(MMULT($B$125:$K$134,$B$191:$K$200),$B$125:$K$134),10,6)</f>
        <v>8.87303705992546E-005</v>
      </c>
      <c r="H211" s="30" t="n">
        <f aca="false">INDEX(MMULT(MMULT($B$125:$K$134,$B$191:$K$200),$B$125:$K$134),10,7)</f>
        <v>-9.73348857693081E-005</v>
      </c>
      <c r="I211" s="30" t="n">
        <f aca="false">INDEX(MMULT(MMULT($B$125:$K$134,$B$191:$K$200),$B$125:$K$134),10,8)</f>
        <v>9.2058996691883E-005</v>
      </c>
      <c r="J211" s="30" t="n">
        <f aca="false">INDEX(MMULT(MMULT($B$125:$K$134,$B$191:$K$200),$B$125:$K$134),10,9)</f>
        <v>-0.000178042058096737</v>
      </c>
      <c r="K211" s="30" t="n">
        <f aca="false">INDEX(MMULT(MMULT($B$125:$K$134,$B$191:$K$200),$B$125:$K$134),10,10)</f>
        <v>0.000252869382954636</v>
      </c>
    </row>
    <row r="213" customFormat="false" ht="15" hidden="false" customHeight="false" outlineLevel="0" collapsed="false">
      <c r="A213" s="15" t="s">
        <v>28</v>
      </c>
      <c r="B213" s="15" t="s">
        <v>29</v>
      </c>
      <c r="C213" s="15" t="s">
        <v>30</v>
      </c>
      <c r="D213" s="15" t="s">
        <v>31</v>
      </c>
      <c r="E213" s="15" t="s">
        <v>32</v>
      </c>
    </row>
    <row r="214" customFormat="false" ht="15" hidden="false" customHeight="false" outlineLevel="0" collapsed="false">
      <c r="A214" s="25" t="s">
        <v>161</v>
      </c>
      <c r="B214" s="8" t="n">
        <f aca="false">B88</f>
        <v>0.00438737791013122</v>
      </c>
      <c r="C214" s="26" t="n">
        <f aca="false">SQRT(INDEX($B$202:$K$211,1,1))</f>
        <v>0.00292283303558717</v>
      </c>
      <c r="D214" s="5" t="n">
        <f aca="false">B214/C214</f>
        <v>1.50107031661144</v>
      </c>
      <c r="E214" s="7" t="n">
        <f aca="false">TDIST(ABS(D214),$H$87,2)</f>
        <v>0.13810657950178</v>
      </c>
    </row>
    <row r="215" customFormat="false" ht="15" hidden="false" customHeight="false" outlineLevel="0" collapsed="false">
      <c r="A215" s="25" t="s">
        <v>141</v>
      </c>
      <c r="B215" s="8" t="n">
        <f aca="false">B89</f>
        <v>0.197734072595783</v>
      </c>
      <c r="C215" s="26" t="n">
        <f aca="false">SQRT(INDEX($B$202:$K$211,2,2))</f>
        <v>0.0514439477576711</v>
      </c>
      <c r="D215" s="5" t="n">
        <f aca="false">B215/C215</f>
        <v>3.84367998986427</v>
      </c>
      <c r="E215" s="7" t="n">
        <f aca="false">TDIST(ABS(D215),$H$87,2)</f>
        <v>0.000275061835247849</v>
      </c>
    </row>
    <row r="216" customFormat="false" ht="15" hidden="false" customHeight="false" outlineLevel="0" collapsed="false">
      <c r="A216" s="25" t="s">
        <v>142</v>
      </c>
      <c r="B216" s="8" t="n">
        <f aca="false">B90</f>
        <v>-2.74880419480457E-005</v>
      </c>
      <c r="C216" s="26" t="n">
        <f aca="false">SQRT(INDEX($B$202:$K$211,3,3))</f>
        <v>1.27542278001658E-005</v>
      </c>
      <c r="D216" s="5" t="n">
        <f aca="false">B216/C216</f>
        <v>-2.15521020784091</v>
      </c>
      <c r="E216" s="7" t="n">
        <f aca="false">TDIST(ABS(D216),$H$87,2)</f>
        <v>0.0347975172688297</v>
      </c>
    </row>
    <row r="217" customFormat="false" ht="15" hidden="false" customHeight="false" outlineLevel="0" collapsed="false">
      <c r="A217" s="25" t="s">
        <v>143</v>
      </c>
      <c r="B217" s="8" t="n">
        <f aca="false">B91</f>
        <v>-5.01356041510077E-005</v>
      </c>
      <c r="C217" s="26" t="n">
        <f aca="false">SQRT(INDEX($B$202:$K$211,4,4))</f>
        <v>1.3636760121893E-005</v>
      </c>
      <c r="D217" s="5" t="n">
        <f aca="false">B217/C217</f>
        <v>-3.67650407449186</v>
      </c>
      <c r="E217" s="7" t="n">
        <f aca="false">TDIST(ABS(D217),$H$87,2)</f>
        <v>0.000476553847069104</v>
      </c>
    </row>
    <row r="218" customFormat="false" ht="15" hidden="false" customHeight="false" outlineLevel="0" collapsed="false">
      <c r="A218" s="25" t="s">
        <v>144</v>
      </c>
      <c r="B218" s="8" t="n">
        <f aca="false">B92</f>
        <v>2.21064378224377E-005</v>
      </c>
      <c r="C218" s="26" t="n">
        <f aca="false">SQRT(INDEX($B$202:$K$211,5,5))</f>
        <v>1.52975154375334E-005</v>
      </c>
      <c r="D218" s="5" t="n">
        <f aca="false">B218/C218</f>
        <v>1.44509988649518</v>
      </c>
      <c r="E218" s="7" t="n">
        <f aca="false">TDIST(ABS(D218),$H$87,2)</f>
        <v>0.15316124724781</v>
      </c>
    </row>
    <row r="219" customFormat="false" ht="15" hidden="false" customHeight="false" outlineLevel="0" collapsed="false">
      <c r="A219" s="25" t="s">
        <v>145</v>
      </c>
      <c r="B219" s="8" t="n">
        <f aca="false">B93</f>
        <v>-0.0772116983606726</v>
      </c>
      <c r="C219" s="26" t="n">
        <f aca="false">SQRT(INDEX($B$202:$K$211,6,6))</f>
        <v>0.0199678025313503</v>
      </c>
      <c r="D219" s="5" t="n">
        <f aca="false">B219/C219</f>
        <v>-3.86680999270937</v>
      </c>
      <c r="E219" s="7" t="n">
        <f aca="false">TDIST(ABS(D219),$H$87,2)</f>
        <v>0.000254659408620099</v>
      </c>
    </row>
    <row r="220" customFormat="false" ht="15" hidden="false" customHeight="false" outlineLevel="0" collapsed="false">
      <c r="A220" s="25" t="s">
        <v>146</v>
      </c>
      <c r="B220" s="8" t="n">
        <f aca="false">B94</f>
        <v>0.117503347802478</v>
      </c>
      <c r="C220" s="26" t="n">
        <f aca="false">SQRT(INDEX($B$202:$K$211,7,7))</f>
        <v>0.0295798689641761</v>
      </c>
      <c r="D220" s="5" t="n">
        <f aca="false">B220/C220</f>
        <v>3.97240934179882</v>
      </c>
      <c r="E220" s="7" t="n">
        <f aca="false">TDIST(ABS(D220),$H$87,2)</f>
        <v>0.000178572362905515</v>
      </c>
    </row>
    <row r="221" customFormat="false" ht="15" hidden="false" customHeight="false" outlineLevel="0" collapsed="false">
      <c r="A221" s="25" t="s">
        <v>189</v>
      </c>
      <c r="B221" s="8" t="n">
        <f aca="false">B95</f>
        <v>0.773220568747091</v>
      </c>
      <c r="C221" s="26" t="n">
        <f aca="false">SQRT(INDEX($B$202:$K$211,8,8))</f>
        <v>0.0561569879712657</v>
      </c>
      <c r="D221" s="5" t="n">
        <f aca="false">B221/C221</f>
        <v>13.7689109882947</v>
      </c>
      <c r="E221" s="7" t="n">
        <f aca="false">TDIST(ABS(D221),$H$87,2)</f>
        <v>4.4626516432685E-021</v>
      </c>
    </row>
    <row r="222" customFormat="false" ht="15" hidden="false" customHeight="false" outlineLevel="0" collapsed="false">
      <c r="A222" s="25" t="s">
        <v>178</v>
      </c>
      <c r="B222" s="8" t="n">
        <f aca="false">B96</f>
        <v>-0.145270096393742</v>
      </c>
      <c r="C222" s="26" t="n">
        <f aca="false">SQRT(INDEX($B$202:$K$211,9,9))</f>
        <v>0.0203827525338965</v>
      </c>
      <c r="D222" s="5" t="n">
        <f aca="false">B222/C222</f>
        <v>-7.12710887070614</v>
      </c>
      <c r="E222" s="7" t="n">
        <f aca="false">TDIST(ABS(D222),$H$87,2)</f>
        <v>9.62151342273109E-010</v>
      </c>
    </row>
    <row r="223" customFormat="false" ht="15" hidden="false" customHeight="false" outlineLevel="0" collapsed="false">
      <c r="A223" s="25" t="s">
        <v>179</v>
      </c>
      <c r="B223" s="8" t="n">
        <f aca="false">B97</f>
        <v>0.148667733808237</v>
      </c>
      <c r="C223" s="26" t="n">
        <f aca="false">SQRT(INDEX($B$202:$K$211,10,10))</f>
        <v>0.015901867278865</v>
      </c>
      <c r="D223" s="5" t="n">
        <f aca="false">B223/C223</f>
        <v>9.34907399245059</v>
      </c>
      <c r="E223" s="7" t="n">
        <f aca="false">TDIST(ABS(D223),$H$87,2)</f>
        <v>1.04761965614756E-013</v>
      </c>
    </row>
    <row r="226" customFormat="false" ht="15" hidden="false" customHeight="false" outlineLevel="0" collapsed="false">
      <c r="A226" s="22" t="s">
        <v>197</v>
      </c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</row>
    <row r="227" customFormat="false" ht="15" hidden="false" customHeight="false" outlineLevel="0" collapsed="false">
      <c r="A227" s="2" t="s">
        <v>198</v>
      </c>
    </row>
    <row r="228" customFormat="false" ht="15" hidden="false" customHeight="false" outlineLevel="0" collapsed="false">
      <c r="A228" s="25" t="s">
        <v>192</v>
      </c>
      <c r="B228" s="8" t="n">
        <f aca="false">B104</f>
        <v>0.0451943773599721</v>
      </c>
    </row>
    <row r="229" customFormat="false" ht="15" hidden="false" customHeight="false" outlineLevel="0" collapsed="false">
      <c r="A229" s="25" t="s">
        <v>199</v>
      </c>
      <c r="B229" s="8" t="n">
        <f aca="false">Modelo_COVID!B103</f>
        <v>0.0561513748665623</v>
      </c>
    </row>
    <row r="230" customFormat="false" ht="15" hidden="false" customHeight="false" outlineLevel="0" collapsed="false">
      <c r="A230" s="25" t="s">
        <v>186</v>
      </c>
      <c r="B230" s="5" t="n">
        <v>1</v>
      </c>
    </row>
    <row r="231" customFormat="false" ht="15" hidden="false" customHeight="false" outlineLevel="0" collapsed="false">
      <c r="A231" s="25" t="s">
        <v>160</v>
      </c>
      <c r="B231" s="5" t="n">
        <f aca="false">$H$87</f>
        <v>66</v>
      </c>
    </row>
    <row r="232" customFormat="false" ht="15" hidden="false" customHeight="false" outlineLevel="0" collapsed="false">
      <c r="A232" s="25" t="s">
        <v>25</v>
      </c>
      <c r="B232" s="31" t="n">
        <f aca="false">((B229-B228)/B230)/(B228/B231)</f>
        <v>16.0011461088397</v>
      </c>
    </row>
    <row r="233" customFormat="false" ht="15" hidden="false" customHeight="false" outlineLevel="0" collapsed="false">
      <c r="A233" s="25" t="s">
        <v>26</v>
      </c>
      <c r="B233" s="27" t="n">
        <f aca="false">FDIST(B232,B230,B231)</f>
        <v>0.000162544921328522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9" min="2" style="0" width="13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" t="s">
        <v>201</v>
      </c>
    </row>
    <row r="5" customFormat="false" ht="15" hidden="false" customHeight="false" outlineLevel="0" collapsed="false">
      <c r="A5" s="3" t="s">
        <v>42</v>
      </c>
      <c r="B5" s="3" t="s">
        <v>140</v>
      </c>
      <c r="C5" s="3" t="s">
        <v>202</v>
      </c>
      <c r="D5" s="3" t="s">
        <v>142</v>
      </c>
      <c r="E5" s="3" t="s">
        <v>143</v>
      </c>
      <c r="F5" s="3" t="s">
        <v>144</v>
      </c>
      <c r="G5" s="3" t="s">
        <v>145</v>
      </c>
      <c r="H5" s="3" t="s">
        <v>203</v>
      </c>
      <c r="I5" s="3" t="s">
        <v>147</v>
      </c>
      <c r="J5" s="3" t="s">
        <v>148</v>
      </c>
      <c r="K5" s="3" t="s">
        <v>149</v>
      </c>
    </row>
    <row r="6" customFormat="false" ht="15" hidden="false" customHeight="false" outlineLevel="0" collapsed="false">
      <c r="A6" s="20" t="str">
        <f aca="false">Datos!A14</f>
        <v>2007Q2</v>
      </c>
      <c r="B6" s="21" t="n">
        <f aca="false">Datos!L14</f>
        <v>0.0150044625048817</v>
      </c>
      <c r="C6" s="21" t="n">
        <f aca="false">Datos!I9</f>
        <v>-0.0419198094643447</v>
      </c>
      <c r="D6" s="21" t="n">
        <f aca="false">Datos!H14</f>
        <v>58.1062311827956</v>
      </c>
      <c r="E6" s="21" t="n">
        <f aca="false">Datos!H12</f>
        <v>-57.3400276497695</v>
      </c>
      <c r="F6" s="21" t="n">
        <f aca="false">Datos!H8</f>
        <v>9.68690215163929</v>
      </c>
      <c r="G6" s="21" t="n">
        <f aca="false">Datos!J8</f>
        <v>-0.0652841179146</v>
      </c>
      <c r="H6" s="21" t="n">
        <f aca="false">Datos!K13</f>
        <v>0.0394713580665338</v>
      </c>
      <c r="I6" s="19" t="n">
        <v>1</v>
      </c>
      <c r="J6" s="19" t="n">
        <f aca="false">B6-($B$88+$B$89*C6+$B$90*D6+$B$91*E6+$B$92*F6+$B$93*G6+$B$94*H6)</f>
        <v>-0.00535460913062409</v>
      </c>
      <c r="K6" s="19" t="n">
        <f aca="false">J6^2</f>
        <v>2.86718389417629E-005</v>
      </c>
    </row>
    <row r="7" customFormat="false" ht="15" hidden="false" customHeight="false" outlineLevel="0" collapsed="false">
      <c r="A7" s="20" t="str">
        <f aca="false">Datos!A15</f>
        <v>2007Q3</v>
      </c>
      <c r="B7" s="21" t="n">
        <f aca="false">Datos!L15</f>
        <v>-0.0143158967408283</v>
      </c>
      <c r="C7" s="21" t="n">
        <f aca="false">Datos!I10</f>
        <v>0.023609732064594</v>
      </c>
      <c r="D7" s="21" t="n">
        <f aca="false">Datos!H15</f>
        <v>146.742396825397</v>
      </c>
      <c r="E7" s="21" t="n">
        <f aca="false">Datos!H13</f>
        <v>-71.4258225806452</v>
      </c>
      <c r="F7" s="21" t="n">
        <f aca="false">Datos!H9</f>
        <v>-29.0010684822845</v>
      </c>
      <c r="G7" s="21" t="n">
        <f aca="false">Datos!J9</f>
        <v>0.104633678332462</v>
      </c>
      <c r="H7" s="21" t="n">
        <f aca="false">Datos!K14</f>
        <v>-0.0416510073677663</v>
      </c>
      <c r="I7" s="19" t="n">
        <v>1</v>
      </c>
      <c r="J7" s="19" t="n">
        <f aca="false">B7-($B$88+$B$89*C7+$B$90*D7+$B$91*E7+$B$92*F7+$B$93*G7+$B$94*H7)</f>
        <v>0.0129174354063893</v>
      </c>
      <c r="K7" s="19" t="n">
        <f aca="false">J7^2</f>
        <v>0.000166860137478239</v>
      </c>
    </row>
    <row r="8" customFormat="false" ht="15" hidden="false" customHeight="false" outlineLevel="0" collapsed="false">
      <c r="A8" s="20" t="str">
        <f aca="false">Datos!A16</f>
        <v>2007Q4</v>
      </c>
      <c r="B8" s="21" t="n">
        <f aca="false">Datos!L16</f>
        <v>0.00839550917295817</v>
      </c>
      <c r="C8" s="21" t="n">
        <f aca="false">Datos!I11</f>
        <v>0.0162246735540563</v>
      </c>
      <c r="D8" s="21" t="n">
        <f aca="false">Datos!H16</f>
        <v>-28.2266763952893</v>
      </c>
      <c r="E8" s="21" t="n">
        <f aca="false">Datos!H14</f>
        <v>58.1062311827956</v>
      </c>
      <c r="F8" s="21" t="n">
        <f aca="false">Datos!H10</f>
        <v>-40.7013678955453</v>
      </c>
      <c r="G8" s="21" t="n">
        <f aca="false">Datos!J10</f>
        <v>-0.0328640375646361</v>
      </c>
      <c r="H8" s="21" t="n">
        <f aca="false">Datos!K15</f>
        <v>-0.0183885313531229</v>
      </c>
      <c r="I8" s="19" t="n">
        <v>1</v>
      </c>
      <c r="J8" s="19" t="n">
        <f aca="false">B8-($B$88+$B$89*C8+$B$90*D8+$B$91*E8+$B$92*F8+$B$93*G8+$B$94*H8)</f>
        <v>0.0130577011666621</v>
      </c>
      <c r="K8" s="19" t="n">
        <f aca="false">J8^2</f>
        <v>0.000170503559757848</v>
      </c>
    </row>
    <row r="9" customFormat="false" ht="15" hidden="false" customHeight="false" outlineLevel="0" collapsed="false">
      <c r="A9" s="20" t="str">
        <f aca="false">Datos!A17</f>
        <v>2008Q1</v>
      </c>
      <c r="B9" s="21" t="n">
        <f aca="false">Datos!L17</f>
        <v>-0.0235503405334447</v>
      </c>
      <c r="C9" s="21" t="n">
        <f aca="false">Datos!I12</f>
        <v>0.0277019388743396</v>
      </c>
      <c r="D9" s="21" t="n">
        <f aca="false">Datos!H17</f>
        <v>95.3370391327341</v>
      </c>
      <c r="E9" s="21" t="n">
        <f aca="false">Datos!H15</f>
        <v>146.742396825397</v>
      </c>
      <c r="F9" s="21" t="n">
        <f aca="false">Datos!H11</f>
        <v>-14.6685238095238</v>
      </c>
      <c r="G9" s="21" t="n">
        <f aca="false">Datos!J11</f>
        <v>0.0272371314829849</v>
      </c>
      <c r="H9" s="21" t="n">
        <f aca="false">Datos!K16</f>
        <v>0.126406856244862</v>
      </c>
      <c r="I9" s="19" t="n">
        <v>1</v>
      </c>
      <c r="J9" s="19" t="n">
        <f aca="false">B9-($B$88+$B$89*C9+$B$90*D9+$B$91*E9+$B$92*F9+$B$93*G9+$B$94*H9)</f>
        <v>-0.0291323655824438</v>
      </c>
      <c r="K9" s="19" t="n">
        <f aca="false">J9^2</f>
        <v>0.000848694724429159</v>
      </c>
    </row>
    <row r="10" customFormat="false" ht="15" hidden="false" customHeight="false" outlineLevel="0" collapsed="false">
      <c r="A10" s="20" t="str">
        <f aca="false">Datos!A18</f>
        <v>2008Q2</v>
      </c>
      <c r="B10" s="21" t="n">
        <f aca="false">Datos!L18</f>
        <v>-0.0145962910187984</v>
      </c>
      <c r="C10" s="21" t="n">
        <f aca="false">Datos!I13</f>
        <v>0.0341545485767323</v>
      </c>
      <c r="D10" s="21" t="n">
        <f aca="false">Datos!H18</f>
        <v>74.4147768954915</v>
      </c>
      <c r="E10" s="21" t="n">
        <f aca="false">Datos!H16</f>
        <v>-28.2266763952893</v>
      </c>
      <c r="F10" s="21" t="n">
        <f aca="false">Datos!H12</f>
        <v>-57.3400276497695</v>
      </c>
      <c r="G10" s="21" t="n">
        <f aca="false">Datos!J12</f>
        <v>0.0188405816005308</v>
      </c>
      <c r="H10" s="21" t="n">
        <f aca="false">Datos!K17</f>
        <v>0.0947144557948736</v>
      </c>
      <c r="I10" s="19" t="n">
        <v>1</v>
      </c>
      <c r="J10" s="19" t="n">
        <f aca="false">B10-($B$88+$B$89*C10+$B$90*D10+$B$91*E10+$B$92*F10+$B$93*G10+$B$94*H10)</f>
        <v>-0.0223642195457387</v>
      </c>
      <c r="K10" s="19" t="n">
        <f aca="false">J10^2</f>
        <v>0.000500158315890002</v>
      </c>
    </row>
    <row r="11" customFormat="false" ht="15" hidden="false" customHeight="false" outlineLevel="0" collapsed="false">
      <c r="A11" s="20" t="str">
        <f aca="false">Datos!A19</f>
        <v>2008Q3</v>
      </c>
      <c r="B11" s="21" t="n">
        <f aca="false">Datos!L19</f>
        <v>0.00553330668917318</v>
      </c>
      <c r="C11" s="21" t="n">
        <f aca="false">Datos!I14</f>
        <v>-0.012635858101546</v>
      </c>
      <c r="D11" s="21" t="n">
        <f aca="false">Datos!H19</f>
        <v>140.17396875</v>
      </c>
      <c r="E11" s="21" t="n">
        <f aca="false">Datos!H17</f>
        <v>95.3370391327341</v>
      </c>
      <c r="F11" s="21" t="n">
        <f aca="false">Datos!H13</f>
        <v>-71.4258225806452</v>
      </c>
      <c r="G11" s="21" t="n">
        <f aca="false">Datos!J13</f>
        <v>0.0352994903857049</v>
      </c>
      <c r="H11" s="21" t="n">
        <f aca="false">Datos!K18</f>
        <v>-0.088947266354809</v>
      </c>
      <c r="I11" s="19" t="n">
        <v>1</v>
      </c>
      <c r="J11" s="19" t="n">
        <f aca="false">B11-($B$88+$B$89*C11+$B$90*D11+$B$91*E11+$B$92*F11+$B$93*G11+$B$94*H11)</f>
        <v>0.0401439594260094</v>
      </c>
      <c r="K11" s="19" t="n">
        <f aca="false">J11^2</f>
        <v>0.00161153747839709</v>
      </c>
    </row>
    <row r="12" customFormat="false" ht="15" hidden="false" customHeight="false" outlineLevel="0" collapsed="false">
      <c r="A12" s="20" t="str">
        <f aca="false">Datos!A20</f>
        <v>2008Q4</v>
      </c>
      <c r="B12" s="21" t="n">
        <f aca="false">Datos!L20</f>
        <v>-0.079850070278089</v>
      </c>
      <c r="C12" s="21" t="n">
        <f aca="false">Datos!I15</f>
        <v>-0.0246226187787558</v>
      </c>
      <c r="D12" s="21" t="n">
        <f aca="false">Datos!H20</f>
        <v>999.763070060484</v>
      </c>
      <c r="E12" s="21" t="n">
        <f aca="false">Datos!H18</f>
        <v>74.4147768954915</v>
      </c>
      <c r="F12" s="21" t="n">
        <f aca="false">Datos!H14</f>
        <v>58.1062311827956</v>
      </c>
      <c r="G12" s="21" t="n">
        <f aca="false">Datos!J14</f>
        <v>0.00539921963636064</v>
      </c>
      <c r="H12" s="21" t="n">
        <f aca="false">Datos!K19</f>
        <v>0.0223520724544983</v>
      </c>
      <c r="I12" s="19" t="n">
        <v>1</v>
      </c>
      <c r="J12" s="19" t="n">
        <f aca="false">B12-($B$88+$B$89*C12+$B$90*D12+$B$91*E12+$B$92*F12+$B$93*G12+$B$94*H12)</f>
        <v>-0.0225956896212761</v>
      </c>
      <c r="K12" s="19" t="n">
        <f aca="false">J12^2</f>
        <v>0.000510565189461043</v>
      </c>
    </row>
    <row r="13" customFormat="false" ht="15" hidden="false" customHeight="false" outlineLevel="0" collapsed="false">
      <c r="A13" s="20" t="str">
        <f aca="false">Datos!A21</f>
        <v>2009Q1</v>
      </c>
      <c r="B13" s="21" t="n">
        <f aca="false">Datos!L21</f>
        <v>-0.0420976425988534</v>
      </c>
      <c r="C13" s="21" t="n">
        <f aca="false">Datos!I16</f>
        <v>-0.0513696334944869</v>
      </c>
      <c r="D13" s="21" t="n">
        <f aca="false">Datos!H21</f>
        <v>3.47016790058183</v>
      </c>
      <c r="E13" s="21" t="n">
        <f aca="false">Datos!H19</f>
        <v>140.17396875</v>
      </c>
      <c r="F13" s="21" t="n">
        <f aca="false">Datos!H15</f>
        <v>146.742396825397</v>
      </c>
      <c r="G13" s="21" t="n">
        <f aca="false">Datos!J15</f>
        <v>0.100083014779252</v>
      </c>
      <c r="H13" s="21" t="n">
        <f aca="false">Datos!K20</f>
        <v>-0.181715050328396</v>
      </c>
      <c r="I13" s="19" t="n">
        <v>1</v>
      </c>
      <c r="J13" s="19" t="n">
        <f aca="false">B13-($B$88+$B$89*C13+$B$90*D13+$B$91*E13+$B$92*F13+$B$93*G13+$B$94*H13)</f>
        <v>-0.00289809556966403</v>
      </c>
      <c r="K13" s="19" t="n">
        <f aca="false">J13^2</f>
        <v>8.39895793090626E-006</v>
      </c>
    </row>
    <row r="14" customFormat="false" ht="15" hidden="false" customHeight="false" outlineLevel="0" collapsed="false">
      <c r="A14" s="20" t="str">
        <f aca="false">Datos!A22</f>
        <v>2009Q2</v>
      </c>
      <c r="B14" s="21" t="n">
        <f aca="false">Datos!L22</f>
        <v>-0.0508579200859648</v>
      </c>
      <c r="C14" s="21" t="n">
        <f aca="false">Datos!I17</f>
        <v>-0.0322053955184198</v>
      </c>
      <c r="D14" s="21" t="n">
        <f aca="false">Datos!H22</f>
        <v>-244.401219359875</v>
      </c>
      <c r="E14" s="21" t="n">
        <f aca="false">Datos!H20</f>
        <v>999.763070060484</v>
      </c>
      <c r="F14" s="21" t="n">
        <f aca="false">Datos!H16</f>
        <v>-28.2266763952893</v>
      </c>
      <c r="G14" s="21" t="n">
        <f aca="false">Datos!J16</f>
        <v>-0.0807503897728054</v>
      </c>
      <c r="H14" s="21" t="n">
        <f aca="false">Datos!K21</f>
        <v>-0.10171645872716</v>
      </c>
      <c r="I14" s="19" t="n">
        <v>1</v>
      </c>
      <c r="J14" s="19" t="n">
        <f aca="false">B14-($B$88+$B$89*C14+$B$90*D14+$B$91*E14+$B$92*F14+$B$93*G14+$B$94*H14)</f>
        <v>-0.007580101578737</v>
      </c>
      <c r="K14" s="19" t="n">
        <f aca="false">J14^2</f>
        <v>5.74579399439711E-005</v>
      </c>
    </row>
    <row r="15" customFormat="false" ht="15" hidden="false" customHeight="false" outlineLevel="0" collapsed="false">
      <c r="A15" s="20" t="str">
        <f aca="false">Datos!A23</f>
        <v>2009Q3</v>
      </c>
      <c r="B15" s="21" t="n">
        <f aca="false">Datos!L23</f>
        <v>0.0562336718856797</v>
      </c>
      <c r="C15" s="21" t="n">
        <f aca="false">Datos!I18</f>
        <v>-0.0472126174388314</v>
      </c>
      <c r="D15" s="21" t="n">
        <f aca="false">Datos!H23</f>
        <v>-533.989581101191</v>
      </c>
      <c r="E15" s="21" t="n">
        <f aca="false">Datos!H21</f>
        <v>3.47016790058183</v>
      </c>
      <c r="F15" s="21" t="n">
        <f aca="false">Datos!H17</f>
        <v>95.3370391327341</v>
      </c>
      <c r="G15" s="21" t="n">
        <f aca="false">Datos!J17</f>
        <v>-0.0136163320117733</v>
      </c>
      <c r="H15" s="21" t="n">
        <f aca="false">Datos!K22</f>
        <v>0.129643513362584</v>
      </c>
      <c r="I15" s="19" t="n">
        <v>1</v>
      </c>
      <c r="J15" s="19" t="n">
        <f aca="false">B15-($B$88+$B$89*C15+$B$90*D15+$B$91*E15+$B$92*F15+$B$93*G15+$B$94*H15)</f>
        <v>-0.0160150832458222</v>
      </c>
      <c r="K15" s="19" t="n">
        <f aca="false">J15^2</f>
        <v>0.000256482891370614</v>
      </c>
    </row>
    <row r="16" customFormat="false" ht="15" hidden="false" customHeight="false" outlineLevel="0" collapsed="false">
      <c r="A16" s="20" t="str">
        <f aca="false">Datos!A24</f>
        <v>2009Q4</v>
      </c>
      <c r="B16" s="21" t="n">
        <f aca="false">Datos!L24</f>
        <v>0.0593317819018042</v>
      </c>
      <c r="C16" s="21" t="n">
        <f aca="false">Datos!I19</f>
        <v>0.0103881918110503</v>
      </c>
      <c r="D16" s="21" t="n">
        <f aca="false">Datos!H24</f>
        <v>-203.745835181452</v>
      </c>
      <c r="E16" s="21" t="n">
        <f aca="false">Datos!H22</f>
        <v>-244.401219359875</v>
      </c>
      <c r="F16" s="21" t="n">
        <f aca="false">Datos!H18</f>
        <v>74.4147768954915</v>
      </c>
      <c r="G16" s="21" t="n">
        <f aca="false">Datos!J18</f>
        <v>0.051677262796743</v>
      </c>
      <c r="H16" s="21" t="n">
        <f aca="false">Datos!K23</f>
        <v>0.0271664532119418</v>
      </c>
      <c r="I16" s="19" t="n">
        <v>1</v>
      </c>
      <c r="J16" s="19" t="n">
        <f aca="false">B16-($B$88+$B$89*C16+$B$90*D16+$B$91*E16+$B$92*F16+$B$93*G16+$B$94*H16)</f>
        <v>0.0311714203349729</v>
      </c>
      <c r="K16" s="19" t="n">
        <f aca="false">J16^2</f>
        <v>0.000971657445699559</v>
      </c>
    </row>
    <row r="17" customFormat="false" ht="15" hidden="false" customHeight="false" outlineLevel="0" collapsed="false">
      <c r="A17" s="20" t="str">
        <f aca="false">Datos!A25</f>
        <v>2010Q1</v>
      </c>
      <c r="B17" s="21" t="n">
        <f aca="false">Datos!L25</f>
        <v>0.0543127088139386</v>
      </c>
      <c r="C17" s="21" t="n">
        <f aca="false">Datos!I20</f>
        <v>-0.012294190622106</v>
      </c>
      <c r="D17" s="21" t="n">
        <f aca="false">Datos!H25</f>
        <v>15.4416356425168</v>
      </c>
      <c r="E17" s="21" t="n">
        <f aca="false">Datos!H23</f>
        <v>-533.989581101191</v>
      </c>
      <c r="F17" s="21" t="n">
        <f aca="false">Datos!H19</f>
        <v>140.17396875</v>
      </c>
      <c r="G17" s="21" t="n">
        <f aca="false">Datos!J19</f>
        <v>-0.0922660919721236</v>
      </c>
      <c r="H17" s="21" t="n">
        <f aca="false">Datos!K24</f>
        <v>0.081172316441758</v>
      </c>
      <c r="I17" s="19" t="n">
        <v>1</v>
      </c>
      <c r="J17" s="19" t="n">
        <f aca="false">B17-($B$88+$B$89*C17+$B$90*D17+$B$91*E17+$B$92*F17+$B$93*G17+$B$94*H17)</f>
        <v>-0.00410402810637971</v>
      </c>
      <c r="K17" s="19" t="n">
        <f aca="false">J17^2</f>
        <v>1.68430466979547E-005</v>
      </c>
    </row>
    <row r="18" customFormat="false" ht="15" hidden="false" customHeight="false" outlineLevel="0" collapsed="false">
      <c r="A18" s="20" t="str">
        <f aca="false">Datos!A26</f>
        <v>2010Q2</v>
      </c>
      <c r="B18" s="21" t="n">
        <f aca="false">Datos!L26</f>
        <v>0.105309304015361</v>
      </c>
      <c r="C18" s="21" t="n">
        <f aca="false">Datos!I21</f>
        <v>-0.0506409298873551</v>
      </c>
      <c r="D18" s="21" t="n">
        <f aca="false">Datos!H26</f>
        <v>0.464510798855258</v>
      </c>
      <c r="E18" s="21" t="n">
        <f aca="false">Datos!H24</f>
        <v>-203.745835181452</v>
      </c>
      <c r="F18" s="21" t="n">
        <f aca="false">Datos!H20</f>
        <v>999.763070060484</v>
      </c>
      <c r="G18" s="21" t="n">
        <f aca="false">Datos!J20</f>
        <v>0.044032264635168</v>
      </c>
      <c r="H18" s="21" t="n">
        <f aca="false">Datos!K25</f>
        <v>0.00367116102547781</v>
      </c>
      <c r="I18" s="19" t="n">
        <v>1</v>
      </c>
      <c r="J18" s="19" t="n">
        <f aca="false">B18-($B$88+$B$89*C18+$B$90*D18+$B$91*E18+$B$92*F18+$B$93*G18+$B$94*H18)</f>
        <v>0.0543330429317793</v>
      </c>
      <c r="K18" s="19" t="n">
        <f aca="false">J18^2</f>
        <v>0.00295207955422657</v>
      </c>
    </row>
    <row r="19" customFormat="false" ht="15" hidden="false" customHeight="false" outlineLevel="0" collapsed="false">
      <c r="A19" s="20" t="str">
        <f aca="false">Datos!A27</f>
        <v>2010Q3</v>
      </c>
      <c r="B19" s="21" t="n">
        <f aca="false">Datos!L27</f>
        <v>-0.0673645714182929</v>
      </c>
      <c r="C19" s="21" t="n">
        <f aca="false">Datos!I22</f>
        <v>-0.0270336828188397</v>
      </c>
      <c r="D19" s="21" t="n">
        <f aca="false">Datos!H27</f>
        <v>-22.7225300099209</v>
      </c>
      <c r="E19" s="21" t="n">
        <f aca="false">Datos!H25</f>
        <v>15.4416356425168</v>
      </c>
      <c r="F19" s="21" t="n">
        <f aca="false">Datos!H21</f>
        <v>3.47016790058183</v>
      </c>
      <c r="G19" s="21" t="n">
        <f aca="false">Datos!J21</f>
        <v>-0.0701582840739423</v>
      </c>
      <c r="H19" s="21" t="n">
        <f aca="false">Datos!K26</f>
        <v>-0.134873174066432</v>
      </c>
      <c r="I19" s="19" t="n">
        <v>1</v>
      </c>
      <c r="J19" s="19" t="n">
        <f aca="false">B19-($B$88+$B$89*C19+$B$90*D19+$B$91*E19+$B$92*F19+$B$93*G19+$B$94*H19)</f>
        <v>-0.0525139538546553</v>
      </c>
      <c r="K19" s="19" t="n">
        <f aca="false">J19^2</f>
        <v>0.00275771534944887</v>
      </c>
    </row>
    <row r="20" customFormat="false" ht="15" hidden="false" customHeight="false" outlineLevel="0" collapsed="false">
      <c r="A20" s="20" t="str">
        <f aca="false">Datos!A28</f>
        <v>2010Q4</v>
      </c>
      <c r="B20" s="21" t="n">
        <f aca="false">Datos!L28</f>
        <v>-0.00897949256805108</v>
      </c>
      <c r="C20" s="21" t="n">
        <f aca="false">Datos!I23</f>
        <v>0.0188952503887881</v>
      </c>
      <c r="D20" s="21" t="n">
        <f aca="false">Datos!H28</f>
        <v>-165.748584173387</v>
      </c>
      <c r="E20" s="21" t="n">
        <f aca="false">Datos!H26</f>
        <v>0.464510798855258</v>
      </c>
      <c r="F20" s="21" t="n">
        <f aca="false">Datos!H22</f>
        <v>-244.401219359875</v>
      </c>
      <c r="G20" s="21" t="n">
        <f aca="false">Datos!J22</f>
        <v>0.054123533141051</v>
      </c>
      <c r="H20" s="21" t="n">
        <f aca="false">Datos!K27</f>
        <v>0.00395895744112517</v>
      </c>
      <c r="I20" s="19" t="n">
        <v>1</v>
      </c>
      <c r="J20" s="19" t="n">
        <f aca="false">B20-($B$88+$B$89*C20+$B$90*D20+$B$91*E20+$B$92*F20+$B$93*G20+$B$94*H20)</f>
        <v>-0.00481849453114664</v>
      </c>
      <c r="K20" s="19" t="n">
        <f aca="false">J20^2</f>
        <v>2.32178895466901E-005</v>
      </c>
    </row>
    <row r="21" customFormat="false" ht="15" hidden="false" customHeight="false" outlineLevel="0" collapsed="false">
      <c r="A21" s="20" t="str">
        <f aca="false">Datos!A29</f>
        <v>2011Q1</v>
      </c>
      <c r="B21" s="21" t="n">
        <f aca="false">Datos!L29</f>
        <v>-0.0031717685997612</v>
      </c>
      <c r="C21" s="21" t="n">
        <f aca="false">Datos!I24</f>
        <v>0.0202660816321944</v>
      </c>
      <c r="D21" s="21" t="n">
        <f aca="false">Datos!H29</f>
        <v>-12.9487096774192</v>
      </c>
      <c r="E21" s="21" t="n">
        <f aca="false">Datos!H27</f>
        <v>-22.7225300099209</v>
      </c>
      <c r="F21" s="21" t="n">
        <f aca="false">Datos!H23</f>
        <v>-533.989581101191</v>
      </c>
      <c r="G21" s="21" t="n">
        <f aca="false">Datos!J23</f>
        <v>-0.0490698977401611</v>
      </c>
      <c r="H21" s="21" t="n">
        <f aca="false">Datos!K28</f>
        <v>0.05803748575736</v>
      </c>
      <c r="I21" s="19" t="n">
        <v>1</v>
      </c>
      <c r="J21" s="19" t="n">
        <f aca="false">B21-($B$88+$B$89*C21+$B$90*D21+$B$91*E21+$B$92*F21+$B$93*G21+$B$94*H21)</f>
        <v>-0.00011214257515748</v>
      </c>
      <c r="K21" s="19" t="n">
        <f aca="false">J21^2</f>
        <v>1.2575957162951E-008</v>
      </c>
    </row>
    <row r="22" customFormat="false" ht="15" hidden="false" customHeight="false" outlineLevel="0" collapsed="false">
      <c r="A22" s="20" t="str">
        <f aca="false">Datos!A30</f>
        <v>2011Q2</v>
      </c>
      <c r="B22" s="21" t="n">
        <f aca="false">Datos!L30</f>
        <v>-0.0384927248467331</v>
      </c>
      <c r="C22" s="21" t="n">
        <f aca="false">Datos!I25</f>
        <v>0.0364851445863187</v>
      </c>
      <c r="D22" s="21" t="n">
        <f aca="false">Datos!H30</f>
        <v>41.5229032258063</v>
      </c>
      <c r="E22" s="21" t="n">
        <f aca="false">Datos!H28</f>
        <v>-165.748584173387</v>
      </c>
      <c r="F22" s="21" t="n">
        <f aca="false">Datos!H24</f>
        <v>-203.745835181452</v>
      </c>
      <c r="G22" s="21" t="n">
        <f aca="false">Datos!J24</f>
        <v>0.0211877049597919</v>
      </c>
      <c r="H22" s="21" t="n">
        <f aca="false">Datos!K29</f>
        <v>0.0369403748928518</v>
      </c>
      <c r="I22" s="19" t="n">
        <v>1</v>
      </c>
      <c r="J22" s="19" t="n">
        <f aca="false">B22-($B$88+$B$89*C22+$B$90*D22+$B$91*E22+$B$92*F22+$B$93*G22+$B$94*H22)</f>
        <v>-0.0380058212614643</v>
      </c>
      <c r="K22" s="19" t="n">
        <f aca="false">J22^2</f>
        <v>0.00144444244975837</v>
      </c>
    </row>
    <row r="23" customFormat="false" ht="15" hidden="false" customHeight="false" outlineLevel="0" collapsed="false">
      <c r="A23" s="20" t="str">
        <f aca="false">Datos!A31</f>
        <v>2011Q3</v>
      </c>
      <c r="B23" s="21" t="n">
        <f aca="false">Datos!L31</f>
        <v>0.0196602341504317</v>
      </c>
      <c r="C23" s="21" t="n">
        <f aca="false">Datos!I26</f>
        <v>0.115499149243793</v>
      </c>
      <c r="D23" s="21" t="n">
        <f aca="false">Datos!H31</f>
        <v>158.444625</v>
      </c>
      <c r="E23" s="21" t="n">
        <f aca="false">Datos!H29</f>
        <v>-12.9487096774192</v>
      </c>
      <c r="F23" s="21" t="n">
        <f aca="false">Datos!H25</f>
        <v>15.4416356425168</v>
      </c>
      <c r="G23" s="21" t="n">
        <f aca="false">Datos!J25</f>
        <v>0.0221868916706847</v>
      </c>
      <c r="H23" s="21" t="n">
        <f aca="false">Datos!K30</f>
        <v>0.0675225331288068</v>
      </c>
      <c r="I23" s="19" t="n">
        <v>1</v>
      </c>
      <c r="J23" s="19" t="n">
        <f aca="false">B23-($B$88+$B$89*C23+$B$90*D23+$B$91*E23+$B$92*F23+$B$93*G23+$B$94*H23)</f>
        <v>0.0328894886750168</v>
      </c>
      <c r="K23" s="19" t="n">
        <f aca="false">J23^2</f>
        <v>0.00108171846530406</v>
      </c>
    </row>
    <row r="24" customFormat="false" ht="15" hidden="false" customHeight="false" outlineLevel="0" collapsed="false">
      <c r="A24" s="20" t="str">
        <f aca="false">Datos!A32</f>
        <v>2011Q4</v>
      </c>
      <c r="B24" s="21" t="n">
        <f aca="false">Datos!L32</f>
        <v>-0.0119223528865138</v>
      </c>
      <c r="C24" s="21" t="n">
        <f aca="false">Datos!I27</f>
        <v>0.0131107735865699</v>
      </c>
      <c r="D24" s="21" t="n">
        <f aca="false">Datos!H32</f>
        <v>174.585041666667</v>
      </c>
      <c r="E24" s="21" t="n">
        <f aca="false">Datos!H30</f>
        <v>41.5229032258063</v>
      </c>
      <c r="F24" s="21" t="n">
        <f aca="false">Datos!H26</f>
        <v>0.464510798855258</v>
      </c>
      <c r="G24" s="21" t="n">
        <f aca="false">Datos!J26</f>
        <v>-0.0447960728624985</v>
      </c>
      <c r="H24" s="21" t="n">
        <f aca="false">Datos!K31</f>
        <v>-0.0288618479552661</v>
      </c>
      <c r="I24" s="19" t="n">
        <v>1</v>
      </c>
      <c r="J24" s="19" t="n">
        <f aca="false">B24-($B$88+$B$89*C24+$B$90*D24+$B$91*E24+$B$92*F24+$B$93*G24+$B$94*H24)</f>
        <v>0.00395177999294926</v>
      </c>
      <c r="K24" s="19" t="n">
        <f aca="false">J24^2</f>
        <v>1.56165651126741E-005</v>
      </c>
    </row>
    <row r="25" customFormat="false" ht="15" hidden="false" customHeight="false" outlineLevel="0" collapsed="false">
      <c r="A25" s="20" t="str">
        <f aca="false">Datos!A33</f>
        <v>2012Q1</v>
      </c>
      <c r="B25" s="21" t="n">
        <f aca="false">Datos!L33</f>
        <v>-0.0365288496025893</v>
      </c>
      <c r="C25" s="21" t="n">
        <f aca="false">Datos!I28</f>
        <v>0.0312470107223477</v>
      </c>
      <c r="D25" s="21" t="n">
        <f aca="false">Datos!H33</f>
        <v>-75.1010327956988</v>
      </c>
      <c r="E25" s="21" t="n">
        <f aca="false">Datos!H31</f>
        <v>158.444625</v>
      </c>
      <c r="F25" s="21" t="n">
        <f aca="false">Datos!H27</f>
        <v>-22.7225300099209</v>
      </c>
      <c r="G25" s="21" t="n">
        <f aca="false">Datos!J27</f>
        <v>0.0629084391155807</v>
      </c>
      <c r="H25" s="21" t="n">
        <f aca="false">Datos!K32</f>
        <v>-0.0632996042190603</v>
      </c>
      <c r="I25" s="19" t="n">
        <v>1</v>
      </c>
      <c r="J25" s="19" t="n">
        <f aca="false">B25-($B$88+$B$89*C25+$B$90*D25+$B$91*E25+$B$92*F25+$B$93*G25+$B$94*H25)</f>
        <v>-0.0105038284117157</v>
      </c>
      <c r="K25" s="19" t="n">
        <f aca="false">J25^2</f>
        <v>0.000110330411302766</v>
      </c>
    </row>
    <row r="26" customFormat="false" ht="15" hidden="false" customHeight="false" outlineLevel="0" collapsed="false">
      <c r="A26" s="20" t="str">
        <f aca="false">Datos!A34</f>
        <v>2012Q2</v>
      </c>
      <c r="B26" s="21" t="n">
        <f aca="false">Datos!L34</f>
        <v>-0.0619600415532879</v>
      </c>
      <c r="C26" s="21" t="n">
        <f aca="false">Datos!I29</f>
        <v>0.0422766191537938</v>
      </c>
      <c r="D26" s="21" t="n">
        <f aca="false">Datos!H34</f>
        <v>231.838685176651</v>
      </c>
      <c r="E26" s="21" t="n">
        <f aca="false">Datos!H32</f>
        <v>174.585041666667</v>
      </c>
      <c r="F26" s="21" t="n">
        <f aca="false">Datos!H28</f>
        <v>-165.748584173387</v>
      </c>
      <c r="G26" s="21" t="n">
        <f aca="false">Datos!J28</f>
        <v>0.0406890191956908</v>
      </c>
      <c r="H26" s="21" t="n">
        <f aca="false">Datos!K33</f>
        <v>-0.0212380852307825</v>
      </c>
      <c r="I26" s="19" t="n">
        <v>1</v>
      </c>
      <c r="J26" s="19" t="n">
        <f aca="false">B26-($B$88+$B$89*C26+$B$90*D26+$B$91*E26+$B$92*F26+$B$93*G26+$B$94*H26)</f>
        <v>-0.0191946989231257</v>
      </c>
      <c r="K26" s="19" t="n">
        <f aca="false">J26^2</f>
        <v>0.000368436466749442</v>
      </c>
    </row>
    <row r="27" customFormat="false" ht="15" hidden="false" customHeight="false" outlineLevel="0" collapsed="false">
      <c r="A27" s="20" t="str">
        <f aca="false">Datos!A35</f>
        <v>2012Q3</v>
      </c>
      <c r="B27" s="21" t="n">
        <f aca="false">Datos!L35</f>
        <v>0.0351346302789751</v>
      </c>
      <c r="C27" s="21" t="n">
        <f aca="false">Datos!I30</f>
        <v>-0.0386592979395697</v>
      </c>
      <c r="D27" s="21" t="n">
        <f aca="false">Datos!H35</f>
        <v>-43.7133031746029</v>
      </c>
      <c r="E27" s="21" t="n">
        <f aca="false">Datos!H33</f>
        <v>-75.1010327956988</v>
      </c>
      <c r="F27" s="21" t="n">
        <f aca="false">Datos!H29</f>
        <v>-12.9487096774192</v>
      </c>
      <c r="G27" s="21" t="n">
        <f aca="false">Datos!J29</f>
        <v>-0.0741697784354101</v>
      </c>
      <c r="H27" s="21" t="n">
        <f aca="false">Datos!K34</f>
        <v>-0.0420035680408851</v>
      </c>
      <c r="I27" s="19" t="n">
        <v>1</v>
      </c>
      <c r="J27" s="19" t="n">
        <f aca="false">B27-($B$88+$B$89*C27+$B$90*D27+$B$91*E27+$B$92*F27+$B$93*G27+$B$94*H27)</f>
        <v>0.0240766540929561</v>
      </c>
      <c r="K27" s="19" t="n">
        <f aca="false">J27^2</f>
        <v>0.000579685272311858</v>
      </c>
    </row>
    <row r="28" customFormat="false" ht="15" hidden="false" customHeight="false" outlineLevel="0" collapsed="false">
      <c r="A28" s="20" t="str">
        <f aca="false">Datos!A36</f>
        <v>2012Q4</v>
      </c>
      <c r="B28" s="21" t="n">
        <f aca="false">Datos!L36</f>
        <v>0.0167409821196641</v>
      </c>
      <c r="C28" s="21" t="n">
        <f aca="false">Datos!I31</f>
        <v>0.0068203401084819</v>
      </c>
      <c r="D28" s="21" t="n">
        <f aca="false">Datos!H36</f>
        <v>16.4557341269839</v>
      </c>
      <c r="E28" s="21" t="n">
        <f aca="false">Datos!H34</f>
        <v>231.838685176651</v>
      </c>
      <c r="F28" s="21" t="n">
        <f aca="false">Datos!H30</f>
        <v>41.5229032258063</v>
      </c>
      <c r="G28" s="21" t="n">
        <f aca="false">Datos!J30</f>
        <v>0.0370188748562493</v>
      </c>
      <c r="H28" s="21" t="n">
        <f aca="false">Datos!K35</f>
        <v>0.079458812069766</v>
      </c>
      <c r="I28" s="19" t="n">
        <v>1</v>
      </c>
      <c r="J28" s="19" t="n">
        <f aca="false">B28-($B$88+$B$89*C28+$B$90*D28+$B$91*E28+$B$92*F28+$B$93*G28+$B$94*H28)</f>
        <v>0.0156611069140834</v>
      </c>
      <c r="K28" s="19" t="n">
        <f aca="false">J28^2</f>
        <v>0.000245270269774351</v>
      </c>
    </row>
    <row r="29" customFormat="false" ht="15" hidden="false" customHeight="false" outlineLevel="0" collapsed="false">
      <c r="A29" s="20" t="str">
        <f aca="false">Datos!A37</f>
        <v>2013Q1</v>
      </c>
      <c r="B29" s="21" t="n">
        <f aca="false">Datos!L37</f>
        <v>0.000982211281734369</v>
      </c>
      <c r="C29" s="21" t="n">
        <f aca="false">Datos!I32</f>
        <v>-0.0270244482852387</v>
      </c>
      <c r="D29" s="21" t="n">
        <f aca="false">Datos!H37</f>
        <v>88.9247333333331</v>
      </c>
      <c r="E29" s="21" t="n">
        <f aca="false">Datos!H35</f>
        <v>-43.7133031746029</v>
      </c>
      <c r="F29" s="21" t="n">
        <f aca="false">Datos!H31</f>
        <v>158.444625</v>
      </c>
      <c r="G29" s="21" t="n">
        <f aca="false">Datos!J31</f>
        <v>0.0367630898891084</v>
      </c>
      <c r="H29" s="21" t="n">
        <f aca="false">Datos!K36</f>
        <v>-0.0215673319846723</v>
      </c>
      <c r="I29" s="19" t="n">
        <v>1</v>
      </c>
      <c r="J29" s="19" t="n">
        <f aca="false">B29-($B$88+$B$89*C29+$B$90*D29+$B$91*E29+$B$92*F29+$B$93*G29+$B$94*H29)</f>
        <v>0.00166344553105495</v>
      </c>
      <c r="K29" s="19" t="n">
        <f aca="false">J29^2</f>
        <v>2.76705103478668E-006</v>
      </c>
    </row>
    <row r="30" customFormat="false" ht="15" hidden="false" customHeight="false" outlineLevel="0" collapsed="false">
      <c r="A30" s="20" t="str">
        <f aca="false">Datos!A38</f>
        <v>2013Q2</v>
      </c>
      <c r="B30" s="21" t="n">
        <f aca="false">Datos!L38</f>
        <v>0.0559199834902318</v>
      </c>
      <c r="C30" s="21" t="n">
        <f aca="false">Datos!I33</f>
        <v>-0.0290398188694472</v>
      </c>
      <c r="D30" s="21" t="n">
        <f aca="false">Datos!H38</f>
        <v>74.8855166666669</v>
      </c>
      <c r="E30" s="21" t="n">
        <f aca="false">Datos!H36</f>
        <v>16.4557341269839</v>
      </c>
      <c r="F30" s="21" t="n">
        <f aca="false">Datos!H32</f>
        <v>174.585041666667</v>
      </c>
      <c r="G30" s="21" t="n">
        <f aca="false">Datos!J32</f>
        <v>-0.135501479583027</v>
      </c>
      <c r="H30" s="21" t="n">
        <f aca="false">Datos!K37</f>
        <v>-0.0867445085368881</v>
      </c>
      <c r="I30" s="19" t="n">
        <v>1</v>
      </c>
      <c r="J30" s="19" t="n">
        <f aca="false">B30-($B$88+$B$89*C30+$B$90*D30+$B$91*E30+$B$92*F30+$B$93*G30+$B$94*H30)</f>
        <v>0.0550440457702399</v>
      </c>
      <c r="K30" s="19" t="n">
        <f aca="false">J30^2</f>
        <v>0.00302984697475626</v>
      </c>
    </row>
    <row r="31" customFormat="false" ht="15" hidden="false" customHeight="false" outlineLevel="0" collapsed="false">
      <c r="A31" s="20" t="str">
        <f aca="false">Datos!A39</f>
        <v>2013Q3</v>
      </c>
      <c r="B31" s="21" t="n">
        <f aca="false">Datos!L39</f>
        <v>-0.0368763361961251</v>
      </c>
      <c r="C31" s="21" t="n">
        <f aca="false">Datos!I34</f>
        <v>-0.026110493572689</v>
      </c>
      <c r="D31" s="21" t="n">
        <f aca="false">Datos!H39</f>
        <v>-109.725953125</v>
      </c>
      <c r="E31" s="21" t="n">
        <f aca="false">Datos!H37</f>
        <v>88.9247333333331</v>
      </c>
      <c r="F31" s="21" t="n">
        <f aca="false">Datos!H33</f>
        <v>-75.1010327956988</v>
      </c>
      <c r="G31" s="21" t="n">
        <f aca="false">Datos!J33</f>
        <v>0.0927807464043467</v>
      </c>
      <c r="H31" s="21" t="n">
        <f aca="false">Datos!K38</f>
        <v>0.0123174371873954</v>
      </c>
      <c r="I31" s="19" t="n">
        <v>1</v>
      </c>
      <c r="J31" s="19" t="n">
        <f aca="false">B31-($B$88+$B$89*C31+$B$90*D31+$B$91*E31+$B$92*F31+$B$93*G31+$B$94*H31)</f>
        <v>-0.0353125634679694</v>
      </c>
      <c r="K31" s="19" t="n">
        <f aca="false">J31^2</f>
        <v>0.00124697713867937</v>
      </c>
    </row>
    <row r="32" customFormat="false" ht="15" hidden="false" customHeight="false" outlineLevel="0" collapsed="false">
      <c r="A32" s="20" t="str">
        <f aca="false">Datos!A40</f>
        <v>2013Q4</v>
      </c>
      <c r="B32" s="21" t="n">
        <f aca="false">Datos!L40</f>
        <v>-0.0260941044948726</v>
      </c>
      <c r="C32" s="21" t="n">
        <f aca="false">Datos!I35</f>
        <v>0.0386172859864582</v>
      </c>
      <c r="D32" s="21" t="n">
        <f aca="false">Datos!H40</f>
        <v>-236.474292776639</v>
      </c>
      <c r="E32" s="21" t="n">
        <f aca="false">Datos!H38</f>
        <v>74.8855166666669</v>
      </c>
      <c r="F32" s="21" t="n">
        <f aca="false">Datos!H34</f>
        <v>231.838685176651</v>
      </c>
      <c r="G32" s="21" t="n">
        <f aca="false">Datos!J34</f>
        <v>-0.0400600353414598</v>
      </c>
      <c r="H32" s="21" t="n">
        <f aca="false">Datos!K39</f>
        <v>-0.0661301293821577</v>
      </c>
      <c r="I32" s="19" t="n">
        <v>1</v>
      </c>
      <c r="J32" s="19" t="n">
        <f aca="false">B32-($B$88+$B$89*C32+$B$90*D32+$B$91*E32+$B$92*F32+$B$93*G32+$B$94*H32)</f>
        <v>-0.0315830784545605</v>
      </c>
      <c r="K32" s="19" t="n">
        <f aca="false">J32^2</f>
        <v>0.000997490844666925</v>
      </c>
    </row>
    <row r="33" customFormat="false" ht="15" hidden="false" customHeight="false" outlineLevel="0" collapsed="false">
      <c r="A33" s="20" t="str">
        <f aca="false">Datos!A41</f>
        <v>2014Q1</v>
      </c>
      <c r="B33" s="21" t="n">
        <f aca="false">Datos!L41</f>
        <v>-0.00838007808506247</v>
      </c>
      <c r="C33" s="21" t="n">
        <f aca="false">Datos!I36</f>
        <v>0.0395024208900321</v>
      </c>
      <c r="D33" s="21" t="n">
        <f aca="false">Datos!H41</f>
        <v>71.9946229508196</v>
      </c>
      <c r="E33" s="21" t="n">
        <f aca="false">Datos!H39</f>
        <v>-109.725953125</v>
      </c>
      <c r="F33" s="21" t="n">
        <f aca="false">Datos!H35</f>
        <v>-43.7133031746029</v>
      </c>
      <c r="G33" s="21" t="n">
        <f aca="false">Datos!J35</f>
        <v>-0.067078079606848</v>
      </c>
      <c r="H33" s="21" t="n">
        <f aca="false">Datos!K40</f>
        <v>-0.0319000966767005</v>
      </c>
      <c r="I33" s="19" t="n">
        <v>1</v>
      </c>
      <c r="J33" s="19" t="n">
        <f aca="false">B33-($B$88+$B$89*C33+$B$90*D33+$B$91*E33+$B$92*F33+$B$93*G33+$B$94*H33)</f>
        <v>-0.00278523400917735</v>
      </c>
      <c r="K33" s="19" t="n">
        <f aca="false">J33^2</f>
        <v>7.75752848587813E-006</v>
      </c>
    </row>
    <row r="34" customFormat="false" ht="15" hidden="false" customHeight="false" outlineLevel="0" collapsed="false">
      <c r="A34" s="20" t="str">
        <f aca="false">Datos!A42</f>
        <v>2014Q2</v>
      </c>
      <c r="B34" s="21" t="n">
        <f aca="false">Datos!L42</f>
        <v>-0.0115991030912197</v>
      </c>
      <c r="C34" s="21" t="n">
        <f aca="false">Datos!I37</f>
        <v>-0.0136126649327899</v>
      </c>
      <c r="D34" s="21" t="n">
        <f aca="false">Datos!H42</f>
        <v>-143.202551652355</v>
      </c>
      <c r="E34" s="21" t="n">
        <f aca="false">Datos!H40</f>
        <v>-236.474292776639</v>
      </c>
      <c r="F34" s="21" t="n">
        <f aca="false">Datos!H36</f>
        <v>16.4557341269839</v>
      </c>
      <c r="G34" s="21" t="n">
        <f aca="false">Datos!J36</f>
        <v>0.0542645345476518</v>
      </c>
      <c r="H34" s="21" t="n">
        <f aca="false">Datos!K41</f>
        <v>0.0671200742533991</v>
      </c>
      <c r="I34" s="19" t="n">
        <v>1</v>
      </c>
      <c r="J34" s="19" t="n">
        <f aca="false">B34-($B$88+$B$89*C34+$B$90*D34+$B$91*E34+$B$92*F34+$B$93*G34+$B$94*H34)</f>
        <v>-0.0445980456068127</v>
      </c>
      <c r="K34" s="19" t="n">
        <f aca="false">J34^2</f>
        <v>0.00198898567194734</v>
      </c>
    </row>
    <row r="35" customFormat="false" ht="15" hidden="false" customHeight="false" outlineLevel="0" collapsed="false">
      <c r="A35" s="20" t="str">
        <f aca="false">Datos!A43</f>
        <v>2014Q3</v>
      </c>
      <c r="B35" s="21" t="n">
        <f aca="false">Datos!L43</f>
        <v>-0.021895763616679</v>
      </c>
      <c r="C35" s="21" t="n">
        <f aca="false">Datos!I38</f>
        <v>0.000905918240426698</v>
      </c>
      <c r="D35" s="21" t="n">
        <f aca="false">Datos!H43</f>
        <v>-73.5206691468252</v>
      </c>
      <c r="E35" s="21" t="n">
        <f aca="false">Datos!H41</f>
        <v>71.9946229508196</v>
      </c>
      <c r="F35" s="21" t="n">
        <f aca="false">Datos!H37</f>
        <v>88.9247333333331</v>
      </c>
      <c r="G35" s="21" t="n">
        <f aca="false">Datos!J37</f>
        <v>-0.0125683284799909</v>
      </c>
      <c r="H35" s="21" t="n">
        <f aca="false">Datos!K42</f>
        <v>0.0831122793228319</v>
      </c>
      <c r="I35" s="19" t="n">
        <v>1</v>
      </c>
      <c r="J35" s="19" t="n">
        <f aca="false">B35-($B$88+$B$89*C35+$B$90*D35+$B$91*E35+$B$92*F35+$B$93*G35+$B$94*H35)</f>
        <v>-0.0446616739017686</v>
      </c>
      <c r="K35" s="19" t="n">
        <f aca="false">J35^2</f>
        <v>0.00199466511570791</v>
      </c>
    </row>
    <row r="36" customFormat="false" ht="15" hidden="false" customHeight="false" outlineLevel="0" collapsed="false">
      <c r="A36" s="20" t="str">
        <f aca="false">Datos!A44</f>
        <v>2014Q4</v>
      </c>
      <c r="B36" s="21" t="n">
        <f aca="false">Datos!L44</f>
        <v>0.0142278491595248</v>
      </c>
      <c r="C36" s="21" t="n">
        <f aca="false">Datos!I39</f>
        <v>-0.0669208551958795</v>
      </c>
      <c r="D36" s="21" t="n">
        <f aca="false">Datos!H44</f>
        <v>21.0197781762296</v>
      </c>
      <c r="E36" s="21" t="n">
        <f aca="false">Datos!H42</f>
        <v>-143.202551652355</v>
      </c>
      <c r="F36" s="21" t="n">
        <f aca="false">Datos!H38</f>
        <v>74.8855166666669</v>
      </c>
      <c r="G36" s="21" t="n">
        <f aca="false">Datos!J38</f>
        <v>0.0292871541298152</v>
      </c>
      <c r="H36" s="21" t="n">
        <f aca="false">Datos!K43</f>
        <v>-0.0497386703925971</v>
      </c>
      <c r="I36" s="19" t="n">
        <v>1</v>
      </c>
      <c r="J36" s="19" t="n">
        <f aca="false">B36-($B$88+$B$89*C36+$B$90*D36+$B$91*E36+$B$92*F36+$B$93*G36+$B$94*H36)</f>
        <v>0.00770465814061051</v>
      </c>
      <c r="K36" s="19" t="n">
        <f aca="false">J36^2</f>
        <v>5.93617570636759E-005</v>
      </c>
    </row>
    <row r="37" customFormat="false" ht="15" hidden="false" customHeight="false" outlineLevel="0" collapsed="false">
      <c r="A37" s="20" t="str">
        <f aca="false">Datos!A45</f>
        <v>2015Q1</v>
      </c>
      <c r="B37" s="21" t="n">
        <f aca="false">Datos!L45</f>
        <v>0.0306663908660249</v>
      </c>
      <c r="C37" s="21" t="n">
        <f aca="false">Datos!I40</f>
        <v>-0.0573108864708702</v>
      </c>
      <c r="D37" s="21" t="n">
        <f aca="false">Datos!H45</f>
        <v>-63.2494918032786</v>
      </c>
      <c r="E37" s="21" t="n">
        <f aca="false">Datos!H43</f>
        <v>-73.5206691468252</v>
      </c>
      <c r="F37" s="21" t="n">
        <f aca="false">Datos!H39</f>
        <v>-109.725953125</v>
      </c>
      <c r="G37" s="21" t="n">
        <f aca="false">Datos!J39</f>
        <v>0.0770487894176897</v>
      </c>
      <c r="H37" s="21" t="n">
        <f aca="false">Datos!K44</f>
        <v>-0.0545195466572687</v>
      </c>
      <c r="I37" s="19" t="n">
        <v>1</v>
      </c>
      <c r="J37" s="19" t="n">
        <f aca="false">B37-($B$88+$B$89*C37+$B$90*D37+$B$91*E37+$B$92*F37+$B$93*G37+$B$94*H37)</f>
        <v>0.0356160520260576</v>
      </c>
      <c r="K37" s="19" t="n">
        <f aca="false">J37^2</f>
        <v>0.00126850316192284</v>
      </c>
    </row>
    <row r="38" customFormat="false" ht="15" hidden="false" customHeight="false" outlineLevel="0" collapsed="false">
      <c r="A38" s="20" t="str">
        <f aca="false">Datos!A46</f>
        <v>2015Q2</v>
      </c>
      <c r="B38" s="21" t="n">
        <f aca="false">Datos!L46</f>
        <v>0.0378012308454139</v>
      </c>
      <c r="C38" s="21" t="n">
        <f aca="false">Datos!I41</f>
        <v>-0.0958800124314026</v>
      </c>
      <c r="D38" s="21" t="n">
        <f aca="false">Datos!H46</f>
        <v>-69.448288776797</v>
      </c>
      <c r="E38" s="21" t="n">
        <f aca="false">Datos!H44</f>
        <v>21.0197781762296</v>
      </c>
      <c r="F38" s="21" t="n">
        <f aca="false">Datos!H40</f>
        <v>-236.474292776639</v>
      </c>
      <c r="G38" s="21" t="n">
        <f aca="false">Datos!J40</f>
        <v>-0.031577165647831</v>
      </c>
      <c r="H38" s="21" t="n">
        <f aca="false">Datos!K45</f>
        <v>0.0452568848055677</v>
      </c>
      <c r="I38" s="19" t="n">
        <v>1</v>
      </c>
      <c r="J38" s="19" t="n">
        <f aca="false">B38-($B$88+$B$89*C38+$B$90*D38+$B$91*E38+$B$92*F38+$B$93*G38+$B$94*H38)</f>
        <v>0.0162289382484115</v>
      </c>
      <c r="K38" s="19" t="n">
        <f aca="false">J38^2</f>
        <v>0.000263378436670755</v>
      </c>
    </row>
    <row r="39" customFormat="false" ht="15" hidden="false" customHeight="false" outlineLevel="0" collapsed="false">
      <c r="A39" s="20" t="str">
        <f aca="false">Datos!A47</f>
        <v>2015Q3</v>
      </c>
      <c r="B39" s="21" t="n">
        <f aca="false">Datos!L47</f>
        <v>-0.000648620462658789</v>
      </c>
      <c r="C39" s="21" t="n">
        <f aca="false">Datos!I42</f>
        <v>-0.0333671304691989</v>
      </c>
      <c r="D39" s="21" t="n">
        <f aca="false">Datos!H47</f>
        <v>-12.3885780885781</v>
      </c>
      <c r="E39" s="21" t="n">
        <f aca="false">Datos!H45</f>
        <v>-63.2494918032786</v>
      </c>
      <c r="F39" s="21" t="n">
        <f aca="false">Datos!H41</f>
        <v>71.9946229508196</v>
      </c>
      <c r="G39" s="21" t="n">
        <f aca="false">Datos!J41</f>
        <v>0.0530334992950312</v>
      </c>
      <c r="H39" s="21" t="n">
        <f aca="false">Datos!K46</f>
        <v>-0.0840598834733707</v>
      </c>
      <c r="I39" s="19" t="n">
        <v>1</v>
      </c>
      <c r="J39" s="19" t="n">
        <f aca="false">B39-($B$88+$B$89*C39+$B$90*D39+$B$91*E39+$B$92*F39+$B$93*G39+$B$94*H39)</f>
        <v>0.00870382867862396</v>
      </c>
      <c r="K39" s="19" t="n">
        <f aca="false">J39^2</f>
        <v>7.57566336668369E-005</v>
      </c>
    </row>
    <row r="40" customFormat="false" ht="15" hidden="false" customHeight="false" outlineLevel="0" collapsed="false">
      <c r="A40" s="20" t="str">
        <f aca="false">Datos!A48</f>
        <v>2015Q4</v>
      </c>
      <c r="B40" s="21" t="n">
        <f aca="false">Datos!L48</f>
        <v>-0.014934690706373</v>
      </c>
      <c r="C40" s="21" t="n">
        <f aca="false">Datos!I43</f>
        <v>-0.00270570265133011</v>
      </c>
      <c r="D40" s="21" t="n">
        <f aca="false">Datos!H48</f>
        <v>-78.2729603729604</v>
      </c>
      <c r="E40" s="21" t="n">
        <f aca="false">Datos!H46</f>
        <v>-69.448288776797</v>
      </c>
      <c r="F40" s="21" t="n">
        <f aca="false">Datos!H42</f>
        <v>-143.202551652355</v>
      </c>
      <c r="G40" s="21" t="n">
        <f aca="false">Datos!J42</f>
        <v>0.067920751391922</v>
      </c>
      <c r="H40" s="21" t="n">
        <f aca="false">Datos!K47</f>
        <v>0.0549125616583312</v>
      </c>
      <c r="I40" s="19" t="n">
        <v>1</v>
      </c>
      <c r="J40" s="19" t="n">
        <f aca="false">B40-($B$88+$B$89*C40+$B$90*D40+$B$91*E40+$B$92*F40+$B$93*G40+$B$94*H40)</f>
        <v>-0.0243451562321132</v>
      </c>
      <c r="K40" s="19" t="n">
        <f aca="false">J40^2</f>
        <v>0.000592686631966001</v>
      </c>
    </row>
    <row r="41" customFormat="false" ht="15" hidden="false" customHeight="false" outlineLevel="0" collapsed="false">
      <c r="A41" s="20" t="str">
        <f aca="false">Datos!A49</f>
        <v>2016Q1</v>
      </c>
      <c r="B41" s="21" t="n">
        <f aca="false">Datos!L49</f>
        <v>-0.0174400837015445</v>
      </c>
      <c r="C41" s="21" t="n">
        <f aca="false">Datos!I44</f>
        <v>0.0206592277311123</v>
      </c>
      <c r="D41" s="21" t="n">
        <f aca="false">Datos!H49</f>
        <v>-38.2862026862027</v>
      </c>
      <c r="E41" s="21" t="n">
        <f aca="false">Datos!H47</f>
        <v>-12.3885780885781</v>
      </c>
      <c r="F41" s="21" t="n">
        <f aca="false">Datos!H43</f>
        <v>-73.5206691468252</v>
      </c>
      <c r="G41" s="21" t="n">
        <f aca="false">Datos!J43</f>
        <v>-0.0382165552288544</v>
      </c>
      <c r="H41" s="21" t="n">
        <f aca="false">Datos!K48</f>
        <v>0.0929604971038175</v>
      </c>
      <c r="I41" s="19" t="n">
        <v>1</v>
      </c>
      <c r="J41" s="19" t="n">
        <f aca="false">B41-($B$88+$B$89*C41+$B$90*D41+$B$91*E41+$B$92*F41+$B$93*G41+$B$94*H41)</f>
        <v>-0.0378809620834687</v>
      </c>
      <c r="K41" s="19" t="n">
        <f aca="false">J41^2</f>
        <v>0.00143496728836919</v>
      </c>
    </row>
    <row r="42" customFormat="false" ht="15" hidden="false" customHeight="false" outlineLevel="0" collapsed="false">
      <c r="A42" s="20" t="str">
        <f aca="false">Datos!A50</f>
        <v>2016Q2</v>
      </c>
      <c r="B42" s="21" t="n">
        <f aca="false">Datos!L50</f>
        <v>-0.0458755219268234</v>
      </c>
      <c r="C42" s="21" t="n">
        <f aca="false">Datos!I45</f>
        <v>0.12737234338906</v>
      </c>
      <c r="D42" s="21" t="n">
        <f aca="false">Datos!H50</f>
        <v>-20.156746031746</v>
      </c>
      <c r="E42" s="21" t="n">
        <f aca="false">Datos!H48</f>
        <v>-78.2729603729604</v>
      </c>
      <c r="F42" s="21" t="n">
        <f aca="false">Datos!H44</f>
        <v>21.0197781762296</v>
      </c>
      <c r="G42" s="21" t="n">
        <f aca="false">Datos!J44</f>
        <v>-0.0169003162690849</v>
      </c>
      <c r="H42" s="21" t="n">
        <f aca="false">Datos!K49</f>
        <v>-0.0501806657673727</v>
      </c>
      <c r="I42" s="19" t="n">
        <v>1</v>
      </c>
      <c r="J42" s="19" t="n">
        <f aca="false">B42-($B$88+$B$89*C42+$B$90*D42+$B$91*E42+$B$92*F42+$B$93*G42+$B$94*H42)</f>
        <v>-0.0259857485742806</v>
      </c>
      <c r="K42" s="19" t="n">
        <f aca="false">J42^2</f>
        <v>0.000675259128965725</v>
      </c>
    </row>
    <row r="43" customFormat="false" ht="15" hidden="false" customHeight="false" outlineLevel="0" collapsed="false">
      <c r="A43" s="20" t="str">
        <f aca="false">Datos!A51</f>
        <v>2016Q3</v>
      </c>
      <c r="B43" s="21" t="n">
        <f aca="false">Datos!L51</f>
        <v>0.0053164079552358</v>
      </c>
      <c r="C43" s="21" t="n">
        <f aca="false">Datos!I46</f>
        <v>0.079305358514979</v>
      </c>
      <c r="D43" s="21" t="n">
        <f aca="false">Datos!H51</f>
        <v>51.5281007751937</v>
      </c>
      <c r="E43" s="21" t="n">
        <f aca="false">Datos!H49</f>
        <v>-38.2862026862027</v>
      </c>
      <c r="F43" s="21" t="n">
        <f aca="false">Datos!H45</f>
        <v>-63.2494918032786</v>
      </c>
      <c r="G43" s="21" t="n">
        <f aca="false">Datos!J45</f>
        <v>-0.0227808354678118</v>
      </c>
      <c r="H43" s="21" t="n">
        <f aca="false">Datos!K50</f>
        <v>0.114909941997091</v>
      </c>
      <c r="I43" s="19" t="n">
        <v>1</v>
      </c>
      <c r="J43" s="19" t="n">
        <f aca="false">B43-($B$88+$B$89*C43+$B$90*D43+$B$91*E43+$B$92*F43+$B$93*G43+$B$94*H43)</f>
        <v>-0.00556454919718674</v>
      </c>
      <c r="K43" s="19" t="n">
        <f aca="false">J43^2</f>
        <v>3.09642077679116E-005</v>
      </c>
    </row>
    <row r="44" customFormat="false" ht="15" hidden="false" customHeight="false" outlineLevel="0" collapsed="false">
      <c r="A44" s="20" t="str">
        <f aca="false">Datos!A52</f>
        <v>2016Q4</v>
      </c>
      <c r="B44" s="21" t="n">
        <f aca="false">Datos!L52</f>
        <v>0.0183393045899268</v>
      </c>
      <c r="C44" s="21" t="n">
        <f aca="false">Datos!I47</f>
        <v>-0.0219317664243788</v>
      </c>
      <c r="D44" s="21" t="n">
        <f aca="false">Datos!H52</f>
        <v>-26.5005366726296</v>
      </c>
      <c r="E44" s="21" t="n">
        <f aca="false">Datos!H50</f>
        <v>-20.156746031746</v>
      </c>
      <c r="F44" s="21" t="n">
        <f aca="false">Datos!H46</f>
        <v>-69.448288776797</v>
      </c>
      <c r="G44" s="21" t="n">
        <f aca="false">Datos!J46</f>
        <v>-0.00580415466024192</v>
      </c>
      <c r="H44" s="21" t="n">
        <f aca="false">Datos!K51</f>
        <v>0.0078308829818691</v>
      </c>
      <c r="I44" s="19" t="n">
        <v>1</v>
      </c>
      <c r="J44" s="19" t="n">
        <f aca="false">B44-($B$88+$B$89*C44+$B$90*D44+$B$91*E44+$B$92*F44+$B$93*G44+$B$94*H44)</f>
        <v>0.011940622367104</v>
      </c>
      <c r="K44" s="19" t="n">
        <f aca="false">J44^2</f>
        <v>0.000142578462513784</v>
      </c>
    </row>
    <row r="45" customFormat="false" ht="15" hidden="false" customHeight="false" outlineLevel="0" collapsed="false">
      <c r="A45" s="20" t="str">
        <f aca="false">Datos!A53</f>
        <v>2017Q1</v>
      </c>
      <c r="B45" s="21" t="n">
        <f aca="false">Datos!L53</f>
        <v>0.0205296747532824</v>
      </c>
      <c r="C45" s="21" t="n">
        <f aca="false">Datos!I48</f>
        <v>0.00284689976009123</v>
      </c>
      <c r="D45" s="21" t="n">
        <f aca="false">Datos!H53</f>
        <v>-15.9076923076924</v>
      </c>
      <c r="E45" s="21" t="n">
        <f aca="false">Datos!H51</f>
        <v>51.5281007751937</v>
      </c>
      <c r="F45" s="21" t="n">
        <f aca="false">Datos!H47</f>
        <v>-12.3885780885781</v>
      </c>
      <c r="G45" s="21" t="n">
        <f aca="false">Datos!J47</f>
        <v>-0.0725670071793785</v>
      </c>
      <c r="H45" s="21" t="n">
        <f aca="false">Datos!K52</f>
        <v>-0.0600242033998368</v>
      </c>
      <c r="I45" s="19" t="n">
        <v>1</v>
      </c>
      <c r="J45" s="19" t="n">
        <f aca="false">B45-($B$88+$B$89*C45+$B$90*D45+$B$91*E45+$B$92*F45+$B$93*G45+$B$94*H45)</f>
        <v>0.0273621283388287</v>
      </c>
      <c r="K45" s="19" t="n">
        <f aca="false">J45^2</f>
        <v>0.000748686067230531</v>
      </c>
    </row>
    <row r="46" customFormat="false" ht="15" hidden="false" customHeight="false" outlineLevel="0" collapsed="false">
      <c r="A46" s="20" t="str">
        <f aca="false">Datos!A54</f>
        <v>2017Q2</v>
      </c>
      <c r="B46" s="21" t="n">
        <f aca="false">Datos!L54</f>
        <v>0.0176690432523345</v>
      </c>
      <c r="C46" s="21" t="n">
        <f aca="false">Datos!I49</f>
        <v>-0.114795786877596</v>
      </c>
      <c r="D46" s="21" t="n">
        <f aca="false">Datos!H54</f>
        <v>-40.3959134615384</v>
      </c>
      <c r="E46" s="21" t="n">
        <f aca="false">Datos!H52</f>
        <v>-26.5005366726296</v>
      </c>
      <c r="F46" s="21" t="n">
        <f aca="false">Datos!H48</f>
        <v>-78.2729603729604</v>
      </c>
      <c r="G46" s="21" t="n">
        <f aca="false">Datos!J48</f>
        <v>-0.0214726951640203</v>
      </c>
      <c r="H46" s="21" t="n">
        <f aca="false">Datos!K53</f>
        <v>-0.035749043779608</v>
      </c>
      <c r="I46" s="19" t="n">
        <v>1</v>
      </c>
      <c r="J46" s="19" t="n">
        <f aca="false">B46-($B$88+$B$89*C46+$B$90*D46+$B$91*E46+$B$92*F46+$B$93*G46+$B$94*H46)</f>
        <v>0.00425035721440247</v>
      </c>
      <c r="K46" s="19" t="n">
        <f aca="false">J46^2</f>
        <v>1.80655364500231E-005</v>
      </c>
    </row>
    <row r="47" customFormat="false" ht="15" hidden="false" customHeight="false" outlineLevel="0" collapsed="false">
      <c r="A47" s="20" t="str">
        <f aca="false">Datos!A55</f>
        <v>2017Q3</v>
      </c>
      <c r="B47" s="21" t="n">
        <f aca="false">Datos!L55</f>
        <v>0.0152402515595023</v>
      </c>
      <c r="C47" s="21" t="n">
        <f aca="false">Datos!I50</f>
        <v>-0.0963649166129051</v>
      </c>
      <c r="D47" s="21" t="n">
        <f aca="false">Datos!H55</f>
        <v>0.498765624999805</v>
      </c>
      <c r="E47" s="21" t="n">
        <f aca="false">Datos!H53</f>
        <v>-15.9076923076924</v>
      </c>
      <c r="F47" s="21" t="n">
        <f aca="false">Datos!H49</f>
        <v>-38.2862026862027</v>
      </c>
      <c r="G47" s="21" t="n">
        <f aca="false">Datos!J49</f>
        <v>-0.013556503122827</v>
      </c>
      <c r="H47" s="21" t="n">
        <f aca="false">Datos!K54</f>
        <v>-0.0598239352005628</v>
      </c>
      <c r="I47" s="19" t="n">
        <v>1</v>
      </c>
      <c r="J47" s="19" t="n">
        <f aca="false">B47-($B$88+$B$89*C47+$B$90*D47+$B$91*E47+$B$92*F47+$B$93*G47+$B$94*H47)</f>
        <v>0.0117293084464942</v>
      </c>
      <c r="K47" s="19" t="n">
        <f aca="false">J47^2</f>
        <v>0.000137576676633</v>
      </c>
    </row>
    <row r="48" customFormat="false" ht="15" hidden="false" customHeight="false" outlineLevel="0" collapsed="false">
      <c r="A48" s="20" t="str">
        <f aca="false">Datos!A56</f>
        <v>2017Q4</v>
      </c>
      <c r="B48" s="21" t="n">
        <f aca="false">Datos!L56</f>
        <v>0.00682076262777875</v>
      </c>
      <c r="C48" s="21" t="n">
        <f aca="false">Datos!I51</f>
        <v>0.0125883030332315</v>
      </c>
      <c r="D48" s="21" t="n">
        <f aca="false">Datos!H56</f>
        <v>-54.5718281249997</v>
      </c>
      <c r="E48" s="21" t="n">
        <f aca="false">Datos!H54</f>
        <v>-40.3959134615384</v>
      </c>
      <c r="F48" s="21" t="n">
        <f aca="false">Datos!H50</f>
        <v>-20.156746031746</v>
      </c>
      <c r="G48" s="21" t="n">
        <f aca="false">Datos!J50</f>
        <v>-0.0260787645308853</v>
      </c>
      <c r="H48" s="21" t="n">
        <f aca="false">Datos!K55</f>
        <v>-0.0336017376367385</v>
      </c>
      <c r="I48" s="19" t="n">
        <v>1</v>
      </c>
      <c r="J48" s="19" t="n">
        <f aca="false">B48-($B$88+$B$89*C48+$B$90*D48+$B$91*E48+$B$92*F48+$B$93*G48+$B$94*H48)</f>
        <v>0.00721081975101912</v>
      </c>
      <c r="K48" s="19" t="n">
        <f aca="false">J48^2</f>
        <v>5.19959214816874E-005</v>
      </c>
    </row>
    <row r="49" customFormat="false" ht="15" hidden="false" customHeight="false" outlineLevel="0" collapsed="false">
      <c r="A49" s="20" t="str">
        <f aca="false">Datos!A57</f>
        <v>2018Q1</v>
      </c>
      <c r="B49" s="21" t="n">
        <f aca="false">Datos!L57</f>
        <v>-0.00734944608262711</v>
      </c>
      <c r="C49" s="21" t="n">
        <f aca="false">Datos!I52</f>
        <v>0.0215081148240396</v>
      </c>
      <c r="D49" s="21" t="n">
        <f aca="false">Datos!H57</f>
        <v>28.5320987903223</v>
      </c>
      <c r="E49" s="21" t="n">
        <f aca="false">Datos!H55</f>
        <v>0.498765624999805</v>
      </c>
      <c r="F49" s="21" t="n">
        <f aca="false">Datos!H51</f>
        <v>51.5281007751937</v>
      </c>
      <c r="G49" s="21" t="n">
        <f aca="false">Datos!J51</f>
        <v>0.0942185203778218</v>
      </c>
      <c r="H49" s="21" t="n">
        <f aca="false">Datos!K56</f>
        <v>0.0834781752199751</v>
      </c>
      <c r="I49" s="19" t="n">
        <v>1</v>
      </c>
      <c r="J49" s="19" t="n">
        <f aca="false">B49-($B$88+$B$89*C49+$B$90*D49+$B$91*E49+$B$92*F49+$B$93*G49+$B$94*H49)</f>
        <v>-0.013149254017552</v>
      </c>
      <c r="K49" s="19" t="n">
        <f aca="false">J49^2</f>
        <v>0.000172902881218107</v>
      </c>
    </row>
    <row r="50" customFormat="false" ht="15" hidden="false" customHeight="false" outlineLevel="0" collapsed="false">
      <c r="A50" s="20" t="str">
        <f aca="false">Datos!A58</f>
        <v>2018Q2</v>
      </c>
      <c r="B50" s="21" t="n">
        <f aca="false">Datos!L58</f>
        <v>-0.0777683962553631</v>
      </c>
      <c r="C50" s="21" t="n">
        <f aca="false">Datos!I53</f>
        <v>0.0929246843768103</v>
      </c>
      <c r="D50" s="21" t="n">
        <f aca="false">Datos!H58</f>
        <v>77.2218156327545</v>
      </c>
      <c r="E50" s="21" t="n">
        <f aca="false">Datos!H56</f>
        <v>-54.5718281249997</v>
      </c>
      <c r="F50" s="21" t="n">
        <f aca="false">Datos!H52</f>
        <v>-26.5005366726296</v>
      </c>
      <c r="G50" s="21" t="n">
        <f aca="false">Datos!J52</f>
        <v>0.241810567395166</v>
      </c>
      <c r="H50" s="21" t="n">
        <f aca="false">Datos!K57</f>
        <v>0.0156446596022237</v>
      </c>
      <c r="I50" s="19" t="n">
        <v>1</v>
      </c>
      <c r="J50" s="19" t="n">
        <f aca="false">B50-($B$88+$B$89*C50+$B$90*D50+$B$91*E50+$B$92*F50+$B$93*G50+$B$94*H50)</f>
        <v>-0.0430536116103051</v>
      </c>
      <c r="K50" s="19" t="n">
        <f aca="false">J50^2</f>
        <v>0.001853613472691</v>
      </c>
    </row>
    <row r="51" customFormat="false" ht="15" hidden="false" customHeight="false" outlineLevel="0" collapsed="false">
      <c r="A51" s="20" t="str">
        <f aca="false">Datos!A59</f>
        <v>2018Q3</v>
      </c>
      <c r="B51" s="21" t="n">
        <f aca="false">Datos!L59</f>
        <v>0.00509659019999231</v>
      </c>
      <c r="C51" s="21" t="n">
        <f aca="false">Datos!I54</f>
        <v>0.0763750387701306</v>
      </c>
      <c r="D51" s="21" t="n">
        <f aca="false">Datos!H59</f>
        <v>166.169284270953</v>
      </c>
      <c r="E51" s="21" t="n">
        <f aca="false">Datos!H57</f>
        <v>28.5320987903223</v>
      </c>
      <c r="F51" s="21" t="n">
        <f aca="false">Datos!H53</f>
        <v>-15.9076923076924</v>
      </c>
      <c r="G51" s="21" t="n">
        <f aca="false">Datos!J53</f>
        <v>-0.24283692228193</v>
      </c>
      <c r="H51" s="21" t="n">
        <f aca="false">Datos!K58</f>
        <v>0.0616247472334126</v>
      </c>
      <c r="I51" s="19" t="n">
        <v>1</v>
      </c>
      <c r="J51" s="19" t="n">
        <f aca="false">B51-($B$88+$B$89*C51+$B$90*D51+$B$91*E51+$B$92*F51+$B$93*G51+$B$94*H51)</f>
        <v>-0.00678385411106932</v>
      </c>
      <c r="K51" s="19" t="n">
        <f aca="false">J51^2</f>
        <v>4.60206766002721E-005</v>
      </c>
    </row>
    <row r="52" customFormat="false" ht="15" hidden="false" customHeight="false" outlineLevel="0" collapsed="false">
      <c r="A52" s="20" t="str">
        <f aca="false">Datos!A60</f>
        <v>2018Q4</v>
      </c>
      <c r="B52" s="21" t="n">
        <f aca="false">Datos!L60</f>
        <v>-0.0287029877961243</v>
      </c>
      <c r="C52" s="21" t="n">
        <f aca="false">Datos!I55</f>
        <v>-0.0381479768126187</v>
      </c>
      <c r="D52" s="21" t="n">
        <f aca="false">Datos!H60</f>
        <v>56.51817630597</v>
      </c>
      <c r="E52" s="21" t="n">
        <f aca="false">Datos!H58</f>
        <v>77.2218156327545</v>
      </c>
      <c r="F52" s="21" t="n">
        <f aca="false">Datos!H54</f>
        <v>-40.3959134615384</v>
      </c>
      <c r="G52" s="21" t="n">
        <f aca="false">Datos!J54</f>
        <v>-0.0647458372468179</v>
      </c>
      <c r="H52" s="21" t="n">
        <f aca="false">Datos!K59</f>
        <v>-0.0680385631508205</v>
      </c>
      <c r="I52" s="19" t="n">
        <v>1</v>
      </c>
      <c r="J52" s="19" t="n">
        <f aca="false">B52-($B$88+$B$89*C52+$B$90*D52+$B$91*E52+$B$92*F52+$B$93*G52+$B$94*H52)</f>
        <v>-0.0185197089788954</v>
      </c>
      <c r="K52" s="19" t="n">
        <f aca="false">J52^2</f>
        <v>0.000342979620662977</v>
      </c>
    </row>
    <row r="53" customFormat="false" ht="15" hidden="false" customHeight="false" outlineLevel="0" collapsed="false">
      <c r="A53" s="20" t="str">
        <f aca="false">Datos!A61</f>
        <v>2019Q1</v>
      </c>
      <c r="B53" s="21" t="n">
        <f aca="false">Datos!L61</f>
        <v>0.00476013768269978</v>
      </c>
      <c r="C53" s="21" t="n">
        <f aca="false">Datos!I56</f>
        <v>-0.00847913753638218</v>
      </c>
      <c r="D53" s="21" t="n">
        <f aca="false">Datos!H61</f>
        <v>19.2017013888889</v>
      </c>
      <c r="E53" s="21" t="n">
        <f aca="false">Datos!H59</f>
        <v>166.169284270953</v>
      </c>
      <c r="F53" s="21" t="n">
        <f aca="false">Datos!H55</f>
        <v>0.498765624999805</v>
      </c>
      <c r="G53" s="21" t="n">
        <f aca="false">Datos!J55</f>
        <v>-0.0931139816863711</v>
      </c>
      <c r="H53" s="21" t="n">
        <f aca="false">Datos!K60</f>
        <v>-0.0795880772476278</v>
      </c>
      <c r="I53" s="19" t="n">
        <v>1</v>
      </c>
      <c r="J53" s="19" t="n">
        <f aca="false">B53-($B$88+$B$89*C53+$B$90*D53+$B$91*E53+$B$92*F53+$B$93*G53+$B$94*H53)</f>
        <v>0.019562272580323</v>
      </c>
      <c r="K53" s="19" t="n">
        <f aca="false">J53^2</f>
        <v>0.000382682508506856</v>
      </c>
    </row>
    <row r="54" customFormat="false" ht="15" hidden="false" customHeight="false" outlineLevel="0" collapsed="false">
      <c r="A54" s="20" t="str">
        <f aca="false">Datos!A62</f>
        <v>2019Q2</v>
      </c>
      <c r="B54" s="21" t="n">
        <f aca="false">Datos!L62</f>
        <v>0.0644654529234107</v>
      </c>
      <c r="C54" s="21" t="n">
        <f aca="false">Datos!I57</f>
        <v>0.015677961339587</v>
      </c>
      <c r="D54" s="21" t="n">
        <f aca="false">Datos!H62</f>
        <v>162.790259661836</v>
      </c>
      <c r="E54" s="21" t="n">
        <f aca="false">Datos!H60</f>
        <v>56.51817630597</v>
      </c>
      <c r="F54" s="21" t="n">
        <f aca="false">Datos!H56</f>
        <v>-54.5718281249997</v>
      </c>
      <c r="G54" s="21" t="n">
        <f aca="false">Datos!J56</f>
        <v>-0.0800850350667679</v>
      </c>
      <c r="H54" s="21" t="n">
        <f aca="false">Datos!K61</f>
        <v>0.0351944925910753</v>
      </c>
      <c r="I54" s="19" t="n">
        <v>1</v>
      </c>
      <c r="J54" s="19" t="n">
        <f aca="false">B54-($B$88+$B$89*C54+$B$90*D54+$B$91*E54+$B$92*F54+$B$93*G54+$B$94*H54)</f>
        <v>0.0666608468310113</v>
      </c>
      <c r="K54" s="19" t="n">
        <f aca="false">J54^2</f>
        <v>0.00444366850022755</v>
      </c>
    </row>
    <row r="55" customFormat="false" ht="15" hidden="false" customHeight="false" outlineLevel="0" collapsed="false">
      <c r="A55" s="20" t="str">
        <f aca="false">Datos!A63</f>
        <v>2019Q3</v>
      </c>
      <c r="B55" s="21" t="n">
        <f aca="false">Datos!L63</f>
        <v>-0.0233553605717005</v>
      </c>
      <c r="C55" s="21" t="n">
        <f aca="false">Datos!I58</f>
        <v>-0.0742810049049096</v>
      </c>
      <c r="D55" s="21" t="n">
        <f aca="false">Datos!H63</f>
        <v>679.618686815129</v>
      </c>
      <c r="E55" s="21" t="n">
        <f aca="false">Datos!H61</f>
        <v>19.2017013888889</v>
      </c>
      <c r="F55" s="21" t="n">
        <f aca="false">Datos!H57</f>
        <v>28.5320987903223</v>
      </c>
      <c r="G55" s="21" t="n">
        <f aca="false">Datos!J57</f>
        <v>0.072575912604689</v>
      </c>
      <c r="H55" s="21" t="n">
        <f aca="false">Datos!K62</f>
        <v>-0.0270236391269938</v>
      </c>
      <c r="I55" s="19" t="n">
        <v>1</v>
      </c>
      <c r="J55" s="19" t="n">
        <f aca="false">B55-($B$88+$B$89*C55+$B$90*D55+$B$91*E55+$B$92*F55+$B$93*G55+$B$94*H55)</f>
        <v>0.020544018843058</v>
      </c>
      <c r="K55" s="19" t="n">
        <f aca="false">J55^2</f>
        <v>0.000422056710223921</v>
      </c>
    </row>
    <row r="56" customFormat="false" ht="15" hidden="false" customHeight="false" outlineLevel="0" collapsed="false">
      <c r="A56" s="20" t="str">
        <f aca="false">Datos!A64</f>
        <v>2019Q4</v>
      </c>
      <c r="B56" s="21" t="n">
        <f aca="false">Datos!L64</f>
        <v>0.00677873424048458</v>
      </c>
      <c r="C56" s="21" t="n">
        <f aca="false">Datos!I59</f>
        <v>0.0297586266112664</v>
      </c>
      <c r="D56" s="21" t="n">
        <f aca="false">Datos!H64</f>
        <v>598.881251590669</v>
      </c>
      <c r="E56" s="21" t="n">
        <f aca="false">Datos!H62</f>
        <v>162.790259661836</v>
      </c>
      <c r="F56" s="21" t="n">
        <f aca="false">Datos!H58</f>
        <v>77.2218156327545</v>
      </c>
      <c r="G56" s="21" t="n">
        <f aca="false">Datos!J58</f>
        <v>0.016146963656916</v>
      </c>
      <c r="H56" s="21" t="n">
        <f aca="false">Datos!K63</f>
        <v>0.0668497563295599</v>
      </c>
      <c r="I56" s="19" t="n">
        <v>1</v>
      </c>
      <c r="J56" s="19" t="n">
        <f aca="false">B56-($B$88+$B$89*C56+$B$90*D56+$B$91*E56+$B$92*F56+$B$93*G56+$B$94*H56)</f>
        <v>0.042107257614542</v>
      </c>
      <c r="K56" s="19" t="n">
        <f aca="false">J56^2</f>
        <v>0.0017730211438174</v>
      </c>
    </row>
    <row r="57" customFormat="false" ht="15" hidden="false" customHeight="false" outlineLevel="0" collapsed="false">
      <c r="A57" s="20" t="str">
        <f aca="false">Datos!A65</f>
        <v>2020Q1</v>
      </c>
      <c r="B57" s="21" t="n">
        <f aca="false">Datos!L65</f>
        <v>-0.0395022691914131</v>
      </c>
      <c r="C57" s="21" t="n">
        <f aca="false">Datos!I60</f>
        <v>-0.0501462610157425</v>
      </c>
      <c r="D57" s="21" t="n">
        <f aca="false">Datos!H65</f>
        <v>187.118199188056</v>
      </c>
      <c r="E57" s="21" t="n">
        <f aca="false">Datos!H63</f>
        <v>679.618686815129</v>
      </c>
      <c r="F57" s="21" t="n">
        <f aca="false">Datos!H59</f>
        <v>166.169284270953</v>
      </c>
      <c r="G57" s="21" t="n">
        <f aca="false">Datos!J59</f>
        <v>0.0202539754709583</v>
      </c>
      <c r="H57" s="21" t="n">
        <f aca="false">Datos!K64</f>
        <v>0.0445321255864519</v>
      </c>
      <c r="I57" s="19" t="n">
        <v>1</v>
      </c>
      <c r="J57" s="19" t="n">
        <f aca="false">B57-($B$88+$B$89*C57+$B$90*D57+$B$91*E57+$B$92*F57+$B$93*G57+$B$94*H57)</f>
        <v>-0.0142413430793081</v>
      </c>
      <c r="K57" s="19" t="n">
        <f aca="false">J57^2</f>
        <v>0.000202815852702555</v>
      </c>
    </row>
    <row r="58" customFormat="false" ht="15" hidden="false" customHeight="false" outlineLevel="0" collapsed="false">
      <c r="A58" s="20" t="str">
        <f aca="false">Datos!A66</f>
        <v>2020Q2</v>
      </c>
      <c r="B58" s="21" t="n">
        <f aca="false">Datos!L66</f>
        <v>-0.139171243799252</v>
      </c>
      <c r="C58" s="21" t="n">
        <f aca="false">Datos!I61</f>
        <v>-0.0500271266876492</v>
      </c>
      <c r="D58" s="21" t="n">
        <f aca="false">Datos!H66</f>
        <v>756.86685274431</v>
      </c>
      <c r="E58" s="21" t="n">
        <f aca="false">Datos!H64</f>
        <v>598.881251590669</v>
      </c>
      <c r="F58" s="21" t="n">
        <f aca="false">Datos!H60</f>
        <v>56.51817630597</v>
      </c>
      <c r="G58" s="21" t="n">
        <f aca="false">Datos!J60</f>
        <v>0.0511719688039525</v>
      </c>
      <c r="H58" s="21" t="n">
        <f aca="false">Datos!K65</f>
        <v>-0.0349380110691591</v>
      </c>
      <c r="I58" s="19" t="n">
        <v>1</v>
      </c>
      <c r="J58" s="19" t="n">
        <f aca="false">B58-($B$88+$B$89*C58+$B$90*D58+$B$91*E58+$B$92*F58+$B$93*G58+$B$94*H58)</f>
        <v>-0.0588875928094423</v>
      </c>
      <c r="K58" s="19" t="n">
        <f aca="false">J58^2</f>
        <v>0.00346774858689067</v>
      </c>
    </row>
    <row r="59" customFormat="false" ht="15" hidden="false" customHeight="false" outlineLevel="0" collapsed="false">
      <c r="A59" s="20" t="str">
        <f aca="false">Datos!A67</f>
        <v>2020Q3</v>
      </c>
      <c r="B59" s="21" t="n">
        <f aca="false">Datos!L67</f>
        <v>0.0874942776266831</v>
      </c>
      <c r="C59" s="21" t="n">
        <f aca="false">Datos!I62</f>
        <v>0.000114296886335796</v>
      </c>
      <c r="D59" s="21" t="n">
        <f aca="false">Datos!H67</f>
        <v>-1097.40393434344</v>
      </c>
      <c r="E59" s="21" t="n">
        <f aca="false">Datos!H65</f>
        <v>187.118199188056</v>
      </c>
      <c r="F59" s="21" t="n">
        <f aca="false">Datos!H61</f>
        <v>19.2017013888889</v>
      </c>
      <c r="G59" s="21" t="n">
        <f aca="false">Datos!J61</f>
        <v>0.0364106470243743</v>
      </c>
      <c r="H59" s="21" t="n">
        <f aca="false">Datos!K66</f>
        <v>-0.0474907628165441</v>
      </c>
      <c r="I59" s="19" t="n">
        <v>1</v>
      </c>
      <c r="J59" s="19" t="n">
        <f aca="false">B59-($B$88+$B$89*C59+$B$90*D59+$B$91*E59+$B$92*F59+$B$93*G59+$B$94*H59)</f>
        <v>0.0379581977617698</v>
      </c>
      <c r="K59" s="19" t="n">
        <f aca="false">J59^2</f>
        <v>0.00144082477732162</v>
      </c>
    </row>
    <row r="60" customFormat="false" ht="15" hidden="false" customHeight="false" outlineLevel="0" collapsed="false">
      <c r="A60" s="20" t="str">
        <f aca="false">Datos!A68</f>
        <v>2020Q4</v>
      </c>
      <c r="B60" s="21" t="n">
        <f aca="false">Datos!L68</f>
        <v>0.0587946679950591</v>
      </c>
      <c r="C60" s="21" t="n">
        <f aca="false">Datos!I63</f>
        <v>-0.0239132057868301</v>
      </c>
      <c r="D60" s="21" t="n">
        <f aca="false">Datos!H68</f>
        <v>-606.890139160839</v>
      </c>
      <c r="E60" s="21" t="n">
        <f aca="false">Datos!H66</f>
        <v>756.86685274431</v>
      </c>
      <c r="F60" s="21" t="n">
        <f aca="false">Datos!H62</f>
        <v>162.790259661836</v>
      </c>
      <c r="G60" s="21" t="n">
        <f aca="false">Datos!J62</f>
        <v>0.0549585965392439</v>
      </c>
      <c r="H60" s="21" t="n">
        <f aca="false">Datos!K67</f>
        <v>0.0306557066678773</v>
      </c>
      <c r="I60" s="19" t="n">
        <v>1</v>
      </c>
      <c r="J60" s="19" t="n">
        <f aca="false">B60-($B$88+$B$89*C60+$B$90*D60+$B$91*E60+$B$92*F60+$B$93*G60+$B$94*H60)</f>
        <v>0.0470014272082883</v>
      </c>
      <c r="K60" s="19" t="n">
        <f aca="false">J60^2</f>
        <v>0.00220913415961602</v>
      </c>
    </row>
    <row r="61" customFormat="false" ht="15" hidden="false" customHeight="false" outlineLevel="0" collapsed="false">
      <c r="A61" s="20" t="str">
        <f aca="false">Datos!A69</f>
        <v>2021Q1</v>
      </c>
      <c r="B61" s="21" t="n">
        <f aca="false">Datos!L69</f>
        <v>0.0754590025589087</v>
      </c>
      <c r="C61" s="21" t="n">
        <f aca="false">Datos!I64</f>
        <v>-0.0444370543348369</v>
      </c>
      <c r="D61" s="21" t="n">
        <f aca="false">Datos!H69</f>
        <v>100.224470329671</v>
      </c>
      <c r="E61" s="21" t="n">
        <f aca="false">Datos!H67</f>
        <v>-1097.40393434344</v>
      </c>
      <c r="F61" s="21" t="n">
        <f aca="false">Datos!H63</f>
        <v>679.618686815129</v>
      </c>
      <c r="G61" s="21" t="n">
        <f aca="false">Datos!J63</f>
        <v>0.088789332367494</v>
      </c>
      <c r="H61" s="21" t="n">
        <f aca="false">Datos!K68</f>
        <v>0.0276558919383922</v>
      </c>
      <c r="I61" s="19" t="n">
        <v>1</v>
      </c>
      <c r="J61" s="19" t="n">
        <f aca="false">B61-($B$88+$B$89*C61+$B$90*D61+$B$91*E61+$B$92*F61+$B$93*G61+$B$94*H61)</f>
        <v>-0.00267028279888637</v>
      </c>
      <c r="K61" s="19" t="n">
        <f aca="false">J61^2</f>
        <v>7.13041022602843E-006</v>
      </c>
    </row>
    <row r="62" customFormat="false" ht="15" hidden="false" customHeight="false" outlineLevel="0" collapsed="false">
      <c r="A62" s="20" t="str">
        <f aca="false">Datos!A70</f>
        <v>2021Q2</v>
      </c>
      <c r="B62" s="21" t="n">
        <f aca="false">Datos!L70</f>
        <v>0.154973600001828</v>
      </c>
      <c r="C62" s="21" t="n">
        <f aca="false">Datos!I65</f>
        <v>0.114946009672505</v>
      </c>
      <c r="D62" s="21" t="n">
        <f aca="false">Datos!H70</f>
        <v>51.4231142857141</v>
      </c>
      <c r="E62" s="21" t="n">
        <f aca="false">Datos!H68</f>
        <v>-606.890139160839</v>
      </c>
      <c r="F62" s="21" t="n">
        <f aca="false">Datos!H64</f>
        <v>598.881251590669</v>
      </c>
      <c r="G62" s="21" t="n">
        <f aca="false">Datos!J64</f>
        <v>-0.0976170322305177</v>
      </c>
      <c r="H62" s="21" t="n">
        <f aca="false">Datos!K69</f>
        <v>0.0884101043961178</v>
      </c>
      <c r="I62" s="19" t="n">
        <v>1</v>
      </c>
      <c r="J62" s="19" t="n">
        <f aca="false">B62-($B$88+$B$89*C62+$B$90*D62+$B$91*E62+$B$92*F62+$B$93*G62+$B$94*H62)</f>
        <v>0.0951401922157285</v>
      </c>
      <c r="K62" s="19" t="n">
        <f aca="false">J62^2</f>
        <v>0.00905165617484576</v>
      </c>
    </row>
    <row r="63" customFormat="false" ht="15" hidden="false" customHeight="false" outlineLevel="0" collapsed="false">
      <c r="A63" s="20" t="str">
        <f aca="false">Datos!A71</f>
        <v>2021Q3</v>
      </c>
      <c r="B63" s="21" t="n">
        <f aca="false">Datos!L71</f>
        <v>-0.0691542511309424</v>
      </c>
      <c r="C63" s="21" t="n">
        <f aca="false">Datos!I66</f>
        <v>0.262181063646304</v>
      </c>
      <c r="D63" s="21" t="n">
        <f aca="false">Datos!H71</f>
        <v>24.6869913043479</v>
      </c>
      <c r="E63" s="21" t="n">
        <f aca="false">Datos!H69</f>
        <v>100.224470329671</v>
      </c>
      <c r="F63" s="21" t="n">
        <f aca="false">Datos!H65</f>
        <v>187.118199188056</v>
      </c>
      <c r="G63" s="21" t="n">
        <f aca="false">Datos!J65</f>
        <v>0.221076901929335</v>
      </c>
      <c r="H63" s="21" t="n">
        <f aca="false">Datos!K70</f>
        <v>0.025645645716768</v>
      </c>
      <c r="I63" s="19" t="n">
        <v>1</v>
      </c>
      <c r="J63" s="19" t="n">
        <f aca="false">B63-($B$88+$B$89*C63+$B$90*D63+$B$91*E63+$B$92*F63+$B$93*G63+$B$94*H63)</f>
        <v>-0.0171342279437657</v>
      </c>
      <c r="K63" s="19" t="n">
        <f aca="false">J63^2</f>
        <v>0.000293581767228921</v>
      </c>
    </row>
    <row r="64" customFormat="false" ht="15" hidden="false" customHeight="false" outlineLevel="0" collapsed="false">
      <c r="A64" s="20" t="str">
        <f aca="false">Datos!A72</f>
        <v>2021Q4</v>
      </c>
      <c r="B64" s="21" t="n">
        <f aca="false">Datos!L72</f>
        <v>-0.0345042172539505</v>
      </c>
      <c r="C64" s="21" t="n">
        <f aca="false">Datos!I67</f>
        <v>0.119661051181248</v>
      </c>
      <c r="D64" s="21" t="n">
        <f aca="false">Datos!H72</f>
        <v>144.162478260869</v>
      </c>
      <c r="E64" s="21" t="n">
        <f aca="false">Datos!H70</f>
        <v>51.4231142857141</v>
      </c>
      <c r="F64" s="21" t="n">
        <f aca="false">Datos!H66</f>
        <v>756.86685274431</v>
      </c>
      <c r="G64" s="21" t="n">
        <f aca="false">Datos!J66</f>
        <v>0.295953407381194</v>
      </c>
      <c r="H64" s="21" t="n">
        <f aca="false">Datos!K71</f>
        <v>-0.065948233834193</v>
      </c>
      <c r="I64" s="19" t="n">
        <v>1</v>
      </c>
      <c r="J64" s="19" t="n">
        <f aca="false">B64-($B$88+$B$89*C64+$B$90*D64+$B$91*E64+$B$92*F64+$B$93*G64+$B$94*H64)</f>
        <v>0.006914616782489</v>
      </c>
      <c r="K64" s="19" t="n">
        <f aca="false">J64^2</f>
        <v>4.78119252486786E-005</v>
      </c>
    </row>
    <row r="65" customFormat="false" ht="15" hidden="false" customHeight="false" outlineLevel="0" collapsed="false">
      <c r="A65" s="20" t="str">
        <f aca="false">Datos!A73</f>
        <v>2022Q1</v>
      </c>
      <c r="B65" s="21" t="n">
        <f aca="false">Datos!L73</f>
        <v>-0.0150273006931949</v>
      </c>
      <c r="C65" s="21" t="n">
        <f aca="false">Datos!I68</f>
        <v>0.0642375050953509</v>
      </c>
      <c r="D65" s="21" t="n">
        <f aca="false">Datos!H73</f>
        <v>94.729852657005</v>
      </c>
      <c r="E65" s="21" t="n">
        <f aca="false">Datos!H71</f>
        <v>24.6869913043479</v>
      </c>
      <c r="F65" s="21" t="n">
        <f aca="false">Datos!H67</f>
        <v>-1097.40393434344</v>
      </c>
      <c r="G65" s="21" t="n">
        <f aca="false">Datos!J67</f>
        <v>-0.245003429458452</v>
      </c>
      <c r="H65" s="21" t="n">
        <f aca="false">Datos!K72</f>
        <v>-0.0279737231897952</v>
      </c>
      <c r="I65" s="19" t="n">
        <v>1</v>
      </c>
      <c r="J65" s="19" t="n">
        <f aca="false">B65-($B$88+$B$89*C65+$B$90*D65+$B$91*E65+$B$92*F65+$B$93*G65+$B$94*H65)</f>
        <v>0.0229794915846678</v>
      </c>
      <c r="K65" s="19" t="n">
        <f aca="false">J65^2</f>
        <v>0.00052805703348982</v>
      </c>
    </row>
    <row r="66" customFormat="false" ht="15" hidden="false" customHeight="false" outlineLevel="0" collapsed="false">
      <c r="A66" s="20" t="str">
        <f aca="false">Datos!A74</f>
        <v>2022Q2</v>
      </c>
      <c r="B66" s="21" t="n">
        <f aca="false">Datos!L74</f>
        <v>0.0126863059008944</v>
      </c>
      <c r="C66" s="21" t="n">
        <f aca="false">Datos!I69</f>
        <v>-0.193638860735541</v>
      </c>
      <c r="D66" s="21" t="n">
        <f aca="false">Datos!H74</f>
        <v>111.567003052503</v>
      </c>
      <c r="E66" s="21" t="n">
        <f aca="false">Datos!H72</f>
        <v>144.162478260869</v>
      </c>
      <c r="F66" s="21" t="n">
        <f aca="false">Datos!H68</f>
        <v>-606.890139160839</v>
      </c>
      <c r="G66" s="21" t="n">
        <f aca="false">Datos!J68</f>
        <v>-0.131027789991017</v>
      </c>
      <c r="H66" s="21" t="n">
        <f aca="false">Datos!K73</f>
        <v>-0.0135796367455427</v>
      </c>
      <c r="I66" s="19" t="n">
        <v>1</v>
      </c>
      <c r="J66" s="19" t="n">
        <f aca="false">B66-($B$88+$B$89*C66+$B$90*D66+$B$91*E66+$B$92*F66+$B$93*G66+$B$94*H66)</f>
        <v>0.0107069913750139</v>
      </c>
      <c r="K66" s="19" t="n">
        <f aca="false">J66^2</f>
        <v>0.000114639664304622</v>
      </c>
    </row>
    <row r="67" customFormat="false" ht="15" hidden="false" customHeight="false" outlineLevel="0" collapsed="false">
      <c r="A67" s="20" t="str">
        <f aca="false">Datos!A75</f>
        <v>2022Q3</v>
      </c>
      <c r="B67" s="21" t="n">
        <f aca="false">Datos!L75</f>
        <v>-0.0144559309870564</v>
      </c>
      <c r="C67" s="21" t="n">
        <f aca="false">Datos!I70</f>
        <v>-0.244749418467121</v>
      </c>
      <c r="D67" s="21" t="n">
        <f aca="false">Datos!H75</f>
        <v>613.427821391941</v>
      </c>
      <c r="E67" s="21" t="n">
        <f aca="false">Datos!H73</f>
        <v>94.729852657005</v>
      </c>
      <c r="F67" s="21" t="n">
        <f aca="false">Datos!H69</f>
        <v>100.224470329671</v>
      </c>
      <c r="G67" s="21" t="n">
        <f aca="false">Datos!J69</f>
        <v>-0.0811045233564329</v>
      </c>
      <c r="H67" s="21" t="n">
        <f aca="false">Datos!K74</f>
        <v>-0.0666502884026636</v>
      </c>
      <c r="I67" s="19" t="n">
        <v>1</v>
      </c>
      <c r="J67" s="19" t="n">
        <f aca="false">B67-($B$88+$B$89*C67+$B$90*D67+$B$91*E67+$B$92*F67+$B$93*G67+$B$94*H67)</f>
        <v>-0.00432158639592506</v>
      </c>
      <c r="K67" s="19" t="n">
        <f aca="false">J67^2</f>
        <v>1.86761089774445E-005</v>
      </c>
    </row>
    <row r="68" customFormat="false" ht="15" hidden="false" customHeight="false" outlineLevel="0" collapsed="false">
      <c r="A68" s="20" t="str">
        <f aca="false">Datos!A76</f>
        <v>2022Q4</v>
      </c>
      <c r="B68" s="21" t="n">
        <f aca="false">Datos!L76</f>
        <v>-0.042989937364541</v>
      </c>
      <c r="C68" s="21" t="n">
        <f aca="false">Datos!I71</f>
        <v>0.0155375869236292</v>
      </c>
      <c r="D68" s="21" t="n">
        <f aca="false">Datos!H76</f>
        <v>-69.2846118840562</v>
      </c>
      <c r="E68" s="21" t="n">
        <f aca="false">Datos!H74</f>
        <v>111.567003052503</v>
      </c>
      <c r="F68" s="21" t="n">
        <f aca="false">Datos!H70</f>
        <v>51.4231142857141</v>
      </c>
      <c r="G68" s="21" t="n">
        <f aca="false">Datos!J70</f>
        <v>-0.164266961512105</v>
      </c>
      <c r="H68" s="21" t="n">
        <f aca="false">Datos!K75</f>
        <v>-0.0294452458384041</v>
      </c>
      <c r="I68" s="19" t="n">
        <v>1</v>
      </c>
      <c r="J68" s="19" t="n">
        <f aca="false">B68-($B$88+$B$89*C68+$B$90*D68+$B$91*E68+$B$92*F68+$B$93*G68+$B$94*H68)</f>
        <v>-0.0515234153420907</v>
      </c>
      <c r="K68" s="19" t="n">
        <f aca="false">J68^2</f>
        <v>0.00265466232851359</v>
      </c>
    </row>
    <row r="69" customFormat="false" ht="15" hidden="false" customHeight="false" outlineLevel="0" collapsed="false">
      <c r="A69" s="20" t="str">
        <f aca="false">Datos!A77</f>
        <v>2023Q1</v>
      </c>
      <c r="B69" s="21" t="n">
        <f aca="false">Datos!L77</f>
        <v>-0.0147344524955975</v>
      </c>
      <c r="C69" s="21" t="n">
        <f aca="false">Datos!I72</f>
        <v>0.0372511420898235</v>
      </c>
      <c r="D69" s="21" t="n">
        <f aca="false">Datos!H77</f>
        <v>-376.758957004832</v>
      </c>
      <c r="E69" s="21" t="n">
        <f aca="false">Datos!H75</f>
        <v>613.427821391941</v>
      </c>
      <c r="F69" s="21" t="n">
        <f aca="false">Datos!H71</f>
        <v>24.6869913043479</v>
      </c>
      <c r="G69" s="21" t="n">
        <f aca="false">Datos!J71</f>
        <v>0.249643026411689</v>
      </c>
      <c r="H69" s="21" t="n">
        <f aca="false">Datos!K76</f>
        <v>0.11290837336386</v>
      </c>
      <c r="I69" s="19" t="n">
        <v>1</v>
      </c>
      <c r="J69" s="19" t="n">
        <f aca="false">B69-($B$88+$B$89*C69+$B$90*D69+$B$91*E69+$B$92*F69+$B$93*G69+$B$94*H69)</f>
        <v>-0.0038091951032359</v>
      </c>
      <c r="K69" s="19" t="n">
        <f aca="false">J69^2</f>
        <v>1.45099673345163E-005</v>
      </c>
    </row>
    <row r="70" customFormat="false" ht="15" hidden="false" customHeight="false" outlineLevel="0" collapsed="false">
      <c r="A70" s="20" t="str">
        <f aca="false">Datos!A78</f>
        <v>2023Q2</v>
      </c>
      <c r="B70" s="21" t="n">
        <f aca="false">Datos!L78</f>
        <v>-0.0658685480975044</v>
      </c>
      <c r="C70" s="21" t="n">
        <f aca="false">Datos!I73</f>
        <v>0.0355016157142883</v>
      </c>
      <c r="D70" s="21" t="n">
        <f aca="false">Datos!H78</f>
        <v>396.345972839506</v>
      </c>
      <c r="E70" s="21" t="n">
        <f aca="false">Datos!H76</f>
        <v>-69.2846118840562</v>
      </c>
      <c r="F70" s="21" t="n">
        <f aca="false">Datos!H72</f>
        <v>144.162478260869</v>
      </c>
      <c r="G70" s="21" t="n">
        <f aca="false">Datos!J72</f>
        <v>0.284553859686216</v>
      </c>
      <c r="H70" s="21" t="n">
        <f aca="false">Datos!K77</f>
        <v>-0.11679097674453</v>
      </c>
      <c r="I70" s="19" t="n">
        <v>1</v>
      </c>
      <c r="J70" s="19" t="n">
        <f aca="false">B70-($B$88+$B$89*C70+$B$90*D70+$B$91*E70+$B$92*F70+$B$93*G70+$B$94*H70)</f>
        <v>0.00449384936590686</v>
      </c>
      <c r="K70" s="19" t="n">
        <f aca="false">J70^2</f>
        <v>2.01946821234614E-005</v>
      </c>
    </row>
    <row r="71" customFormat="false" ht="15" hidden="false" customHeight="false" outlineLevel="0" collapsed="false">
      <c r="A71" s="20" t="str">
        <f aca="false">Datos!A79</f>
        <v>2023Q3</v>
      </c>
      <c r="B71" s="21" t="n">
        <f aca="false">Datos!L79</f>
        <v>0.0512569990728792</v>
      </c>
      <c r="C71" s="21" t="n">
        <f aca="false">Datos!I74</f>
        <v>-0.00674178026505711</v>
      </c>
      <c r="D71" s="21" t="n">
        <f aca="false">Datos!H79</f>
        <v>-393.961216440069</v>
      </c>
      <c r="E71" s="21" t="n">
        <f aca="false">Datos!H77</f>
        <v>-376.758957004832</v>
      </c>
      <c r="F71" s="21" t="n">
        <f aca="false">Datos!H73</f>
        <v>94.729852657005</v>
      </c>
      <c r="G71" s="21" t="n">
        <f aca="false">Datos!J73</f>
        <v>-0.167076079806291</v>
      </c>
      <c r="H71" s="21" t="n">
        <f aca="false">Datos!K78</f>
        <v>0.0155541344453244</v>
      </c>
      <c r="I71" s="19" t="n">
        <v>1</v>
      </c>
      <c r="J71" s="19" t="n">
        <f aca="false">B71-($B$88+$B$89*C71+$B$90*D71+$B$91*E71+$B$92*F71+$B$93*G71+$B$94*H71)</f>
        <v>-0.0167678106674491</v>
      </c>
      <c r="K71" s="19" t="n">
        <f aca="false">J71^2</f>
        <v>0.000281159474579419</v>
      </c>
    </row>
    <row r="72" customFormat="false" ht="15" hidden="false" customHeight="false" outlineLevel="0" collapsed="false">
      <c r="A72" s="20" t="str">
        <f aca="false">Datos!A80</f>
        <v>2023Q4</v>
      </c>
      <c r="B72" s="21" t="n">
        <f aca="false">Datos!L80</f>
        <v>-0.0116681302350901</v>
      </c>
      <c r="C72" s="21" t="n">
        <f aca="false">Datos!I75</f>
        <v>-0.0371795981009521</v>
      </c>
      <c r="D72" s="21" t="n">
        <f aca="false">Datos!H80</f>
        <v>122.080899625603</v>
      </c>
      <c r="E72" s="21" t="n">
        <f aca="false">Datos!H78</f>
        <v>396.345972839506</v>
      </c>
      <c r="F72" s="21" t="n">
        <f aca="false">Datos!H74</f>
        <v>111.567003052503</v>
      </c>
      <c r="G72" s="21" t="n">
        <f aca="false">Datos!J74</f>
        <v>0.169220698210594</v>
      </c>
      <c r="H72" s="21" t="n">
        <f aca="false">Datos!K79</f>
        <v>0.0783071254305534</v>
      </c>
      <c r="I72" s="19" t="n">
        <v>1</v>
      </c>
      <c r="J72" s="19" t="n">
        <f aca="false">B72-($B$88+$B$89*C72+$B$90*D72+$B$91*E72+$B$92*F72+$B$93*G72+$B$94*H72)</f>
        <v>0.00587518512038084</v>
      </c>
      <c r="K72" s="19" t="n">
        <f aca="false">J72^2</f>
        <v>3.45178001987445E-005</v>
      </c>
    </row>
    <row r="73" customFormat="false" ht="15" hidden="false" customHeight="false" outlineLevel="0" collapsed="false">
      <c r="A73" s="20" t="str">
        <f aca="false">Datos!A81</f>
        <v>2024Q1</v>
      </c>
      <c r="B73" s="21" t="n">
        <f aca="false">Datos!L81</f>
        <v>-0.0324571770905033</v>
      </c>
      <c r="C73" s="21" t="n">
        <f aca="false">Datos!I76</f>
        <v>-0.0252636786491897</v>
      </c>
      <c r="D73" s="21" t="n">
        <f aca="false">Datos!H81</f>
        <v>-454.938553802817</v>
      </c>
      <c r="E73" s="21" t="n">
        <f aca="false">Datos!H79</f>
        <v>-393.961216440069</v>
      </c>
      <c r="F73" s="21" t="n">
        <f aca="false">Datos!H75</f>
        <v>613.427821391941</v>
      </c>
      <c r="G73" s="21" t="n">
        <f aca="false">Datos!J75</f>
        <v>-0.0735093011783898</v>
      </c>
      <c r="H73" s="21" t="n">
        <f aca="false">Datos!K80</f>
        <v>-0.105805285831385</v>
      </c>
      <c r="I73" s="19" t="n">
        <v>1</v>
      </c>
      <c r="J73" s="19" t="n">
        <f aca="false">B73-($B$88+$B$89*C73+$B$90*D73+$B$91*E73+$B$92*F73+$B$93*G73+$B$94*H73)</f>
        <v>-0.0936854062199635</v>
      </c>
      <c r="K73" s="19" t="n">
        <f aca="false">J73^2</f>
        <v>0.00877695533859958</v>
      </c>
    </row>
    <row r="74" customFormat="false" ht="15" hidden="false" customHeight="false" outlineLevel="0" collapsed="false">
      <c r="A74" s="20" t="str">
        <f aca="false">Datos!A82</f>
        <v>2024Q2</v>
      </c>
      <c r="B74" s="21" t="n">
        <f aca="false">Datos!L82</f>
        <v>0.0387840333974563</v>
      </c>
      <c r="C74" s="21" t="n">
        <f aca="false">Datos!I77</f>
        <v>-0.00518521666359616</v>
      </c>
      <c r="D74" s="21" t="n">
        <f aca="false">Datos!H82</f>
        <v>-411.750199402986</v>
      </c>
      <c r="E74" s="21" t="n">
        <f aca="false">Datos!H80</f>
        <v>122.080899625603</v>
      </c>
      <c r="F74" s="21" t="n">
        <f aca="false">Datos!H76</f>
        <v>-69.2846118840562</v>
      </c>
      <c r="G74" s="21" t="n">
        <f aca="false">Datos!J76</f>
        <v>-0.0738502184948509</v>
      </c>
      <c r="H74" s="21" t="n">
        <f aca="false">Datos!K81</f>
        <v>0.0467744313554986</v>
      </c>
      <c r="I74" s="19" t="n">
        <v>1</v>
      </c>
      <c r="J74" s="19" t="n">
        <f aca="false">B74-($B$88+$B$89*C74+$B$90*D74+$B$91*E74+$B$92*F74+$B$93*G74+$B$94*H74)</f>
        <v>0.00330637558735953</v>
      </c>
      <c r="K74" s="19" t="n">
        <f aca="false">J74^2</f>
        <v>1.09321195246871E-005</v>
      </c>
    </row>
    <row r="75" customFormat="false" ht="15" hidden="false" customHeight="false" outlineLevel="0" collapsed="false">
      <c r="A75" s="20" t="str">
        <f aca="false">Datos!A83</f>
        <v>2024Q3</v>
      </c>
      <c r="B75" s="21" t="n">
        <f aca="false">Datos!L83</f>
        <v>-0.00853767280644247</v>
      </c>
      <c r="C75" s="21" t="n">
        <f aca="false">Datos!I78</f>
        <v>-0.0211814413429257</v>
      </c>
      <c r="D75" s="21" t="n">
        <f aca="false">Datos!H83</f>
        <v>140.77357394844</v>
      </c>
      <c r="E75" s="21" t="n">
        <f aca="false">Datos!H81</f>
        <v>-454.938553802817</v>
      </c>
      <c r="F75" s="21" t="n">
        <f aca="false">Datos!H77</f>
        <v>-376.758957004832</v>
      </c>
      <c r="G75" s="21" t="n">
        <f aca="false">Datos!J77</f>
        <v>0.367099592287782</v>
      </c>
      <c r="H75" s="21" t="n">
        <f aca="false">Datos!K82</f>
        <v>0.0075734886805694</v>
      </c>
      <c r="I75" s="19" t="n">
        <v>1</v>
      </c>
      <c r="J75" s="19" t="n">
        <f aca="false">B75-($B$88+$B$89*C75+$B$90*D75+$B$91*E75+$B$92*F75+$B$93*G75+$B$94*H75)</f>
        <v>0.0192153743402387</v>
      </c>
      <c r="K75" s="19" t="n">
        <f aca="false">J75^2</f>
        <v>0.000369230611035502</v>
      </c>
    </row>
    <row r="76" customFormat="false" ht="15" hidden="false" customHeight="false" outlineLevel="0" collapsed="false">
      <c r="A76" s="20" t="str">
        <f aca="false">Datos!A84</f>
        <v>2024Q4</v>
      </c>
      <c r="B76" s="21" t="n">
        <f aca="false">Datos!L84</f>
        <v>0.0457536331016225</v>
      </c>
      <c r="C76" s="21" t="n">
        <f aca="false">Datos!I79</f>
        <v>-0.0552380565995734</v>
      </c>
      <c r="D76" s="21" t="n">
        <f aca="false">Datos!H84</f>
        <v>-564.145454545455</v>
      </c>
      <c r="E76" s="21" t="n">
        <f aca="false">Datos!H82</f>
        <v>-411.750199402986</v>
      </c>
      <c r="F76" s="21" t="n">
        <f aca="false">Datos!H78</f>
        <v>396.345972839506</v>
      </c>
      <c r="G76" s="21" t="n">
        <f aca="false">Datos!J78</f>
        <v>-0.00797161018467474</v>
      </c>
      <c r="H76" s="21" t="n">
        <f aca="false">Datos!K83</f>
        <v>-0.018971590647632</v>
      </c>
      <c r="I76" s="19" t="n">
        <v>1</v>
      </c>
      <c r="J76" s="19" t="n">
        <f aca="false">B76-($B$88+$B$89*C76+$B$90*D76+$B$91*E76+$B$92*F76+$B$93*G76+$B$94*H76)</f>
        <v>-0.0312072509090715</v>
      </c>
      <c r="K76" s="19" t="n">
        <f aca="false">J76^2</f>
        <v>0.000973892509301746</v>
      </c>
    </row>
    <row r="77" customFormat="false" ht="15" hidden="false" customHeight="false" outlineLevel="0" collapsed="false">
      <c r="A77" s="20" t="str">
        <f aca="false">Datos!A85</f>
        <v>2025Q1</v>
      </c>
      <c r="B77" s="21" t="n">
        <f aca="false">Datos!L85</f>
        <v>0.031991780460181</v>
      </c>
      <c r="C77" s="21" t="n">
        <f aca="false">Datos!I80</f>
        <v>-0.104830369197381</v>
      </c>
      <c r="D77" s="21" t="n">
        <f aca="false">Datos!H85</f>
        <v>-235.861538461538</v>
      </c>
      <c r="E77" s="21" t="n">
        <f aca="false">Datos!H83</f>
        <v>140.77357394844</v>
      </c>
      <c r="F77" s="21" t="n">
        <f aca="false">Datos!H79</f>
        <v>-393.961216440069</v>
      </c>
      <c r="G77" s="21" t="n">
        <f aca="false">Datos!J79</f>
        <v>0.183376294592147</v>
      </c>
      <c r="H77" s="21" t="n">
        <f aca="false">Datos!K84</f>
        <v>0.0531537879619577</v>
      </c>
      <c r="I77" s="19" t="n">
        <v>1</v>
      </c>
      <c r="J77" s="19" t="n">
        <f aca="false">B77-($B$88+$B$89*C77+$B$90*D77+$B$91*E77+$B$92*F77+$B$93*G77+$B$94*H77)</f>
        <v>0.0283654580262984</v>
      </c>
      <c r="K77" s="19" t="n">
        <f aca="false">J77^2</f>
        <v>0.000804599209041695</v>
      </c>
    </row>
    <row r="78" customFormat="false" ht="15" hidden="false" customHeight="false" outlineLevel="0" collapsed="false">
      <c r="A78" s="20" t="str">
        <f aca="false">Datos!A86</f>
        <v>2025Q2</v>
      </c>
      <c r="B78" s="21" t="n">
        <f aca="false">Datos!L86</f>
        <v>0.005439399321155</v>
      </c>
      <c r="C78" s="21" t="n">
        <f aca="false">Datos!I81</f>
        <v>-0.0995297912662513</v>
      </c>
      <c r="D78" s="21" t="n">
        <f aca="false">Datos!H86</f>
        <v>39.3076923076923</v>
      </c>
      <c r="E78" s="21" t="n">
        <f aca="false">Datos!H84</f>
        <v>-564.145454545455</v>
      </c>
      <c r="F78" s="21" t="n">
        <f aca="false">Datos!H80</f>
        <v>122.080899625603</v>
      </c>
      <c r="G78" s="21" t="n">
        <f aca="false">Datos!J80</f>
        <v>0.44451895067595</v>
      </c>
      <c r="H78" s="21" t="n">
        <f aca="false">Datos!K85</f>
        <v>0.0590611299941486</v>
      </c>
      <c r="I78" s="19" t="n">
        <v>1</v>
      </c>
      <c r="J78" s="19" t="n">
        <f aca="false">B78-($B$88+$B$89*C78+$B$90*D78+$B$91*E78+$B$92*F78+$B$93*G78+$B$94*H78)</f>
        <v>-0.0111336092147051</v>
      </c>
      <c r="K78" s="19" t="n">
        <f aca="false">J78^2</f>
        <v>0.000123957254145765</v>
      </c>
    </row>
    <row r="79" customFormat="false" ht="15" hidden="false" customHeight="false" outlineLevel="0" collapsed="false">
      <c r="A79" s="20" t="str">
        <f aca="false">Datos!A87</f>
        <v>2025Q3</v>
      </c>
      <c r="B79" s="21" t="n">
        <f aca="false">Datos!L87</f>
        <v>-0.0312450961083366</v>
      </c>
      <c r="C79" s="21" t="n">
        <f aca="false">Datos!I82</f>
        <v>0.0839810999883668</v>
      </c>
      <c r="D79" s="21" t="n">
        <f aca="false">Datos!H87</f>
        <v>142.307692307692</v>
      </c>
      <c r="E79" s="21" t="n">
        <f aca="false">Datos!H85</f>
        <v>-235.861538461538</v>
      </c>
      <c r="F79" s="21" t="n">
        <f aca="false">Datos!H81</f>
        <v>-454.938553802817</v>
      </c>
      <c r="G79" s="21" t="n">
        <f aca="false">Datos!J81</f>
        <v>-0.185892833904252</v>
      </c>
      <c r="H79" s="21" t="n">
        <f aca="false">Datos!K86</f>
        <v>-0.00492374961477249</v>
      </c>
      <c r="I79" s="19" t="n">
        <v>1</v>
      </c>
      <c r="J79" s="19" t="n">
        <f aca="false">B79-($B$88+$B$89*C79+$B$90*D79+$B$91*E79+$B$92*F79+$B$93*G79+$B$94*H79)</f>
        <v>-0.0227046167452161</v>
      </c>
      <c r="K79" s="19" t="n">
        <f aca="false">J79^2</f>
        <v>0.000515499621547148</v>
      </c>
    </row>
    <row r="80" customFormat="false" ht="15" hidden="false" customHeight="false" outlineLevel="0" collapsed="false">
      <c r="A80" s="20" t="str">
        <f aca="false">Datos!A88</f>
        <v>2025Q4</v>
      </c>
      <c r="B80" s="21" t="n">
        <f aca="false">Datos!L88</f>
        <v>-0.0119885377129245</v>
      </c>
      <c r="C80" s="21" t="n">
        <f aca="false">Datos!I83</f>
        <v>0.0583938784085901</v>
      </c>
      <c r="D80" s="21" t="n">
        <f aca="false">Datos!H88</f>
        <v>-113.153846153846</v>
      </c>
      <c r="E80" s="21" t="n">
        <f aca="false">Datos!H86</f>
        <v>39.3076923076923</v>
      </c>
      <c r="F80" s="21" t="n">
        <f aca="false">Datos!H82</f>
        <v>-411.750199402986</v>
      </c>
      <c r="G80" s="21" t="n">
        <f aca="false">Datos!J82</f>
        <v>0.211724770440168</v>
      </c>
      <c r="H80" s="21" t="n">
        <f aca="false">Datos!K87</f>
        <v>-0.0217974862356229</v>
      </c>
      <c r="I80" s="19" t="n">
        <v>1</v>
      </c>
      <c r="J80" s="19" t="n">
        <f aca="false">B80-($B$88+$B$89*C80+$B$90*D80+$B$91*E80+$B$92*F80+$B$93*G80+$B$94*H80)</f>
        <v>0.0288159780376943</v>
      </c>
      <c r="K80" s="19" t="n">
        <f aca="false">J80^2</f>
        <v>0.000830360590268878</v>
      </c>
    </row>
    <row r="81" customFormat="false" ht="15" hidden="false" customHeight="false" outlineLevel="0" collapsed="false">
      <c r="A81" s="20" t="str">
        <f aca="false">Datos!A89</f>
        <v>2026Q1</v>
      </c>
      <c r="B81" s="21" t="n">
        <f aca="false">Datos!L89</f>
        <v>0.00411353813353888</v>
      </c>
      <c r="C81" s="21" t="n">
        <f aca="false">Datos!I84</f>
        <v>0.209850652496816</v>
      </c>
      <c r="D81" s="21" t="n">
        <f aca="false">Datos!H89</f>
        <v>-216.777777777778</v>
      </c>
      <c r="E81" s="21" t="n">
        <f aca="false">Datos!H87</f>
        <v>142.307692307692</v>
      </c>
      <c r="F81" s="21" t="n">
        <f aca="false">Datos!H83</f>
        <v>140.77357394844</v>
      </c>
      <c r="G81" s="21" t="n">
        <f aca="false">Datos!J83</f>
        <v>-0.11430199205953</v>
      </c>
      <c r="H81" s="21" t="n">
        <f aca="false">Datos!K88</f>
        <v>-0.055083056060383</v>
      </c>
      <c r="I81" s="19" t="n">
        <v>1</v>
      </c>
      <c r="J81" s="19" t="n">
        <f aca="false">B81-($B$88+$B$89*C81+$B$90*D81+$B$91*E81+$B$92*F81+$B$93*G81+$B$94*H81)</f>
        <v>0.0221985826837342</v>
      </c>
      <c r="K81" s="19" t="n">
        <f aca="false">J81^2</f>
        <v>0.000492777073166586</v>
      </c>
    </row>
    <row r="86" customFormat="false" ht="15" hidden="false" customHeight="false" outlineLevel="0" collapsed="false">
      <c r="A86" s="22" t="s">
        <v>157</v>
      </c>
      <c r="B86" s="23"/>
      <c r="C86" s="23"/>
      <c r="D86" s="23"/>
      <c r="E86" s="23"/>
      <c r="F86" s="23"/>
      <c r="G86" s="23"/>
      <c r="H86" s="23"/>
      <c r="I86" s="23"/>
    </row>
    <row r="87" customFormat="false" ht="15" hidden="false" customHeight="false" outlineLevel="0" collapsed="false">
      <c r="A87" s="15" t="s">
        <v>28</v>
      </c>
      <c r="B87" s="15" t="s">
        <v>29</v>
      </c>
      <c r="C87" s="15" t="s">
        <v>158</v>
      </c>
      <c r="D87" s="15" t="s">
        <v>159</v>
      </c>
      <c r="E87" s="15" t="s">
        <v>26</v>
      </c>
      <c r="G87" s="11" t="s">
        <v>160</v>
      </c>
      <c r="H87" s="24" t="n">
        <f aca="false">INDEX(LINEST($B$6:$B$81,$C$6:$H$81,TRUE(),TRUE()),4,2)</f>
        <v>69</v>
      </c>
    </row>
    <row r="88" customFormat="false" ht="15" hidden="false" customHeight="false" outlineLevel="0" collapsed="false">
      <c r="A88" s="25" t="s">
        <v>161</v>
      </c>
      <c r="B88" s="26" t="n">
        <f aca="false">INDEX(LINEST($B$6:$B$81,$C$6:$H$81,TRUE(),TRUE()),1,7)</f>
        <v>0.000913674031001879</v>
      </c>
      <c r="C88" s="8" t="n">
        <f aca="false">INDEX(LINEST($B$6:$B$81,$C$6:$H$81,TRUE(),TRUE()),2,7)</f>
        <v>0.00374906824666652</v>
      </c>
      <c r="D88" s="5" t="n">
        <f aca="false">B88/C88</f>
        <v>0.243706961540183</v>
      </c>
      <c r="E88" s="7" t="n">
        <f aca="false">TDIST(ABS(D88),$H$87,2)</f>
        <v>0.80818092163422</v>
      </c>
    </row>
    <row r="89" customFormat="false" ht="15" hidden="false" customHeight="false" outlineLevel="0" collapsed="false">
      <c r="A89" s="25" t="s">
        <v>202</v>
      </c>
      <c r="B89" s="26" t="n">
        <f aca="false">INDEX(LINEST($B$6:$B$81,$C$6:$H$81,TRUE(),TRUE()),1,6)</f>
        <v>-0.144070656933977</v>
      </c>
      <c r="C89" s="8" t="n">
        <f aca="false">INDEX(LINEST($B$6:$B$81,$C$6:$H$81,TRUE(),TRUE()),2,6)</f>
        <v>0.0508905488863541</v>
      </c>
      <c r="D89" s="5" t="n">
        <f aca="false">B89/C89</f>
        <v>-2.83099043116449</v>
      </c>
      <c r="E89" s="7" t="n">
        <f aca="false">TDIST(ABS(D89),$H$87,2)</f>
        <v>0.00607478646333885</v>
      </c>
    </row>
    <row r="90" customFormat="false" ht="15" hidden="false" customHeight="false" outlineLevel="0" collapsed="false">
      <c r="A90" s="25" t="s">
        <v>142</v>
      </c>
      <c r="B90" s="26" t="n">
        <f aca="false">INDEX(LINEST($B$6:$B$81,$C$6:$H$81,TRUE(),TRUE()),1,5)</f>
        <v>-6.400809724505E-005</v>
      </c>
      <c r="C90" s="8" t="n">
        <f aca="false">INDEX(LINEST($B$6:$B$81,$C$6:$H$81,TRUE(),TRUE()),2,5)</f>
        <v>1.2727429334444E-005</v>
      </c>
      <c r="D90" s="5" t="n">
        <f aca="false">B90/C90</f>
        <v>-5.02914575780247</v>
      </c>
      <c r="E90" s="7" t="n">
        <f aca="false">TDIST(ABS(D90),$H$87,2)</f>
        <v>3.73412139972309E-006</v>
      </c>
    </row>
    <row r="91" customFormat="false" ht="15" hidden="false" customHeight="false" outlineLevel="0" collapsed="false">
      <c r="A91" s="25" t="s">
        <v>143</v>
      </c>
      <c r="B91" s="26" t="n">
        <f aca="false">INDEX(LINEST($B$6:$B$81,$C$6:$H$81,TRUE(),TRUE()),1,4)</f>
        <v>-5.06083665782316E-005</v>
      </c>
      <c r="C91" s="8" t="n">
        <f aca="false">INDEX(LINEST($B$6:$B$81,$C$6:$H$81,TRUE(),TRUE()),2,4)</f>
        <v>1.3084167473526E-005</v>
      </c>
      <c r="D91" s="5" t="n">
        <f aca="false">B91/C91</f>
        <v>-3.86790880509828</v>
      </c>
      <c r="E91" s="7" t="n">
        <f aca="false">TDIST(ABS(D91),$H$87,2)</f>
        <v>0.00024571550727895</v>
      </c>
    </row>
    <row r="92" customFormat="false" ht="15" hidden="false" customHeight="false" outlineLevel="0" collapsed="false">
      <c r="A92" s="25" t="s">
        <v>144</v>
      </c>
      <c r="B92" s="26" t="n">
        <f aca="false">INDEX(LINEST($B$6:$B$81,$C$6:$H$81,TRUE(),TRUE()),1,3)</f>
        <v>3.58095818429607E-005</v>
      </c>
      <c r="C92" s="8" t="n">
        <f aca="false">INDEX(LINEST($B$6:$B$81,$C$6:$H$81,TRUE(),TRUE()),2,3)</f>
        <v>1.37578497296121E-005</v>
      </c>
      <c r="D92" s="5" t="n">
        <f aca="false">B92/C92</f>
        <v>2.60284728694812</v>
      </c>
      <c r="E92" s="7" t="n">
        <f aca="false">TDIST(ABS(D92),$H$87,2)</f>
        <v>0.0113083274724457</v>
      </c>
    </row>
    <row r="93" customFormat="false" ht="15" hidden="false" customHeight="false" outlineLevel="0" collapsed="false">
      <c r="A93" s="25" t="s">
        <v>145</v>
      </c>
      <c r="B93" s="26" t="n">
        <f aca="false">INDEX(LINEST($B$6:$B$81,$C$6:$H$81,TRUE(),TRUE()),1,2)</f>
        <v>-0.0919387750115076</v>
      </c>
      <c r="C93" s="8" t="n">
        <f aca="false">INDEX(LINEST($B$6:$B$81,$C$6:$H$81,TRUE(),TRUE()),2,2)</f>
        <v>0.0301334296201674</v>
      </c>
      <c r="D93" s="5" t="n">
        <f aca="false">B93/C93</f>
        <v>-3.05105579319706</v>
      </c>
      <c r="E93" s="7" t="n">
        <f aca="false">TDIST(ABS(D93),$H$87,2)</f>
        <v>0.00323502700020524</v>
      </c>
    </row>
    <row r="94" customFormat="false" ht="15" hidden="false" customHeight="false" outlineLevel="0" collapsed="false">
      <c r="A94" s="25" t="s">
        <v>203</v>
      </c>
      <c r="B94" s="26" t="n">
        <f aca="false">INDEX(LINEST($B$6:$B$81,$C$6:$H$81,TRUE(),TRUE()),1,1)</f>
        <v>0.19949507478721</v>
      </c>
      <c r="C94" s="8" t="n">
        <f aca="false">INDEX(LINEST($B$6:$B$81,$C$6:$H$81,TRUE(),TRUE()),2,1)</f>
        <v>0.0574960870778519</v>
      </c>
      <c r="D94" s="5" t="n">
        <f aca="false">B94/C94</f>
        <v>3.46971567851368</v>
      </c>
      <c r="E94" s="7" t="n">
        <f aca="false">TDIST(ABS(D94),$H$87,2)</f>
        <v>0.000902433536062667</v>
      </c>
    </row>
    <row r="96" customFormat="false" ht="15" hidden="false" customHeight="false" outlineLevel="0" collapsed="false">
      <c r="A96" s="22" t="s">
        <v>162</v>
      </c>
      <c r="B96" s="23"/>
      <c r="C96" s="23"/>
      <c r="D96" s="23"/>
      <c r="E96" s="23"/>
      <c r="F96" s="23"/>
      <c r="G96" s="23"/>
      <c r="H96" s="23"/>
      <c r="I96" s="23"/>
    </row>
    <row r="97" customFormat="false" ht="15" hidden="false" customHeight="false" outlineLevel="0" collapsed="false">
      <c r="A97" s="25" t="s">
        <v>163</v>
      </c>
      <c r="B97" s="5" t="n">
        <f aca="false">COUNT($B$6:$B$81)</f>
        <v>76</v>
      </c>
    </row>
    <row r="98" customFormat="false" ht="15" hidden="false" customHeight="false" outlineLevel="0" collapsed="false">
      <c r="A98" s="25" t="s">
        <v>9</v>
      </c>
      <c r="B98" s="5" t="n">
        <v>7</v>
      </c>
    </row>
    <row r="99" customFormat="false" ht="15" hidden="false" customHeight="false" outlineLevel="0" collapsed="false">
      <c r="A99" s="25" t="s">
        <v>10</v>
      </c>
      <c r="B99" s="6" t="n">
        <f aca="false">INDEX(LINEST($B$6:$B$81,$C$6:$H$81,TRUE(),TRUE()),3,1)</f>
        <v>0.532863984979241</v>
      </c>
    </row>
    <row r="100" customFormat="false" ht="15" hidden="false" customHeight="false" outlineLevel="0" collapsed="false">
      <c r="A100" s="25" t="s">
        <v>11</v>
      </c>
      <c r="B100" s="27" t="n">
        <f aca="false">1-(1-B99)*(B97-1)/(B97-B98)</f>
        <v>0.492243461933958</v>
      </c>
    </row>
    <row r="101" customFormat="false" ht="15" hidden="false" customHeight="false" outlineLevel="0" collapsed="false">
      <c r="A101" s="25" t="s">
        <v>12</v>
      </c>
      <c r="B101" s="8" t="n">
        <f aca="false">INDEX(LINEST($B$6:$B$81,$C$6:$H$81,TRUE(),TRUE()),5,2)</f>
        <v>0.072216897585653</v>
      </c>
    </row>
    <row r="102" customFormat="false" ht="15" hidden="false" customHeight="false" outlineLevel="0" collapsed="false">
      <c r="A102" s="25" t="s">
        <v>164</v>
      </c>
      <c r="B102" s="6" t="n">
        <f aca="false">-B97/2*(LN(2*PI())+LN(B101/B97)+1)</f>
        <v>156.595624838905</v>
      </c>
    </row>
    <row r="103" customFormat="false" ht="15" hidden="false" customHeight="false" outlineLevel="0" collapsed="false">
      <c r="A103" s="25" t="s">
        <v>13</v>
      </c>
      <c r="B103" s="28" t="n">
        <f aca="false">-2*B102+2*B98</f>
        <v>-299.191249677809</v>
      </c>
    </row>
    <row r="104" customFormat="false" ht="15" hidden="false" customHeight="false" outlineLevel="0" collapsed="false">
      <c r="A104" s="25" t="s">
        <v>14</v>
      </c>
      <c r="B104" s="28" t="n">
        <f aca="false">-2*B102+LN(B97)*B98</f>
        <v>-282.876116295805</v>
      </c>
    </row>
    <row r="106" customFormat="false" ht="15" hidden="false" customHeight="false" outlineLevel="0" collapsed="false">
      <c r="A106" s="10" t="s">
        <v>15</v>
      </c>
      <c r="B106" s="29" t="n">
        <f aca="false">SUMXMY2(J7:J81,J6:J80)/SUMSQ(J6:J81)</f>
        <v>2.0279652045438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5"/>
    <col collapsed="false" customWidth="true" hidden="false" outlineLevel="0" max="12" min="8" style="0" width="13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15" hidden="false" customHeight="false" outlineLevel="0" collapsed="false">
      <c r="A4" s="22" t="s">
        <v>206</v>
      </c>
      <c r="B4" s="23"/>
      <c r="C4" s="23"/>
      <c r="D4" s="23"/>
      <c r="E4" s="23"/>
    </row>
    <row r="5" customFormat="false" ht="15" hidden="false" customHeight="false" outlineLevel="0" collapsed="false">
      <c r="A5" s="14" t="s">
        <v>207</v>
      </c>
      <c r="B5" s="14" t="s">
        <v>208</v>
      </c>
      <c r="C5" s="14" t="s">
        <v>209</v>
      </c>
      <c r="D5" s="14" t="s">
        <v>210</v>
      </c>
      <c r="E5" s="14" t="s">
        <v>211</v>
      </c>
      <c r="F5" s="14" t="s">
        <v>212</v>
      </c>
    </row>
    <row r="6" customFormat="false" ht="15" hidden="false" customHeight="true" outlineLevel="0" collapsed="false">
      <c r="A6" s="11" t="n">
        <v>1</v>
      </c>
      <c r="B6" s="12" t="n">
        <f aca="false">SUMPRODUCT(Modelo_Actual!$J$7:$J$81,Modelo_Actual!$J$6:$J$80)/SUMSQ(Modelo_Actual!$J$6:$J$81)</f>
        <v>-0.0766046053494911</v>
      </c>
      <c r="C6" s="12" t="n">
        <f aca="false">SUMPRODUCT(Modelo_COVID!$L$7:$L$81,Modelo_COVID!$L$6:$L$80)/SUMSQ(Modelo_COVID!$L$6:$L$81)</f>
        <v>0.0179437304925305</v>
      </c>
      <c r="D6" s="12" t="n">
        <f aca="false">SUMPRODUCT(Modelo_ADL!$K$7:$K$81,Modelo_ADL!$K$6:$K$80)/SUMSQ(Modelo_ADL!$K$6:$K$81)</f>
        <v>-0.0585007805087309</v>
      </c>
      <c r="E6" s="12" t="n">
        <f aca="false">SUMPRODUCT(Rezagos_BIC!$J$7:$J$81,Rezagos_BIC!$J$6:$J$80)/SUMSQ(Rezagos_BIC!$J$6:$J$81)</f>
        <v>-0.0175928993736943</v>
      </c>
      <c r="F6" s="12" t="n">
        <f aca="false">SUMPRODUCT(ADL_COVID!$M$7:$M$81,ADL_COVID!$M$6:$M$80)/SUMSQ(ADL_COVID!$M$6:$M$81)</f>
        <v>0.0154501131854684</v>
      </c>
      <c r="H6" s="32" t="s">
        <v>213</v>
      </c>
      <c r="I6" s="32"/>
      <c r="J6" s="32"/>
      <c r="K6" s="32"/>
      <c r="L6" s="32"/>
    </row>
    <row r="7" customFormat="false" ht="15" hidden="false" customHeight="false" outlineLevel="0" collapsed="false">
      <c r="A7" s="11" t="n">
        <v>2</v>
      </c>
      <c r="B7" s="12" t="n">
        <f aca="false">SUMPRODUCT(Modelo_Actual!$J$8:$J$81,Modelo_Actual!$J$6:$J$79)/SUMSQ(Modelo_Actual!$J$6:$J$81)</f>
        <v>-0.034831145885063</v>
      </c>
      <c r="C7" s="12" t="n">
        <f aca="false">SUMPRODUCT(Modelo_COVID!$L$8:$L$81,Modelo_COVID!$L$6:$L$79)/SUMSQ(Modelo_COVID!$L$6:$L$81)</f>
        <v>-0.0524525057738381</v>
      </c>
      <c r="D7" s="12" t="n">
        <f aca="false">SUMPRODUCT(Modelo_ADL!$K$8:$K$81,Modelo_ADL!$K$6:$K$79)/SUMSQ(Modelo_ADL!$K$6:$K$81)</f>
        <v>0.00592880407189425</v>
      </c>
      <c r="E7" s="12" t="n">
        <f aca="false">SUMPRODUCT(Rezagos_BIC!$J$8:$J$81,Rezagos_BIC!$J$6:$J$79)/SUMSQ(Rezagos_BIC!$J$6:$J$81)</f>
        <v>-0.0304175220375577</v>
      </c>
      <c r="F7" s="12" t="n">
        <f aca="false">SUMPRODUCT(ADL_COVID!$M$8:$M$81,ADL_COVID!$M$6:$M$79)/SUMSQ(ADL_COVID!$M$6:$M$81)</f>
        <v>0.0281696530286608</v>
      </c>
      <c r="H7" s="32"/>
      <c r="I7" s="32"/>
      <c r="J7" s="32"/>
      <c r="K7" s="32"/>
      <c r="L7" s="32"/>
    </row>
    <row r="8" customFormat="false" ht="15" hidden="false" customHeight="false" outlineLevel="0" collapsed="false">
      <c r="A8" s="11" t="n">
        <v>3</v>
      </c>
      <c r="B8" s="12" t="n">
        <f aca="false">SUMPRODUCT(Modelo_Actual!$J$9:$J$81,Modelo_Actual!$J$6:$J$78)/SUMSQ(Modelo_Actual!$J$6:$J$81)</f>
        <v>0.00346930475741985</v>
      </c>
      <c r="C8" s="12" t="n">
        <f aca="false">SUMPRODUCT(Modelo_COVID!$L$9:$L$81,Modelo_COVID!$L$6:$L$78)/SUMSQ(Modelo_COVID!$L$6:$L$81)</f>
        <v>-0.0887486536079896</v>
      </c>
      <c r="D8" s="12" t="n">
        <f aca="false">SUMPRODUCT(Modelo_ADL!$K$9:$K$81,Modelo_ADL!$K$6:$K$78)/SUMSQ(Modelo_ADL!$K$6:$K$81)</f>
        <v>0.00810717213771694</v>
      </c>
      <c r="E8" s="12" t="n">
        <f aca="false">SUMPRODUCT(Rezagos_BIC!$J$9:$J$81,Rezagos_BIC!$J$6:$J$78)/SUMSQ(Rezagos_BIC!$J$6:$J$81)</f>
        <v>0.0660655648108128</v>
      </c>
      <c r="F8" s="12" t="n">
        <f aca="false">SUMPRODUCT(ADL_COVID!$M$9:$M$81,ADL_COVID!$M$6:$M$78)/SUMSQ(ADL_COVID!$M$6:$M$81)</f>
        <v>-0.0720417102196332</v>
      </c>
      <c r="H8" s="32"/>
      <c r="I8" s="32"/>
      <c r="J8" s="32"/>
      <c r="K8" s="32"/>
      <c r="L8" s="32"/>
    </row>
    <row r="9" customFormat="false" ht="15" hidden="false" customHeight="false" outlineLevel="0" collapsed="false">
      <c r="A9" s="11" t="n">
        <v>4</v>
      </c>
      <c r="B9" s="12" t="n">
        <f aca="false">SUMPRODUCT(Modelo_Actual!$J$10:$J$81,Modelo_Actual!$J$6:$J$77)/SUMSQ(Modelo_Actual!$J$6:$J$81)</f>
        <v>-0.467960554338262</v>
      </c>
      <c r="C9" s="12" t="n">
        <f aca="false">SUMPRODUCT(Modelo_COVID!$L$10:$L$81,Modelo_COVID!$L$6:$L$77)/SUMSQ(Modelo_COVID!$L$6:$L$81)</f>
        <v>-0.421312531081631</v>
      </c>
      <c r="D9" s="12" t="n">
        <f aca="false">SUMPRODUCT(Modelo_ADL!$K$10:$K$81,Modelo_ADL!$K$6:$K$77)/SUMSQ(Modelo_ADL!$K$6:$K$81)</f>
        <v>-0.502571753560539</v>
      </c>
      <c r="E9" s="12" t="n">
        <f aca="false">SUMPRODUCT(Rezagos_BIC!$J$10:$J$81,Rezagos_BIC!$J$6:$J$77)/SUMSQ(Rezagos_BIC!$J$6:$J$81)</f>
        <v>-0.361845376608536</v>
      </c>
      <c r="F9" s="12" t="n">
        <f aca="false">SUMPRODUCT(ADL_COVID!$M$10:$M$81,ADL_COVID!$M$6:$M$77)/SUMSQ(ADL_COVID!$M$6:$M$81)</f>
        <v>-0.456439686944647</v>
      </c>
      <c r="H9" s="32"/>
      <c r="I9" s="32"/>
      <c r="J9" s="32"/>
      <c r="K9" s="32"/>
      <c r="L9" s="32"/>
    </row>
    <row r="10" customFormat="false" ht="15" hidden="false" customHeight="false" outlineLevel="0" collapsed="false">
      <c r="A10" s="11" t="n">
        <v>5</v>
      </c>
      <c r="B10" s="12" t="n">
        <f aca="false">SUMPRODUCT(Modelo_Actual!$J$11:$J$81,Modelo_Actual!$J$6:$J$76)/SUMSQ(Modelo_Actual!$J$6:$J$81)</f>
        <v>0.197398184531149</v>
      </c>
      <c r="C10" s="12" t="n">
        <f aca="false">SUMPRODUCT(Modelo_COVID!$L$11:$L$81,Modelo_COVID!$L$6:$L$76)/SUMSQ(Modelo_COVID!$L$6:$L$81)</f>
        <v>0.196612986479674</v>
      </c>
      <c r="D10" s="12" t="n">
        <f aca="false">SUMPRODUCT(Modelo_ADL!$K$11:$K$81,Modelo_ADL!$K$6:$K$76)/SUMSQ(Modelo_ADL!$K$6:$K$81)</f>
        <v>0.119457436578927</v>
      </c>
      <c r="E10" s="12" t="n">
        <f aca="false">SUMPRODUCT(Rezagos_BIC!$J$11:$J$81,Rezagos_BIC!$J$6:$J$76)/SUMSQ(Rezagos_BIC!$J$6:$J$81)</f>
        <v>0.0480708777644808</v>
      </c>
      <c r="F10" s="12" t="n">
        <f aca="false">SUMPRODUCT(ADL_COVID!$M$11:$M$81,ADL_COVID!$M$6:$M$76)/SUMSQ(ADL_COVID!$M$6:$M$81)</f>
        <v>0.0783661925421825</v>
      </c>
      <c r="H10" s="32"/>
      <c r="I10" s="32"/>
      <c r="J10" s="32"/>
      <c r="K10" s="32"/>
      <c r="L10" s="32"/>
    </row>
    <row r="11" customFormat="false" ht="15" hidden="false" customHeight="false" outlineLevel="0" collapsed="false">
      <c r="A11" s="11" t="n">
        <v>6</v>
      </c>
      <c r="B11" s="12" t="n">
        <f aca="false">SUMPRODUCT(Modelo_Actual!$J$12:$J$81,Modelo_Actual!$J$6:$J$75)/SUMSQ(Modelo_Actual!$J$6:$J$81)</f>
        <v>0.0541630007673251</v>
      </c>
      <c r="C11" s="12" t="n">
        <f aca="false">SUMPRODUCT(Modelo_COVID!$L$12:$L$81,Modelo_COVID!$L$6:$L$75)/SUMSQ(Modelo_COVID!$L$6:$L$81)</f>
        <v>0.149309428907884</v>
      </c>
      <c r="D11" s="12" t="n">
        <f aca="false">SUMPRODUCT(Modelo_ADL!$K$12:$K$81,Modelo_ADL!$K$6:$K$75)/SUMSQ(Modelo_ADL!$K$6:$K$81)</f>
        <v>0.0111319891349566</v>
      </c>
      <c r="E11" s="12" t="n">
        <f aca="false">SUMPRODUCT(Rezagos_BIC!$J$12:$J$81,Rezagos_BIC!$J$6:$J$75)/SUMSQ(Rezagos_BIC!$J$6:$J$81)</f>
        <v>0.0521929991090221</v>
      </c>
      <c r="F11" s="12" t="n">
        <f aca="false">SUMPRODUCT(ADL_COVID!$M$12:$M$81,ADL_COVID!$M$6:$M$75)/SUMSQ(ADL_COVID!$M$6:$M$81)</f>
        <v>0.0687291784935385</v>
      </c>
      <c r="H11" s="32"/>
      <c r="I11" s="32"/>
      <c r="J11" s="32"/>
      <c r="K11" s="32"/>
      <c r="L11" s="32"/>
    </row>
    <row r="12" customFormat="false" ht="15" hidden="false" customHeight="false" outlineLevel="0" collapsed="false">
      <c r="A12" s="11" t="n">
        <v>7</v>
      </c>
      <c r="B12" s="12" t="n">
        <f aca="false">SUMPRODUCT(Modelo_Actual!$J$13:$J$81,Modelo_Actual!$J$6:$J$74)/SUMSQ(Modelo_Actual!$J$6:$J$81)</f>
        <v>0.0435438923320472</v>
      </c>
      <c r="C12" s="12" t="n">
        <f aca="false">SUMPRODUCT(Modelo_COVID!$L$13:$L$81,Modelo_COVID!$L$6:$L$74)/SUMSQ(Modelo_COVID!$L$6:$L$81)</f>
        <v>0.0432186544595984</v>
      </c>
      <c r="D12" s="12" t="n">
        <f aca="false">SUMPRODUCT(Modelo_ADL!$K$13:$K$81,Modelo_ADL!$K$6:$K$74)/SUMSQ(Modelo_ADL!$K$6:$K$81)</f>
        <v>0.0657137469027075</v>
      </c>
      <c r="E12" s="12" t="n">
        <f aca="false">SUMPRODUCT(Rezagos_BIC!$J$13:$J$81,Rezagos_BIC!$J$6:$J$74)/SUMSQ(Rezagos_BIC!$J$6:$J$81)</f>
        <v>0.0782552500594856</v>
      </c>
      <c r="F12" s="12" t="n">
        <f aca="false">SUMPRODUCT(ADL_COVID!$M$13:$M$81,ADL_COVID!$M$6:$M$74)/SUMSQ(ADL_COVID!$M$6:$M$81)</f>
        <v>0.0781146731904034</v>
      </c>
      <c r="H12" s="32"/>
      <c r="I12" s="32"/>
      <c r="J12" s="32"/>
      <c r="K12" s="32"/>
      <c r="L12" s="32"/>
    </row>
    <row r="13" customFormat="false" ht="15" hidden="false" customHeight="false" outlineLevel="0" collapsed="false">
      <c r="A13" s="11" t="n">
        <v>8</v>
      </c>
      <c r="B13" s="12" t="n">
        <f aca="false">SUMPRODUCT(Modelo_Actual!$J$14:$J$81,Modelo_Actual!$J$6:$J$73)/SUMSQ(Modelo_Actual!$J$6:$J$81)</f>
        <v>0.166693494816407</v>
      </c>
      <c r="C13" s="12" t="n">
        <f aca="false">SUMPRODUCT(Modelo_COVID!$L$14:$L$81,Modelo_COVID!$L$6:$L$73)/SUMSQ(Modelo_COVID!$L$6:$L$81)</f>
        <v>0.0223227846421635</v>
      </c>
      <c r="D13" s="12" t="n">
        <f aca="false">SUMPRODUCT(Modelo_ADL!$K$14:$K$81,Modelo_ADL!$K$6:$K$73)/SUMSQ(Modelo_ADL!$K$6:$K$81)</f>
        <v>0.157242536829161</v>
      </c>
      <c r="E13" s="12" t="n">
        <f aca="false">SUMPRODUCT(Rezagos_BIC!$J$14:$J$81,Rezagos_BIC!$J$6:$J$73)/SUMSQ(Rezagos_BIC!$J$6:$J$81)</f>
        <v>0.0110046582038703</v>
      </c>
      <c r="F13" s="12" t="n">
        <f aca="false">SUMPRODUCT(ADL_COVID!$M$14:$M$81,ADL_COVID!$M$6:$M$73)/SUMSQ(ADL_COVID!$M$6:$M$81)</f>
        <v>0.0407059842331216</v>
      </c>
    </row>
    <row r="15" customFormat="false" ht="15" hidden="false" customHeight="false" outlineLevel="0" collapsed="false">
      <c r="A15" s="10" t="s">
        <v>15</v>
      </c>
      <c r="B15" s="29" t="n">
        <f aca="false">Modelo_Actual!B106</f>
        <v>2.14847309305388</v>
      </c>
      <c r="C15" s="29" t="n">
        <f aca="false">Modelo_COVID!B108</f>
        <v>1.9633108623866</v>
      </c>
      <c r="D15" s="29" t="n">
        <f aca="false">Modelo_ADL!B107</f>
        <v>2.11601335990161</v>
      </c>
      <c r="E15" s="29" t="n">
        <f aca="false">Rezagos_BIC!B106</f>
        <v>2.0279652045438</v>
      </c>
      <c r="F15" s="29" t="n">
        <f aca="false">ADL_COVID!B109</f>
        <v>1.96248587374096</v>
      </c>
    </row>
    <row r="17" customFormat="false" ht="15" hidden="false" customHeight="false" outlineLevel="0" collapsed="false">
      <c r="A17" s="22" t="s">
        <v>214</v>
      </c>
      <c r="B17" s="23"/>
      <c r="C17" s="23"/>
      <c r="D17" s="23"/>
      <c r="E17" s="23"/>
      <c r="F17" s="23"/>
    </row>
    <row r="18" customFormat="false" ht="15" hidden="false" customHeight="false" outlineLevel="0" collapsed="false">
      <c r="A18" s="14" t="s">
        <v>215</v>
      </c>
      <c r="B18" s="14" t="s">
        <v>216</v>
      </c>
      <c r="C18" s="14" t="s">
        <v>217</v>
      </c>
      <c r="D18" s="14" t="s">
        <v>218</v>
      </c>
      <c r="E18" s="14" t="s">
        <v>26</v>
      </c>
    </row>
    <row r="19" customFormat="false" ht="15" hidden="false" customHeight="false" outlineLevel="0" collapsed="false">
      <c r="A19" s="11" t="s">
        <v>208</v>
      </c>
      <c r="B19" s="12" t="n">
        <f aca="false">INDEX(LINEST(Modelo_Actual!$K$6:$K$81,Modelo_Actual!$C$6:$H$81,TRUE(),TRUE()),3,1)</f>
        <v>0.170932768628978</v>
      </c>
      <c r="C19" s="12" t="n">
        <f aca="false">76*B19</f>
        <v>12.9908904158023</v>
      </c>
      <c r="D19" s="11" t="n">
        <v>6</v>
      </c>
      <c r="E19" s="29" t="n">
        <f aca="false">CHIDIST(C19,D19)</f>
        <v>0.0431808360897611</v>
      </c>
    </row>
    <row r="20" customFormat="false" ht="15" hidden="false" customHeight="false" outlineLevel="0" collapsed="false">
      <c r="A20" s="11" t="s">
        <v>209</v>
      </c>
      <c r="B20" s="12" t="n">
        <f aca="false">INDEX(LINEST(Modelo_COVID!$M$6:$M$81,Modelo_COVID!$C$6:$J$81,TRUE(),TRUE()),3,1)</f>
        <v>0.166703810678081</v>
      </c>
      <c r="C20" s="12" t="n">
        <f aca="false">76*B20</f>
        <v>12.6694896115342</v>
      </c>
      <c r="D20" s="11" t="n">
        <v>8</v>
      </c>
      <c r="E20" s="29" t="n">
        <f aca="false">CHIDIST(C20,D20)</f>
        <v>0.12373874732032</v>
      </c>
    </row>
    <row r="21" customFormat="false" ht="15" hidden="false" customHeight="false" outlineLevel="0" collapsed="false">
      <c r="A21" s="11" t="s">
        <v>210</v>
      </c>
      <c r="B21" s="12" t="n">
        <f aca="false">INDEX(LINEST(Modelo_ADL!$L$6:$L$81,Modelo_ADL!$C$6:$I$81,TRUE(),TRUE()),3,1)</f>
        <v>0.174198910739842</v>
      </c>
      <c r="C21" s="12" t="n">
        <f aca="false">76*B21</f>
        <v>13.239117216228</v>
      </c>
      <c r="D21" s="11" t="n">
        <v>7</v>
      </c>
      <c r="E21" s="29" t="n">
        <f aca="false">CHIDIST(C21,D21)</f>
        <v>0.0664922785767362</v>
      </c>
    </row>
    <row r="22" customFormat="false" ht="15" hidden="false" customHeight="false" outlineLevel="0" collapsed="false">
      <c r="A22" s="11" t="s">
        <v>211</v>
      </c>
      <c r="B22" s="12" t="n">
        <f aca="false">INDEX(LINEST(Rezagos_BIC!$K$6:$K$81,Rezagos_BIC!$C$6:$H$81,TRUE(),TRUE()),3,1)</f>
        <v>0.199213693857101</v>
      </c>
      <c r="C22" s="12" t="n">
        <f aca="false">76*B22</f>
        <v>15.1402407331397</v>
      </c>
      <c r="D22" s="11" t="n">
        <v>6</v>
      </c>
      <c r="E22" s="29" t="n">
        <f aca="false">CHIDIST(C22,D22)</f>
        <v>0.0191935579439752</v>
      </c>
    </row>
    <row r="23" customFormat="false" ht="15" hidden="false" customHeight="false" outlineLevel="0" collapsed="false">
      <c r="A23" s="11" t="s">
        <v>212</v>
      </c>
      <c r="B23" s="12" t="n">
        <f aca="false">INDEX(LINEST(ADL_COVID!$N$6:$N$81,ADL_COVID!$C$6:$K$81,TRUE(),TRUE()),3,1)</f>
        <v>0.219393553385964</v>
      </c>
      <c r="C23" s="12" t="n">
        <f aca="false">76*B23</f>
        <v>16.6739100573332</v>
      </c>
      <c r="D23" s="11" t="n">
        <v>9</v>
      </c>
      <c r="E23" s="29" t="n">
        <f aca="false">CHIDIST(C23,D23)</f>
        <v>0.0540742227190637</v>
      </c>
    </row>
    <row r="24" customFormat="false" ht="15" hidden="false" customHeight="false" outlineLevel="0" collapsed="false">
      <c r="A24" s="22" t="s">
        <v>219</v>
      </c>
      <c r="B24" s="23"/>
      <c r="C24" s="23"/>
      <c r="D24" s="23"/>
      <c r="E24" s="23"/>
      <c r="F24" s="23"/>
    </row>
    <row r="25" customFormat="false" ht="15" hidden="false" customHeight="false" outlineLevel="0" collapsed="false">
      <c r="A25" s="14" t="s">
        <v>215</v>
      </c>
      <c r="B25" s="14" t="s">
        <v>220</v>
      </c>
      <c r="C25" s="14" t="s">
        <v>221</v>
      </c>
      <c r="D25" s="14" t="s">
        <v>222</v>
      </c>
      <c r="E25" s="14" t="s">
        <v>26</v>
      </c>
    </row>
    <row r="26" customFormat="false" ht="15" hidden="false" customHeight="false" outlineLevel="0" collapsed="false">
      <c r="A26" s="11" t="s">
        <v>208</v>
      </c>
      <c r="B26" s="12" t="n">
        <f aca="false">SKEW(Modelo_Actual!$J$6:$J$81)</f>
        <v>-0.0325921665938932</v>
      </c>
      <c r="C26" s="12" t="n">
        <f aca="false">KURT(Modelo_Actual!$J$6:$J$81)</f>
        <v>1.30539165309153</v>
      </c>
      <c r="D26" s="12" t="n">
        <f aca="false">76/6*(B26^2+C26^2/4)</f>
        <v>5.40960515663823</v>
      </c>
      <c r="E26" s="33" t="n">
        <f aca="false">CHIDIST(D26,2)</f>
        <v>0.0668835268015609</v>
      </c>
    </row>
    <row r="27" customFormat="false" ht="15" hidden="false" customHeight="false" outlineLevel="0" collapsed="false">
      <c r="A27" s="11" t="s">
        <v>209</v>
      </c>
      <c r="B27" s="12" t="n">
        <f aca="false">SKEW(Modelo_COVID!$L$6:$L$81)</f>
        <v>-0.0858577659746672</v>
      </c>
      <c r="C27" s="12" t="n">
        <f aca="false">KURT(Modelo_COVID!$L$6:$L$81)</f>
        <v>0.539621329036507</v>
      </c>
      <c r="D27" s="12" t="n">
        <f aca="false">76/6*(B27^2+C27^2/4)</f>
        <v>1.0154784417686</v>
      </c>
      <c r="E27" s="33" t="n">
        <f aca="false">CHIDIST(D27,2)</f>
        <v>0.60185470243618</v>
      </c>
    </row>
    <row r="28" customFormat="false" ht="15" hidden="false" customHeight="false" outlineLevel="0" collapsed="false">
      <c r="A28" s="11" t="s">
        <v>210</v>
      </c>
      <c r="B28" s="12" t="n">
        <f aca="false">SKEW(Modelo_ADL!$K$6:$K$81)</f>
        <v>-0.0316413369126678</v>
      </c>
      <c r="C28" s="12" t="n">
        <f aca="false">KURT(Modelo_ADL!$K$6:$K$81)</f>
        <v>1.64040975090138</v>
      </c>
      <c r="D28" s="12" t="n">
        <f aca="false">76/6*(B28^2+C28^2/4)</f>
        <v>8.53400468425293</v>
      </c>
      <c r="E28" s="33" t="n">
        <f aca="false">CHIDIST(D28,2)</f>
        <v>0.014023758638333</v>
      </c>
    </row>
    <row r="29" customFormat="false" ht="15" hidden="false" customHeight="false" outlineLevel="0" collapsed="false">
      <c r="A29" s="11" t="s">
        <v>211</v>
      </c>
      <c r="B29" s="12" t="n">
        <f aca="false">SKEW(Rezagos_BIC!$J$6:$J$81)</f>
        <v>0.0604606186083971</v>
      </c>
      <c r="C29" s="12" t="n">
        <f aca="false">KURT(Rezagos_BIC!$J$6:$J$81)</f>
        <v>1.00590297753412</v>
      </c>
      <c r="D29" s="12" t="n">
        <f aca="false">76/6*(B29^2+C29^2/4)</f>
        <v>3.25046536176984</v>
      </c>
      <c r="E29" s="33" t="n">
        <f aca="false">CHIDIST(D29,2)</f>
        <v>0.196865862951381</v>
      </c>
    </row>
    <row r="30" customFormat="false" ht="15" hidden="false" customHeight="false" outlineLevel="0" collapsed="false">
      <c r="A30" s="11" t="s">
        <v>212</v>
      </c>
      <c r="B30" s="12" t="n">
        <f aca="false">SKEW(ADL_COVID!$M$6:$M$81)</f>
        <v>-0.0590852857253194</v>
      </c>
      <c r="C30" s="12" t="n">
        <f aca="false">KURT(ADL_COVID!$M$6:$M$81)</f>
        <v>-0.026923427145134</v>
      </c>
      <c r="D30" s="12" t="n">
        <f aca="false">76/6*(B30^2+C30^2/4)</f>
        <v>0.0465156571396646</v>
      </c>
      <c r="E30" s="33" t="n">
        <f aca="false">CHIDIST(D30,2)</f>
        <v>0.977010550063985</v>
      </c>
    </row>
  </sheetData>
  <mergeCells count="1">
    <mergeCell ref="H6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2026-08-28T14:59:49Z</dcterms:created>
  <dc:creator>openpyxl</dc:creator>
  <dc:description/>
  <dc:language>en-US</dc:language>
  <cp:lastModifiedBy/>
  <dcterms:modified xsi:type="dcterms:W3CDTF">2026-08-28T14:59:49Z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