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atos" sheetId="2" state="visible" r:id="rId4"/>
    <sheet name="Modelo_Actual" sheetId="3" state="visible" r:id="rId5"/>
    <sheet name="Modelo_ADL" sheetId="4" state="visible" r:id="rId6"/>
    <sheet name="Rezagos_BIC" sheetId="5" state="visible" r:id="rId7"/>
    <sheet name="Diagnostic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<sst xmlns="http://schemas.openxmlformats.org/spreadsheetml/2006/main" count="310" uniqueCount="199">
  <si>
    <t xml:space="preserve">MODELO DE PBI — 6 VARIABLES (EMBI, GPN, VITI, M3R)</t>
  </si>
  <si>
    <t xml:space="preserve">Muestra 2007Q2-2026Q1 (n=76) en los tres modelos.</t>
  </si>
  <si>
    <t xml:space="preserve">Metrica</t>
  </si>
  <si>
    <t xml:space="preserve">ACTUAL  d(PBI)</t>
  </si>
  <si>
    <t xml:space="preserve">REZAGOS BIC  d(PBI)</t>
  </si>
  <si>
    <t xml:space="preserve">ADL  PBI en nivel</t>
  </si>
  <si>
    <t xml:space="preserve">n</t>
  </si>
  <si>
    <t xml:space="preserve">k (parametros)</t>
  </si>
  <si>
    <t xml:space="preserve">R2</t>
  </si>
  <si>
    <t xml:space="preserve">R2 ajustado</t>
  </si>
  <si>
    <t xml:space="preserve">SSR</t>
  </si>
  <si>
    <t xml:space="preserve">AIC</t>
  </si>
  <si>
    <t xml:space="preserve">BIC</t>
  </si>
  <si>
    <t xml:space="preserve">Durbin-Watson</t>
  </si>
  <si>
    <t xml:space="preserve">Autocorrel. residuos rezago 4</t>
  </si>
  <si>
    <t xml:space="preserve">Breusch-Pagan p</t>
  </si>
  <si>
    <t xml:space="preserve">AIC, BIC y R2 de la columna ADL NO son comparables con las otras dos: la variable dependiente es distinta (PBI en nivel vs. su diferencia). Para compararlas se usa el test F de abajo.</t>
  </si>
  <si>
    <t xml:space="preserve">Contraste decisivo: conviene diferenciar el PBI?</t>
  </si>
  <si>
    <t xml:space="preserve">H0: el coeficiente de PBI(t-1) es igual a 1  (= diferenciar la dependiente)</t>
  </si>
  <si>
    <t xml:space="preserve">F</t>
  </si>
  <si>
    <t xml:space="preserve">p-valor</t>
  </si>
  <si>
    <t xml:space="preserve">Coeficientes del modelo actual con errores HAC (Newey-West, L=4)</t>
  </si>
  <si>
    <t xml:space="preserve">Regresor</t>
  </si>
  <si>
    <t xml:space="preserve">Coef.</t>
  </si>
  <si>
    <t xml:space="preserve">se HAC</t>
  </si>
  <si>
    <t xml:space="preserve">t HAC</t>
  </si>
  <si>
    <t xml:space="preserve">p HAC</t>
  </si>
  <si>
    <t xml:space="preserve">COMO USAR ESTE ARCHIVO</t>
  </si>
  <si>
    <t xml:space="preserve">1. Editable solo lo azul de la hoja Datos (EMBI, M3R, GPN, VITI, GDP). Todo lo demas es formula.</t>
  </si>
  <si>
    <t xml:space="preserve">2. Para agregar un trimestre: extender las filas de Datos y de cada hoja de modelo, y recalcular.</t>
  </si>
  <si>
    <t xml:space="preserve">3. Las regresiones usan INDEX(LINEST(...)) para devolver escalares, sin formulas matriciales.</t>
  </si>
  <si>
    <t xml:space="preserve">4. AIC y BIC siguen la convencion de statsmodels: -2logL + 2k y -2logL + ln(n)k.</t>
  </si>
  <si>
    <t xml:space="preserve">5. Cita los errores HAC, no los de LINEST: hay autocorrelacion residual en el rezago 4.</t>
  </si>
  <si>
    <t xml:space="preserve">DATOS Y PRIMERAS DIFERENCIAS</t>
  </si>
  <si>
    <t xml:space="preserve">Azul = dato original (editable). Negro = formula. Trimestral 2005Q1-2026Q1.</t>
  </si>
  <si>
    <t xml:space="preserve">EMBI 2005Q1-Q2 venia codificado como 0 en el origen: se trata como faltante. GDP, M3R, GPN y VITI ya vienen como variacion interanual; d(.) las diferencia una vez mas.</t>
  </si>
  <si>
    <t xml:space="preserve">Periodo</t>
  </si>
  <si>
    <t xml:space="preserve">EMBI (pb)</t>
  </si>
  <si>
    <t xml:space="preserve">M3R</t>
  </si>
  <si>
    <t xml:space="preserve">GPN</t>
  </si>
  <si>
    <t xml:space="preserve">VITI</t>
  </si>
  <si>
    <t xml:space="preserve">GDP</t>
  </si>
  <si>
    <t xml:space="preserve">d(EMBI)</t>
  </si>
  <si>
    <t xml:space="preserve">d(M3R)</t>
  </si>
  <si>
    <t xml:space="preserve">d(GPN)</t>
  </si>
  <si>
    <t xml:space="preserve">d(VITI)</t>
  </si>
  <si>
    <t xml:space="preserve">d(GDP)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</si>
  <si>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</si>
  <si>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</si>
  <si>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</si>
  <si>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</si>
  <si>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</si>
  <si>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</si>
  <si>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</si>
  <si>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</si>
  <si>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</si>
  <si>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</si>
  <si>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</si>
  <si>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</si>
  <si>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</si>
  <si>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</si>
  <si>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</si>
  <si>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</si>
  <si>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</si>
  <si>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</si>
  <si>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</si>
  <si>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</si>
  <si>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</si>
  <si>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</si>
  <si>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</si>
  <si>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</si>
  <si>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</si>
  <si>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</si>
  <si>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</si>
  <si>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</si>
  <si>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</si>
  <si>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</si>
  <si>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</si>
  <si>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</si>
  <si>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</si>
  <si>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</si>
  <si>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</si>
  <si>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</si>
  <si>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</si>
  <si>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</si>
  <si>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</si>
  <si>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</si>
  <si>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</si>
  <si>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</si>
  <si>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</si>
  <si>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</si>
  <si>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</si>
  <si>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</si>
  <si>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</si>
  <si>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</si>
  <si>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</si>
  <si>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</si>
  <si>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</si>
  <si>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</si>
  <si>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</si>
  <si>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</si>
  <si>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</si>
  <si>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</si>
  <si>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</si>
  <si>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</si>
  <si>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</si>
  <si>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</si>
  <si>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</si>
  <si>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</si>
  <si>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</si>
  <si>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</si>
  <si>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</si>
  <si>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</si>
  <si>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</si>
  <si>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</si>
  <si>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</si>
  <si>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</si>
  <si>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</si>
  <si>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</si>
  <si>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</si>
  <si>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</si>
  <si>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</si>
  <si>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</si>
  <si>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</si>
  <si>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</si>
  <si>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</si>
  <si>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</si>
  <si>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</si>
  <si>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</si>
  <si>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</si>
  <si>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</si>
  <si>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</si>
  <si>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MODELO ACTUAL  —  d(PBI) ~ d(M3R) + d(EMBI) + d(EMBI t-2) + d(EMBI t-6) + d(GPN t-6) + d(VITI t-7)</t>
  </si>
  <si>
    <t xml:space="preserve">Especificacion tal cual la usas. Muestra 2007Q2-2026Q1 (n=76), la primera con todos los rezagos disponibles.</t>
  </si>
  <si>
    <t xml:space="preserve">y</t>
  </si>
  <si>
    <t xml:space="preserve">d(M3R) t</t>
  </si>
  <si>
    <t xml:space="preserve">d(EMBI) t</t>
  </si>
  <si>
    <t xml:space="preserve">d(EMBI) t-2</t>
  </si>
  <si>
    <t xml:space="preserve">d(EMBI) t-6</t>
  </si>
  <si>
    <t xml:space="preserve">d(GPN) t-6</t>
  </si>
  <si>
    <t xml:space="preserve">d(VITI) t-7</t>
  </si>
  <si>
    <t xml:space="preserve">const=1</t>
  </si>
  <si>
    <t xml:space="preserve">residuo e</t>
  </si>
  <si>
    <t xml:space="preserve">e^2</t>
  </si>
  <si>
    <t xml:space="preserve">h_0</t>
  </si>
  <si>
    <t xml:space="preserve">h_1</t>
  </si>
  <si>
    <t xml:space="preserve">h_2</t>
  </si>
  <si>
    <t xml:space="preserve">h_3</t>
  </si>
  <si>
    <t xml:space="preserve">h_4</t>
  </si>
  <si>
    <t xml:space="preserve">h_5</t>
  </si>
  <si>
    <t xml:space="preserve">h_6</t>
  </si>
  <si>
    <t xml:space="preserve">A. ESTIMACION OLS   (LINEST devuelve los coeficientes en orden inverso; se extraen con INDEX)</t>
  </si>
  <si>
    <t xml:space="preserve">Error est.</t>
  </si>
  <si>
    <t xml:space="preserve">t</t>
  </si>
  <si>
    <t xml:space="preserve">gl residuales</t>
  </si>
  <si>
    <t xml:space="preserve">const</t>
  </si>
  <si>
    <t xml:space="preserve">B. BONDAD DE AJUSTE</t>
  </si>
  <si>
    <t xml:space="preserve">n (observaciones)</t>
  </si>
  <si>
    <t xml:space="preserve">log-verosimilitud</t>
  </si>
  <si>
    <t xml:space="preserve">C. ERRORES ESTANDAR HAC (Newey-West, nucleo de Bartlett, L=4)</t>
  </si>
  <si>
    <t xml:space="preserve">V = (X'X)^-1 S (X'X)^-1 ,  S = G0 + SUM_l w_l (G_l + G_l') ,  w_l = 1 - l/5</t>
  </si>
  <si>
    <t xml:space="preserve">X'X</t>
  </si>
  <si>
    <t xml:space="preserve">(X'X)^-1 = A</t>
  </si>
  <si>
    <t xml:space="preserve">Gamma_0</t>
  </si>
  <si>
    <t xml:space="preserve">Gamma_1  (w=0.8)</t>
  </si>
  <si>
    <t xml:space="preserve">Gamma_2  (w=0.6)</t>
  </si>
  <si>
    <t xml:space="preserve">Gamma_3  (w=0.4)</t>
  </si>
  <si>
    <t xml:space="preserve">Gamma_4  (w=0.2)</t>
  </si>
  <si>
    <t xml:space="preserve">S (meat)</t>
  </si>
  <si>
    <t xml:space="preserve">V = A S A</t>
  </si>
  <si>
    <t xml:space="preserve">ALTERNATIVA ADL  —  PBI ~ (mismos regresores) + PBI(t-1)</t>
  </si>
  <si>
    <t xml:space="preserve">Diferenciar el PBI equivale a imponer coeficiente 1 sobre PBI(t-1). Aca se lo deja libre y se contrasta la restriccion.</t>
  </si>
  <si>
    <t xml:space="preserve">PBI t-1</t>
  </si>
  <si>
    <t xml:space="preserve">C. TEST F:  H0 = coeficiente de PBI(t-1) igual a 1</t>
  </si>
  <si>
    <t xml:space="preserve">Si se rechaza, diferenciar la variable dependiente impone una restriccion que los datos no avalan.</t>
  </si>
  <si>
    <t xml:space="preserve">SSR irrestricto (este modelo)</t>
  </si>
  <si>
    <t xml:space="preserve">SSR restringido (Modelo_Actual)</t>
  </si>
  <si>
    <t xml:space="preserve">q (restricciones)</t>
  </si>
  <si>
    <t xml:space="preserve">REZAGOS OPTIMOS POR BIC  —  d(M3R t-5), d(EMBI t / t-2 / t-6), d(GPN t-6), d(VITI t-1)</t>
  </si>
  <si>
    <t xml:space="preserve">Minimo BIC entre 94.041 combinaciones (subconjuntos de hasta 3 rezagos de EMBI x rezagos 0-8 del resto) sujeto a que todos los p sean menores a 0,05. OJO: d(M3R) t-5 sale con signo NEGATIVO.</t>
  </si>
  <si>
    <t xml:space="preserve">d(M3R) t-5</t>
  </si>
  <si>
    <t xml:space="preserve">d(VITI) t-1</t>
  </si>
  <si>
    <t xml:space="preserve">DIAGNOSTICOS DE RESIDUOS</t>
  </si>
  <si>
    <t xml:space="preserve">Durbin-Watson, autocorrelacion muestral, Breusch-Pagan y Jarque-Bera.</t>
  </si>
  <si>
    <t xml:space="preserve">A. AUTOCORRELACION DE LOS RESIDUOS</t>
  </si>
  <si>
    <t xml:space="preserve">Rezago</t>
  </si>
  <si>
    <t xml:space="preserve">Modelo Actual</t>
  </si>
  <si>
    <t xml:space="preserve">ADL</t>
  </si>
  <si>
    <t xml:space="preserve">Rezagos BIC</t>
  </si>
  <si>
    <t xml:space="preserve">Mira el rezago 4: es fuertemente negativo en los modelos en diferencias. Es la firma de SOBRE-diferenciar una serie que ya venia como variacion interanual. El Durbin-Watson cercano a 2 lo tapa, porque solo mira el rezago 1.</t>
  </si>
  <si>
    <t xml:space="preserve">B. HETEROCEDASTICIDAD — Breusch-Pagan (LM = n x R2 de e^2 sobre X)</t>
  </si>
  <si>
    <t xml:space="preserve">Modelo</t>
  </si>
  <si>
    <t xml:space="preserve">R2 auxiliar</t>
  </si>
  <si>
    <t xml:space="preserve">LM</t>
  </si>
  <si>
    <t xml:space="preserve">gl</t>
  </si>
  <si>
    <t xml:space="preserve">C. NORMALIDAD — Jarque-Bera</t>
  </si>
  <si>
    <t xml:space="preserve">Asimetria</t>
  </si>
  <si>
    <t xml:space="preserve">Curtosis exc.</t>
  </si>
  <si>
    <t xml:space="preserve">JB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</si>
</sst>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00"/>
    <numFmt numFmtId="167" formatCode="0.0000000"/>
    <numFmt numFmtId="168" formatCode="0.00000"/>
    <numFmt numFmtId="169" formatCode="0.00E+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Modelo_Actual!B97</f>
        <v>76</v>
      </c>
      <c r="C5" s="5" t="n">
        <f aca="false">Rezagos_BIC!B97</f>
        <v>76</v>
      </c>
      <c r="D5" s="5" t="n">
        <f aca="false">Modelo_ADL!B98</f>
        <v>76</v>
      </c>
    </row>
    <row r="6" customFormat="false" ht="15" hidden="false" customHeight="false" outlineLevel="0" collapsed="false">
      <c r="A6" s="4" t="s">
        <v>7</v>
      </c>
      <c r="B6" s="5" t="n">
        <f aca="false">Modelo_Actual!B98</f>
        <v>7</v>
      </c>
      <c r="C6" s="5" t="n">
        <f aca="false">Rezagos_BIC!B98</f>
        <v>7</v>
      </c>
      <c r="D6" s="5" t="n">
        <f aca="false">Modelo_ADL!B99</f>
        <v>8</v>
      </c>
    </row>
    <row r="7" customFormat="false" ht="15" hidden="false" customHeight="false" outlineLevel="0" collapsed="false">
      <c r="A7" s="4" t="s">
        <v>8</v>
      </c>
      <c r="B7" s="6" t="n">
        <f aca="false">Modelo_Actual!B99</f>
        <v>0.500220645045771</v>
      </c>
      <c r="C7" s="6" t="n">
        <f aca="false">Rezagos_BIC!B99</f>
        <v>0.532863984979241</v>
      </c>
      <c r="D7" s="6" t="n">
        <f aca="false">Modelo_ADL!B100</f>
        <v>0.743314935531447</v>
      </c>
    </row>
    <row r="8" customFormat="false" ht="15" hidden="false" customHeight="false" outlineLevel="0" collapsed="false">
      <c r="A8" s="4" t="s">
        <v>9</v>
      </c>
      <c r="B8" s="7" t="n">
        <f aca="false">Modelo_Actual!B100</f>
        <v>0.456761570701924</v>
      </c>
      <c r="C8" s="7" t="n">
        <f aca="false">Rezagos_BIC!B100</f>
        <v>0.492243461933958</v>
      </c>
      <c r="D8" s="7" t="n">
        <f aca="false">Modelo_ADL!B101</f>
        <v>0.716891473012626</v>
      </c>
    </row>
    <row r="9" customFormat="false" ht="15" hidden="false" customHeight="false" outlineLevel="0" collapsed="false">
      <c r="A9" s="4" t="s">
        <v>10</v>
      </c>
      <c r="B9" s="8" t="n">
        <f aca="false">Modelo_Actual!B101</f>
        <v>0.0772633950960716</v>
      </c>
      <c r="C9" s="8" t="n">
        <f aca="false">Rezagos_BIC!B101</f>
        <v>0.072216897585653</v>
      </c>
      <c r="D9" s="8" t="n">
        <f aca="false">Modelo_ADL!B102</f>
        <v>0.0708742906755407</v>
      </c>
    </row>
    <row r="10" customFormat="false" ht="15" hidden="false" customHeight="false" outlineLevel="0" collapsed="false">
      <c r="A10" s="4" t="s">
        <v>11</v>
      </c>
      <c r="B10" s="9" t="n">
        <f aca="false">Modelo_Actual!B103</f>
        <v>-294.057735213658</v>
      </c>
      <c r="C10" s="9" t="n">
        <f aca="false">Rezagos_BIC!B103</f>
        <v>-299.191249677809</v>
      </c>
      <c r="D10" s="9" t="n">
        <f aca="false">Modelo_ADL!B104</f>
        <v>-298.617488721457</v>
      </c>
    </row>
    <row r="11" customFormat="false" ht="15" hidden="false" customHeight="false" outlineLevel="0" collapsed="false">
      <c r="A11" s="4" t="s">
        <v>12</v>
      </c>
      <c r="B11" s="9" t="n">
        <f aca="false">Modelo_Actual!B104</f>
        <v>-277.742601831654</v>
      </c>
      <c r="C11" s="9" t="n">
        <f aca="false">Rezagos_BIC!B104</f>
        <v>-282.876116295805</v>
      </c>
      <c r="D11" s="9" t="n">
        <f aca="false">Modelo_ADL!B105</f>
        <v>-279.971621999166</v>
      </c>
    </row>
    <row r="12" customFormat="false" ht="15" hidden="false" customHeight="false" outlineLevel="0" collapsed="false">
      <c r="A12" s="10" t="s">
        <v>13</v>
      </c>
      <c r="B12" s="6" t="n">
        <f aca="false">Modelo_Actual!B106</f>
        <v>2.14847309305388</v>
      </c>
      <c r="C12" s="6" t="n">
        <f aca="false">Rezagos_BIC!B106</f>
        <v>2.0279652045438</v>
      </c>
      <c r="D12" s="6" t="n">
        <f aca="false">Modelo_ADL!B107</f>
        <v>2.11601335990161</v>
      </c>
    </row>
    <row r="13" customFormat="false" ht="15" hidden="false" customHeight="false" outlineLevel="0" collapsed="false">
      <c r="A13" s="10" t="s">
        <v>14</v>
      </c>
      <c r="B13" s="7" t="n">
        <f aca="false">Diagnosticos!B9</f>
        <v>-0.467960554338262</v>
      </c>
      <c r="C13" s="7" t="n">
        <f aca="false">Diagnosticos!D9</f>
        <v>-0.361845376608536</v>
      </c>
      <c r="D13" s="7" t="n">
        <f aca="false">Diagnosticos!C9</f>
        <v>-0.502571753560539</v>
      </c>
    </row>
    <row r="14" customFormat="false" ht="15" hidden="false" customHeight="false" outlineLevel="0" collapsed="false">
      <c r="A14" s="10" t="s">
        <v>15</v>
      </c>
      <c r="B14" s="6" t="n">
        <f aca="false">Diagnosticos!E19</f>
        <v>0.0431808360897611</v>
      </c>
      <c r="C14" s="6" t="n">
        <f aca="false">Diagnosticos!E21</f>
        <v>0.0191935579439752</v>
      </c>
      <c r="D14" s="6" t="n">
        <f aca="false">Diagnosticos!E20</f>
        <v>0.0664922785767362</v>
      </c>
    </row>
    <row r="16" customFormat="false" ht="15" hidden="false" customHeight="false" outlineLevel="0" collapsed="false">
      <c r="A16" s="2" t="s">
        <v>16</v>
      </c>
    </row>
    <row r="18" customFormat="false" ht="15" hidden="false" customHeight="false" outlineLevel="0" collapsed="false">
      <c r="A18" s="10" t="s">
        <v>17</v>
      </c>
    </row>
    <row r="19" customFormat="false" ht="15" hidden="false" customHeight="false" outlineLevel="0" collapsed="false">
      <c r="A19" s="11" t="s">
        <v>18</v>
      </c>
    </row>
    <row r="20" customFormat="false" ht="15" hidden="false" customHeight="false" outlineLevel="0" collapsed="false">
      <c r="A20" s="11" t="s">
        <v>19</v>
      </c>
      <c r="B20" s="12" t="n">
        <f aca="false">Modelo_ADL!B115</f>
        <v>6.12999574958758</v>
      </c>
    </row>
    <row r="21" customFormat="false" ht="15" hidden="false" customHeight="false" outlineLevel="0" collapsed="false">
      <c r="A21" s="11" t="s">
        <v>20</v>
      </c>
      <c r="B21" s="13" t="n">
        <f aca="false">Modelo_ADL!B116</f>
        <v>0.0157858997098416</v>
      </c>
    </row>
    <row r="23" customFormat="false" ht="15" hidden="false" customHeight="false" outlineLevel="0" collapsed="false">
      <c r="A23" s="10" t="s">
        <v>21</v>
      </c>
    </row>
    <row r="24" customFormat="false" ht="15" hidden="false" customHeight="false" outlineLevel="0" collapsed="false">
      <c r="A24" s="14" t="s">
        <v>22</v>
      </c>
      <c r="B24" s="14" t="s">
        <v>23</v>
      </c>
      <c r="C24" s="14" t="s">
        <v>24</v>
      </c>
      <c r="D24" s="14" t="s">
        <v>25</v>
      </c>
      <c r="E24" s="14" t="s">
        <v>26</v>
      </c>
    </row>
    <row r="25" customFormat="false" ht="15" hidden="false" customHeight="false" outlineLevel="0" collapsed="false">
      <c r="A25" s="6" t="str">
        <f aca="false">Modelo_Actual!A184</f>
        <v>const</v>
      </c>
      <c r="B25" s="8" t="n">
        <f aca="false">Modelo_Actual!B184</f>
        <v>0.00131905025225478</v>
      </c>
      <c r="C25" s="8" t="n">
        <f aca="false">Modelo_Actual!C184</f>
        <v>0.00316737260194812</v>
      </c>
      <c r="D25" s="5" t="n">
        <f aca="false">Modelo_Actual!D184</f>
        <v>0.416449347147691</v>
      </c>
      <c r="E25" s="6" t="n">
        <f aca="false">Modelo_Actual!E184</f>
        <v>0.678373840730041</v>
      </c>
    </row>
    <row r="26" customFormat="false" ht="15" hidden="false" customHeight="false" outlineLevel="0" collapsed="false">
      <c r="A26" s="6" t="str">
        <f aca="false">Modelo_Actual!A185</f>
        <v>d(M3R) t</v>
      </c>
      <c r="B26" s="8" t="n">
        <f aca="false">Modelo_Actual!B185</f>
        <v>0.0915170543914971</v>
      </c>
      <c r="C26" s="8" t="n">
        <f aca="false">Modelo_Actual!C185</f>
        <v>0.0691254819900433</v>
      </c>
      <c r="D26" s="5" t="n">
        <f aca="false">Modelo_Actual!D185</f>
        <v>1.32392645601631</v>
      </c>
      <c r="E26" s="6" t="n">
        <f aca="false">Modelo_Actual!E185</f>
        <v>0.189896819236482</v>
      </c>
    </row>
    <row r="27" customFormat="false" ht="15" hidden="false" customHeight="false" outlineLevel="0" collapsed="false">
      <c r="A27" s="6" t="str">
        <f aca="false">Modelo_Actual!A186</f>
        <v>d(EMBI) t</v>
      </c>
      <c r="B27" s="8" t="n">
        <f aca="false">Modelo_Actual!B186</f>
        <v>-6.41908048970035E-005</v>
      </c>
      <c r="C27" s="8" t="n">
        <f aca="false">Modelo_Actual!C186</f>
        <v>1.83086910324631E-005</v>
      </c>
      <c r="D27" s="5" t="n">
        <f aca="false">Modelo_Actual!D186</f>
        <v>-3.50602917396919</v>
      </c>
      <c r="E27" s="6" t="n">
        <f aca="false">Modelo_Actual!E186</f>
        <v>0.000804168512941853</v>
      </c>
    </row>
    <row r="28" customFormat="false" ht="15" hidden="false" customHeight="false" outlineLevel="0" collapsed="false">
      <c r="A28" s="6" t="str">
        <f aca="false">Modelo_Actual!A187</f>
        <v>d(EMBI) t-2</v>
      </c>
      <c r="B28" s="8" t="n">
        <f aca="false">Modelo_Actual!B187</f>
        <v>-6.15131575700507E-005</v>
      </c>
      <c r="C28" s="8" t="n">
        <f aca="false">Modelo_Actual!C187</f>
        <v>1.23611368049578E-005</v>
      </c>
      <c r="D28" s="5" t="n">
        <f aca="false">Modelo_Actual!D187</f>
        <v>-4.97633498768326</v>
      </c>
      <c r="E28" s="6" t="n">
        <f aca="false">Modelo_Actual!E187</f>
        <v>4.56508634303329E-006</v>
      </c>
    </row>
    <row r="29" customFormat="false" ht="15" hidden="false" customHeight="false" outlineLevel="0" collapsed="false">
      <c r="A29" s="6" t="str">
        <f aca="false">Modelo_Actual!A188</f>
        <v>d(EMBI) t-6</v>
      </c>
      <c r="B29" s="8" t="n">
        <f aca="false">Modelo_Actual!B188</f>
        <v>3.56560998606745E-005</v>
      </c>
      <c r="C29" s="8" t="n">
        <f aca="false">Modelo_Actual!C188</f>
        <v>1.73452934908185E-005</v>
      </c>
      <c r="D29" s="5" t="n">
        <f aca="false">Modelo_Actual!D188</f>
        <v>2.05566425725507</v>
      </c>
      <c r="E29" s="6" t="n">
        <f aca="false">Modelo_Actual!E188</f>
        <v>0.0436010678074197</v>
      </c>
    </row>
    <row r="30" customFormat="false" ht="15" hidden="false" customHeight="false" outlineLevel="0" collapsed="false">
      <c r="A30" s="6" t="str">
        <f aca="false">Modelo_Actual!A189</f>
        <v>d(GPN) t-6</v>
      </c>
      <c r="B30" s="8" t="n">
        <f aca="false">Modelo_Actual!B189</f>
        <v>-0.113365544667691</v>
      </c>
      <c r="C30" s="8" t="n">
        <f aca="false">Modelo_Actual!C189</f>
        <v>0.0380099419523021</v>
      </c>
      <c r="D30" s="5" t="n">
        <f aca="false">Modelo_Actual!D189</f>
        <v>-2.98252348845865</v>
      </c>
      <c r="E30" s="6" t="n">
        <f aca="false">Modelo_Actual!E189</f>
        <v>0.00394879672938255</v>
      </c>
    </row>
    <row r="31" customFormat="false" ht="15" hidden="false" customHeight="false" outlineLevel="0" collapsed="false">
      <c r="A31" s="6" t="str">
        <f aca="false">Modelo_Actual!A190</f>
        <v>d(VITI) t-7</v>
      </c>
      <c r="B31" s="8" t="n">
        <f aca="false">Modelo_Actual!B190</f>
        <v>0.187891426630302</v>
      </c>
      <c r="C31" s="8" t="n">
        <f aca="false">Modelo_Actual!C190</f>
        <v>0.050560110413758</v>
      </c>
      <c r="D31" s="5" t="n">
        <f aca="false">Modelo_Actual!D190</f>
        <v>3.71619889855253</v>
      </c>
      <c r="E31" s="6" t="n">
        <f aca="false">Modelo_Actual!E190</f>
        <v>0.000407141745339763</v>
      </c>
    </row>
    <row r="34" customFormat="false" ht="15" hidden="false" customHeight="false" outlineLevel="0" collapsed="false">
      <c r="A34" s="10" t="s">
        <v>27</v>
      </c>
    </row>
    <row r="35" customFormat="false" ht="15" hidden="false" customHeight="false" outlineLevel="0" collapsed="false">
      <c r="A35" s="2" t="s">
        <v>28</v>
      </c>
    </row>
    <row r="36" customFormat="false" ht="15" hidden="false" customHeight="false" outlineLevel="0" collapsed="false">
      <c r="A36" s="2" t="s">
        <v>29</v>
      </c>
    </row>
    <row r="37" customFormat="false" ht="15" hidden="false" customHeight="false" outlineLevel="0" collapsed="false">
      <c r="A37" s="2" t="s">
        <v>30</v>
      </c>
    </row>
    <row r="38" customFormat="false" ht="15" hidden="false" customHeight="false" outlineLevel="0" collapsed="false">
      <c r="A38" s="2" t="s">
        <v>31</v>
      </c>
    </row>
    <row r="39" customFormat="false" ht="15" hidden="false" customHeight="false" outlineLevel="0" collapsed="false">
      <c r="A39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11"/>
    <col collapsed="false" customWidth="true" hidden="false" outlineLevel="0" max="12" min="8" style="0" width="11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3" customFormat="false" ht="15" hidden="false" customHeight="false" outlineLevel="0" collapsed="false">
      <c r="A3" s="2" t="s">
        <v>35</v>
      </c>
    </row>
    <row r="4" customFormat="false" ht="15" hidden="false" customHeight="false" outlineLevel="0" collapsed="false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46</v>
      </c>
    </row>
    <row r="5" customFormat="false" ht="15" hidden="false" customHeight="false" outlineLevel="0" collapsed="false">
      <c r="A5" s="11" t="s">
        <v>47</v>
      </c>
      <c r="B5" s="15"/>
      <c r="C5" s="16" t="n">
        <v>0.126266098180599</v>
      </c>
      <c r="D5" s="16" t="n">
        <v>0.196261350737798</v>
      </c>
      <c r="E5" s="16" t="n">
        <v>-0.0910761761646055</v>
      </c>
      <c r="F5" s="16" t="n">
        <v>0.0721878676041452</v>
      </c>
      <c r="H5" s="17"/>
      <c r="I5" s="17"/>
      <c r="J5" s="17"/>
      <c r="K5" s="17"/>
      <c r="L5" s="17"/>
    </row>
    <row r="6" customFormat="false" ht="15" hidden="false" customHeight="false" outlineLevel="0" collapsed="false">
      <c r="A6" s="11" t="s">
        <v>48</v>
      </c>
      <c r="B6" s="15"/>
      <c r="C6" s="16" t="n">
        <v>0.165052590466378</v>
      </c>
      <c r="D6" s="16" t="n">
        <v>0.24378612716763</v>
      </c>
      <c r="E6" s="16" t="n">
        <v>-0.0928735528829945</v>
      </c>
      <c r="F6" s="16" t="n">
        <v>0.130779807239928</v>
      </c>
      <c r="H6" s="18" t="str">
        <f aca="false">IF(AND(ISNUMBER(B6),ISNUMBER(B5)),B6-B5,"")</f>
        <v/>
      </c>
      <c r="I6" s="18" t="n">
        <f aca="false">C6-C5</f>
        <v>0.0387864922857784</v>
      </c>
      <c r="J6" s="18" t="n">
        <f aca="false">D6-D5</f>
        <v>0.0475247764298324</v>
      </c>
      <c r="K6" s="18" t="n">
        <f aca="false">E6-E5</f>
        <v>-0.00179737671838898</v>
      </c>
      <c r="L6" s="18" t="n">
        <f aca="false">F6-F5</f>
        <v>0.0585919396357828</v>
      </c>
    </row>
    <row r="7" customFormat="false" ht="15" hidden="false" customHeight="false" outlineLevel="0" collapsed="false">
      <c r="A7" s="11" t="s">
        <v>49</v>
      </c>
      <c r="B7" s="15" t="n">
        <v>413.72934375</v>
      </c>
      <c r="C7" s="16" t="n">
        <v>0.0831357686549594</v>
      </c>
      <c r="D7" s="16" t="n">
        <v>0.247583575238179</v>
      </c>
      <c r="E7" s="16" t="n">
        <v>0.0223511913659598</v>
      </c>
      <c r="F7" s="16" t="n">
        <v>0.0697197786983204</v>
      </c>
      <c r="H7" s="18" t="str">
        <f aca="false">IF(AND(ISNUMBER(B7),ISNUMBER(B6)),B7-B6,"")</f>
        <v/>
      </c>
      <c r="I7" s="18" t="n">
        <f aca="false">C7-C6</f>
        <v>-0.0819168218114184</v>
      </c>
      <c r="J7" s="18" t="n">
        <f aca="false">D7-D6</f>
        <v>0.00379744807054891</v>
      </c>
      <c r="K7" s="18" t="n">
        <f aca="false">E7-E6</f>
        <v>0.115224744248954</v>
      </c>
      <c r="L7" s="18" t="n">
        <f aca="false">F7-F6</f>
        <v>-0.0610600285416076</v>
      </c>
    </row>
    <row r="8" customFormat="false" ht="15" hidden="false" customHeight="false" outlineLevel="0" collapsed="false">
      <c r="A8" s="11" t="s">
        <v>50</v>
      </c>
      <c r="B8" s="15" t="n">
        <v>423.416245901639</v>
      </c>
      <c r="C8" s="16" t="n">
        <v>0.0668307140193338</v>
      </c>
      <c r="D8" s="16" t="n">
        <v>0.182299457323579</v>
      </c>
      <c r="E8" s="16" t="n">
        <v>0.0417042345084056</v>
      </c>
      <c r="F8" s="16" t="n">
        <v>0.0778289449927467</v>
      </c>
      <c r="H8" s="18" t="n">
        <f aca="false">IF(AND(ISNUMBER(B8),ISNUMBER(B7)),B8-B7,"")</f>
        <v>9.68690215163929</v>
      </c>
      <c r="I8" s="18" t="n">
        <f aca="false">C8-C7</f>
        <v>-0.0163050546356256</v>
      </c>
      <c r="J8" s="18" t="n">
        <f aca="false">D8-D7</f>
        <v>-0.0652841179146</v>
      </c>
      <c r="K8" s="18" t="n">
        <f aca="false">E8-E7</f>
        <v>0.0193530431424458</v>
      </c>
      <c r="L8" s="18" t="n">
        <f aca="false">F8-F7</f>
        <v>0.00810916629442637</v>
      </c>
    </row>
    <row r="9" customFormat="false" ht="15" hidden="false" customHeight="false" outlineLevel="0" collapsed="false">
      <c r="A9" s="11" t="s">
        <v>51</v>
      </c>
      <c r="B9" s="15" t="n">
        <v>394.415177419355</v>
      </c>
      <c r="C9" s="16" t="n">
        <v>0.0249109045549891</v>
      </c>
      <c r="D9" s="16" t="n">
        <v>0.286933135656041</v>
      </c>
      <c r="E9" s="16" t="n">
        <v>0.0669731691850173</v>
      </c>
      <c r="F9" s="16" t="n">
        <v>0.0784957106960194</v>
      </c>
      <c r="H9" s="18" t="n">
        <f aca="false">IF(AND(ISNUMBER(B9),ISNUMBER(B8)),B9-B8,"")</f>
        <v>-29.0010684822845</v>
      </c>
      <c r="I9" s="18" t="n">
        <f aca="false">C9-C8</f>
        <v>-0.0419198094643447</v>
      </c>
      <c r="J9" s="18" t="n">
        <f aca="false">D9-D8</f>
        <v>0.104633678332462</v>
      </c>
      <c r="K9" s="18" t="n">
        <f aca="false">E9-E8</f>
        <v>0.0252689346766117</v>
      </c>
      <c r="L9" s="18" t="n">
        <f aca="false">F9-F8</f>
        <v>0.00066676570327262</v>
      </c>
    </row>
    <row r="10" customFormat="false" ht="15" hidden="false" customHeight="false" outlineLevel="0" collapsed="false">
      <c r="A10" s="11" t="s">
        <v>52</v>
      </c>
      <c r="B10" s="15" t="n">
        <v>353.71380952381</v>
      </c>
      <c r="C10" s="16" t="n">
        <v>0.0485206366195832</v>
      </c>
      <c r="D10" s="16" t="n">
        <v>0.254069098091405</v>
      </c>
      <c r="E10" s="16" t="n">
        <v>0.0677067444386195</v>
      </c>
      <c r="F10" s="16" t="n">
        <v>0.0557158530410582</v>
      </c>
      <c r="H10" s="18" t="n">
        <f aca="false">IF(AND(ISNUMBER(B10),ISNUMBER(B9)),B10-B9,"")</f>
        <v>-40.7013678955453</v>
      </c>
      <c r="I10" s="18" t="n">
        <f aca="false">C10-C9</f>
        <v>0.023609732064594</v>
      </c>
      <c r="J10" s="18" t="n">
        <f aca="false">D10-D9</f>
        <v>-0.0328640375646361</v>
      </c>
      <c r="K10" s="18" t="n">
        <f aca="false">E10-E9</f>
        <v>0.000733575253602181</v>
      </c>
      <c r="L10" s="18" t="n">
        <f aca="false">F10-F9</f>
        <v>-0.0227798576549612</v>
      </c>
    </row>
    <row r="11" customFormat="false" ht="15" hidden="false" customHeight="false" outlineLevel="0" collapsed="false">
      <c r="A11" s="11" t="s">
        <v>53</v>
      </c>
      <c r="B11" s="15" t="n">
        <v>339.045285714286</v>
      </c>
      <c r="C11" s="16" t="n">
        <v>0.0647453101736395</v>
      </c>
      <c r="D11" s="16" t="n">
        <v>0.28130622957439</v>
      </c>
      <c r="E11" s="16" t="n">
        <v>0.01844307882782</v>
      </c>
      <c r="F11" s="16" t="n">
        <v>0.0938049028107186</v>
      </c>
      <c r="H11" s="18" t="n">
        <f aca="false">IF(AND(ISNUMBER(B11),ISNUMBER(B10)),B11-B10,"")</f>
        <v>-14.6685238095238</v>
      </c>
      <c r="I11" s="18" t="n">
        <f aca="false">C11-C10</f>
        <v>0.0162246735540563</v>
      </c>
      <c r="J11" s="18" t="n">
        <f aca="false">D11-D10</f>
        <v>0.0272371314829849</v>
      </c>
      <c r="K11" s="18" t="n">
        <f aca="false">E11-E10</f>
        <v>-0.0492636656107994</v>
      </c>
      <c r="L11" s="18" t="n">
        <f aca="false">F11-F10</f>
        <v>0.0380890497696604</v>
      </c>
    </row>
    <row r="12" customFormat="false" ht="15" hidden="false" customHeight="false" outlineLevel="0" collapsed="false">
      <c r="A12" s="11" t="s">
        <v>54</v>
      </c>
      <c r="B12" s="15" t="n">
        <v>281.705258064516</v>
      </c>
      <c r="C12" s="16" t="n">
        <v>0.0924472490479791</v>
      </c>
      <c r="D12" s="16" t="n">
        <v>0.300146811174921</v>
      </c>
      <c r="E12" s="16" t="n">
        <v>0.0287149004811667</v>
      </c>
      <c r="F12" s="16" t="n">
        <v>0.0967704037698498</v>
      </c>
      <c r="H12" s="18" t="n">
        <f aca="false">IF(AND(ISNUMBER(B12),ISNUMBER(B11)),B12-B11,"")</f>
        <v>-57.3400276497695</v>
      </c>
      <c r="I12" s="18" t="n">
        <f aca="false">C12-C11</f>
        <v>0.0277019388743396</v>
      </c>
      <c r="J12" s="18" t="n">
        <f aca="false">D12-D11</f>
        <v>0.0188405816005308</v>
      </c>
      <c r="K12" s="18" t="n">
        <f aca="false">E12-E11</f>
        <v>0.0102718216533466</v>
      </c>
      <c r="L12" s="18" t="n">
        <f aca="false">F12-F11</f>
        <v>0.00296550095913117</v>
      </c>
    </row>
    <row r="13" customFormat="false" ht="15" hidden="false" customHeight="false" outlineLevel="0" collapsed="false">
      <c r="A13" s="11" t="s">
        <v>55</v>
      </c>
      <c r="B13" s="15" t="n">
        <v>210.279435483871</v>
      </c>
      <c r="C13" s="16" t="n">
        <v>0.126601797624711</v>
      </c>
      <c r="D13" s="16" t="n">
        <v>0.335446301560626</v>
      </c>
      <c r="E13" s="16" t="n">
        <v>0.0681862585477004</v>
      </c>
      <c r="F13" s="16" t="n">
        <v>0.0835894113627564</v>
      </c>
      <c r="H13" s="18" t="n">
        <f aca="false">IF(AND(ISNUMBER(B13),ISNUMBER(B12)),B13-B12,"")</f>
        <v>-71.4258225806452</v>
      </c>
      <c r="I13" s="18" t="n">
        <f aca="false">C13-C12</f>
        <v>0.0341545485767323</v>
      </c>
      <c r="J13" s="18" t="n">
        <f aca="false">D13-D12</f>
        <v>0.0352994903857049</v>
      </c>
      <c r="K13" s="18" t="n">
        <f aca="false">E13-E12</f>
        <v>0.0394713580665338</v>
      </c>
      <c r="L13" s="18" t="n">
        <f aca="false">F13-F12</f>
        <v>-0.0131809924070934</v>
      </c>
    </row>
    <row r="14" customFormat="false" ht="15" hidden="false" customHeight="false" outlineLevel="0" collapsed="false">
      <c r="A14" s="11" t="s">
        <v>56</v>
      </c>
      <c r="B14" s="15" t="n">
        <v>268.385666666667</v>
      </c>
      <c r="C14" s="16" t="n">
        <v>0.113965939523165</v>
      </c>
      <c r="D14" s="16" t="n">
        <v>0.340845521196987</v>
      </c>
      <c r="E14" s="16" t="n">
        <v>0.0265352511799342</v>
      </c>
      <c r="F14" s="16" t="n">
        <v>0.0985938738676382</v>
      </c>
      <c r="H14" s="18" t="n">
        <f aca="false">IF(AND(ISNUMBER(B14),ISNUMBER(B13)),B14-B13,"")</f>
        <v>58.1062311827956</v>
      </c>
      <c r="I14" s="18" t="n">
        <f aca="false">C14-C13</f>
        <v>-0.012635858101546</v>
      </c>
      <c r="J14" s="18" t="n">
        <f aca="false">D14-D13</f>
        <v>0.00539921963636064</v>
      </c>
      <c r="K14" s="18" t="n">
        <f aca="false">E14-E13</f>
        <v>-0.0416510073677663</v>
      </c>
      <c r="L14" s="18" t="n">
        <f aca="false">F14-F13</f>
        <v>0.0150044625048817</v>
      </c>
    </row>
    <row r="15" customFormat="false" ht="15" hidden="false" customHeight="false" outlineLevel="0" collapsed="false">
      <c r="A15" s="11" t="s">
        <v>57</v>
      </c>
      <c r="B15" s="15" t="n">
        <v>415.128063492064</v>
      </c>
      <c r="C15" s="16" t="n">
        <v>0.0893433207444097</v>
      </c>
      <c r="D15" s="16" t="n">
        <v>0.440928535976239</v>
      </c>
      <c r="E15" s="16" t="n">
        <v>0.00814671982681126</v>
      </c>
      <c r="F15" s="16" t="n">
        <v>0.0842779771268098</v>
      </c>
      <c r="H15" s="18" t="n">
        <f aca="false">IF(AND(ISNUMBER(B15),ISNUMBER(B14)),B15-B14,"")</f>
        <v>146.742396825397</v>
      </c>
      <c r="I15" s="18" t="n">
        <f aca="false">C15-C14</f>
        <v>-0.0246226187787558</v>
      </c>
      <c r="J15" s="18" t="n">
        <f aca="false">D15-D14</f>
        <v>0.100083014779252</v>
      </c>
      <c r="K15" s="18" t="n">
        <f aca="false">E15-E14</f>
        <v>-0.0183885313531229</v>
      </c>
      <c r="L15" s="18" t="n">
        <f aca="false">F15-F14</f>
        <v>-0.0143158967408283</v>
      </c>
    </row>
    <row r="16" customFormat="false" ht="15" hidden="false" customHeight="false" outlineLevel="0" collapsed="false">
      <c r="A16" s="11" t="s">
        <v>58</v>
      </c>
      <c r="B16" s="15" t="n">
        <v>386.901387096774</v>
      </c>
      <c r="C16" s="16" t="n">
        <v>0.0379736872499228</v>
      </c>
      <c r="D16" s="16" t="n">
        <v>0.360178146203434</v>
      </c>
      <c r="E16" s="16" t="n">
        <v>0.134553576071674</v>
      </c>
      <c r="F16" s="16" t="n">
        <v>0.092673486299768</v>
      </c>
      <c r="H16" s="18" t="n">
        <f aca="false">IF(AND(ISNUMBER(B16),ISNUMBER(B15)),B16-B15,"")</f>
        <v>-28.2266763952893</v>
      </c>
      <c r="I16" s="18" t="n">
        <f aca="false">C16-C15</f>
        <v>-0.0513696334944869</v>
      </c>
      <c r="J16" s="18" t="n">
        <f aca="false">D16-D15</f>
        <v>-0.0807503897728054</v>
      </c>
      <c r="K16" s="18" t="n">
        <f aca="false">E16-E15</f>
        <v>0.126406856244862</v>
      </c>
      <c r="L16" s="18" t="n">
        <f aca="false">F16-F15</f>
        <v>0.00839550917295817</v>
      </c>
    </row>
    <row r="17" customFormat="false" ht="15" hidden="false" customHeight="false" outlineLevel="0" collapsed="false">
      <c r="A17" s="11" t="s">
        <v>59</v>
      </c>
      <c r="B17" s="15" t="n">
        <v>482.238426229508</v>
      </c>
      <c r="C17" s="16" t="n">
        <v>0.00576829173150295</v>
      </c>
      <c r="D17" s="16" t="n">
        <v>0.34656181419166</v>
      </c>
      <c r="E17" s="16" t="n">
        <v>0.229268031866547</v>
      </c>
      <c r="F17" s="16" t="n">
        <v>0.0691231457663233</v>
      </c>
      <c r="H17" s="18" t="n">
        <f aca="false">IF(AND(ISNUMBER(B17),ISNUMBER(B16)),B17-B16,"")</f>
        <v>95.3370391327341</v>
      </c>
      <c r="I17" s="18" t="n">
        <f aca="false">C17-C16</f>
        <v>-0.0322053955184198</v>
      </c>
      <c r="J17" s="18" t="n">
        <f aca="false">D17-D16</f>
        <v>-0.0136163320117733</v>
      </c>
      <c r="K17" s="18" t="n">
        <f aca="false">E17-E16</f>
        <v>0.0947144557948736</v>
      </c>
      <c r="L17" s="18" t="n">
        <f aca="false">F17-F16</f>
        <v>-0.0235503405334447</v>
      </c>
    </row>
    <row r="18" customFormat="false" ht="15" hidden="false" customHeight="false" outlineLevel="0" collapsed="false">
      <c r="A18" s="11" t="s">
        <v>60</v>
      </c>
      <c r="B18" s="15" t="n">
        <v>556.653203125</v>
      </c>
      <c r="C18" s="16" t="n">
        <v>-0.0414443257073285</v>
      </c>
      <c r="D18" s="16" t="n">
        <v>0.398239076988403</v>
      </c>
      <c r="E18" s="16" t="n">
        <v>0.140320765511738</v>
      </c>
      <c r="F18" s="16" t="n">
        <v>0.0545268547475248</v>
      </c>
      <c r="H18" s="18" t="n">
        <f aca="false">IF(AND(ISNUMBER(B18),ISNUMBER(B17)),B18-B17,"")</f>
        <v>74.4147768954915</v>
      </c>
      <c r="I18" s="18" t="n">
        <f aca="false">C18-C17</f>
        <v>-0.0472126174388314</v>
      </c>
      <c r="J18" s="18" t="n">
        <f aca="false">D18-D17</f>
        <v>0.051677262796743</v>
      </c>
      <c r="K18" s="18" t="n">
        <f aca="false">E18-E17</f>
        <v>-0.088947266354809</v>
      </c>
      <c r="L18" s="18" t="n">
        <f aca="false">F18-F17</f>
        <v>-0.0145962910187984</v>
      </c>
    </row>
    <row r="19" customFormat="false" ht="15" hidden="false" customHeight="false" outlineLevel="0" collapsed="false">
      <c r="A19" s="11" t="s">
        <v>61</v>
      </c>
      <c r="B19" s="15" t="n">
        <v>696.827171875</v>
      </c>
      <c r="C19" s="16" t="n">
        <v>-0.0310561338962782</v>
      </c>
      <c r="D19" s="16" t="n">
        <v>0.30597298501628</v>
      </c>
      <c r="E19" s="16" t="n">
        <v>0.162672837966237</v>
      </c>
      <c r="F19" s="16" t="n">
        <v>0.060060161436698</v>
      </c>
      <c r="H19" s="18" t="n">
        <f aca="false">IF(AND(ISNUMBER(B19),ISNUMBER(B18)),B19-B18,"")</f>
        <v>140.17396875</v>
      </c>
      <c r="I19" s="18" t="n">
        <f aca="false">C19-C18</f>
        <v>0.0103881918110503</v>
      </c>
      <c r="J19" s="18" t="n">
        <f aca="false">D19-D18</f>
        <v>-0.0922660919721236</v>
      </c>
      <c r="K19" s="18" t="n">
        <f aca="false">E19-E18</f>
        <v>0.0223520724544983</v>
      </c>
      <c r="L19" s="18" t="n">
        <f aca="false">F19-F18</f>
        <v>0.00553330668917318</v>
      </c>
    </row>
    <row r="20" customFormat="false" ht="15" hidden="false" customHeight="false" outlineLevel="0" collapsed="false">
      <c r="A20" s="11" t="s">
        <v>62</v>
      </c>
      <c r="B20" s="15" t="n">
        <v>1696.59024193548</v>
      </c>
      <c r="C20" s="16" t="n">
        <v>-0.0433503245183842</v>
      </c>
      <c r="D20" s="16" t="n">
        <v>0.350005249651448</v>
      </c>
      <c r="E20" s="16" t="n">
        <v>-0.0190422123621599</v>
      </c>
      <c r="F20" s="16" t="n">
        <v>-0.019789908841391</v>
      </c>
      <c r="H20" s="18" t="n">
        <f aca="false">IF(AND(ISNUMBER(B20),ISNUMBER(B19)),B20-B19,"")</f>
        <v>999.763070060484</v>
      </c>
      <c r="I20" s="18" t="n">
        <f aca="false">C20-C19</f>
        <v>-0.012294190622106</v>
      </c>
      <c r="J20" s="18" t="n">
        <f aca="false">D20-D19</f>
        <v>0.044032264635168</v>
      </c>
      <c r="K20" s="18" t="n">
        <f aca="false">E20-E19</f>
        <v>-0.181715050328396</v>
      </c>
      <c r="L20" s="18" t="n">
        <f aca="false">F20-F19</f>
        <v>-0.079850070278089</v>
      </c>
    </row>
    <row r="21" customFormat="false" ht="15" hidden="false" customHeight="false" outlineLevel="0" collapsed="false">
      <c r="A21" s="11" t="s">
        <v>63</v>
      </c>
      <c r="B21" s="15" t="n">
        <v>1700.06040983607</v>
      </c>
      <c r="C21" s="16" t="n">
        <v>-0.0939912544057393</v>
      </c>
      <c r="D21" s="16" t="n">
        <v>0.279846965577505</v>
      </c>
      <c r="E21" s="16" t="n">
        <v>-0.12075867108932</v>
      </c>
      <c r="F21" s="16" t="n">
        <v>-0.0618875514402444</v>
      </c>
      <c r="H21" s="18" t="n">
        <f aca="false">IF(AND(ISNUMBER(B21),ISNUMBER(B20)),B21-B20,"")</f>
        <v>3.47016790058183</v>
      </c>
      <c r="I21" s="18" t="n">
        <f aca="false">C21-C20</f>
        <v>-0.0506409298873551</v>
      </c>
      <c r="J21" s="18" t="n">
        <f aca="false">D21-D20</f>
        <v>-0.0701582840739423</v>
      </c>
      <c r="K21" s="18" t="n">
        <f aca="false">E21-E20</f>
        <v>-0.10171645872716</v>
      </c>
      <c r="L21" s="18" t="n">
        <f aca="false">F21-F20</f>
        <v>-0.0420976425988534</v>
      </c>
    </row>
    <row r="22" customFormat="false" ht="15" hidden="false" customHeight="false" outlineLevel="0" collapsed="false">
      <c r="A22" s="11" t="s">
        <v>64</v>
      </c>
      <c r="B22" s="15" t="n">
        <v>1455.65919047619</v>
      </c>
      <c r="C22" s="16" t="n">
        <v>-0.121024937224579</v>
      </c>
      <c r="D22" s="16" t="n">
        <v>0.333970498718556</v>
      </c>
      <c r="E22" s="16" t="n">
        <v>0.00888484227326436</v>
      </c>
      <c r="F22" s="16" t="n">
        <v>-0.112745471526209</v>
      </c>
      <c r="H22" s="18" t="n">
        <f aca="false">IF(AND(ISNUMBER(B22),ISNUMBER(B21)),B22-B21,"")</f>
        <v>-244.401219359875</v>
      </c>
      <c r="I22" s="18" t="n">
        <f aca="false">C22-C21</f>
        <v>-0.0270336828188397</v>
      </c>
      <c r="J22" s="18" t="n">
        <f aca="false">D22-D21</f>
        <v>0.054123533141051</v>
      </c>
      <c r="K22" s="18" t="n">
        <f aca="false">E22-E21</f>
        <v>0.129643513362584</v>
      </c>
      <c r="L22" s="18" t="n">
        <f aca="false">F22-F21</f>
        <v>-0.0508579200859648</v>
      </c>
    </row>
    <row r="23" customFormat="false" ht="15" hidden="false" customHeight="false" outlineLevel="0" collapsed="false">
      <c r="A23" s="11" t="s">
        <v>65</v>
      </c>
      <c r="B23" s="15" t="n">
        <v>921.669609375</v>
      </c>
      <c r="C23" s="16" t="n">
        <v>-0.102129686835791</v>
      </c>
      <c r="D23" s="16" t="n">
        <v>0.284900600978395</v>
      </c>
      <c r="E23" s="16" t="n">
        <v>0.0360512954852061</v>
      </c>
      <c r="F23" s="16" t="n">
        <v>-0.0565117996405296</v>
      </c>
      <c r="H23" s="18" t="n">
        <f aca="false">IF(AND(ISNUMBER(B23),ISNUMBER(B22)),B23-B22,"")</f>
        <v>-533.989581101191</v>
      </c>
      <c r="I23" s="18" t="n">
        <f aca="false">C23-C22</f>
        <v>0.0188952503887881</v>
      </c>
      <c r="J23" s="18" t="n">
        <f aca="false">D23-D22</f>
        <v>-0.0490698977401611</v>
      </c>
      <c r="K23" s="18" t="n">
        <f aca="false">E23-E22</f>
        <v>0.0271664532119418</v>
      </c>
      <c r="L23" s="18" t="n">
        <f aca="false">F23-F22</f>
        <v>0.0562336718856797</v>
      </c>
    </row>
    <row r="24" customFormat="false" ht="15" hidden="false" customHeight="false" outlineLevel="0" collapsed="false">
      <c r="A24" s="11" t="s">
        <v>66</v>
      </c>
      <c r="B24" s="15" t="n">
        <v>717.923774193549</v>
      </c>
      <c r="C24" s="16" t="n">
        <v>-0.0818636052035965</v>
      </c>
      <c r="D24" s="16" t="n">
        <v>0.306088305938187</v>
      </c>
      <c r="E24" s="16" t="n">
        <v>0.117223611926964</v>
      </c>
      <c r="F24" s="16" t="n">
        <v>0.00281998226127467</v>
      </c>
      <c r="H24" s="18" t="n">
        <f aca="false">IF(AND(ISNUMBER(B24),ISNUMBER(B23)),B24-B23,"")</f>
        <v>-203.745835181452</v>
      </c>
      <c r="I24" s="18" t="n">
        <f aca="false">C24-C23</f>
        <v>0.0202660816321944</v>
      </c>
      <c r="J24" s="18" t="n">
        <f aca="false">D24-D23</f>
        <v>0.0211877049597919</v>
      </c>
      <c r="K24" s="18" t="n">
        <f aca="false">E24-E23</f>
        <v>0.081172316441758</v>
      </c>
      <c r="L24" s="18" t="n">
        <f aca="false">F24-F23</f>
        <v>0.0593317819018042</v>
      </c>
    </row>
    <row r="25" customFormat="false" ht="15" hidden="false" customHeight="false" outlineLevel="0" collapsed="false">
      <c r="A25" s="11" t="s">
        <v>67</v>
      </c>
      <c r="B25" s="15" t="n">
        <v>733.365409836066</v>
      </c>
      <c r="C25" s="16" t="n">
        <v>-0.0453784606172778</v>
      </c>
      <c r="D25" s="16" t="n">
        <v>0.328275197608872</v>
      </c>
      <c r="E25" s="16" t="n">
        <v>0.120894772952442</v>
      </c>
      <c r="F25" s="16" t="n">
        <v>0.0571326910752132</v>
      </c>
      <c r="H25" s="18" t="n">
        <f aca="false">IF(AND(ISNUMBER(B25),ISNUMBER(B24)),B25-B24,"")</f>
        <v>15.4416356425168</v>
      </c>
      <c r="I25" s="18" t="n">
        <f aca="false">C25-C24</f>
        <v>0.0364851445863187</v>
      </c>
      <c r="J25" s="18" t="n">
        <f aca="false">D25-D24</f>
        <v>0.0221868916706847</v>
      </c>
      <c r="K25" s="18" t="n">
        <f aca="false">E25-E24</f>
        <v>0.00367116102547781</v>
      </c>
      <c r="L25" s="18" t="n">
        <f aca="false">F25-F24</f>
        <v>0.0543127088139386</v>
      </c>
    </row>
    <row r="26" customFormat="false" ht="15" hidden="false" customHeight="false" outlineLevel="0" collapsed="false">
      <c r="A26" s="11" t="s">
        <v>68</v>
      </c>
      <c r="B26" s="15" t="n">
        <v>733.829920634921</v>
      </c>
      <c r="C26" s="16" t="n">
        <v>0.0701206886265153</v>
      </c>
      <c r="D26" s="16" t="n">
        <v>0.283479124746373</v>
      </c>
      <c r="E26" s="16" t="n">
        <v>-0.0139784011139905</v>
      </c>
      <c r="F26" s="16" t="n">
        <v>0.162441995090574</v>
      </c>
      <c r="H26" s="18" t="n">
        <f aca="false">IF(AND(ISNUMBER(B26),ISNUMBER(B25)),B26-B25,"")</f>
        <v>0.464510798855258</v>
      </c>
      <c r="I26" s="18" t="n">
        <f aca="false">C26-C25</f>
        <v>0.115499149243793</v>
      </c>
      <c r="J26" s="18" t="n">
        <f aca="false">D26-D25</f>
        <v>-0.0447960728624985</v>
      </c>
      <c r="K26" s="18" t="n">
        <f aca="false">E26-E25</f>
        <v>-0.134873174066432</v>
      </c>
      <c r="L26" s="18" t="n">
        <f aca="false">F26-F25</f>
        <v>0.105309304015361</v>
      </c>
    </row>
    <row r="27" customFormat="false" ht="15" hidden="false" customHeight="false" outlineLevel="0" collapsed="false">
      <c r="A27" s="11" t="s">
        <v>69</v>
      </c>
      <c r="B27" s="15" t="n">
        <v>711.107390625</v>
      </c>
      <c r="C27" s="16" t="n">
        <v>0.0832314622130852</v>
      </c>
      <c r="D27" s="16" t="n">
        <v>0.346387563861954</v>
      </c>
      <c r="E27" s="16" t="n">
        <v>-0.0100194436728653</v>
      </c>
      <c r="F27" s="16" t="n">
        <v>0.0950774236722809</v>
      </c>
      <c r="H27" s="18" t="n">
        <f aca="false">IF(AND(ISNUMBER(B27),ISNUMBER(B26)),B27-B26,"")</f>
        <v>-22.7225300099209</v>
      </c>
      <c r="I27" s="18" t="n">
        <f aca="false">C27-C26</f>
        <v>0.0131107735865699</v>
      </c>
      <c r="J27" s="18" t="n">
        <f aca="false">D27-D26</f>
        <v>0.0629084391155807</v>
      </c>
      <c r="K27" s="18" t="n">
        <f aca="false">E27-E26</f>
        <v>0.00395895744112517</v>
      </c>
      <c r="L27" s="18" t="n">
        <f aca="false">F27-F26</f>
        <v>-0.0673645714182929</v>
      </c>
    </row>
    <row r="28" customFormat="false" ht="15" hidden="false" customHeight="false" outlineLevel="0" collapsed="false">
      <c r="A28" s="11" t="s">
        <v>70</v>
      </c>
      <c r="B28" s="15" t="n">
        <v>545.358806451613</v>
      </c>
      <c r="C28" s="16" t="n">
        <v>0.114478472935433</v>
      </c>
      <c r="D28" s="16" t="n">
        <v>0.387076583057645</v>
      </c>
      <c r="E28" s="16" t="n">
        <v>0.0480180420844947</v>
      </c>
      <c r="F28" s="16" t="n">
        <v>0.0860979311042298</v>
      </c>
      <c r="H28" s="18" t="n">
        <f aca="false">IF(AND(ISNUMBER(B28),ISNUMBER(B27)),B28-B27,"")</f>
        <v>-165.748584173387</v>
      </c>
      <c r="I28" s="18" t="n">
        <f aca="false">C28-C27</f>
        <v>0.0312470107223477</v>
      </c>
      <c r="J28" s="18" t="n">
        <f aca="false">D28-D27</f>
        <v>0.0406890191956908</v>
      </c>
      <c r="K28" s="18" t="n">
        <f aca="false">E28-E27</f>
        <v>0.05803748575736</v>
      </c>
      <c r="L28" s="18" t="n">
        <f aca="false">F28-F27</f>
        <v>-0.00897949256805108</v>
      </c>
    </row>
    <row r="29" customFormat="false" ht="15" hidden="false" customHeight="false" outlineLevel="0" collapsed="false">
      <c r="A29" s="11" t="s">
        <v>71</v>
      </c>
      <c r="B29" s="15" t="n">
        <v>532.410096774194</v>
      </c>
      <c r="C29" s="16" t="n">
        <v>0.156755092089227</v>
      </c>
      <c r="D29" s="16" t="n">
        <v>0.312906804622235</v>
      </c>
      <c r="E29" s="16" t="n">
        <v>0.0849584169773465</v>
      </c>
      <c r="F29" s="16" t="n">
        <v>0.0829261625044686</v>
      </c>
      <c r="H29" s="18" t="n">
        <f aca="false">IF(AND(ISNUMBER(B29),ISNUMBER(B28)),B29-B28,"")</f>
        <v>-12.9487096774192</v>
      </c>
      <c r="I29" s="18" t="n">
        <f aca="false">C29-C28</f>
        <v>0.0422766191537938</v>
      </c>
      <c r="J29" s="18" t="n">
        <f aca="false">D29-D28</f>
        <v>-0.0741697784354101</v>
      </c>
      <c r="K29" s="18" t="n">
        <f aca="false">E29-E28</f>
        <v>0.0369403748928518</v>
      </c>
      <c r="L29" s="18" t="n">
        <f aca="false">F29-F28</f>
        <v>-0.0031717685997612</v>
      </c>
    </row>
    <row r="30" customFormat="false" ht="15" hidden="false" customHeight="false" outlineLevel="0" collapsed="false">
      <c r="A30" s="11" t="s">
        <v>72</v>
      </c>
      <c r="B30" s="15" t="n">
        <v>573.933</v>
      </c>
      <c r="C30" s="16" t="n">
        <v>0.118095794149657</v>
      </c>
      <c r="D30" s="16" t="n">
        <v>0.349925679478484</v>
      </c>
      <c r="E30" s="16" t="n">
        <v>0.152480950106153</v>
      </c>
      <c r="F30" s="16" t="n">
        <v>0.0444334376577356</v>
      </c>
      <c r="H30" s="18" t="n">
        <f aca="false">IF(AND(ISNUMBER(B30),ISNUMBER(B29)),B30-B29,"")</f>
        <v>41.5229032258063</v>
      </c>
      <c r="I30" s="18" t="n">
        <f aca="false">C30-C29</f>
        <v>-0.0386592979395697</v>
      </c>
      <c r="J30" s="18" t="n">
        <f aca="false">D30-D29</f>
        <v>0.0370188748562493</v>
      </c>
      <c r="K30" s="18" t="n">
        <f aca="false">E30-E29</f>
        <v>0.0675225331288068</v>
      </c>
      <c r="L30" s="18" t="n">
        <f aca="false">F30-F29</f>
        <v>-0.0384927248467331</v>
      </c>
    </row>
    <row r="31" customFormat="false" ht="15" hidden="false" customHeight="false" outlineLevel="0" collapsed="false">
      <c r="A31" s="11" t="s">
        <v>73</v>
      </c>
      <c r="B31" s="15" t="n">
        <v>732.377625</v>
      </c>
      <c r="C31" s="16" t="n">
        <v>0.124916134258139</v>
      </c>
      <c r="D31" s="16" t="n">
        <v>0.386688769367592</v>
      </c>
      <c r="E31" s="16" t="n">
        <v>0.123619102150887</v>
      </c>
      <c r="F31" s="16" t="n">
        <v>0.0640936718081673</v>
      </c>
      <c r="H31" s="18" t="n">
        <f aca="false">IF(AND(ISNUMBER(B31),ISNUMBER(B30)),B31-B30,"")</f>
        <v>158.444625</v>
      </c>
      <c r="I31" s="18" t="n">
        <f aca="false">C31-C30</f>
        <v>0.0068203401084819</v>
      </c>
      <c r="J31" s="18" t="n">
        <f aca="false">D31-D30</f>
        <v>0.0367630898891084</v>
      </c>
      <c r="K31" s="18" t="n">
        <f aca="false">E31-E30</f>
        <v>-0.0288618479552661</v>
      </c>
      <c r="L31" s="18" t="n">
        <f aca="false">F31-F30</f>
        <v>0.0196602341504317</v>
      </c>
    </row>
    <row r="32" customFormat="false" ht="15" hidden="false" customHeight="false" outlineLevel="0" collapsed="false">
      <c r="A32" s="11" t="s">
        <v>74</v>
      </c>
      <c r="B32" s="15" t="n">
        <v>906.962666666667</v>
      </c>
      <c r="C32" s="16" t="n">
        <v>0.0978916859729002</v>
      </c>
      <c r="D32" s="16" t="n">
        <v>0.251187289784566</v>
      </c>
      <c r="E32" s="16" t="n">
        <v>0.0603194979318269</v>
      </c>
      <c r="F32" s="16" t="n">
        <v>0.0521713189216535</v>
      </c>
      <c r="H32" s="18" t="n">
        <f aca="false">IF(AND(ISNUMBER(B32),ISNUMBER(B31)),B32-B31,"")</f>
        <v>174.585041666667</v>
      </c>
      <c r="I32" s="18" t="n">
        <f aca="false">C32-C31</f>
        <v>-0.0270244482852387</v>
      </c>
      <c r="J32" s="18" t="n">
        <f aca="false">D32-D31</f>
        <v>-0.135501479583027</v>
      </c>
      <c r="K32" s="18" t="n">
        <f aca="false">E32-E31</f>
        <v>-0.0632996042190603</v>
      </c>
      <c r="L32" s="18" t="n">
        <f aca="false">F32-F31</f>
        <v>-0.0119223528865138</v>
      </c>
    </row>
    <row r="33" customFormat="false" ht="15" hidden="false" customHeight="false" outlineLevel="0" collapsed="false">
      <c r="A33" s="11" t="s">
        <v>75</v>
      </c>
      <c r="B33" s="15" t="n">
        <v>831.861633870968</v>
      </c>
      <c r="C33" s="16" t="n">
        <v>0.068851867103453</v>
      </c>
      <c r="D33" s="16" t="n">
        <v>0.343968036188912</v>
      </c>
      <c r="E33" s="16" t="n">
        <v>0.0390814127010444</v>
      </c>
      <c r="F33" s="16" t="n">
        <v>0.0156424693190642</v>
      </c>
      <c r="H33" s="18" t="n">
        <f aca="false">IF(AND(ISNUMBER(B33),ISNUMBER(B32)),B33-B32,"")</f>
        <v>-75.1010327956988</v>
      </c>
      <c r="I33" s="18" t="n">
        <f aca="false">C33-C32</f>
        <v>-0.0290398188694472</v>
      </c>
      <c r="J33" s="18" t="n">
        <f aca="false">D33-D32</f>
        <v>0.0927807464043467</v>
      </c>
      <c r="K33" s="18" t="n">
        <f aca="false">E33-E32</f>
        <v>-0.0212380852307825</v>
      </c>
      <c r="L33" s="18" t="n">
        <f aca="false">F33-F32</f>
        <v>-0.0365288496025893</v>
      </c>
    </row>
    <row r="34" customFormat="false" ht="15" hidden="false" customHeight="false" outlineLevel="0" collapsed="false">
      <c r="A34" s="11" t="s">
        <v>76</v>
      </c>
      <c r="B34" s="15" t="n">
        <v>1063.70031904762</v>
      </c>
      <c r="C34" s="16" t="n">
        <v>0.042741373530764</v>
      </c>
      <c r="D34" s="16" t="n">
        <v>0.303908000847453</v>
      </c>
      <c r="E34" s="16" t="n">
        <v>-0.00292215533984075</v>
      </c>
      <c r="F34" s="16" t="n">
        <v>-0.0463175722342237</v>
      </c>
      <c r="H34" s="18" t="n">
        <f aca="false">IF(AND(ISNUMBER(B34),ISNUMBER(B33)),B34-B33,"")</f>
        <v>231.838685176651</v>
      </c>
      <c r="I34" s="18" t="n">
        <f aca="false">C34-C33</f>
        <v>-0.026110493572689</v>
      </c>
      <c r="J34" s="18" t="n">
        <f aca="false">D34-D33</f>
        <v>-0.0400600353414598</v>
      </c>
      <c r="K34" s="18" t="n">
        <f aca="false">E34-E33</f>
        <v>-0.0420035680408851</v>
      </c>
      <c r="L34" s="18" t="n">
        <f aca="false">F34-F33</f>
        <v>-0.0619600415532879</v>
      </c>
    </row>
    <row r="35" customFormat="false" ht="15" hidden="false" customHeight="false" outlineLevel="0" collapsed="false">
      <c r="A35" s="11" t="s">
        <v>77</v>
      </c>
      <c r="B35" s="15" t="n">
        <v>1019.98701587302</v>
      </c>
      <c r="C35" s="16" t="n">
        <v>0.0813586595172222</v>
      </c>
      <c r="D35" s="16" t="n">
        <v>0.236829921240605</v>
      </c>
      <c r="E35" s="16" t="n">
        <v>0.0765366567299253</v>
      </c>
      <c r="F35" s="16" t="n">
        <v>-0.0111829419552486</v>
      </c>
      <c r="H35" s="18" t="n">
        <f aca="false">IF(AND(ISNUMBER(B35),ISNUMBER(B34)),B35-B34,"")</f>
        <v>-43.7133031746029</v>
      </c>
      <c r="I35" s="18" t="n">
        <f aca="false">C35-C34</f>
        <v>0.0386172859864582</v>
      </c>
      <c r="J35" s="18" t="n">
        <f aca="false">D35-D34</f>
        <v>-0.067078079606848</v>
      </c>
      <c r="K35" s="18" t="n">
        <f aca="false">E35-E34</f>
        <v>0.079458812069766</v>
      </c>
      <c r="L35" s="18" t="n">
        <f aca="false">F35-F34</f>
        <v>0.0351346302789751</v>
      </c>
    </row>
    <row r="36" customFormat="false" ht="15" hidden="false" customHeight="false" outlineLevel="0" collapsed="false">
      <c r="A36" s="11" t="s">
        <v>78</v>
      </c>
      <c r="B36" s="15" t="n">
        <v>1036.44275</v>
      </c>
      <c r="C36" s="16" t="n">
        <v>0.120861080407254</v>
      </c>
      <c r="D36" s="16" t="n">
        <v>0.291094455788256</v>
      </c>
      <c r="E36" s="16" t="n">
        <v>0.054969324745253</v>
      </c>
      <c r="F36" s="16" t="n">
        <v>0.00555804016441552</v>
      </c>
      <c r="H36" s="18" t="n">
        <f aca="false">IF(AND(ISNUMBER(B36),ISNUMBER(B35)),B36-B35,"")</f>
        <v>16.4557341269839</v>
      </c>
      <c r="I36" s="18" t="n">
        <f aca="false">C36-C35</f>
        <v>0.0395024208900321</v>
      </c>
      <c r="J36" s="18" t="n">
        <f aca="false">D36-D35</f>
        <v>0.0542645345476518</v>
      </c>
      <c r="K36" s="18" t="n">
        <f aca="false">E36-E35</f>
        <v>-0.0215673319846723</v>
      </c>
      <c r="L36" s="18" t="n">
        <f aca="false">F36-F35</f>
        <v>0.0167409821196641</v>
      </c>
    </row>
    <row r="37" customFormat="false" ht="15" hidden="false" customHeight="false" outlineLevel="0" collapsed="false">
      <c r="A37" s="11" t="s">
        <v>79</v>
      </c>
      <c r="B37" s="15" t="n">
        <v>1125.36748333333</v>
      </c>
      <c r="C37" s="16" t="n">
        <v>0.107248415474464</v>
      </c>
      <c r="D37" s="16" t="n">
        <v>0.278526127308266</v>
      </c>
      <c r="E37" s="16" t="n">
        <v>-0.0317751837916351</v>
      </c>
      <c r="F37" s="16" t="n">
        <v>0.00654025144614989</v>
      </c>
      <c r="H37" s="18" t="n">
        <f aca="false">IF(AND(ISNUMBER(B37),ISNUMBER(B36)),B37-B36,"")</f>
        <v>88.9247333333331</v>
      </c>
      <c r="I37" s="18" t="n">
        <f aca="false">C37-C36</f>
        <v>-0.0136126649327899</v>
      </c>
      <c r="J37" s="18" t="n">
        <f aca="false">D37-D36</f>
        <v>-0.0125683284799909</v>
      </c>
      <c r="K37" s="18" t="n">
        <f aca="false">E37-E36</f>
        <v>-0.0867445085368881</v>
      </c>
      <c r="L37" s="18" t="n">
        <f aca="false">F37-F36</f>
        <v>0.000982211281734369</v>
      </c>
    </row>
    <row r="38" customFormat="false" ht="15" hidden="false" customHeight="false" outlineLevel="0" collapsed="false">
      <c r="A38" s="11" t="s">
        <v>80</v>
      </c>
      <c r="B38" s="15" t="n">
        <v>1200.253</v>
      </c>
      <c r="C38" s="16" t="n">
        <v>0.108154333714891</v>
      </c>
      <c r="D38" s="16" t="n">
        <v>0.307813281438081</v>
      </c>
      <c r="E38" s="16" t="n">
        <v>-0.0194577466042397</v>
      </c>
      <c r="F38" s="16" t="n">
        <v>0.0624602349363816</v>
      </c>
      <c r="H38" s="18" t="n">
        <f aca="false">IF(AND(ISNUMBER(B38),ISNUMBER(B37)),B38-B37,"")</f>
        <v>74.8855166666669</v>
      </c>
      <c r="I38" s="18" t="n">
        <f aca="false">C38-C37</f>
        <v>0.000905918240426698</v>
      </c>
      <c r="J38" s="18" t="n">
        <f aca="false">D38-D37</f>
        <v>0.0292871541298152</v>
      </c>
      <c r="K38" s="18" t="n">
        <f aca="false">E38-E37</f>
        <v>0.0123174371873954</v>
      </c>
      <c r="L38" s="18" t="n">
        <f aca="false">F38-F37</f>
        <v>0.0559199834902318</v>
      </c>
    </row>
    <row r="39" customFormat="false" ht="15" hidden="false" customHeight="false" outlineLevel="0" collapsed="false">
      <c r="A39" s="11" t="s">
        <v>81</v>
      </c>
      <c r="B39" s="15" t="n">
        <v>1090.527046875</v>
      </c>
      <c r="C39" s="16" t="n">
        <v>0.0412334785190116</v>
      </c>
      <c r="D39" s="16" t="n">
        <v>0.38486207085577</v>
      </c>
      <c r="E39" s="16" t="n">
        <v>-0.0855878759863974</v>
      </c>
      <c r="F39" s="16" t="n">
        <v>0.0255838987402566</v>
      </c>
      <c r="H39" s="18" t="n">
        <f aca="false">IF(AND(ISNUMBER(B39),ISNUMBER(B38)),B39-B38,"")</f>
        <v>-109.725953125</v>
      </c>
      <c r="I39" s="18" t="n">
        <f aca="false">C39-C38</f>
        <v>-0.0669208551958795</v>
      </c>
      <c r="J39" s="18" t="n">
        <f aca="false">D39-D38</f>
        <v>0.0770487894176897</v>
      </c>
      <c r="K39" s="18" t="n">
        <f aca="false">E39-E38</f>
        <v>-0.0661301293821577</v>
      </c>
      <c r="L39" s="18" t="n">
        <f aca="false">F39-F38</f>
        <v>-0.0368763361961251</v>
      </c>
    </row>
    <row r="40" customFormat="false" ht="15" hidden="false" customHeight="false" outlineLevel="0" collapsed="false">
      <c r="A40" s="11" t="s">
        <v>82</v>
      </c>
      <c r="B40" s="15" t="n">
        <v>854.052754098361</v>
      </c>
      <c r="C40" s="16" t="n">
        <v>-0.0160774079518586</v>
      </c>
      <c r="D40" s="16" t="n">
        <v>0.353284905207939</v>
      </c>
      <c r="E40" s="16" t="n">
        <v>-0.117487972663098</v>
      </c>
      <c r="F40" s="16" t="n">
        <v>-0.000510205754616022</v>
      </c>
      <c r="H40" s="18" t="n">
        <f aca="false">IF(AND(ISNUMBER(B40),ISNUMBER(B39)),B40-B39,"")</f>
        <v>-236.474292776639</v>
      </c>
      <c r="I40" s="18" t="n">
        <f aca="false">C40-C39</f>
        <v>-0.0573108864708702</v>
      </c>
      <c r="J40" s="18" t="n">
        <f aca="false">D40-D39</f>
        <v>-0.031577165647831</v>
      </c>
      <c r="K40" s="18" t="n">
        <f aca="false">E40-E39</f>
        <v>-0.0319000966767005</v>
      </c>
      <c r="L40" s="18" t="n">
        <f aca="false">F40-F39</f>
        <v>-0.0260941044948726</v>
      </c>
    </row>
    <row r="41" customFormat="false" ht="15" hidden="false" customHeight="false" outlineLevel="0" collapsed="false">
      <c r="A41" s="11" t="s">
        <v>83</v>
      </c>
      <c r="B41" s="15" t="n">
        <v>926.047377049181</v>
      </c>
      <c r="C41" s="16" t="n">
        <v>-0.111957420383261</v>
      </c>
      <c r="D41" s="16" t="n">
        <v>0.406318404502971</v>
      </c>
      <c r="E41" s="16" t="n">
        <v>-0.0503678984096988</v>
      </c>
      <c r="F41" s="16" t="n">
        <v>-0.00889028383967849</v>
      </c>
      <c r="H41" s="18" t="n">
        <f aca="false">IF(AND(ISNUMBER(B41),ISNUMBER(B40)),B41-B40,"")</f>
        <v>71.9946229508196</v>
      </c>
      <c r="I41" s="18" t="n">
        <f aca="false">C41-C40</f>
        <v>-0.0958800124314026</v>
      </c>
      <c r="J41" s="18" t="n">
        <f aca="false">D41-D40</f>
        <v>0.0530334992950312</v>
      </c>
      <c r="K41" s="18" t="n">
        <f aca="false">E41-E40</f>
        <v>0.0671200742533991</v>
      </c>
      <c r="L41" s="18" t="n">
        <f aca="false">F41-F40</f>
        <v>-0.00838007808506247</v>
      </c>
    </row>
    <row r="42" customFormat="false" ht="15" hidden="false" customHeight="false" outlineLevel="0" collapsed="false">
      <c r="A42" s="11" t="s">
        <v>84</v>
      </c>
      <c r="B42" s="15" t="n">
        <v>782.844825396825</v>
      </c>
      <c r="C42" s="16" t="n">
        <v>-0.14532455085246</v>
      </c>
      <c r="D42" s="16" t="n">
        <v>0.474239155894893</v>
      </c>
      <c r="E42" s="16" t="n">
        <v>0.0327443809131331</v>
      </c>
      <c r="F42" s="16" t="n">
        <v>-0.0204893869308982</v>
      </c>
      <c r="H42" s="18" t="n">
        <f aca="false">IF(AND(ISNUMBER(B42),ISNUMBER(B41)),B42-B41,"")</f>
        <v>-143.202551652355</v>
      </c>
      <c r="I42" s="18" t="n">
        <f aca="false">C42-C41</f>
        <v>-0.0333671304691989</v>
      </c>
      <c r="J42" s="18" t="n">
        <f aca="false">D42-D41</f>
        <v>0.067920751391922</v>
      </c>
      <c r="K42" s="18" t="n">
        <f aca="false">E42-E41</f>
        <v>0.0831122793228319</v>
      </c>
      <c r="L42" s="18" t="n">
        <f aca="false">F42-F41</f>
        <v>-0.0115991030912197</v>
      </c>
    </row>
    <row r="43" customFormat="false" ht="15" hidden="false" customHeight="false" outlineLevel="0" collapsed="false">
      <c r="A43" s="11" t="s">
        <v>85</v>
      </c>
      <c r="B43" s="15" t="n">
        <v>709.32415625</v>
      </c>
      <c r="C43" s="16" t="n">
        <v>-0.14803025350379</v>
      </c>
      <c r="D43" s="16" t="n">
        <v>0.436022600666038</v>
      </c>
      <c r="E43" s="16" t="n">
        <v>-0.0169942894794639</v>
      </c>
      <c r="F43" s="16" t="n">
        <v>-0.0423851505475772</v>
      </c>
      <c r="H43" s="18" t="n">
        <f aca="false">IF(AND(ISNUMBER(B43),ISNUMBER(B42)),B43-B42,"")</f>
        <v>-73.5206691468252</v>
      </c>
      <c r="I43" s="18" t="n">
        <f aca="false">C43-C42</f>
        <v>-0.00270570265133011</v>
      </c>
      <c r="J43" s="18" t="n">
        <f aca="false">D43-D42</f>
        <v>-0.0382165552288544</v>
      </c>
      <c r="K43" s="18" t="n">
        <f aca="false">E43-E42</f>
        <v>-0.0497386703925971</v>
      </c>
      <c r="L43" s="18" t="n">
        <f aca="false">F43-F42</f>
        <v>-0.021895763616679</v>
      </c>
    </row>
    <row r="44" customFormat="false" ht="15" hidden="false" customHeight="false" outlineLevel="0" collapsed="false">
      <c r="A44" s="11" t="s">
        <v>86</v>
      </c>
      <c r="B44" s="15" t="n">
        <v>730.34393442623</v>
      </c>
      <c r="C44" s="16" t="n">
        <v>-0.127371025772678</v>
      </c>
      <c r="D44" s="16" t="n">
        <v>0.419122284396953</v>
      </c>
      <c r="E44" s="16" t="n">
        <v>-0.0715138361367326</v>
      </c>
      <c r="F44" s="16" t="n">
        <v>-0.0281573013880524</v>
      </c>
      <c r="H44" s="18" t="n">
        <f aca="false">IF(AND(ISNUMBER(B44),ISNUMBER(B43)),B44-B43,"")</f>
        <v>21.0197781762296</v>
      </c>
      <c r="I44" s="18" t="n">
        <f aca="false">C44-C43</f>
        <v>0.0206592277311123</v>
      </c>
      <c r="J44" s="18" t="n">
        <f aca="false">D44-D43</f>
        <v>-0.0169003162690849</v>
      </c>
      <c r="K44" s="18" t="n">
        <f aca="false">E44-E43</f>
        <v>-0.0545195466572687</v>
      </c>
      <c r="L44" s="18" t="n">
        <f aca="false">F44-F43</f>
        <v>0.0142278491595248</v>
      </c>
    </row>
    <row r="45" customFormat="false" ht="15" hidden="false" customHeight="false" outlineLevel="0" collapsed="false">
      <c r="A45" s="11" t="s">
        <v>87</v>
      </c>
      <c r="B45" s="15" t="n">
        <v>667.094442622951</v>
      </c>
      <c r="C45" s="16" t="n">
        <v>1.31761638200167E-006</v>
      </c>
      <c r="D45" s="16" t="n">
        <v>0.396341448929142</v>
      </c>
      <c r="E45" s="16" t="n">
        <v>-0.0262569513311649</v>
      </c>
      <c r="F45" s="16" t="n">
        <v>0.00250908947797246</v>
      </c>
      <c r="H45" s="18" t="n">
        <f aca="false">IF(AND(ISNUMBER(B45),ISNUMBER(B44)),B45-B44,"")</f>
        <v>-63.2494918032786</v>
      </c>
      <c r="I45" s="18" t="n">
        <f aca="false">C45-C44</f>
        <v>0.12737234338906</v>
      </c>
      <c r="J45" s="18" t="n">
        <f aca="false">D45-D44</f>
        <v>-0.0227808354678118</v>
      </c>
      <c r="K45" s="18" t="n">
        <f aca="false">E45-E44</f>
        <v>0.0452568848055677</v>
      </c>
      <c r="L45" s="18" t="n">
        <f aca="false">F45-F44</f>
        <v>0.0306663908660249</v>
      </c>
    </row>
    <row r="46" customFormat="false" ht="15" hidden="false" customHeight="false" outlineLevel="0" collapsed="false">
      <c r="A46" s="11" t="s">
        <v>88</v>
      </c>
      <c r="B46" s="15" t="n">
        <v>597.646153846154</v>
      </c>
      <c r="C46" s="16" t="n">
        <v>0.079306676131361</v>
      </c>
      <c r="D46" s="16" t="n">
        <v>0.3905372942689</v>
      </c>
      <c r="E46" s="16" t="n">
        <v>-0.110316834804536</v>
      </c>
      <c r="F46" s="16" t="n">
        <v>0.0403103203233863</v>
      </c>
      <c r="H46" s="18" t="n">
        <f aca="false">IF(AND(ISNUMBER(B46),ISNUMBER(B45)),B46-B45,"")</f>
        <v>-69.448288776797</v>
      </c>
      <c r="I46" s="18" t="n">
        <f aca="false">C46-C45</f>
        <v>0.079305358514979</v>
      </c>
      <c r="J46" s="18" t="n">
        <f aca="false">D46-D45</f>
        <v>-0.00580415466024192</v>
      </c>
      <c r="K46" s="18" t="n">
        <f aca="false">E46-E45</f>
        <v>-0.0840598834733707</v>
      </c>
      <c r="L46" s="18" t="n">
        <f aca="false">F46-F45</f>
        <v>0.0378012308454139</v>
      </c>
    </row>
    <row r="47" customFormat="false" ht="15" hidden="false" customHeight="false" outlineLevel="0" collapsed="false">
      <c r="A47" s="11" t="s">
        <v>89</v>
      </c>
      <c r="B47" s="15" t="n">
        <v>585.257575757576</v>
      </c>
      <c r="C47" s="16" t="n">
        <v>0.0573749097069822</v>
      </c>
      <c r="D47" s="16" t="n">
        <v>0.317970287089521</v>
      </c>
      <c r="E47" s="16" t="n">
        <v>-0.0554042731462044</v>
      </c>
      <c r="F47" s="16" t="n">
        <v>0.0396616998607275</v>
      </c>
      <c r="H47" s="18" t="n">
        <f aca="false">IF(AND(ISNUMBER(B47),ISNUMBER(B46)),B47-B46,"")</f>
        <v>-12.3885780885781</v>
      </c>
      <c r="I47" s="18" t="n">
        <f aca="false">C47-C46</f>
        <v>-0.0219317664243788</v>
      </c>
      <c r="J47" s="18" t="n">
        <f aca="false">D47-D46</f>
        <v>-0.0725670071793785</v>
      </c>
      <c r="K47" s="18" t="n">
        <f aca="false">E47-E46</f>
        <v>0.0549125616583312</v>
      </c>
      <c r="L47" s="18" t="n">
        <f aca="false">F47-F46</f>
        <v>-0.000648620462658789</v>
      </c>
    </row>
    <row r="48" customFormat="false" ht="15" hidden="false" customHeight="false" outlineLevel="0" collapsed="false">
      <c r="A48" s="11" t="s">
        <v>90</v>
      </c>
      <c r="B48" s="15" t="n">
        <v>506.984615384615</v>
      </c>
      <c r="C48" s="16" t="n">
        <v>0.0602218094670735</v>
      </c>
      <c r="D48" s="16" t="n">
        <v>0.296497591925501</v>
      </c>
      <c r="E48" s="16" t="n">
        <v>0.037556223957613</v>
      </c>
      <c r="F48" s="16" t="n">
        <v>0.0247270091543546</v>
      </c>
      <c r="H48" s="18" t="n">
        <f aca="false">IF(AND(ISNUMBER(B48),ISNUMBER(B47)),B48-B47,"")</f>
        <v>-78.2729603729604</v>
      </c>
      <c r="I48" s="18" t="n">
        <f aca="false">C48-C47</f>
        <v>0.00284689976009123</v>
      </c>
      <c r="J48" s="18" t="n">
        <f aca="false">D48-D47</f>
        <v>-0.0214726951640203</v>
      </c>
      <c r="K48" s="18" t="n">
        <f aca="false">E48-E47</f>
        <v>0.0929604971038175</v>
      </c>
      <c r="L48" s="18" t="n">
        <f aca="false">F48-F47</f>
        <v>-0.014934690706373</v>
      </c>
    </row>
    <row r="49" customFormat="false" ht="15" hidden="false" customHeight="false" outlineLevel="0" collapsed="false">
      <c r="A49" s="11" t="s">
        <v>91</v>
      </c>
      <c r="B49" s="15" t="n">
        <v>468.698412698413</v>
      </c>
      <c r="C49" s="16" t="n">
        <v>-0.0545739774105225</v>
      </c>
      <c r="D49" s="16" t="n">
        <v>0.282941088802674</v>
      </c>
      <c r="E49" s="16" t="n">
        <v>-0.0126244418097596</v>
      </c>
      <c r="F49" s="16" t="n">
        <v>0.00728692545281007</v>
      </c>
      <c r="H49" s="18" t="n">
        <f aca="false">IF(AND(ISNUMBER(B49),ISNUMBER(B48)),B49-B48,"")</f>
        <v>-38.2862026862027</v>
      </c>
      <c r="I49" s="18" t="n">
        <f aca="false">C49-C48</f>
        <v>-0.114795786877596</v>
      </c>
      <c r="J49" s="18" t="n">
        <f aca="false">D49-D48</f>
        <v>-0.013556503122827</v>
      </c>
      <c r="K49" s="18" t="n">
        <f aca="false">E49-E48</f>
        <v>-0.0501806657673727</v>
      </c>
      <c r="L49" s="18" t="n">
        <f aca="false">F49-F48</f>
        <v>-0.0174400837015445</v>
      </c>
    </row>
    <row r="50" customFormat="false" ht="15" hidden="false" customHeight="false" outlineLevel="0" collapsed="false">
      <c r="A50" s="11" t="s">
        <v>92</v>
      </c>
      <c r="B50" s="15" t="n">
        <v>448.541666666667</v>
      </c>
      <c r="C50" s="16" t="n">
        <v>-0.150938894023428</v>
      </c>
      <c r="D50" s="16" t="n">
        <v>0.256862324271789</v>
      </c>
      <c r="E50" s="16" t="n">
        <v>0.102285500187331</v>
      </c>
      <c r="F50" s="16" t="n">
        <v>-0.0385885964740134</v>
      </c>
      <c r="H50" s="18" t="n">
        <f aca="false">IF(AND(ISNUMBER(B50),ISNUMBER(B49)),B50-B49,"")</f>
        <v>-20.156746031746</v>
      </c>
      <c r="I50" s="18" t="n">
        <f aca="false">C50-C49</f>
        <v>-0.0963649166129051</v>
      </c>
      <c r="J50" s="18" t="n">
        <f aca="false">D50-D49</f>
        <v>-0.0260787645308853</v>
      </c>
      <c r="K50" s="18" t="n">
        <f aca="false">E50-E49</f>
        <v>0.114909941997091</v>
      </c>
      <c r="L50" s="18" t="n">
        <f aca="false">F50-F49</f>
        <v>-0.0458755219268234</v>
      </c>
    </row>
    <row r="51" customFormat="false" ht="15" hidden="false" customHeight="false" outlineLevel="0" collapsed="false">
      <c r="A51" s="11" t="s">
        <v>93</v>
      </c>
      <c r="B51" s="15" t="n">
        <v>500.06976744186</v>
      </c>
      <c r="C51" s="16" t="n">
        <v>-0.138350590990196</v>
      </c>
      <c r="D51" s="16" t="n">
        <v>0.35108084464961</v>
      </c>
      <c r="E51" s="16" t="n">
        <v>0.1101163831692</v>
      </c>
      <c r="F51" s="16" t="n">
        <v>-0.0332721885187776</v>
      </c>
      <c r="H51" s="18" t="n">
        <f aca="false">IF(AND(ISNUMBER(B51),ISNUMBER(B50)),B51-B50,"")</f>
        <v>51.5281007751937</v>
      </c>
      <c r="I51" s="18" t="n">
        <f aca="false">C51-C50</f>
        <v>0.0125883030332315</v>
      </c>
      <c r="J51" s="18" t="n">
        <f aca="false">D51-D50</f>
        <v>0.0942185203778218</v>
      </c>
      <c r="K51" s="18" t="n">
        <f aca="false">E51-E50</f>
        <v>0.0078308829818691</v>
      </c>
      <c r="L51" s="18" t="n">
        <f aca="false">F51-F50</f>
        <v>0.0053164079552358</v>
      </c>
    </row>
    <row r="52" customFormat="false" ht="15" hidden="false" customHeight="false" outlineLevel="0" collapsed="false">
      <c r="A52" s="11" t="s">
        <v>94</v>
      </c>
      <c r="B52" s="15" t="n">
        <v>473.569230769231</v>
      </c>
      <c r="C52" s="16" t="n">
        <v>-0.116842476166157</v>
      </c>
      <c r="D52" s="16" t="n">
        <v>0.592891412044776</v>
      </c>
      <c r="E52" s="16" t="n">
        <v>0.0500921797693634</v>
      </c>
      <c r="F52" s="16" t="n">
        <v>-0.0149328839288507</v>
      </c>
      <c r="H52" s="18" t="n">
        <f aca="false">IF(AND(ISNUMBER(B52),ISNUMBER(B51)),B52-B51,"")</f>
        <v>-26.5005366726296</v>
      </c>
      <c r="I52" s="18" t="n">
        <f aca="false">C52-C51</f>
        <v>0.0215081148240396</v>
      </c>
      <c r="J52" s="18" t="n">
        <f aca="false">D52-D51</f>
        <v>0.241810567395166</v>
      </c>
      <c r="K52" s="18" t="n">
        <f aca="false">E52-E51</f>
        <v>-0.0600242033998368</v>
      </c>
      <c r="L52" s="18" t="n">
        <f aca="false">F52-F51</f>
        <v>0.0183393045899268</v>
      </c>
    </row>
    <row r="53" customFormat="false" ht="15" hidden="false" customHeight="false" outlineLevel="0" collapsed="false">
      <c r="A53" s="11" t="s">
        <v>95</v>
      </c>
      <c r="B53" s="15" t="n">
        <v>457.661538461538</v>
      </c>
      <c r="C53" s="16" t="n">
        <v>-0.0239177917893462</v>
      </c>
      <c r="D53" s="16" t="n">
        <v>0.350054489762847</v>
      </c>
      <c r="E53" s="16" t="n">
        <v>0.0143431359897555</v>
      </c>
      <c r="F53" s="16" t="n">
        <v>0.00559679082443165</v>
      </c>
      <c r="H53" s="18" t="n">
        <f aca="false">IF(AND(ISNUMBER(B53),ISNUMBER(B52)),B53-B52,"")</f>
        <v>-15.9076923076924</v>
      </c>
      <c r="I53" s="18" t="n">
        <f aca="false">C53-C52</f>
        <v>0.0929246843768103</v>
      </c>
      <c r="J53" s="18" t="n">
        <f aca="false">D53-D52</f>
        <v>-0.24283692228193</v>
      </c>
      <c r="K53" s="18" t="n">
        <f aca="false">E53-E52</f>
        <v>-0.035749043779608</v>
      </c>
      <c r="L53" s="18" t="n">
        <f aca="false">F53-F52</f>
        <v>0.0205296747532824</v>
      </c>
    </row>
    <row r="54" customFormat="false" ht="15" hidden="false" customHeight="false" outlineLevel="0" collapsed="false">
      <c r="A54" s="11" t="s">
        <v>96</v>
      </c>
      <c r="B54" s="15" t="n">
        <v>417.265625</v>
      </c>
      <c r="C54" s="16" t="n">
        <v>0.0524572469807845</v>
      </c>
      <c r="D54" s="16" t="n">
        <v>0.285308652516029</v>
      </c>
      <c r="E54" s="16" t="n">
        <v>-0.0454807992108074</v>
      </c>
      <c r="F54" s="16" t="n">
        <v>0.0232658340767662</v>
      </c>
      <c r="H54" s="18" t="n">
        <f aca="false">IF(AND(ISNUMBER(B54),ISNUMBER(B53)),B54-B53,"")</f>
        <v>-40.3959134615384</v>
      </c>
      <c r="I54" s="18" t="n">
        <f aca="false">C54-C53</f>
        <v>0.0763750387701306</v>
      </c>
      <c r="J54" s="18" t="n">
        <f aca="false">D54-D53</f>
        <v>-0.0647458372468179</v>
      </c>
      <c r="K54" s="18" t="n">
        <f aca="false">E54-E53</f>
        <v>-0.0598239352005628</v>
      </c>
      <c r="L54" s="18" t="n">
        <f aca="false">F54-F53</f>
        <v>0.0176690432523345</v>
      </c>
    </row>
    <row r="55" customFormat="false" ht="15" hidden="false" customHeight="false" outlineLevel="0" collapsed="false">
      <c r="A55" s="11" t="s">
        <v>97</v>
      </c>
      <c r="B55" s="15" t="n">
        <v>417.764390625</v>
      </c>
      <c r="C55" s="16" t="n">
        <v>0.0143092701681657</v>
      </c>
      <c r="D55" s="16" t="n">
        <v>0.192194670829658</v>
      </c>
      <c r="E55" s="16" t="n">
        <v>-0.0790825368475459</v>
      </c>
      <c r="F55" s="16" t="n">
        <v>0.0385060856362685</v>
      </c>
      <c r="H55" s="18" t="n">
        <f aca="false">IF(AND(ISNUMBER(B55),ISNUMBER(B54)),B55-B54,"")</f>
        <v>0.498765624999805</v>
      </c>
      <c r="I55" s="18" t="n">
        <f aca="false">C55-C54</f>
        <v>-0.0381479768126187</v>
      </c>
      <c r="J55" s="18" t="n">
        <f aca="false">D55-D54</f>
        <v>-0.0931139816863711</v>
      </c>
      <c r="K55" s="18" t="n">
        <f aca="false">E55-E54</f>
        <v>-0.0336017376367385</v>
      </c>
      <c r="L55" s="18" t="n">
        <f aca="false">F55-F54</f>
        <v>0.0152402515595023</v>
      </c>
    </row>
    <row r="56" customFormat="false" ht="15" hidden="false" customHeight="false" outlineLevel="0" collapsed="false">
      <c r="A56" s="11" t="s">
        <v>98</v>
      </c>
      <c r="B56" s="15" t="n">
        <v>363.1925625</v>
      </c>
      <c r="C56" s="16" t="n">
        <v>0.00583013263178356</v>
      </c>
      <c r="D56" s="16" t="n">
        <v>0.11210963576289</v>
      </c>
      <c r="E56" s="16" t="n">
        <v>0.00439563837242929</v>
      </c>
      <c r="F56" s="16" t="n">
        <v>0.0453268482640472</v>
      </c>
      <c r="H56" s="18" t="n">
        <f aca="false">IF(AND(ISNUMBER(B56),ISNUMBER(B55)),B56-B55,"")</f>
        <v>-54.5718281249997</v>
      </c>
      <c r="I56" s="18" t="n">
        <f aca="false">C56-C55</f>
        <v>-0.00847913753638218</v>
      </c>
      <c r="J56" s="18" t="n">
        <f aca="false">D56-D55</f>
        <v>-0.0800850350667679</v>
      </c>
      <c r="K56" s="18" t="n">
        <f aca="false">E56-E55</f>
        <v>0.0834781752199751</v>
      </c>
      <c r="L56" s="18" t="n">
        <f aca="false">F56-F55</f>
        <v>0.00682076262777875</v>
      </c>
    </row>
    <row r="57" customFormat="false" ht="15" hidden="false" customHeight="false" outlineLevel="0" collapsed="false">
      <c r="A57" s="11" t="s">
        <v>99</v>
      </c>
      <c r="B57" s="15" t="n">
        <v>391.724661290322</v>
      </c>
      <c r="C57" s="16" t="n">
        <v>0.0215080939713706</v>
      </c>
      <c r="D57" s="16" t="n">
        <v>0.184685548367579</v>
      </c>
      <c r="E57" s="16" t="n">
        <v>0.020040297974653</v>
      </c>
      <c r="F57" s="16" t="n">
        <v>0.0379774021814201</v>
      </c>
      <c r="H57" s="18" t="n">
        <f aca="false">IF(AND(ISNUMBER(B57),ISNUMBER(B56)),B57-B56,"")</f>
        <v>28.5320987903223</v>
      </c>
      <c r="I57" s="18" t="n">
        <f aca="false">C57-C56</f>
        <v>0.015677961339587</v>
      </c>
      <c r="J57" s="18" t="n">
        <f aca="false">D57-D56</f>
        <v>0.072575912604689</v>
      </c>
      <c r="K57" s="18" t="n">
        <f aca="false">E57-E56</f>
        <v>0.0156446596022237</v>
      </c>
      <c r="L57" s="18" t="n">
        <f aca="false">F57-F56</f>
        <v>-0.00734944608262711</v>
      </c>
    </row>
    <row r="58" customFormat="false" ht="15" hidden="false" customHeight="false" outlineLevel="0" collapsed="false">
      <c r="A58" s="11" t="s">
        <v>100</v>
      </c>
      <c r="B58" s="15" t="n">
        <v>468.946476923077</v>
      </c>
      <c r="C58" s="16" t="n">
        <v>-0.0527729109335391</v>
      </c>
      <c r="D58" s="16" t="n">
        <v>0.200832512024495</v>
      </c>
      <c r="E58" s="16" t="n">
        <v>0.0816650452080656</v>
      </c>
      <c r="F58" s="16" t="n">
        <v>-0.039790994073943</v>
      </c>
      <c r="H58" s="18" t="n">
        <f aca="false">IF(AND(ISNUMBER(B58),ISNUMBER(B57)),B58-B57,"")</f>
        <v>77.2218156327545</v>
      </c>
      <c r="I58" s="18" t="n">
        <f aca="false">C58-C57</f>
        <v>-0.0742810049049096</v>
      </c>
      <c r="J58" s="18" t="n">
        <f aca="false">D58-D57</f>
        <v>0.016146963656916</v>
      </c>
      <c r="K58" s="18" t="n">
        <f aca="false">E58-E57</f>
        <v>0.0616247472334126</v>
      </c>
      <c r="L58" s="18" t="n">
        <f aca="false">F58-F57</f>
        <v>-0.0777683962553631</v>
      </c>
    </row>
    <row r="59" customFormat="false" ht="15" hidden="false" customHeight="false" outlineLevel="0" collapsed="false">
      <c r="A59" s="11" t="s">
        <v>101</v>
      </c>
      <c r="B59" s="15" t="n">
        <v>635.11576119403</v>
      </c>
      <c r="C59" s="16" t="n">
        <v>-0.0230142843222727</v>
      </c>
      <c r="D59" s="16" t="n">
        <v>0.221086487495453</v>
      </c>
      <c r="E59" s="16" t="n">
        <v>0.0136264820572452</v>
      </c>
      <c r="F59" s="16" t="n">
        <v>-0.0346944038739507</v>
      </c>
      <c r="H59" s="18" t="n">
        <f aca="false">IF(AND(ISNUMBER(B59),ISNUMBER(B58)),B59-B58,"")</f>
        <v>166.169284270953</v>
      </c>
      <c r="I59" s="18" t="n">
        <f aca="false">C59-C58</f>
        <v>0.0297586266112664</v>
      </c>
      <c r="J59" s="18" t="n">
        <f aca="false">D59-D58</f>
        <v>0.0202539754709583</v>
      </c>
      <c r="K59" s="18" t="n">
        <f aca="false">E59-E58</f>
        <v>-0.0680385631508205</v>
      </c>
      <c r="L59" s="18" t="n">
        <f aca="false">F59-F58</f>
        <v>0.00509659019999231</v>
      </c>
    </row>
    <row r="60" customFormat="false" ht="15" hidden="false" customHeight="false" outlineLevel="0" collapsed="false">
      <c r="A60" s="11" t="s">
        <v>102</v>
      </c>
      <c r="B60" s="15" t="n">
        <v>691.6339375</v>
      </c>
      <c r="C60" s="16" t="n">
        <v>-0.0731605453380152</v>
      </c>
      <c r="D60" s="16" t="n">
        <v>0.272258456299406</v>
      </c>
      <c r="E60" s="16" t="n">
        <v>-0.0659615951903827</v>
      </c>
      <c r="F60" s="16" t="n">
        <v>-0.0633973916700751</v>
      </c>
      <c r="H60" s="18" t="n">
        <f aca="false">IF(AND(ISNUMBER(B60),ISNUMBER(B59)),B60-B59,"")</f>
        <v>56.51817630597</v>
      </c>
      <c r="I60" s="18" t="n">
        <f aca="false">C60-C59</f>
        <v>-0.0501462610157425</v>
      </c>
      <c r="J60" s="18" t="n">
        <f aca="false">D60-D59</f>
        <v>0.0511719688039525</v>
      </c>
      <c r="K60" s="18" t="n">
        <f aca="false">E60-E59</f>
        <v>-0.0795880772476278</v>
      </c>
      <c r="L60" s="18" t="n">
        <f aca="false">F60-F59</f>
        <v>-0.0287029877961243</v>
      </c>
    </row>
    <row r="61" customFormat="false" ht="15" hidden="false" customHeight="false" outlineLevel="0" collapsed="false">
      <c r="A61" s="11" t="s">
        <v>103</v>
      </c>
      <c r="B61" s="15" t="n">
        <v>710.835638888889</v>
      </c>
      <c r="C61" s="16" t="n">
        <v>-0.123187672025664</v>
      </c>
      <c r="D61" s="16" t="n">
        <v>0.30866910332378</v>
      </c>
      <c r="E61" s="16" t="n">
        <v>-0.0307671025993074</v>
      </c>
      <c r="F61" s="16" t="n">
        <v>-0.0586372539873753</v>
      </c>
      <c r="H61" s="18" t="n">
        <f aca="false">IF(AND(ISNUMBER(B61),ISNUMBER(B60)),B61-B60,"")</f>
        <v>19.2017013888889</v>
      </c>
      <c r="I61" s="18" t="n">
        <f aca="false">C61-C60</f>
        <v>-0.0500271266876492</v>
      </c>
      <c r="J61" s="18" t="n">
        <f aca="false">D61-D60</f>
        <v>0.0364106470243743</v>
      </c>
      <c r="K61" s="18" t="n">
        <f aca="false">E61-E60</f>
        <v>0.0351944925910753</v>
      </c>
      <c r="L61" s="18" t="n">
        <f aca="false">F61-F60</f>
        <v>0.00476013768269978</v>
      </c>
    </row>
    <row r="62" customFormat="false" ht="15" hidden="false" customHeight="false" outlineLevel="0" collapsed="false">
      <c r="A62" s="11" t="s">
        <v>104</v>
      </c>
      <c r="B62" s="15" t="n">
        <v>873.625898550725</v>
      </c>
      <c r="C62" s="16" t="n">
        <v>-0.123073375139329</v>
      </c>
      <c r="D62" s="16" t="n">
        <v>0.363627699863024</v>
      </c>
      <c r="E62" s="16" t="n">
        <v>-0.0577907417263012</v>
      </c>
      <c r="F62" s="16" t="n">
        <v>0.00582819893603537</v>
      </c>
      <c r="H62" s="18" t="n">
        <f aca="false">IF(AND(ISNUMBER(B62),ISNUMBER(B61)),B62-B61,"")</f>
        <v>162.790259661836</v>
      </c>
      <c r="I62" s="18" t="n">
        <f aca="false">C62-C61</f>
        <v>0.000114296886335796</v>
      </c>
      <c r="J62" s="18" t="n">
        <f aca="false">D62-D61</f>
        <v>0.0549585965392439</v>
      </c>
      <c r="K62" s="18" t="n">
        <f aca="false">E62-E61</f>
        <v>-0.0270236391269938</v>
      </c>
      <c r="L62" s="18" t="n">
        <f aca="false">F62-F61</f>
        <v>0.0644654529234107</v>
      </c>
    </row>
    <row r="63" customFormat="false" ht="15" hidden="false" customHeight="false" outlineLevel="0" collapsed="false">
      <c r="A63" s="11" t="s">
        <v>105</v>
      </c>
      <c r="B63" s="15" t="n">
        <v>1553.24458536585</v>
      </c>
      <c r="C63" s="16" t="n">
        <v>-0.146986580926159</v>
      </c>
      <c r="D63" s="16" t="n">
        <v>0.452417032230518</v>
      </c>
      <c r="E63" s="16" t="n">
        <v>0.00905901460325875</v>
      </c>
      <c r="F63" s="16" t="n">
        <v>-0.0175271616356651</v>
      </c>
      <c r="H63" s="18" t="n">
        <f aca="false">IF(AND(ISNUMBER(B63),ISNUMBER(B62)),B63-B62,"")</f>
        <v>679.618686815129</v>
      </c>
      <c r="I63" s="18" t="n">
        <f aca="false">C63-C62</f>
        <v>-0.0239132057868301</v>
      </c>
      <c r="J63" s="18" t="n">
        <f aca="false">D63-D62</f>
        <v>0.088789332367494</v>
      </c>
      <c r="K63" s="18" t="n">
        <f aca="false">E63-E62</f>
        <v>0.0668497563295599</v>
      </c>
      <c r="L63" s="18" t="n">
        <f aca="false">F63-F62</f>
        <v>-0.0233553605717005</v>
      </c>
    </row>
    <row r="64" customFormat="false" ht="15" hidden="false" customHeight="false" outlineLevel="0" collapsed="false">
      <c r="A64" s="11" t="s">
        <v>106</v>
      </c>
      <c r="B64" s="15" t="n">
        <v>2152.12583695652</v>
      </c>
      <c r="C64" s="16" t="n">
        <v>-0.191423635260996</v>
      </c>
      <c r="D64" s="16" t="n">
        <v>0.3548</v>
      </c>
      <c r="E64" s="16" t="n">
        <v>0.0535911401897107</v>
      </c>
      <c r="F64" s="16" t="n">
        <v>-0.0107484273951806</v>
      </c>
      <c r="H64" s="18" t="n">
        <f aca="false">IF(AND(ISNUMBER(B64),ISNUMBER(B63)),B64-B63,"")</f>
        <v>598.881251590669</v>
      </c>
      <c r="I64" s="18" t="n">
        <f aca="false">C64-C63</f>
        <v>-0.0444370543348369</v>
      </c>
      <c r="J64" s="18" t="n">
        <f aca="false">D64-D63</f>
        <v>-0.0976170322305177</v>
      </c>
      <c r="K64" s="18" t="n">
        <f aca="false">E64-E63</f>
        <v>0.0445321255864519</v>
      </c>
      <c r="L64" s="18" t="n">
        <f aca="false">F64-F63</f>
        <v>0.00677873424048458</v>
      </c>
    </row>
    <row r="65" customFormat="false" ht="15" hidden="false" customHeight="false" outlineLevel="0" collapsed="false">
      <c r="A65" s="11" t="s">
        <v>107</v>
      </c>
      <c r="B65" s="15" t="n">
        <v>2339.24403614458</v>
      </c>
      <c r="C65" s="16" t="n">
        <v>-0.0764776255884909</v>
      </c>
      <c r="D65" s="16" t="n">
        <v>0.575876901929335</v>
      </c>
      <c r="E65" s="16" t="n">
        <v>0.0186531291205516</v>
      </c>
      <c r="F65" s="16" t="n">
        <v>-0.0502506965865937</v>
      </c>
      <c r="H65" s="18" t="n">
        <f aca="false">IF(AND(ISNUMBER(B65),ISNUMBER(B64)),B65-B64,"")</f>
        <v>187.118199188056</v>
      </c>
      <c r="I65" s="18" t="n">
        <f aca="false">C65-C64</f>
        <v>0.114946009672505</v>
      </c>
      <c r="J65" s="18" t="n">
        <f aca="false">D65-D64</f>
        <v>0.221076901929335</v>
      </c>
      <c r="K65" s="18" t="n">
        <f aca="false">E65-E64</f>
        <v>-0.0349380110691591</v>
      </c>
      <c r="L65" s="18" t="n">
        <f aca="false">F65-F64</f>
        <v>-0.0395022691914131</v>
      </c>
    </row>
    <row r="66" customFormat="false" ht="15" hidden="false" customHeight="false" outlineLevel="0" collapsed="false">
      <c r="A66" s="11" t="s">
        <v>108</v>
      </c>
      <c r="B66" s="15" t="n">
        <v>3096.11088888889</v>
      </c>
      <c r="C66" s="16" t="n">
        <v>0.185703438057814</v>
      </c>
      <c r="D66" s="16" t="n">
        <v>0.871830309310529</v>
      </c>
      <c r="E66" s="16" t="n">
        <v>-0.0288376336959925</v>
      </c>
      <c r="F66" s="16" t="n">
        <v>-0.189421940385846</v>
      </c>
      <c r="H66" s="18" t="n">
        <f aca="false">IF(AND(ISNUMBER(B66),ISNUMBER(B65)),B66-B65,"")</f>
        <v>756.86685274431</v>
      </c>
      <c r="I66" s="18" t="n">
        <f aca="false">C66-C65</f>
        <v>0.262181063646304</v>
      </c>
      <c r="J66" s="18" t="n">
        <f aca="false">D66-D65</f>
        <v>0.295953407381194</v>
      </c>
      <c r="K66" s="18" t="n">
        <f aca="false">E66-E65</f>
        <v>-0.0474907628165441</v>
      </c>
      <c r="L66" s="18" t="n">
        <f aca="false">F66-F65</f>
        <v>-0.139171243799252</v>
      </c>
    </row>
    <row r="67" customFormat="false" ht="15" hidden="false" customHeight="false" outlineLevel="0" collapsed="false">
      <c r="A67" s="11" t="s">
        <v>109</v>
      </c>
      <c r="B67" s="15" t="n">
        <v>1998.70695454545</v>
      </c>
      <c r="C67" s="16" t="n">
        <v>0.305364489239062</v>
      </c>
      <c r="D67" s="16" t="n">
        <v>0.626826879852077</v>
      </c>
      <c r="E67" s="16" t="n">
        <v>0.00181807297188485</v>
      </c>
      <c r="F67" s="16" t="n">
        <v>-0.101927662759163</v>
      </c>
      <c r="H67" s="18" t="n">
        <f aca="false">IF(AND(ISNUMBER(B67),ISNUMBER(B66)),B67-B66,"")</f>
        <v>-1097.40393434344</v>
      </c>
      <c r="I67" s="18" t="n">
        <f aca="false">C67-C66</f>
        <v>0.119661051181248</v>
      </c>
      <c r="J67" s="18" t="n">
        <f aca="false">D67-D66</f>
        <v>-0.245003429458452</v>
      </c>
      <c r="K67" s="18" t="n">
        <f aca="false">E67-E66</f>
        <v>0.0306557066678773</v>
      </c>
      <c r="L67" s="18" t="n">
        <f aca="false">F67-F66</f>
        <v>0.0874942776266831</v>
      </c>
    </row>
    <row r="68" customFormat="false" ht="15" hidden="false" customHeight="false" outlineLevel="0" collapsed="false">
      <c r="A68" s="11" t="s">
        <v>110</v>
      </c>
      <c r="B68" s="15" t="n">
        <v>1391.81681538462</v>
      </c>
      <c r="C68" s="16" t="n">
        <v>0.369601994334412</v>
      </c>
      <c r="D68" s="16" t="n">
        <v>0.49579908986106</v>
      </c>
      <c r="E68" s="16" t="n">
        <v>0.0294739649102771</v>
      </c>
      <c r="F68" s="16" t="n">
        <v>-0.0431329947641036</v>
      </c>
      <c r="H68" s="18" t="n">
        <f aca="false">IF(AND(ISNUMBER(B68),ISNUMBER(B67)),B68-B67,"")</f>
        <v>-606.890139160839</v>
      </c>
      <c r="I68" s="18" t="n">
        <f aca="false">C68-C67</f>
        <v>0.0642375050953509</v>
      </c>
      <c r="J68" s="18" t="n">
        <f aca="false">D68-D67</f>
        <v>-0.131027789991017</v>
      </c>
      <c r="K68" s="18" t="n">
        <f aca="false">E68-E67</f>
        <v>0.0276558919383922</v>
      </c>
      <c r="L68" s="18" t="n">
        <f aca="false">F68-F67</f>
        <v>0.0587946679950591</v>
      </c>
    </row>
    <row r="69" customFormat="false" ht="15" hidden="false" customHeight="false" outlineLevel="0" collapsed="false">
      <c r="A69" s="11" t="s">
        <v>111</v>
      </c>
      <c r="B69" s="15" t="n">
        <v>1492.04128571429</v>
      </c>
      <c r="C69" s="16" t="n">
        <v>0.175963133598871</v>
      </c>
      <c r="D69" s="16" t="n">
        <v>0.414694566504627</v>
      </c>
      <c r="E69" s="16" t="n">
        <v>0.117884069306395</v>
      </c>
      <c r="F69" s="16" t="n">
        <v>0.0323260077948051</v>
      </c>
      <c r="H69" s="18" t="n">
        <f aca="false">IF(AND(ISNUMBER(B69),ISNUMBER(B68)),B69-B68,"")</f>
        <v>100.224470329671</v>
      </c>
      <c r="I69" s="18" t="n">
        <f aca="false">C69-C68</f>
        <v>-0.193638860735541</v>
      </c>
      <c r="J69" s="18" t="n">
        <f aca="false">D69-D68</f>
        <v>-0.0811045233564329</v>
      </c>
      <c r="K69" s="18" t="n">
        <f aca="false">E69-E68</f>
        <v>0.0884101043961178</v>
      </c>
      <c r="L69" s="18" t="n">
        <f aca="false">F69-F68</f>
        <v>0.0754590025589087</v>
      </c>
    </row>
    <row r="70" customFormat="false" ht="15" hidden="false" customHeight="false" outlineLevel="0" collapsed="false">
      <c r="A70" s="11" t="s">
        <v>112</v>
      </c>
      <c r="B70" s="15" t="n">
        <v>1543.4644</v>
      </c>
      <c r="C70" s="16" t="n">
        <v>-0.0687862848682503</v>
      </c>
      <c r="D70" s="16" t="n">
        <v>0.250427604992522</v>
      </c>
      <c r="E70" s="16" t="n">
        <v>0.143529715023163</v>
      </c>
      <c r="F70" s="16" t="n">
        <v>0.187299607796633</v>
      </c>
      <c r="H70" s="18" t="n">
        <f aca="false">IF(AND(ISNUMBER(B70),ISNUMBER(B69)),B70-B69,"")</f>
        <v>51.4231142857141</v>
      </c>
      <c r="I70" s="18" t="n">
        <f aca="false">C70-C69</f>
        <v>-0.244749418467121</v>
      </c>
      <c r="J70" s="18" t="n">
        <f aca="false">D70-D69</f>
        <v>-0.164266961512105</v>
      </c>
      <c r="K70" s="18" t="n">
        <f aca="false">E70-E69</f>
        <v>0.025645645716768</v>
      </c>
      <c r="L70" s="18" t="n">
        <f aca="false">F70-F69</f>
        <v>0.154973600001828</v>
      </c>
    </row>
    <row r="71" customFormat="false" ht="15" hidden="false" customHeight="false" outlineLevel="0" collapsed="false">
      <c r="A71" s="11" t="s">
        <v>113</v>
      </c>
      <c r="B71" s="15" t="n">
        <v>1568.15139130435</v>
      </c>
      <c r="C71" s="16" t="n">
        <v>-0.0532486979446212</v>
      </c>
      <c r="D71" s="16" t="n">
        <v>0.500070631404211</v>
      </c>
      <c r="E71" s="16" t="n">
        <v>0.0775814811889699</v>
      </c>
      <c r="F71" s="16" t="n">
        <v>0.118145356665691</v>
      </c>
      <c r="H71" s="18" t="n">
        <f aca="false">IF(AND(ISNUMBER(B71),ISNUMBER(B70)),B71-B70,"")</f>
        <v>24.6869913043479</v>
      </c>
      <c r="I71" s="18" t="n">
        <f aca="false">C71-C70</f>
        <v>0.0155375869236292</v>
      </c>
      <c r="J71" s="18" t="n">
        <f aca="false">D71-D70</f>
        <v>0.249643026411689</v>
      </c>
      <c r="K71" s="18" t="n">
        <f aca="false">E71-E70</f>
        <v>-0.065948233834193</v>
      </c>
      <c r="L71" s="18" t="n">
        <f aca="false">F71-F70</f>
        <v>-0.0691542511309424</v>
      </c>
    </row>
    <row r="72" customFormat="false" ht="15" hidden="false" customHeight="false" outlineLevel="0" collapsed="false">
      <c r="A72" s="11" t="s">
        <v>114</v>
      </c>
      <c r="B72" s="15" t="n">
        <v>1712.31386956522</v>
      </c>
      <c r="C72" s="16" t="n">
        <v>-0.0159975558547977</v>
      </c>
      <c r="D72" s="16" t="n">
        <v>0.784624491090427</v>
      </c>
      <c r="E72" s="16" t="n">
        <v>0.0496077579991747</v>
      </c>
      <c r="F72" s="16" t="n">
        <v>0.08364113941174</v>
      </c>
      <c r="H72" s="18" t="n">
        <f aca="false">IF(AND(ISNUMBER(B72),ISNUMBER(B71)),B72-B71,"")</f>
        <v>144.162478260869</v>
      </c>
      <c r="I72" s="18" t="n">
        <f aca="false">C72-C71</f>
        <v>0.0372511420898235</v>
      </c>
      <c r="J72" s="18" t="n">
        <f aca="false">D72-D71</f>
        <v>0.284553859686216</v>
      </c>
      <c r="K72" s="18" t="n">
        <f aca="false">E72-E71</f>
        <v>-0.0279737231897952</v>
      </c>
      <c r="L72" s="18" t="n">
        <f aca="false">F72-F71</f>
        <v>-0.0345042172539505</v>
      </c>
    </row>
    <row r="73" customFormat="false" ht="15" hidden="false" customHeight="false" outlineLevel="0" collapsed="false">
      <c r="A73" s="11" t="s">
        <v>115</v>
      </c>
      <c r="B73" s="15" t="n">
        <v>1807.04372222222</v>
      </c>
      <c r="C73" s="16" t="n">
        <v>0.0195040598594907</v>
      </c>
      <c r="D73" s="16" t="n">
        <v>0.617548411284136</v>
      </c>
      <c r="E73" s="16" t="n">
        <v>0.036028121253632</v>
      </c>
      <c r="F73" s="16" t="n">
        <v>0.0686138387185451</v>
      </c>
      <c r="H73" s="18" t="n">
        <f aca="false">IF(AND(ISNUMBER(B73),ISNUMBER(B72)),B73-B72,"")</f>
        <v>94.729852657005</v>
      </c>
      <c r="I73" s="18" t="n">
        <f aca="false">C73-C72</f>
        <v>0.0355016157142883</v>
      </c>
      <c r="J73" s="18" t="n">
        <f aca="false">D73-D72</f>
        <v>-0.167076079806291</v>
      </c>
      <c r="K73" s="18" t="n">
        <f aca="false">E73-E72</f>
        <v>-0.0135796367455427</v>
      </c>
      <c r="L73" s="18" t="n">
        <f aca="false">F73-F72</f>
        <v>-0.0150273006931949</v>
      </c>
    </row>
    <row r="74" customFormat="false" ht="15" hidden="false" customHeight="false" outlineLevel="0" collapsed="false">
      <c r="A74" s="11" t="s">
        <v>116</v>
      </c>
      <c r="B74" s="15" t="n">
        <v>1918.61072527473</v>
      </c>
      <c r="C74" s="16" t="n">
        <v>0.0127622795944336</v>
      </c>
      <c r="D74" s="16" t="n">
        <v>0.78676910949473</v>
      </c>
      <c r="E74" s="16" t="n">
        <v>-0.0306221671490317</v>
      </c>
      <c r="F74" s="16" t="n">
        <v>0.0813001446194395</v>
      </c>
      <c r="H74" s="18" t="n">
        <f aca="false">IF(AND(ISNUMBER(B74),ISNUMBER(B73)),B74-B73,"")</f>
        <v>111.567003052503</v>
      </c>
      <c r="I74" s="18" t="n">
        <f aca="false">C74-C73</f>
        <v>-0.00674178026505711</v>
      </c>
      <c r="J74" s="18" t="n">
        <f aca="false">D74-D73</f>
        <v>0.169220698210594</v>
      </c>
      <c r="K74" s="18" t="n">
        <f aca="false">E74-E73</f>
        <v>-0.0666502884026636</v>
      </c>
      <c r="L74" s="18" t="n">
        <f aca="false">F74-F73</f>
        <v>0.0126863059008944</v>
      </c>
    </row>
    <row r="75" customFormat="false" ht="15" hidden="false" customHeight="false" outlineLevel="0" collapsed="false">
      <c r="A75" s="11" t="s">
        <v>117</v>
      </c>
      <c r="B75" s="15" t="n">
        <v>2532.03854666667</v>
      </c>
      <c r="C75" s="16" t="n">
        <v>-0.0244173185065185</v>
      </c>
      <c r="D75" s="16" t="n">
        <v>0.713259808316341</v>
      </c>
      <c r="E75" s="16" t="n">
        <v>-0.0600674129874358</v>
      </c>
      <c r="F75" s="16" t="n">
        <v>0.066844213632383</v>
      </c>
      <c r="H75" s="18" t="n">
        <f aca="false">IF(AND(ISNUMBER(B75),ISNUMBER(B74)),B75-B74,"")</f>
        <v>613.427821391941</v>
      </c>
      <c r="I75" s="18" t="n">
        <f aca="false">C75-C74</f>
        <v>-0.0371795981009521</v>
      </c>
      <c r="J75" s="18" t="n">
        <f aca="false">D75-D74</f>
        <v>-0.0735093011783898</v>
      </c>
      <c r="K75" s="18" t="n">
        <f aca="false">E75-E74</f>
        <v>-0.0294452458384041</v>
      </c>
      <c r="L75" s="18" t="n">
        <f aca="false">F75-F74</f>
        <v>-0.0144559309870564</v>
      </c>
    </row>
    <row r="76" customFormat="false" ht="15" hidden="false" customHeight="false" outlineLevel="0" collapsed="false">
      <c r="A76" s="11" t="s">
        <v>118</v>
      </c>
      <c r="B76" s="15" t="n">
        <v>2462.75393478261</v>
      </c>
      <c r="C76" s="16" t="n">
        <v>-0.0496809971557082</v>
      </c>
      <c r="D76" s="16" t="n">
        <v>0.63940958982149</v>
      </c>
      <c r="E76" s="16" t="n">
        <v>0.0528409603764237</v>
      </c>
      <c r="F76" s="16" t="n">
        <v>0.023854276267842</v>
      </c>
      <c r="H76" s="18" t="n">
        <f aca="false">IF(AND(ISNUMBER(B76),ISNUMBER(B75)),B76-B75,"")</f>
        <v>-69.2846118840562</v>
      </c>
      <c r="I76" s="18" t="n">
        <f aca="false">C76-C75</f>
        <v>-0.0252636786491897</v>
      </c>
      <c r="J76" s="18" t="n">
        <f aca="false">D76-D75</f>
        <v>-0.0738502184948509</v>
      </c>
      <c r="K76" s="18" t="n">
        <f aca="false">E76-E75</f>
        <v>0.11290837336386</v>
      </c>
      <c r="L76" s="18" t="n">
        <f aca="false">F76-F75</f>
        <v>-0.042989937364541</v>
      </c>
    </row>
    <row r="77" customFormat="false" ht="15" hidden="false" customHeight="false" outlineLevel="0" collapsed="false">
      <c r="A77" s="11" t="s">
        <v>119</v>
      </c>
      <c r="B77" s="15" t="n">
        <v>2085.99497777778</v>
      </c>
      <c r="C77" s="16" t="n">
        <v>-0.0548662138193043</v>
      </c>
      <c r="D77" s="16" t="n">
        <v>1.00650918210927</v>
      </c>
      <c r="E77" s="16" t="n">
        <v>-0.063950016368106</v>
      </c>
      <c r="F77" s="16" t="n">
        <v>0.00911982377224452</v>
      </c>
      <c r="H77" s="18" t="n">
        <f aca="false">IF(AND(ISNUMBER(B77),ISNUMBER(B76)),B77-B76,"")</f>
        <v>-376.758957004832</v>
      </c>
      <c r="I77" s="18" t="n">
        <f aca="false">C77-C76</f>
        <v>-0.00518521666359616</v>
      </c>
      <c r="J77" s="18" t="n">
        <f aca="false">D77-D76</f>
        <v>0.367099592287782</v>
      </c>
      <c r="K77" s="18" t="n">
        <f aca="false">E77-E76</f>
        <v>-0.11679097674453</v>
      </c>
      <c r="L77" s="18" t="n">
        <f aca="false">F77-F76</f>
        <v>-0.0147344524955975</v>
      </c>
    </row>
    <row r="78" customFormat="false" ht="15" hidden="false" customHeight="false" outlineLevel="0" collapsed="false">
      <c r="A78" s="11" t="s">
        <v>120</v>
      </c>
      <c r="B78" s="15" t="n">
        <v>2482.34095061728</v>
      </c>
      <c r="C78" s="16" t="n">
        <v>-0.07604765516223</v>
      </c>
      <c r="D78" s="16" t="n">
        <v>0.998537571924597</v>
      </c>
      <c r="E78" s="16" t="n">
        <v>-0.0483958819227817</v>
      </c>
      <c r="F78" s="16" t="n">
        <v>-0.0567487243252599</v>
      </c>
      <c r="H78" s="18" t="n">
        <f aca="false">IF(AND(ISNUMBER(B78),ISNUMBER(B77)),B78-B77,"")</f>
        <v>396.345972839506</v>
      </c>
      <c r="I78" s="18" t="n">
        <f aca="false">C78-C77</f>
        <v>-0.0211814413429257</v>
      </c>
      <c r="J78" s="18" t="n">
        <f aca="false">D78-D77</f>
        <v>-0.00797161018467474</v>
      </c>
      <c r="K78" s="18" t="n">
        <f aca="false">E78-E77</f>
        <v>0.0155541344453244</v>
      </c>
      <c r="L78" s="18" t="n">
        <f aca="false">F78-F77</f>
        <v>-0.0658685480975044</v>
      </c>
    </row>
    <row r="79" customFormat="false" ht="15" hidden="false" customHeight="false" outlineLevel="0" collapsed="false">
      <c r="A79" s="11" t="s">
        <v>121</v>
      </c>
      <c r="B79" s="15" t="n">
        <v>2088.37973417722</v>
      </c>
      <c r="C79" s="16" t="n">
        <v>-0.131285711761803</v>
      </c>
      <c r="D79" s="16" t="n">
        <v>1.18191386651674</v>
      </c>
      <c r="E79" s="16" t="n">
        <v>0.0299112435077718</v>
      </c>
      <c r="F79" s="16" t="n">
        <v>-0.00549172525238073</v>
      </c>
      <c r="H79" s="18" t="n">
        <f aca="false">IF(AND(ISNUMBER(B79),ISNUMBER(B78)),B79-B78,"")</f>
        <v>-393.961216440069</v>
      </c>
      <c r="I79" s="18" t="n">
        <f aca="false">C79-C78</f>
        <v>-0.0552380565995734</v>
      </c>
      <c r="J79" s="18" t="n">
        <f aca="false">D79-D78</f>
        <v>0.183376294592147</v>
      </c>
      <c r="K79" s="18" t="n">
        <f aca="false">E79-E78</f>
        <v>0.0783071254305534</v>
      </c>
      <c r="L79" s="18" t="n">
        <f aca="false">F79-F78</f>
        <v>0.0512569990728792</v>
      </c>
    </row>
    <row r="80" customFormat="false" ht="15" hidden="false" customHeight="false" outlineLevel="0" collapsed="false">
      <c r="A80" s="11" t="s">
        <v>122</v>
      </c>
      <c r="B80" s="15" t="n">
        <v>2210.46063380282</v>
      </c>
      <c r="C80" s="16" t="n">
        <v>-0.236116080959184</v>
      </c>
      <c r="D80" s="16" t="n">
        <v>1.62643281719269</v>
      </c>
      <c r="E80" s="16" t="n">
        <v>-0.0758940423236137</v>
      </c>
      <c r="F80" s="16" t="n">
        <v>-0.0171598554874708</v>
      </c>
      <c r="H80" s="18" t="n">
        <f aca="false">IF(AND(ISNUMBER(B80),ISNUMBER(B79)),B80-B79,"")</f>
        <v>122.080899625603</v>
      </c>
      <c r="I80" s="18" t="n">
        <f aca="false">C80-C79</f>
        <v>-0.104830369197381</v>
      </c>
      <c r="J80" s="18" t="n">
        <f aca="false">D80-D79</f>
        <v>0.44451895067595</v>
      </c>
      <c r="K80" s="18" t="n">
        <f aca="false">E80-E79</f>
        <v>-0.105805285831385</v>
      </c>
      <c r="L80" s="18" t="n">
        <f aca="false">F80-F79</f>
        <v>-0.0116681302350901</v>
      </c>
    </row>
    <row r="81" customFormat="false" ht="15" hidden="false" customHeight="false" outlineLevel="0" collapsed="false">
      <c r="A81" s="11" t="s">
        <v>123</v>
      </c>
      <c r="B81" s="15" t="n">
        <v>1755.52208</v>
      </c>
      <c r="C81" s="16" t="n">
        <v>-0.335645872225436</v>
      </c>
      <c r="D81" s="16" t="n">
        <v>1.44053998328844</v>
      </c>
      <c r="E81" s="16" t="n">
        <v>-0.0291196109681151</v>
      </c>
      <c r="F81" s="16" t="n">
        <v>-0.0496170325779741</v>
      </c>
      <c r="H81" s="18" t="n">
        <f aca="false">IF(AND(ISNUMBER(B81),ISNUMBER(B80)),B81-B80,"")</f>
        <v>-454.938553802817</v>
      </c>
      <c r="I81" s="18" t="n">
        <f aca="false">C81-C80</f>
        <v>-0.0995297912662513</v>
      </c>
      <c r="J81" s="18" t="n">
        <f aca="false">D81-D80</f>
        <v>-0.185892833904252</v>
      </c>
      <c r="K81" s="18" t="n">
        <f aca="false">E81-E80</f>
        <v>0.0467744313554986</v>
      </c>
      <c r="L81" s="18" t="n">
        <f aca="false">F81-F80</f>
        <v>-0.0324571770905033</v>
      </c>
    </row>
    <row r="82" customFormat="false" ht="15" hidden="false" customHeight="false" outlineLevel="0" collapsed="false">
      <c r="A82" s="11" t="s">
        <v>124</v>
      </c>
      <c r="B82" s="15" t="n">
        <v>1343.77188059702</v>
      </c>
      <c r="C82" s="16" t="n">
        <v>-0.251664772237069</v>
      </c>
      <c r="D82" s="16" t="n">
        <v>1.65226475372861</v>
      </c>
      <c r="E82" s="16" t="n">
        <v>-0.0215461222875457</v>
      </c>
      <c r="F82" s="16" t="n">
        <v>-0.0108329991805178</v>
      </c>
      <c r="H82" s="18" t="n">
        <f aca="false">IF(AND(ISNUMBER(B82),ISNUMBER(B81)),B82-B81,"")</f>
        <v>-411.750199402986</v>
      </c>
      <c r="I82" s="18" t="n">
        <f aca="false">C82-C81</f>
        <v>0.0839810999883668</v>
      </c>
      <c r="J82" s="18" t="n">
        <f aca="false">D82-D81</f>
        <v>0.211724770440168</v>
      </c>
      <c r="K82" s="18" t="n">
        <f aca="false">E82-E81</f>
        <v>0.0075734886805694</v>
      </c>
      <c r="L82" s="18" t="n">
        <f aca="false">F82-F81</f>
        <v>0.0387840333974563</v>
      </c>
    </row>
    <row r="83" customFormat="false" ht="15" hidden="false" customHeight="false" outlineLevel="0" collapsed="false">
      <c r="A83" s="11" t="s">
        <v>125</v>
      </c>
      <c r="B83" s="15" t="n">
        <v>1484.54545454546</v>
      </c>
      <c r="C83" s="16" t="n">
        <v>-0.193270893828479</v>
      </c>
      <c r="D83" s="16" t="n">
        <v>1.53796276166908</v>
      </c>
      <c r="E83" s="16" t="n">
        <v>-0.0405177129351777</v>
      </c>
      <c r="F83" s="16" t="n">
        <v>-0.0193706719869603</v>
      </c>
      <c r="H83" s="18" t="n">
        <f aca="false">IF(AND(ISNUMBER(B83),ISNUMBER(B82)),B83-B82,"")</f>
        <v>140.77357394844</v>
      </c>
      <c r="I83" s="18" t="n">
        <f aca="false">C83-C82</f>
        <v>0.0583938784085901</v>
      </c>
      <c r="J83" s="18" t="n">
        <f aca="false">D83-D82</f>
        <v>-0.11430199205953</v>
      </c>
      <c r="K83" s="18" t="n">
        <f aca="false">E83-E82</f>
        <v>-0.018971590647632</v>
      </c>
      <c r="L83" s="18" t="n">
        <f aca="false">F83-F82</f>
        <v>-0.00853767280644247</v>
      </c>
    </row>
    <row r="84" customFormat="false" ht="15" hidden="false" customHeight="false" outlineLevel="0" collapsed="false">
      <c r="A84" s="11" t="s">
        <v>126</v>
      </c>
      <c r="B84" s="15" t="n">
        <v>920.4</v>
      </c>
      <c r="C84" s="16" t="n">
        <v>0.0165797586683372</v>
      </c>
      <c r="D84" s="16" t="n">
        <v>0.981020107641788</v>
      </c>
      <c r="E84" s="16" t="n">
        <v>0.01263607502678</v>
      </c>
      <c r="F84" s="16" t="n">
        <v>0.0263829611146622</v>
      </c>
      <c r="H84" s="18" t="n">
        <f aca="false">IF(AND(ISNUMBER(B84),ISNUMBER(B83)),B84-B83,"")</f>
        <v>-564.145454545455</v>
      </c>
      <c r="I84" s="18" t="n">
        <f aca="false">C84-C83</f>
        <v>0.209850652496816</v>
      </c>
      <c r="J84" s="18" t="n">
        <f aca="false">D84-D83</f>
        <v>-0.556942654027292</v>
      </c>
      <c r="K84" s="18" t="n">
        <f aca="false">E84-E83</f>
        <v>0.0531537879619577</v>
      </c>
      <c r="L84" s="18" t="n">
        <f aca="false">F84-F83</f>
        <v>0.0457536331016225</v>
      </c>
    </row>
    <row r="85" customFormat="false" ht="15" hidden="false" customHeight="false" outlineLevel="0" collapsed="false">
      <c r="A85" s="11" t="s">
        <v>127</v>
      </c>
      <c r="B85" s="15" t="n">
        <v>684.538461538462</v>
      </c>
      <c r="C85" s="16" t="n">
        <v>0.265562805722639</v>
      </c>
      <c r="D85" s="16" t="n">
        <v>0.862253320436501</v>
      </c>
      <c r="E85" s="16" t="n">
        <v>0.0716972050209286</v>
      </c>
      <c r="F85" s="16" t="n">
        <v>0.0583747415748432</v>
      </c>
      <c r="H85" s="18" t="n">
        <f aca="false">IF(AND(ISNUMBER(B85),ISNUMBER(B84)),B85-B84,"")</f>
        <v>-235.861538461538</v>
      </c>
      <c r="I85" s="18" t="n">
        <f aca="false">C85-C84</f>
        <v>0.248983047054301</v>
      </c>
      <c r="J85" s="18" t="n">
        <f aca="false">D85-D84</f>
        <v>-0.118766787205287</v>
      </c>
      <c r="K85" s="18" t="n">
        <f aca="false">E85-E84</f>
        <v>0.0590611299941486</v>
      </c>
      <c r="L85" s="18" t="n">
        <f aca="false">F85-F84</f>
        <v>0.031991780460181</v>
      </c>
    </row>
    <row r="86" customFormat="false" ht="15" hidden="false" customHeight="false" outlineLevel="0" collapsed="false">
      <c r="A86" s="11" t="s">
        <v>128</v>
      </c>
      <c r="B86" s="15" t="n">
        <v>723.846153846154</v>
      </c>
      <c r="C86" s="16" t="n">
        <v>0.240817001757097</v>
      </c>
      <c r="D86" s="16" t="n">
        <v>0.420866373585948</v>
      </c>
      <c r="E86" s="16" t="n">
        <v>0.0667734554061561</v>
      </c>
      <c r="F86" s="16" t="n">
        <v>0.0638141408959982</v>
      </c>
      <c r="H86" s="18" t="n">
        <f aca="false">IF(AND(ISNUMBER(B86),ISNUMBER(B85)),B86-B85,"")</f>
        <v>39.3076923076923</v>
      </c>
      <c r="I86" s="18" t="n">
        <f aca="false">C86-C85</f>
        <v>-0.0247458039655413</v>
      </c>
      <c r="J86" s="18" t="n">
        <f aca="false">D86-D85</f>
        <v>-0.441386946850553</v>
      </c>
      <c r="K86" s="18" t="n">
        <f aca="false">E86-E85</f>
        <v>-0.00492374961477249</v>
      </c>
      <c r="L86" s="18" t="n">
        <f aca="false">F86-F85</f>
        <v>0.005439399321155</v>
      </c>
    </row>
    <row r="87" customFormat="false" ht="15" hidden="false" customHeight="false" outlineLevel="0" collapsed="false">
      <c r="A87" s="11" t="s">
        <v>129</v>
      </c>
      <c r="B87" s="15" t="n">
        <v>866.153846153846</v>
      </c>
      <c r="C87" s="16" t="n">
        <v>0.180053312281566</v>
      </c>
      <c r="D87" s="16" t="n">
        <v>0.306497516843331</v>
      </c>
      <c r="E87" s="16" t="n">
        <v>0.0449759691705332</v>
      </c>
      <c r="F87" s="16" t="n">
        <v>0.0325690447876617</v>
      </c>
      <c r="H87" s="18" t="n">
        <f aca="false">IF(AND(ISNUMBER(B87),ISNUMBER(B86)),B87-B86,"")</f>
        <v>142.307692307692</v>
      </c>
      <c r="I87" s="18" t="n">
        <f aca="false">C87-C86</f>
        <v>-0.0607636894755312</v>
      </c>
      <c r="J87" s="18" t="n">
        <f aca="false">D87-D86</f>
        <v>-0.114368856742617</v>
      </c>
      <c r="K87" s="18" t="n">
        <f aca="false">E87-E86</f>
        <v>-0.0217974862356229</v>
      </c>
      <c r="L87" s="18" t="n">
        <f aca="false">F87-F86</f>
        <v>-0.0312450961083366</v>
      </c>
    </row>
    <row r="88" customFormat="false" ht="15" hidden="false" customHeight="false" outlineLevel="0" collapsed="false">
      <c r="A88" s="11" t="s">
        <v>130</v>
      </c>
      <c r="B88" s="15" t="n">
        <v>753</v>
      </c>
      <c r="C88" s="16" t="n">
        <v>0.105017787438131</v>
      </c>
      <c r="D88" s="16" t="n">
        <v>0.2631763769307</v>
      </c>
      <c r="E88" s="16" t="n">
        <v>-0.0101070868898499</v>
      </c>
      <c r="F88" s="16" t="n">
        <v>0.0205805070747371</v>
      </c>
      <c r="H88" s="18" t="n">
        <f aca="false">IF(AND(ISNUMBER(B88),ISNUMBER(B87)),B88-B87,"")</f>
        <v>-113.153846153846</v>
      </c>
      <c r="I88" s="18" t="n">
        <f aca="false">C88-C87</f>
        <v>-0.0750355248434347</v>
      </c>
      <c r="J88" s="18" t="n">
        <f aca="false">D88-D87</f>
        <v>-0.043321139912631</v>
      </c>
      <c r="K88" s="18" t="n">
        <f aca="false">E88-E87</f>
        <v>-0.055083056060383</v>
      </c>
      <c r="L88" s="18" t="n">
        <f aca="false">F88-F87</f>
        <v>-0.0119885377129245</v>
      </c>
    </row>
    <row r="89" customFormat="false" ht="15" hidden="false" customHeight="false" outlineLevel="0" collapsed="false">
      <c r="A89" s="11" t="s">
        <v>131</v>
      </c>
      <c r="B89" s="15" t="n">
        <v>536.222222222222</v>
      </c>
      <c r="C89" s="16" t="n">
        <v>0.00536818485745405</v>
      </c>
      <c r="D89" s="16" t="n">
        <v>0.35</v>
      </c>
      <c r="E89" s="16" t="n">
        <v>0</v>
      </c>
      <c r="F89" s="16" t="n">
        <v>0.024694045208276</v>
      </c>
      <c r="H89" s="18" t="n">
        <f aca="false">IF(AND(ISNUMBER(B89),ISNUMBER(B88)),B89-B88,"")</f>
        <v>-216.777777777778</v>
      </c>
      <c r="I89" s="18" t="n">
        <f aca="false">C89-C88</f>
        <v>-0.0996496025806773</v>
      </c>
      <c r="J89" s="18" t="n">
        <f aca="false">D89-D88</f>
        <v>0.0868236230693002</v>
      </c>
      <c r="K89" s="18" t="n">
        <f aca="false">E89-E88</f>
        <v>0.0101070868898499</v>
      </c>
      <c r="L89" s="18" t="n">
        <f aca="false">F89-F88</f>
        <v>0.00411353813353888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9" min="2" style="0" width="13"/>
  </cols>
  <sheetData>
    <row r="1" customFormat="false" ht="17.3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2" t="s">
        <v>133</v>
      </c>
    </row>
    <row r="5" customFormat="false" ht="15" hidden="false" customHeight="false" outlineLevel="0" collapsed="false">
      <c r="A5" s="3" t="s">
        <v>36</v>
      </c>
      <c r="B5" s="3" t="s">
        <v>134</v>
      </c>
      <c r="C5" s="3" t="s">
        <v>135</v>
      </c>
      <c r="D5" s="3" t="s">
        <v>136</v>
      </c>
      <c r="E5" s="3" t="s">
        <v>137</v>
      </c>
      <c r="F5" s="3" t="s">
        <v>138</v>
      </c>
      <c r="G5" s="3" t="s">
        <v>139</v>
      </c>
      <c r="H5" s="3" t="s">
        <v>140</v>
      </c>
      <c r="I5" s="3" t="s">
        <v>141</v>
      </c>
      <c r="J5" s="3" t="s">
        <v>142</v>
      </c>
      <c r="K5" s="3" t="s">
        <v>143</v>
      </c>
      <c r="L5" s="3" t="s">
        <v>144</v>
      </c>
      <c r="M5" s="3" t="s">
        <v>145</v>
      </c>
      <c r="N5" s="3" t="s">
        <v>146</v>
      </c>
      <c r="O5" s="3" t="s">
        <v>147</v>
      </c>
      <c r="P5" s="3" t="s">
        <v>148</v>
      </c>
      <c r="Q5" s="3" t="s">
        <v>149</v>
      </c>
      <c r="R5" s="3" t="s">
        <v>150</v>
      </c>
    </row>
    <row r="6" customFormat="false" ht="15" hidden="false" customHeight="false" outlineLevel="0" collapsed="false">
      <c r="A6" s="19" t="str">
        <f aca="false">Datos!A14</f>
        <v>2007Q2</v>
      </c>
      <c r="B6" s="20" t="n">
        <f aca="false">Datos!L14</f>
        <v>0.0150044625048817</v>
      </c>
      <c r="C6" s="20" t="n">
        <f aca="false">Datos!I14</f>
        <v>-0.012635858101546</v>
      </c>
      <c r="D6" s="20" t="n">
        <f aca="false">Datos!H14</f>
        <v>58.1062311827956</v>
      </c>
      <c r="E6" s="20" t="n">
        <f aca="false">Datos!H12</f>
        <v>-57.3400276497695</v>
      </c>
      <c r="F6" s="20" t="n">
        <f aca="false">Datos!H8</f>
        <v>9.68690215163929</v>
      </c>
      <c r="G6" s="20" t="n">
        <f aca="false">Datos!J8</f>
        <v>-0.0652841179146</v>
      </c>
      <c r="H6" s="20" t="n">
        <f aca="false">Datos!K7</f>
        <v>0.115224744248954</v>
      </c>
      <c r="I6" s="18" t="n">
        <v>1</v>
      </c>
      <c r="J6" s="18" t="n">
        <f aca="false">B6-($B$88+$B$89*C6+$B$90*D6+$B$91*E6+$B$92*F6+$B$93*G6+$B$94*H6)</f>
        <v>-0.0143515799569924</v>
      </c>
      <c r="K6" s="18" t="n">
        <f aca="false">J6^2</f>
        <v>0.000205967847261946</v>
      </c>
      <c r="L6" s="18" t="n">
        <f aca="false">I6*$J6</f>
        <v>-0.0143515799569924</v>
      </c>
      <c r="M6" s="18" t="n">
        <f aca="false">C6*$J6</f>
        <v>0.000181344527869548</v>
      </c>
      <c r="N6" s="18" t="n">
        <f aca="false">D6*$J6</f>
        <v>-0.833916222819377</v>
      </c>
      <c r="O6" s="18" t="n">
        <f aca="false">E6*$J6</f>
        <v>0.822919991551822</v>
      </c>
      <c r="P6" s="18" t="n">
        <f aca="false">F6*$J6</f>
        <v>-0.139022350764813</v>
      </c>
      <c r="Q6" s="18" t="n">
        <f aca="false">G6*$J6</f>
        <v>0.000936930238173103</v>
      </c>
      <c r="R6" s="18" t="n">
        <f aca="false">H6*$J6</f>
        <v>-0.00165365713011287</v>
      </c>
    </row>
    <row r="7" customFormat="false" ht="15" hidden="false" customHeight="false" outlineLevel="0" collapsed="false">
      <c r="A7" s="19" t="str">
        <f aca="false">Datos!A15</f>
        <v>2007Q3</v>
      </c>
      <c r="B7" s="20" t="n">
        <f aca="false">Datos!L15</f>
        <v>-0.0143158967408283</v>
      </c>
      <c r="C7" s="20" t="n">
        <f aca="false">Datos!I15</f>
        <v>-0.0246226187787558</v>
      </c>
      <c r="D7" s="20" t="n">
        <f aca="false">Datos!H15</f>
        <v>146.742396825397</v>
      </c>
      <c r="E7" s="20" t="n">
        <f aca="false">Datos!H13</f>
        <v>-71.4258225806452</v>
      </c>
      <c r="F7" s="20" t="n">
        <f aca="false">Datos!H9</f>
        <v>-29.0010684822845</v>
      </c>
      <c r="G7" s="20" t="n">
        <f aca="false">Datos!J9</f>
        <v>0.104633678332462</v>
      </c>
      <c r="H7" s="20" t="n">
        <f aca="false">Datos!K8</f>
        <v>0.0193530431424458</v>
      </c>
      <c r="I7" s="18" t="n">
        <v>1</v>
      </c>
      <c r="J7" s="18" t="n">
        <f aca="false">B7-($B$88+$B$89*C7+$B$90*D7+$B$91*E7+$B$92*F7+$B$93*G7+$B$94*H7)</f>
        <v>0.000903975277659595</v>
      </c>
      <c r="K7" s="18" t="n">
        <f aca="false">J7^2</f>
        <v>8.17171302619741E-007</v>
      </c>
      <c r="L7" s="18" t="n">
        <f aca="false">I7*$J7</f>
        <v>0.000903975277659595</v>
      </c>
      <c r="M7" s="18" t="n">
        <f aca="false">C7*$J7</f>
        <v>-2.22582386472321E-005</v>
      </c>
      <c r="N7" s="18" t="n">
        <f aca="false">D7*$J7</f>
        <v>0.132651498914673</v>
      </c>
      <c r="O7" s="18" t="n">
        <f aca="false">E7*$J7</f>
        <v>-0.0645671777994037</v>
      </c>
      <c r="P7" s="18" t="n">
        <f aca="false">F7*$J7</f>
        <v>-0.026216248933698</v>
      </c>
      <c r="Q7" s="18" t="n">
        <f aca="false">G7*$J7</f>
        <v>9.45862584231322E-005</v>
      </c>
      <c r="R7" s="18" t="n">
        <f aca="false">H7*$J7</f>
        <v>1.74946725482506E-005</v>
      </c>
    </row>
    <row r="8" customFormat="false" ht="15" hidden="false" customHeight="false" outlineLevel="0" collapsed="false">
      <c r="A8" s="19" t="str">
        <f aca="false">Datos!A16</f>
        <v>2007Q4</v>
      </c>
      <c r="B8" s="20" t="n">
        <f aca="false">Datos!L16</f>
        <v>0.00839550917295817</v>
      </c>
      <c r="C8" s="20" t="n">
        <f aca="false">Datos!I16</f>
        <v>-0.0513696334944869</v>
      </c>
      <c r="D8" s="20" t="n">
        <f aca="false">Datos!H16</f>
        <v>-28.2266763952893</v>
      </c>
      <c r="E8" s="20" t="n">
        <f aca="false">Datos!H14</f>
        <v>58.1062311827956</v>
      </c>
      <c r="F8" s="20" t="n">
        <f aca="false">Datos!H10</f>
        <v>-40.7013678955453</v>
      </c>
      <c r="G8" s="20" t="n">
        <f aca="false">Datos!J10</f>
        <v>-0.0328640375646361</v>
      </c>
      <c r="H8" s="20" t="n">
        <f aca="false">Datos!K9</f>
        <v>0.0252689346766117</v>
      </c>
      <c r="I8" s="18" t="n">
        <v>1</v>
      </c>
      <c r="J8" s="18" t="n">
        <f aca="false">B8-($B$88+$B$89*C8+$B$90*D8+$B$91*E8+$B$92*F8+$B$93*G8+$B$94*H8)</f>
        <v>0.00651784747429656</v>
      </c>
      <c r="K8" s="18" t="n">
        <f aca="false">J8^2</f>
        <v>4.24823356981941E-005</v>
      </c>
      <c r="L8" s="18" t="n">
        <f aca="false">I8*$J8</f>
        <v>0.00651784747429656</v>
      </c>
      <c r="M8" s="18" t="n">
        <f aca="false">C8*$J8</f>
        <v>-0.000334819435927581</v>
      </c>
      <c r="N8" s="18" t="n">
        <f aca="false">D8*$J8</f>
        <v>-0.183977171450823</v>
      </c>
      <c r="O8" s="18" t="n">
        <f aca="false">E8*$J8</f>
        <v>0.378727552155677</v>
      </c>
      <c r="P8" s="18" t="n">
        <f aca="false">F8*$J8</f>
        <v>-0.265285307938395</v>
      </c>
      <c r="Q8" s="18" t="n">
        <f aca="false">G8*$J8</f>
        <v>-0.000214202784235851</v>
      </c>
      <c r="R8" s="18" t="n">
        <f aca="false">H8*$J8</f>
        <v>0.000164699062060119</v>
      </c>
    </row>
    <row r="9" customFormat="false" ht="15" hidden="false" customHeight="false" outlineLevel="0" collapsed="false">
      <c r="A9" s="19" t="str">
        <f aca="false">Datos!A17</f>
        <v>2008Q1</v>
      </c>
      <c r="B9" s="20" t="n">
        <f aca="false">Datos!L17</f>
        <v>-0.0235503405334447</v>
      </c>
      <c r="C9" s="20" t="n">
        <f aca="false">Datos!I17</f>
        <v>-0.0322053955184198</v>
      </c>
      <c r="D9" s="20" t="n">
        <f aca="false">Datos!H17</f>
        <v>95.3370391327341</v>
      </c>
      <c r="E9" s="20" t="n">
        <f aca="false">Datos!H15</f>
        <v>146.742396825397</v>
      </c>
      <c r="F9" s="20" t="n">
        <f aca="false">Datos!H11</f>
        <v>-14.6685238095238</v>
      </c>
      <c r="G9" s="20" t="n">
        <f aca="false">Datos!J11</f>
        <v>0.0272371314829849</v>
      </c>
      <c r="H9" s="20" t="n">
        <f aca="false">Datos!K10</f>
        <v>0.000733575253602181</v>
      </c>
      <c r="I9" s="18" t="n">
        <v>1</v>
      </c>
      <c r="J9" s="18" t="n">
        <f aca="false">B9-($B$88+$B$89*C9+$B$90*D9+$B$91*E9+$B$92*F9+$B$93*G9+$B$94*H9)</f>
        <v>-0.00330275630121058</v>
      </c>
      <c r="K9" s="18" t="n">
        <f aca="false">J9^2</f>
        <v>1.09081991851862E-005</v>
      </c>
      <c r="L9" s="18" t="n">
        <f aca="false">I9*$J9</f>
        <v>-0.00330275630121058</v>
      </c>
      <c r="M9" s="18" t="n">
        <f aca="false">C9*$J9</f>
        <v>0.00010636657298144</v>
      </c>
      <c r="N9" s="18" t="n">
        <f aca="false">D9*$J9</f>
        <v>-0.314875006734397</v>
      </c>
      <c r="O9" s="18" t="n">
        <f aca="false">E9*$J9</f>
        <v>-0.484654375769823</v>
      </c>
      <c r="P9" s="18" t="n">
        <f aca="false">F9*$J9</f>
        <v>0.0484465594413622</v>
      </c>
      <c r="Q9" s="18" t="n">
        <f aca="false">G9*$J9</f>
        <v>-8.99576076323294E-005</v>
      </c>
      <c r="R9" s="18" t="n">
        <f aca="false">H9*$J9</f>
        <v>-2.42282029124675E-006</v>
      </c>
    </row>
    <row r="10" customFormat="false" ht="15" hidden="false" customHeight="false" outlineLevel="0" collapsed="false">
      <c r="A10" s="19" t="str">
        <f aca="false">Datos!A18</f>
        <v>2008Q2</v>
      </c>
      <c r="B10" s="20" t="n">
        <f aca="false">Datos!L18</f>
        <v>-0.0145962910187984</v>
      </c>
      <c r="C10" s="20" t="n">
        <f aca="false">Datos!I18</f>
        <v>-0.0472126174388314</v>
      </c>
      <c r="D10" s="20" t="n">
        <f aca="false">Datos!H18</f>
        <v>74.4147768954915</v>
      </c>
      <c r="E10" s="20" t="n">
        <f aca="false">Datos!H16</f>
        <v>-28.2266763952893</v>
      </c>
      <c r="F10" s="20" t="n">
        <f aca="false">Datos!H12</f>
        <v>-57.3400276497695</v>
      </c>
      <c r="G10" s="20" t="n">
        <f aca="false">Datos!J12</f>
        <v>0.0188405816005308</v>
      </c>
      <c r="H10" s="20" t="n">
        <f aca="false">Datos!K11</f>
        <v>-0.0492636656107994</v>
      </c>
      <c r="I10" s="18" t="n">
        <v>1</v>
      </c>
      <c r="J10" s="18" t="n">
        <f aca="false">B10-($B$88+$B$89*C10+$B$90*D10+$B$91*E10+$B$92*F10+$B$93*G10+$B$94*H10)</f>
        <v>0.00488246579897703</v>
      </c>
      <c r="K10" s="18" t="n">
        <f aca="false">J10^2</f>
        <v>2.38384722781804E-005</v>
      </c>
      <c r="L10" s="18" t="n">
        <f aca="false">I10*$J10</f>
        <v>0.00488246579897703</v>
      </c>
      <c r="M10" s="18" t="n">
        <f aca="false">C10*$J10</f>
        <v>-0.000230513989925281</v>
      </c>
      <c r="N10" s="18" t="n">
        <f aca="false">D10*$J10</f>
        <v>0.363327603130743</v>
      </c>
      <c r="O10" s="18" t="n">
        <f aca="false">E10*$J10</f>
        <v>-0.137815782118792</v>
      </c>
      <c r="P10" s="18" t="n">
        <f aca="false">F10*$J10</f>
        <v>-0.279960723912397</v>
      </c>
      <c r="Q10" s="18" t="n">
        <f aca="false">G10*$J10</f>
        <v>9.19884952974274E-005</v>
      </c>
      <c r="R10" s="18" t="n">
        <f aca="false">H10*$J10</f>
        <v>-0.000240528162476969</v>
      </c>
    </row>
    <row r="11" customFormat="false" ht="15" hidden="false" customHeight="false" outlineLevel="0" collapsed="false">
      <c r="A11" s="19" t="str">
        <f aca="false">Datos!A19</f>
        <v>2008Q3</v>
      </c>
      <c r="B11" s="20" t="n">
        <f aca="false">Datos!L19</f>
        <v>0.00553330668917318</v>
      </c>
      <c r="C11" s="20" t="n">
        <f aca="false">Datos!I19</f>
        <v>0.0103881918110503</v>
      </c>
      <c r="D11" s="20" t="n">
        <f aca="false">Datos!H19</f>
        <v>140.17396875</v>
      </c>
      <c r="E11" s="20" t="n">
        <f aca="false">Datos!H17</f>
        <v>95.3370391327341</v>
      </c>
      <c r="F11" s="20" t="n">
        <f aca="false">Datos!H13</f>
        <v>-71.4258225806452</v>
      </c>
      <c r="G11" s="20" t="n">
        <f aca="false">Datos!J13</f>
        <v>0.0352994903857049</v>
      </c>
      <c r="H11" s="20" t="n">
        <f aca="false">Datos!K12</f>
        <v>0.0102718216533466</v>
      </c>
      <c r="I11" s="18" t="n">
        <v>1</v>
      </c>
      <c r="J11" s="18" t="n">
        <f aca="false">B11-($B$88+$B$89*C11+$B$90*D11+$B$91*E11+$B$92*F11+$B$93*G11+$B$94*H11)</f>
        <v>0.0227444469041154</v>
      </c>
      <c r="K11" s="18" t="n">
        <f aca="false">J11^2</f>
        <v>0.000517309864974126</v>
      </c>
      <c r="L11" s="18" t="n">
        <f aca="false">I11*$J11</f>
        <v>0.0227444469041154</v>
      </c>
      <c r="M11" s="18" t="n">
        <f aca="false">C11*$J11</f>
        <v>0.000236273677076201</v>
      </c>
      <c r="N11" s="18" t="n">
        <f aca="false">D11*$J11</f>
        <v>3.18817938957351</v>
      </c>
      <c r="O11" s="18" t="n">
        <f aca="false">E11*$J11</f>
        <v>2.16838822455005</v>
      </c>
      <c r="P11" s="18" t="n">
        <f aca="false">F11*$J11</f>
        <v>-1.62454082926825</v>
      </c>
      <c r="Q11" s="18" t="n">
        <f aca="false">G11*$J11</f>
        <v>0.000802867384819998</v>
      </c>
      <c r="R11" s="18" t="n">
        <f aca="false">H11*$J11</f>
        <v>0.000233626902203085</v>
      </c>
    </row>
    <row r="12" customFormat="false" ht="15" hidden="false" customHeight="false" outlineLevel="0" collapsed="false">
      <c r="A12" s="19" t="str">
        <f aca="false">Datos!A20</f>
        <v>2008Q4</v>
      </c>
      <c r="B12" s="20" t="n">
        <f aca="false">Datos!L20</f>
        <v>-0.079850070278089</v>
      </c>
      <c r="C12" s="20" t="n">
        <f aca="false">Datos!I20</f>
        <v>-0.012294190622106</v>
      </c>
      <c r="D12" s="20" t="n">
        <f aca="false">Datos!H20</f>
        <v>999.763070060484</v>
      </c>
      <c r="E12" s="20" t="n">
        <f aca="false">Datos!H18</f>
        <v>74.4147768954915</v>
      </c>
      <c r="F12" s="20" t="n">
        <f aca="false">Datos!H14</f>
        <v>58.1062311827956</v>
      </c>
      <c r="G12" s="20" t="n">
        <f aca="false">Datos!J14</f>
        <v>0.00539921963636064</v>
      </c>
      <c r="H12" s="20" t="n">
        <f aca="false">Datos!K13</f>
        <v>0.0394713580665338</v>
      </c>
      <c r="I12" s="18" t="n">
        <v>1</v>
      </c>
      <c r="J12" s="18" t="n">
        <f aca="false">B12-($B$88+$B$89*C12+$B$90*D12+$B$91*E12+$B$92*F12+$B$93*G12+$B$94*H12)</f>
        <v>-0.0201669942331679</v>
      </c>
      <c r="K12" s="18" t="n">
        <f aca="false">J12^2</f>
        <v>0.000406707656400629</v>
      </c>
      <c r="L12" s="18" t="n">
        <f aca="false">I12*$J12</f>
        <v>-0.0201669942331679</v>
      </c>
      <c r="M12" s="18" t="n">
        <f aca="false">C12*$J12</f>
        <v>0.000247936871377479</v>
      </c>
      <c r="N12" s="18" t="n">
        <f aca="false">D12*$J12</f>
        <v>-20.1622160684441</v>
      </c>
      <c r="O12" s="18" t="n">
        <f aca="false">E12*$J12</f>
        <v>-1.50072237651385</v>
      </c>
      <c r="P12" s="18" t="n">
        <f aca="false">F12*$J12</f>
        <v>-1.17182802917456</v>
      </c>
      <c r="Q12" s="18" t="n">
        <f aca="false">G12*$J12</f>
        <v>-0.000108886031270092</v>
      </c>
      <c r="R12" s="18" t="n">
        <f aca="false">H12*$J12</f>
        <v>-0.000796018650503094</v>
      </c>
    </row>
    <row r="13" customFormat="false" ht="15" hidden="false" customHeight="false" outlineLevel="0" collapsed="false">
      <c r="A13" s="19" t="str">
        <f aca="false">Datos!A21</f>
        <v>2009Q1</v>
      </c>
      <c r="B13" s="20" t="n">
        <f aca="false">Datos!L21</f>
        <v>-0.0420976425988534</v>
      </c>
      <c r="C13" s="20" t="n">
        <f aca="false">Datos!I21</f>
        <v>-0.0506409298873551</v>
      </c>
      <c r="D13" s="20" t="n">
        <f aca="false">Datos!H21</f>
        <v>3.47016790058183</v>
      </c>
      <c r="E13" s="20" t="n">
        <f aca="false">Datos!H19</f>
        <v>140.17396875</v>
      </c>
      <c r="F13" s="20" t="n">
        <f aca="false">Datos!H15</f>
        <v>146.742396825397</v>
      </c>
      <c r="G13" s="20" t="n">
        <f aca="false">Datos!J15</f>
        <v>0.100083014779252</v>
      </c>
      <c r="H13" s="20" t="n">
        <f aca="false">Datos!K14</f>
        <v>-0.0416510073677663</v>
      </c>
      <c r="I13" s="18" t="n">
        <v>1</v>
      </c>
      <c r="J13" s="18" t="n">
        <f aca="false">B13-($B$88+$B$89*C13+$B$90*D13+$B$91*E13+$B$92*F13+$B$93*G13+$B$94*H13)</f>
        <v>-0.0159973166962147</v>
      </c>
      <c r="K13" s="18" t="n">
        <f aca="false">J13^2</f>
        <v>0.000255914141478988</v>
      </c>
      <c r="L13" s="18" t="n">
        <f aca="false">I13*$J13</f>
        <v>-0.0159973166962147</v>
      </c>
      <c r="M13" s="18" t="n">
        <f aca="false">C13*$J13</f>
        <v>0.000810118993198823</v>
      </c>
      <c r="N13" s="18" t="n">
        <f aca="false">D13*$J13</f>
        <v>-0.0555133748946459</v>
      </c>
      <c r="O13" s="18" t="n">
        <f aca="false">E13*$J13</f>
        <v>-2.24240737065905</v>
      </c>
      <c r="P13" s="18" t="n">
        <f aca="false">F13*$J13</f>
        <v>-2.34748459477748</v>
      </c>
      <c r="Q13" s="18" t="n">
        <f aca="false">G13*$J13</f>
        <v>-0.00160105968333563</v>
      </c>
      <c r="R13" s="18" t="n">
        <f aca="false">H13*$J13</f>
        <v>0.000666304355578528</v>
      </c>
    </row>
    <row r="14" customFormat="false" ht="15" hidden="false" customHeight="false" outlineLevel="0" collapsed="false">
      <c r="A14" s="19" t="str">
        <f aca="false">Datos!A22</f>
        <v>2009Q2</v>
      </c>
      <c r="B14" s="20" t="n">
        <f aca="false">Datos!L22</f>
        <v>-0.0508579200859648</v>
      </c>
      <c r="C14" s="20" t="n">
        <f aca="false">Datos!I22</f>
        <v>-0.0270336828188397</v>
      </c>
      <c r="D14" s="20" t="n">
        <f aca="false">Datos!H22</f>
        <v>-244.401219359875</v>
      </c>
      <c r="E14" s="20" t="n">
        <f aca="false">Datos!H20</f>
        <v>999.763070060484</v>
      </c>
      <c r="F14" s="20" t="n">
        <f aca="false">Datos!H16</f>
        <v>-28.2266763952893</v>
      </c>
      <c r="G14" s="20" t="n">
        <f aca="false">Datos!J16</f>
        <v>-0.0807503897728054</v>
      </c>
      <c r="H14" s="20" t="n">
        <f aca="false">Datos!K15</f>
        <v>-0.0183885313531229</v>
      </c>
      <c r="I14" s="18" t="n">
        <v>1</v>
      </c>
      <c r="J14" s="18" t="n">
        <f aca="false">B14-($B$88+$B$89*C14+$B$90*D14+$B$91*E14+$B$92*F14+$B$93*G14+$B$94*H14)</f>
        <v>-0.00858546638131939</v>
      </c>
      <c r="K14" s="18" t="n">
        <f aca="false">J14^2</f>
        <v>7.37102329847654E-005</v>
      </c>
      <c r="L14" s="18" t="n">
        <f aca="false">I14*$J14</f>
        <v>-0.00858546638131939</v>
      </c>
      <c r="M14" s="18" t="n">
        <f aca="false">C14*$J14</f>
        <v>0.0002320967750044</v>
      </c>
      <c r="N14" s="18" t="n">
        <f aca="false">D14*$J14</f>
        <v>2.09829845236767</v>
      </c>
      <c r="O14" s="18" t="n">
        <f aca="false">E14*$J14</f>
        <v>-8.58343222728895</v>
      </c>
      <c r="P14" s="18" t="n">
        <f aca="false">F14*$J14</f>
        <v>0.242339181248138</v>
      </c>
      <c r="Q14" s="18" t="n">
        <f aca="false">G14*$J14</f>
        <v>0.000693279756672857</v>
      </c>
      <c r="R14" s="18" t="n">
        <f aca="false">H14*$J14</f>
        <v>0.000157874117734074</v>
      </c>
    </row>
    <row r="15" customFormat="false" ht="15" hidden="false" customHeight="false" outlineLevel="0" collapsed="false">
      <c r="A15" s="19" t="str">
        <f aca="false">Datos!A23</f>
        <v>2009Q3</v>
      </c>
      <c r="B15" s="20" t="n">
        <f aca="false">Datos!L23</f>
        <v>0.0562336718856797</v>
      </c>
      <c r="C15" s="20" t="n">
        <f aca="false">Datos!I23</f>
        <v>0.0188952503887881</v>
      </c>
      <c r="D15" s="20" t="n">
        <f aca="false">Datos!H23</f>
        <v>-533.989581101191</v>
      </c>
      <c r="E15" s="20" t="n">
        <f aca="false">Datos!H21</f>
        <v>3.47016790058183</v>
      </c>
      <c r="F15" s="20" t="n">
        <f aca="false">Datos!H17</f>
        <v>95.3370391327341</v>
      </c>
      <c r="G15" s="20" t="n">
        <f aca="false">Datos!J17</f>
        <v>-0.0136163320117733</v>
      </c>
      <c r="H15" s="20" t="n">
        <f aca="false">Datos!K16</f>
        <v>0.126406856244862</v>
      </c>
      <c r="I15" s="18" t="n">
        <v>1</v>
      </c>
      <c r="J15" s="18" t="n">
        <f aca="false">B15-($B$88+$B$89*C15+$B$90*D15+$B$91*E15+$B$92*F15+$B$93*G15+$B$94*H15)</f>
        <v>-0.0095721104951102</v>
      </c>
      <c r="K15" s="18" t="n">
        <f aca="false">J15^2</f>
        <v>9.16252993305988E-005</v>
      </c>
      <c r="L15" s="18" t="n">
        <f aca="false">I15*$J15</f>
        <v>-0.0095721104951102</v>
      </c>
      <c r="M15" s="18" t="n">
        <f aca="false">C15*$J15</f>
        <v>-0.000180867424554254</v>
      </c>
      <c r="N15" s="18" t="n">
        <f aca="false">D15*$J15</f>
        <v>5.11140727353821</v>
      </c>
      <c r="O15" s="18" t="n">
        <f aca="false">E15*$J15</f>
        <v>-0.0332168305809538</v>
      </c>
      <c r="P15" s="18" t="n">
        <f aca="false">F15*$J15</f>
        <v>-0.912576672855176</v>
      </c>
      <c r="Q15" s="18" t="n">
        <f aca="false">G15*$J15</f>
        <v>0.0001303370345548</v>
      </c>
      <c r="R15" s="18" t="n">
        <f aca="false">H15*$J15</f>
        <v>-0.00120998039531533</v>
      </c>
    </row>
    <row r="16" customFormat="false" ht="15" hidden="false" customHeight="false" outlineLevel="0" collapsed="false">
      <c r="A16" s="19" t="str">
        <f aca="false">Datos!A24</f>
        <v>2009Q4</v>
      </c>
      <c r="B16" s="20" t="n">
        <f aca="false">Datos!L24</f>
        <v>0.0593317819018042</v>
      </c>
      <c r="C16" s="20" t="n">
        <f aca="false">Datos!I24</f>
        <v>0.0202660816321944</v>
      </c>
      <c r="D16" s="20" t="n">
        <f aca="false">Datos!H24</f>
        <v>-203.745835181452</v>
      </c>
      <c r="E16" s="20" t="n">
        <f aca="false">Datos!H22</f>
        <v>-244.401219359875</v>
      </c>
      <c r="F16" s="20" t="n">
        <f aca="false">Datos!H18</f>
        <v>74.4147768954915</v>
      </c>
      <c r="G16" s="20" t="n">
        <f aca="false">Datos!J18</f>
        <v>0.051677262796743</v>
      </c>
      <c r="H16" s="20" t="n">
        <f aca="false">Datos!K17</f>
        <v>0.0947144557948736</v>
      </c>
      <c r="I16" s="18" t="n">
        <v>1</v>
      </c>
      <c r="J16" s="18" t="n">
        <f aca="false">B16-($B$88+$B$89*C16+$B$90*D16+$B$91*E16+$B$92*F16+$B$93*G16+$B$94*H16)</f>
        <v>0.0134545857889885</v>
      </c>
      <c r="K16" s="18" t="n">
        <f aca="false">J16^2</f>
        <v>0.000181025878753252</v>
      </c>
      <c r="L16" s="18" t="n">
        <f aca="false">I16*$J16</f>
        <v>0.0134545857889885</v>
      </c>
      <c r="M16" s="18" t="n">
        <f aca="false">C16*$J16</f>
        <v>0.000272671733927005</v>
      </c>
      <c r="N16" s="18" t="n">
        <f aca="false">D16*$J16</f>
        <v>-2.74131581859796</v>
      </c>
      <c r="O16" s="18" t="n">
        <f aca="false">E16*$J16</f>
        <v>-3.28831717281084</v>
      </c>
      <c r="P16" s="18" t="n">
        <f aca="false">F16*$J16</f>
        <v>1.00121999970883</v>
      </c>
      <c r="Q16" s="18" t="n">
        <f aca="false">G16*$J16</f>
        <v>0.000695296165638884</v>
      </c>
      <c r="R16" s="18" t="n">
        <f aca="false">H16*$J16</f>
        <v>0.00127434377094949</v>
      </c>
    </row>
    <row r="17" customFormat="false" ht="15" hidden="false" customHeight="false" outlineLevel="0" collapsed="false">
      <c r="A17" s="19" t="str">
        <f aca="false">Datos!A25</f>
        <v>2010Q1</v>
      </c>
      <c r="B17" s="20" t="n">
        <f aca="false">Datos!L25</f>
        <v>0.0543127088139386</v>
      </c>
      <c r="C17" s="20" t="n">
        <f aca="false">Datos!I25</f>
        <v>0.0364851445863187</v>
      </c>
      <c r="D17" s="20" t="n">
        <f aca="false">Datos!H25</f>
        <v>15.4416356425168</v>
      </c>
      <c r="E17" s="20" t="n">
        <f aca="false">Datos!H23</f>
        <v>-533.989581101191</v>
      </c>
      <c r="F17" s="20" t="n">
        <f aca="false">Datos!H19</f>
        <v>140.17396875</v>
      </c>
      <c r="G17" s="20" t="n">
        <f aca="false">Datos!J19</f>
        <v>-0.0922660919721236</v>
      </c>
      <c r="H17" s="20" t="n">
        <f aca="false">Datos!K18</f>
        <v>-0.088947266354809</v>
      </c>
      <c r="I17" s="18" t="n">
        <v>1</v>
      </c>
      <c r="J17" s="18" t="n">
        <f aca="false">B17-($B$88+$B$89*C17+$B$90*D17+$B$91*E17+$B$92*F17+$B$93*G17+$B$94*H17)</f>
        <v>0.0190530473497469</v>
      </c>
      <c r="K17" s="18" t="n">
        <f aca="false">J17^2</f>
        <v>0.000363018613311698</v>
      </c>
      <c r="L17" s="18" t="n">
        <f aca="false">I17*$J17</f>
        <v>0.0190530473497469</v>
      </c>
      <c r="M17" s="18" t="n">
        <f aca="false">C17*$J17</f>
        <v>0.000695153187365493</v>
      </c>
      <c r="N17" s="18" t="n">
        <f aca="false">D17*$J17</f>
        <v>0.294210215054412</v>
      </c>
      <c r="O17" s="18" t="n">
        <f aca="false">E17*$J17</f>
        <v>-10.1741287729925</v>
      </c>
      <c r="P17" s="18" t="n">
        <f aca="false">F17*$J17</f>
        <v>2.6707412637957</v>
      </c>
      <c r="Q17" s="18" t="n">
        <f aca="false">G17*$J17</f>
        <v>-0.00175795021912098</v>
      </c>
      <c r="R17" s="18" t="n">
        <f aca="false">H17*$J17</f>
        <v>-0.00169471647748873</v>
      </c>
    </row>
    <row r="18" customFormat="false" ht="15" hidden="false" customHeight="false" outlineLevel="0" collapsed="false">
      <c r="A18" s="19" t="str">
        <f aca="false">Datos!A26</f>
        <v>2010Q2</v>
      </c>
      <c r="B18" s="20" t="n">
        <f aca="false">Datos!L26</f>
        <v>0.105309304015361</v>
      </c>
      <c r="C18" s="20" t="n">
        <f aca="false">Datos!I26</f>
        <v>0.115499149243793</v>
      </c>
      <c r="D18" s="20" t="n">
        <f aca="false">Datos!H26</f>
        <v>0.464510798855258</v>
      </c>
      <c r="E18" s="20" t="n">
        <f aca="false">Datos!H24</f>
        <v>-203.745835181452</v>
      </c>
      <c r="F18" s="20" t="n">
        <f aca="false">Datos!H20</f>
        <v>999.763070060484</v>
      </c>
      <c r="G18" s="20" t="n">
        <f aca="false">Datos!J20</f>
        <v>0.044032264635168</v>
      </c>
      <c r="H18" s="20" t="n">
        <f aca="false">Datos!K19</f>
        <v>0.0223520724544983</v>
      </c>
      <c r="I18" s="18" t="n">
        <v>1</v>
      </c>
      <c r="J18" s="18" t="n">
        <f aca="false">B18-($B$88+$B$89*C18+$B$90*D18+$B$91*E18+$B$92*F18+$B$93*G18+$B$94*H18)</f>
        <v>0.0460612065165006</v>
      </c>
      <c r="K18" s="18" t="n">
        <f aca="false">J18^2</f>
        <v>0.00212163474575572</v>
      </c>
      <c r="L18" s="18" t="n">
        <f aca="false">I18*$J18</f>
        <v>0.0460612065165006</v>
      </c>
      <c r="M18" s="18" t="n">
        <f aca="false">C18*$J18</f>
        <v>0.00532003016579848</v>
      </c>
      <c r="N18" s="18" t="n">
        <f aca="false">D18*$J18</f>
        <v>0.0213959278352167</v>
      </c>
      <c r="O18" s="18" t="n">
        <f aca="false">E18*$J18</f>
        <v>-9.38477899116974</v>
      </c>
      <c r="P18" s="18" t="n">
        <f aca="false">F18*$J18</f>
        <v>46.0502932376266</v>
      </c>
      <c r="Q18" s="18" t="n">
        <f aca="false">G18*$J18</f>
        <v>0.00202817923474968</v>
      </c>
      <c r="R18" s="18" t="n">
        <f aca="false">H18*$J18</f>
        <v>0.00102956342539843</v>
      </c>
    </row>
    <row r="19" customFormat="false" ht="15" hidden="false" customHeight="false" outlineLevel="0" collapsed="false">
      <c r="A19" s="19" t="str">
        <f aca="false">Datos!A27</f>
        <v>2010Q3</v>
      </c>
      <c r="B19" s="20" t="n">
        <f aca="false">Datos!L27</f>
        <v>-0.0673645714182929</v>
      </c>
      <c r="C19" s="20" t="n">
        <f aca="false">Datos!I27</f>
        <v>0.0131107735865699</v>
      </c>
      <c r="D19" s="20" t="n">
        <f aca="false">Datos!H27</f>
        <v>-22.7225300099209</v>
      </c>
      <c r="E19" s="20" t="n">
        <f aca="false">Datos!H25</f>
        <v>15.4416356425168</v>
      </c>
      <c r="F19" s="20" t="n">
        <f aca="false">Datos!H21</f>
        <v>3.47016790058183</v>
      </c>
      <c r="G19" s="20" t="n">
        <f aca="false">Datos!J21</f>
        <v>-0.0701582840739423</v>
      </c>
      <c r="H19" s="20" t="n">
        <f aca="false">Datos!K20</f>
        <v>-0.181715050328396</v>
      </c>
      <c r="I19" s="18" t="n">
        <v>1</v>
      </c>
      <c r="J19" s="18" t="n">
        <f aca="false">B19-($B$88+$B$89*C19+$B$90*D19+$B$91*E19+$B$92*F19+$B$93*G19+$B$94*H19)</f>
        <v>-0.0443267594679901</v>
      </c>
      <c r="K19" s="18" t="n">
        <f aca="false">J19^2</f>
        <v>0.00196486160493305</v>
      </c>
      <c r="L19" s="18" t="n">
        <f aca="false">I19*$J19</f>
        <v>-0.0443267594679901</v>
      </c>
      <c r="M19" s="18" t="n">
        <f aca="false">C19*$J19</f>
        <v>-0.000581158107211161</v>
      </c>
      <c r="N19" s="18" t="n">
        <f aca="false">D19*$J19</f>
        <v>1.00721612225395</v>
      </c>
      <c r="O19" s="18" t="n">
        <f aca="false">E19*$J19</f>
        <v>-0.684477668918183</v>
      </c>
      <c r="P19" s="18" t="n">
        <f aca="false">F19*$J19</f>
        <v>-0.153821297842631</v>
      </c>
      <c r="Q19" s="18" t="n">
        <f aca="false">G19*$J19</f>
        <v>0.00310988938283256</v>
      </c>
      <c r="R19" s="18" t="n">
        <f aca="false">H19*$J19</f>
        <v>0.00805483932762055</v>
      </c>
    </row>
    <row r="20" customFormat="false" ht="15" hidden="false" customHeight="false" outlineLevel="0" collapsed="false">
      <c r="A20" s="19" t="str">
        <f aca="false">Datos!A28</f>
        <v>2010Q4</v>
      </c>
      <c r="B20" s="20" t="n">
        <f aca="false">Datos!L28</f>
        <v>-0.00897949256805108</v>
      </c>
      <c r="C20" s="20" t="n">
        <f aca="false">Datos!I28</f>
        <v>0.0312470107223477</v>
      </c>
      <c r="D20" s="20" t="n">
        <f aca="false">Datos!H28</f>
        <v>-165.748584173387</v>
      </c>
      <c r="E20" s="20" t="n">
        <f aca="false">Datos!H26</f>
        <v>0.464510798855258</v>
      </c>
      <c r="F20" s="20" t="n">
        <f aca="false">Datos!H22</f>
        <v>-244.401219359875</v>
      </c>
      <c r="G20" s="20" t="n">
        <f aca="false">Datos!J22</f>
        <v>0.054123533141051</v>
      </c>
      <c r="H20" s="20" t="n">
        <f aca="false">Datos!K21</f>
        <v>-0.10171645872716</v>
      </c>
      <c r="I20" s="18" t="n">
        <v>1</v>
      </c>
      <c r="J20" s="18" t="n">
        <f aca="false">B20-($B$88+$B$89*C20+$B$90*D20+$B$91*E20+$B$92*F20+$B$93*G20+$B$94*H20)</f>
        <v>0.0101926499366496</v>
      </c>
      <c r="K20" s="18" t="n">
        <f aca="false">J20^2</f>
        <v>0.000103890112731083</v>
      </c>
      <c r="L20" s="18" t="n">
        <f aca="false">I20*$J20</f>
        <v>0.0101926499366496</v>
      </c>
      <c r="M20" s="18" t="n">
        <f aca="false">C20*$J20</f>
        <v>0.000318489841859626</v>
      </c>
      <c r="N20" s="18" t="n">
        <f aca="false">D20*$J20</f>
        <v>-1.68941729597463</v>
      </c>
      <c r="O20" s="18" t="n">
        <f aca="false">E20*$J20</f>
        <v>0.00473459596452509</v>
      </c>
      <c r="P20" s="18" t="n">
        <f aca="false">F20*$J20</f>
        <v>-2.49109607302551</v>
      </c>
      <c r="Q20" s="18" t="n">
        <f aca="false">G20*$J20</f>
        <v>0.000551662226641385</v>
      </c>
      <c r="R20" s="18" t="n">
        <f aca="false">H20*$J20</f>
        <v>-0.00103676025660161</v>
      </c>
    </row>
    <row r="21" customFormat="false" ht="15" hidden="false" customHeight="false" outlineLevel="0" collapsed="false">
      <c r="A21" s="19" t="str">
        <f aca="false">Datos!A29</f>
        <v>2011Q1</v>
      </c>
      <c r="B21" s="20" t="n">
        <f aca="false">Datos!L29</f>
        <v>-0.0031717685997612</v>
      </c>
      <c r="C21" s="20" t="n">
        <f aca="false">Datos!I29</f>
        <v>0.0422766191537938</v>
      </c>
      <c r="D21" s="20" t="n">
        <f aca="false">Datos!H29</f>
        <v>-12.9487096774192</v>
      </c>
      <c r="E21" s="20" t="n">
        <f aca="false">Datos!H27</f>
        <v>-22.7225300099209</v>
      </c>
      <c r="F21" s="20" t="n">
        <f aca="false">Datos!H23</f>
        <v>-533.989581101191</v>
      </c>
      <c r="G21" s="20" t="n">
        <f aca="false">Datos!J23</f>
        <v>-0.0490698977401611</v>
      </c>
      <c r="H21" s="20" t="n">
        <f aca="false">Datos!K22</f>
        <v>0.129643513362584</v>
      </c>
      <c r="I21" s="18" t="n">
        <v>1</v>
      </c>
      <c r="J21" s="18" t="n">
        <f aca="false">B21-($B$88+$B$89*C21+$B$90*D21+$B$91*E21+$B$92*F21+$B$93*G21+$B$94*H21)</f>
        <v>-0.021470527706922</v>
      </c>
      <c r="K21" s="18" t="n">
        <f aca="false">J21^2</f>
        <v>0.000460983560013705</v>
      </c>
      <c r="L21" s="18" t="n">
        <f aca="false">I21*$J21</f>
        <v>-0.021470527706922</v>
      </c>
      <c r="M21" s="18" t="n">
        <f aca="false">C21*$J21</f>
        <v>-0.000907701322896519</v>
      </c>
      <c r="N21" s="18" t="n">
        <f aca="false">D21*$J21</f>
        <v>0.278015629897917</v>
      </c>
      <c r="O21" s="18" t="n">
        <f aca="false">E21*$J21</f>
        <v>0.487864710149373</v>
      </c>
      <c r="P21" s="18" t="n">
        <f aca="false">F21*$J21</f>
        <v>11.4650380962408</v>
      </c>
      <c r="Q21" s="18" t="n">
        <f aca="false">G21*$J21</f>
        <v>0.00105355659900596</v>
      </c>
      <c r="R21" s="18" t="n">
        <f aca="false">H21*$J21</f>
        <v>-0.00278351464567408</v>
      </c>
    </row>
    <row r="22" customFormat="false" ht="15" hidden="false" customHeight="false" outlineLevel="0" collapsed="false">
      <c r="A22" s="19" t="str">
        <f aca="false">Datos!A30</f>
        <v>2011Q2</v>
      </c>
      <c r="B22" s="20" t="n">
        <f aca="false">Datos!L30</f>
        <v>-0.0384927248467331</v>
      </c>
      <c r="C22" s="20" t="n">
        <f aca="false">Datos!I30</f>
        <v>-0.0386592979395697</v>
      </c>
      <c r="D22" s="20" t="n">
        <f aca="false">Datos!H30</f>
        <v>41.5229032258063</v>
      </c>
      <c r="E22" s="20" t="n">
        <f aca="false">Datos!H28</f>
        <v>-165.748584173387</v>
      </c>
      <c r="F22" s="20" t="n">
        <f aca="false">Datos!H24</f>
        <v>-203.745835181452</v>
      </c>
      <c r="G22" s="20" t="n">
        <f aca="false">Datos!J24</f>
        <v>0.0211877049597919</v>
      </c>
      <c r="H22" s="20" t="n">
        <f aca="false">Datos!K23</f>
        <v>0.0271664532119418</v>
      </c>
      <c r="I22" s="18" t="n">
        <v>1</v>
      </c>
      <c r="J22" s="18" t="n">
        <f aca="false">B22-($B$88+$B$89*C22+$B$90*D22+$B$91*E22+$B$92*F22+$B$93*G22+$B$94*H22)</f>
        <v>-0.0392417263142862</v>
      </c>
      <c r="K22" s="18" t="n">
        <f aca="false">J22^2</f>
        <v>0.00153991308412534</v>
      </c>
      <c r="L22" s="18" t="n">
        <f aca="false">I22*$J22</f>
        <v>-0.0392417263142862</v>
      </c>
      <c r="M22" s="18" t="n">
        <f aca="false">C22*$J22</f>
        <v>0.00151705758924704</v>
      </c>
      <c r="N22" s="18" t="n">
        <f aca="false">D22*$J22</f>
        <v>-1.62943040416168</v>
      </c>
      <c r="O22" s="18" t="n">
        <f aca="false">E22*$J22</f>
        <v>6.50426057711249</v>
      </c>
      <c r="P22" s="18" t="n">
        <f aca="false">F22*$J22</f>
        <v>7.99533830186619</v>
      </c>
      <c r="Q22" s="18" t="n">
        <f aca="false">G22*$J22</f>
        <v>-0.000831442119259997</v>
      </c>
      <c r="R22" s="18" t="n">
        <f aca="false">H22*$J22</f>
        <v>-0.00106605852187288</v>
      </c>
    </row>
    <row r="23" customFormat="false" ht="15" hidden="false" customHeight="false" outlineLevel="0" collapsed="false">
      <c r="A23" s="19" t="str">
        <f aca="false">Datos!A31</f>
        <v>2011Q3</v>
      </c>
      <c r="B23" s="20" t="n">
        <f aca="false">Datos!L31</f>
        <v>0.0196602341504317</v>
      </c>
      <c r="C23" s="20" t="n">
        <f aca="false">Datos!I31</f>
        <v>0.0068203401084819</v>
      </c>
      <c r="D23" s="20" t="n">
        <f aca="false">Datos!H31</f>
        <v>158.444625</v>
      </c>
      <c r="E23" s="20" t="n">
        <f aca="false">Datos!H29</f>
        <v>-12.9487096774192</v>
      </c>
      <c r="F23" s="20" t="n">
        <f aca="false">Datos!H25</f>
        <v>15.4416356425168</v>
      </c>
      <c r="G23" s="20" t="n">
        <f aca="false">Datos!J25</f>
        <v>0.0221868916706847</v>
      </c>
      <c r="H23" s="20" t="n">
        <f aca="false">Datos!K24</f>
        <v>0.081172316441758</v>
      </c>
      <c r="I23" s="18" t="n">
        <v>1</v>
      </c>
      <c r="J23" s="18" t="n">
        <f aca="false">B23-($B$88+$B$89*C23+$B$90*D23+$B$91*E23+$B$92*F23+$B$93*G23+$B$94*H23)</f>
        <v>0.0138042366702587</v>
      </c>
      <c r="K23" s="18" t="n">
        <f aca="false">J23^2</f>
        <v>0.000190556950048516</v>
      </c>
      <c r="L23" s="18" t="n">
        <f aca="false">I23*$J23</f>
        <v>0.0138042366702587</v>
      </c>
      <c r="M23" s="18" t="n">
        <f aca="false">C23*$J23</f>
        <v>9.41495890291424E-005</v>
      </c>
      <c r="N23" s="18" t="n">
        <f aca="false">D23*$J23</f>
        <v>2.1872071026304</v>
      </c>
      <c r="O23" s="18" t="n">
        <f aca="false">E23*$J23</f>
        <v>-0.178747052961564</v>
      </c>
      <c r="P23" s="18" t="n">
        <f aca="false">F23*$J23</f>
        <v>0.213159992985204</v>
      </c>
      <c r="Q23" s="18" t="n">
        <f aca="false">G23*$J23</f>
        <v>0.000306273103599524</v>
      </c>
      <c r="R23" s="18" t="n">
        <f aca="false">H23*$J23</f>
        <v>0.00112052186723516</v>
      </c>
    </row>
    <row r="24" customFormat="false" ht="15" hidden="false" customHeight="false" outlineLevel="0" collapsed="false">
      <c r="A24" s="19" t="str">
        <f aca="false">Datos!A32</f>
        <v>2011Q4</v>
      </c>
      <c r="B24" s="20" t="n">
        <f aca="false">Datos!L32</f>
        <v>-0.0119223528865138</v>
      </c>
      <c r="C24" s="20" t="n">
        <f aca="false">Datos!I32</f>
        <v>-0.0270244482852387</v>
      </c>
      <c r="D24" s="20" t="n">
        <f aca="false">Datos!H32</f>
        <v>174.585041666667</v>
      </c>
      <c r="E24" s="20" t="n">
        <f aca="false">Datos!H30</f>
        <v>41.5229032258063</v>
      </c>
      <c r="F24" s="20" t="n">
        <f aca="false">Datos!H26</f>
        <v>0.464510798855258</v>
      </c>
      <c r="G24" s="20" t="n">
        <f aca="false">Datos!J26</f>
        <v>-0.0447960728624985</v>
      </c>
      <c r="H24" s="20" t="n">
        <f aca="false">Datos!K25</f>
        <v>0.00367116102547781</v>
      </c>
      <c r="I24" s="18" t="n">
        <v>1</v>
      </c>
      <c r="J24" s="18" t="n">
        <f aca="false">B24-($B$88+$B$89*C24+$B$90*D24+$B$91*E24+$B$92*F24+$B$93*G24+$B$94*H24)</f>
        <v>-0.00279191952362058</v>
      </c>
      <c r="K24" s="18" t="n">
        <f aca="false">J24^2</f>
        <v>7.79481462637375E-006</v>
      </c>
      <c r="L24" s="18" t="n">
        <f aca="false">I24*$J24</f>
        <v>-0.00279191952362058</v>
      </c>
      <c r="M24" s="18" t="n">
        <f aca="false">C24*$J24</f>
        <v>7.54500847826325E-005</v>
      </c>
      <c r="N24" s="18" t="n">
        <f aca="false">D24*$J24</f>
        <v>-0.487427386361279</v>
      </c>
      <c r="O24" s="18" t="n">
        <f aca="false">E24*$J24</f>
        <v>-0.115928604193536</v>
      </c>
      <c r="P24" s="18" t="n">
        <f aca="false">F24*$J24</f>
        <v>-0.00129687676825659</v>
      </c>
      <c r="Q24" s="18" t="n">
        <f aca="false">G24*$J24</f>
        <v>0.000125067030406339</v>
      </c>
      <c r="R24" s="18" t="n">
        <f aca="false">H24*$J24</f>
        <v>-1.02495861413864E-005</v>
      </c>
    </row>
    <row r="25" customFormat="false" ht="15" hidden="false" customHeight="false" outlineLevel="0" collapsed="false">
      <c r="A25" s="19" t="str">
        <f aca="false">Datos!A33</f>
        <v>2012Q1</v>
      </c>
      <c r="B25" s="20" t="n">
        <f aca="false">Datos!L33</f>
        <v>-0.0365288496025893</v>
      </c>
      <c r="C25" s="20" t="n">
        <f aca="false">Datos!I33</f>
        <v>-0.0290398188694472</v>
      </c>
      <c r="D25" s="20" t="n">
        <f aca="false">Datos!H33</f>
        <v>-75.1010327956988</v>
      </c>
      <c r="E25" s="20" t="n">
        <f aca="false">Datos!H31</f>
        <v>158.444625</v>
      </c>
      <c r="F25" s="20" t="n">
        <f aca="false">Datos!H27</f>
        <v>-22.7225300099209</v>
      </c>
      <c r="G25" s="20" t="n">
        <f aca="false">Datos!J27</f>
        <v>0.0629084391155807</v>
      </c>
      <c r="H25" s="20" t="n">
        <f aca="false">Datos!K26</f>
        <v>-0.134873174066432</v>
      </c>
      <c r="I25" s="18" t="n">
        <v>1</v>
      </c>
      <c r="J25" s="18" t="n">
        <f aca="false">B25-($B$88+$B$89*C25+$B$90*D25+$B$91*E25+$B$92*F25+$B$93*G25+$B$94*H25)</f>
        <v>0.00301873162130278</v>
      </c>
      <c r="K25" s="18" t="n">
        <f aca="false">J25^2</f>
        <v>9.11274060145329E-006</v>
      </c>
      <c r="L25" s="18" t="n">
        <f aca="false">I25*$J25</f>
        <v>0.00301873162130278</v>
      </c>
      <c r="M25" s="18" t="n">
        <f aca="false">C25*$J25</f>
        <v>-8.76634194981052E-005</v>
      </c>
      <c r="N25" s="18" t="n">
        <f aca="false">D25*$J25</f>
        <v>-0.226709862492873</v>
      </c>
      <c r="O25" s="18" t="n">
        <f aca="false">E25*$J25</f>
        <v>0.47830179971296</v>
      </c>
      <c r="P25" s="18" t="n">
        <f aca="false">F25*$J25</f>
        <v>-0.0685932198569495</v>
      </c>
      <c r="Q25" s="18" t="n">
        <f aca="false">G25*$J25</f>
        <v>0.000189903694405004</v>
      </c>
      <c r="R25" s="18" t="n">
        <f aca="false">H25*$J25</f>
        <v>-0.000407145915419813</v>
      </c>
    </row>
    <row r="26" customFormat="false" ht="15" hidden="false" customHeight="false" outlineLevel="0" collapsed="false">
      <c r="A26" s="19" t="str">
        <f aca="false">Datos!A34</f>
        <v>2012Q2</v>
      </c>
      <c r="B26" s="20" t="n">
        <f aca="false">Datos!L34</f>
        <v>-0.0619600415532879</v>
      </c>
      <c r="C26" s="20" t="n">
        <f aca="false">Datos!I34</f>
        <v>-0.026110493572689</v>
      </c>
      <c r="D26" s="20" t="n">
        <f aca="false">Datos!H34</f>
        <v>231.838685176651</v>
      </c>
      <c r="E26" s="20" t="n">
        <f aca="false">Datos!H32</f>
        <v>174.585041666667</v>
      </c>
      <c r="F26" s="20" t="n">
        <f aca="false">Datos!H28</f>
        <v>-165.748584173387</v>
      </c>
      <c r="G26" s="20" t="n">
        <f aca="false">Datos!J28</f>
        <v>0.0406890191956908</v>
      </c>
      <c r="H26" s="20" t="n">
        <f aca="false">Datos!K27</f>
        <v>0.00395895744112517</v>
      </c>
      <c r="I26" s="18" t="n">
        <v>1</v>
      </c>
      <c r="J26" s="18" t="n">
        <f aca="false">B26-($B$88+$B$89*C26+$B$90*D26+$B$91*E26+$B$92*F26+$B$93*G26+$B$94*H26)</f>
        <v>-0.0254895206293107</v>
      </c>
      <c r="K26" s="18" t="n">
        <f aca="false">J26^2</f>
        <v>0.000649715661912055</v>
      </c>
      <c r="L26" s="18" t="n">
        <f aca="false">I26*$J26</f>
        <v>-0.0254895206293107</v>
      </c>
      <c r="M26" s="18" t="n">
        <f aca="false">C26*$J26</f>
        <v>0.00066554396456254</v>
      </c>
      <c r="N26" s="18" t="n">
        <f aca="false">D26*$J26</f>
        <v>-5.90945694848251</v>
      </c>
      <c r="O26" s="18" t="n">
        <f aca="false">E26*$J26</f>
        <v>-4.45008902113157</v>
      </c>
      <c r="P26" s="18" t="n">
        <f aca="false">F26*$J26</f>
        <v>4.22485195556659</v>
      </c>
      <c r="Q26" s="18" t="n">
        <f aca="false">G26*$J26</f>
        <v>-0.00103714359417498</v>
      </c>
      <c r="R26" s="18" t="n">
        <f aca="false">H26*$J26</f>
        <v>-0.000100911927366123</v>
      </c>
    </row>
    <row r="27" customFormat="false" ht="15" hidden="false" customHeight="false" outlineLevel="0" collapsed="false">
      <c r="A27" s="19" t="str">
        <f aca="false">Datos!A35</f>
        <v>2012Q3</v>
      </c>
      <c r="B27" s="20" t="n">
        <f aca="false">Datos!L35</f>
        <v>0.0351346302789751</v>
      </c>
      <c r="C27" s="20" t="n">
        <f aca="false">Datos!I35</f>
        <v>0.0386172859864582</v>
      </c>
      <c r="D27" s="20" t="n">
        <f aca="false">Datos!H35</f>
        <v>-43.7133031746029</v>
      </c>
      <c r="E27" s="20" t="n">
        <f aca="false">Datos!H33</f>
        <v>-75.1010327956988</v>
      </c>
      <c r="F27" s="20" t="n">
        <f aca="false">Datos!H29</f>
        <v>-12.9487096774192</v>
      </c>
      <c r="G27" s="20" t="n">
        <f aca="false">Datos!J29</f>
        <v>-0.0741697784354101</v>
      </c>
      <c r="H27" s="20" t="n">
        <f aca="false">Datos!K28</f>
        <v>0.05803748575736</v>
      </c>
      <c r="I27" s="18" t="n">
        <v>1</v>
      </c>
      <c r="J27" s="18" t="n">
        <f aca="false">B27-($B$88+$B$89*C27+$B$90*D27+$B$91*E27+$B$92*F27+$B$93*G27+$B$94*H27)</f>
        <v>0.00400440314325234</v>
      </c>
      <c r="K27" s="18" t="n">
        <f aca="false">J27^2</f>
        <v>1.60352445336892E-005</v>
      </c>
      <c r="L27" s="18" t="n">
        <f aca="false">I27*$J27</f>
        <v>0.00400440314325234</v>
      </c>
      <c r="M27" s="18" t="n">
        <f aca="false">C27*$J27</f>
        <v>0.000154639181388048</v>
      </c>
      <c r="N27" s="18" t="n">
        <f aca="false">D27*$J27</f>
        <v>-0.175045688634322</v>
      </c>
      <c r="O27" s="18" t="n">
        <f aca="false">E27*$J27</f>
        <v>-0.300734811788593</v>
      </c>
      <c r="P27" s="18" t="n">
        <f aca="false">F27*$J27</f>
        <v>-0.0518518537333193</v>
      </c>
      <c r="Q27" s="18" t="n">
        <f aca="false">G27*$J27</f>
        <v>-0.000297005693901086</v>
      </c>
      <c r="R27" s="18" t="n">
        <f aca="false">H27*$J27</f>
        <v>0.000232405490393235</v>
      </c>
    </row>
    <row r="28" customFormat="false" ht="15" hidden="false" customHeight="false" outlineLevel="0" collapsed="false">
      <c r="A28" s="19" t="str">
        <f aca="false">Datos!A36</f>
        <v>2012Q4</v>
      </c>
      <c r="B28" s="20" t="n">
        <f aca="false">Datos!L36</f>
        <v>0.0167409821196641</v>
      </c>
      <c r="C28" s="20" t="n">
        <f aca="false">Datos!I36</f>
        <v>0.0395024208900321</v>
      </c>
      <c r="D28" s="20" t="n">
        <f aca="false">Datos!H36</f>
        <v>16.4557341269839</v>
      </c>
      <c r="E28" s="20" t="n">
        <f aca="false">Datos!H34</f>
        <v>231.838685176651</v>
      </c>
      <c r="F28" s="20" t="n">
        <f aca="false">Datos!H30</f>
        <v>41.5229032258063</v>
      </c>
      <c r="G28" s="20" t="n">
        <f aca="false">Datos!J30</f>
        <v>0.0370188748562493</v>
      </c>
      <c r="H28" s="20" t="n">
        <f aca="false">Datos!K29</f>
        <v>0.0369403748928518</v>
      </c>
      <c r="I28" s="18" t="n">
        <v>1</v>
      </c>
      <c r="J28" s="18" t="n">
        <f aca="false">B28-($B$88+$B$89*C28+$B$90*D28+$B$91*E28+$B$92*F28+$B$93*G28+$B$94*H28)</f>
        <v>0.0228995634453706</v>
      </c>
      <c r="K28" s="18" t="n">
        <f aca="false">J28^2</f>
        <v>0.000524390005988552</v>
      </c>
      <c r="L28" s="18" t="n">
        <f aca="false">I28*$J28</f>
        <v>0.0228995634453706</v>
      </c>
      <c r="M28" s="18" t="n">
        <f aca="false">C28*$J28</f>
        <v>0.000904588193417022</v>
      </c>
      <c r="N28" s="18" t="n">
        <f aca="false">D28*$J28</f>
        <v>0.376829127681017</v>
      </c>
      <c r="O28" s="18" t="n">
        <f aca="false">E28*$J28</f>
        <v>5.30900468029402</v>
      </c>
      <c r="P28" s="18" t="n">
        <f aca="false">F28*$J28</f>
        <v>0.950856356855334</v>
      </c>
      <c r="Q28" s="18" t="n">
        <f aca="false">G28*$J28</f>
        <v>0.000847716073446915</v>
      </c>
      <c r="R28" s="18" t="n">
        <f aca="false">H28*$J28</f>
        <v>0.000845918458554635</v>
      </c>
    </row>
    <row r="29" customFormat="false" ht="15" hidden="false" customHeight="false" outlineLevel="0" collapsed="false">
      <c r="A29" s="19" t="str">
        <f aca="false">Datos!A37</f>
        <v>2013Q1</v>
      </c>
      <c r="B29" s="20" t="n">
        <f aca="false">Datos!L37</f>
        <v>0.000982211281734369</v>
      </c>
      <c r="C29" s="20" t="n">
        <f aca="false">Datos!I37</f>
        <v>-0.0136126649327899</v>
      </c>
      <c r="D29" s="20" t="n">
        <f aca="false">Datos!H37</f>
        <v>88.9247333333331</v>
      </c>
      <c r="E29" s="20" t="n">
        <f aca="false">Datos!H35</f>
        <v>-43.7133031746029</v>
      </c>
      <c r="F29" s="20" t="n">
        <f aca="false">Datos!H31</f>
        <v>158.444625</v>
      </c>
      <c r="G29" s="20" t="n">
        <f aca="false">Datos!J31</f>
        <v>0.0367630898891084</v>
      </c>
      <c r="H29" s="20" t="n">
        <f aca="false">Datos!K30</f>
        <v>0.0675225331288068</v>
      </c>
      <c r="I29" s="18" t="n">
        <v>1</v>
      </c>
      <c r="J29" s="18" t="n">
        <f aca="false">B29-($B$88+$B$89*C29+$B$90*D29+$B$91*E29+$B$92*F29+$B$93*G29+$B$94*H29)</f>
        <v>-0.0102405958133261</v>
      </c>
      <c r="K29" s="18" t="n">
        <f aca="false">J29^2</f>
        <v>0.000104869802611913</v>
      </c>
      <c r="L29" s="18" t="n">
        <f aca="false">I29*$J29</f>
        <v>-0.0102405958133261</v>
      </c>
      <c r="M29" s="18" t="n">
        <f aca="false">C29*$J29</f>
        <v>0.00013940179951894</v>
      </c>
      <c r="N29" s="18" t="n">
        <f aca="false">D29*$J29</f>
        <v>-0.910642251874474</v>
      </c>
      <c r="O29" s="18" t="n">
        <f aca="false">E29*$J29</f>
        <v>0.447650269476494</v>
      </c>
      <c r="P29" s="18" t="n">
        <f aca="false">F29*$J29</f>
        <v>-1.62256736341903</v>
      </c>
      <c r="Q29" s="18" t="n">
        <f aca="false">G29*$J29</f>
        <v>-0.000376475944403336</v>
      </c>
      <c r="R29" s="18" t="n">
        <f aca="false">H29*$J29</f>
        <v>-0.000691470970064035</v>
      </c>
    </row>
    <row r="30" customFormat="false" ht="15" hidden="false" customHeight="false" outlineLevel="0" collapsed="false">
      <c r="A30" s="19" t="str">
        <f aca="false">Datos!A38</f>
        <v>2013Q2</v>
      </c>
      <c r="B30" s="20" t="n">
        <f aca="false">Datos!L38</f>
        <v>0.0559199834902318</v>
      </c>
      <c r="C30" s="20" t="n">
        <f aca="false">Datos!I38</f>
        <v>0.000905918240426698</v>
      </c>
      <c r="D30" s="20" t="n">
        <f aca="false">Datos!H38</f>
        <v>74.8855166666669</v>
      </c>
      <c r="E30" s="20" t="n">
        <f aca="false">Datos!H36</f>
        <v>16.4557341269839</v>
      </c>
      <c r="F30" s="20" t="n">
        <f aca="false">Datos!H32</f>
        <v>174.585041666667</v>
      </c>
      <c r="G30" s="20" t="n">
        <f aca="false">Datos!J32</f>
        <v>-0.135501479583027</v>
      </c>
      <c r="H30" s="20" t="n">
        <f aca="false">Datos!K31</f>
        <v>-0.0288618479552661</v>
      </c>
      <c r="I30" s="18" t="n">
        <v>1</v>
      </c>
      <c r="J30" s="18" t="n">
        <f aca="false">B30-($B$88+$B$89*C30+$B$90*D30+$B$91*E30+$B$92*F30+$B$93*G30+$B$94*H30)</f>
        <v>0.0441739050967863</v>
      </c>
      <c r="K30" s="18" t="n">
        <f aca="false">J30^2</f>
        <v>0.00195133389149988</v>
      </c>
      <c r="L30" s="18" t="n">
        <f aca="false">I30*$J30</f>
        <v>0.0441739050967863</v>
      </c>
      <c r="M30" s="18" t="n">
        <f aca="false">C30*$J30</f>
        <v>4.00179463780566E-005</v>
      </c>
      <c r="N30" s="18" t="n">
        <f aca="false">D30*$J30</f>
        <v>3.30798570635715</v>
      </c>
      <c r="O30" s="18" t="n">
        <f aca="false">E30*$J30</f>
        <v>0.726914037623333</v>
      </c>
      <c r="P30" s="18" t="n">
        <f aca="false">F30*$J30</f>
        <v>7.71210306190181</v>
      </c>
      <c r="Q30" s="18" t="n">
        <f aca="false">G30*$J30</f>
        <v>-0.00598562949957474</v>
      </c>
      <c r="R30" s="18" t="n">
        <f aca="false">H30*$J30</f>
        <v>-0.0012749405324938</v>
      </c>
    </row>
    <row r="31" customFormat="false" ht="15" hidden="false" customHeight="false" outlineLevel="0" collapsed="false">
      <c r="A31" s="19" t="str">
        <f aca="false">Datos!A39</f>
        <v>2013Q3</v>
      </c>
      <c r="B31" s="20" t="n">
        <f aca="false">Datos!L39</f>
        <v>-0.0368763361961251</v>
      </c>
      <c r="C31" s="20" t="n">
        <f aca="false">Datos!I39</f>
        <v>-0.0669208551958795</v>
      </c>
      <c r="D31" s="20" t="n">
        <f aca="false">Datos!H39</f>
        <v>-109.725953125</v>
      </c>
      <c r="E31" s="20" t="n">
        <f aca="false">Datos!H37</f>
        <v>88.9247333333331</v>
      </c>
      <c r="F31" s="20" t="n">
        <f aca="false">Datos!H33</f>
        <v>-75.1010327956988</v>
      </c>
      <c r="G31" s="20" t="n">
        <f aca="false">Datos!J33</f>
        <v>0.0927807464043467</v>
      </c>
      <c r="H31" s="20" t="n">
        <f aca="false">Datos!K32</f>
        <v>-0.0632996042190603</v>
      </c>
      <c r="I31" s="18" t="n">
        <v>1</v>
      </c>
      <c r="J31" s="18" t="n">
        <f aca="false">B31-($B$88+$B$89*C31+$B$90*D31+$B$91*E31+$B$92*F31+$B$93*G31+$B$94*H31)</f>
        <v>-0.00855494030161001</v>
      </c>
      <c r="K31" s="18" t="n">
        <f aca="false">J31^2</f>
        <v>7.31870035641112E-005</v>
      </c>
      <c r="L31" s="18" t="n">
        <f aca="false">I31*$J31</f>
        <v>-0.00855494030161001</v>
      </c>
      <c r="M31" s="18" t="n">
        <f aca="false">C31*$J31</f>
        <v>0.000572503921133437</v>
      </c>
      <c r="N31" s="18" t="n">
        <f aca="false">D31*$J31</f>
        <v>0.938698978521633</v>
      </c>
      <c r="O31" s="18" t="n">
        <f aca="false">E31*$J31</f>
        <v>-0.760745785003254</v>
      </c>
      <c r="P31" s="18" t="n">
        <f aca="false">F31*$J31</f>
        <v>0.642484852156459</v>
      </c>
      <c r="Q31" s="18" t="n">
        <f aca="false">G31*$J31</f>
        <v>-0.000793733746628004</v>
      </c>
      <c r="R31" s="18" t="n">
        <f aca="false">H31*$J31</f>
        <v>0.000541524335209602</v>
      </c>
    </row>
    <row r="32" customFormat="false" ht="15" hidden="false" customHeight="false" outlineLevel="0" collapsed="false">
      <c r="A32" s="19" t="str">
        <f aca="false">Datos!A40</f>
        <v>2013Q4</v>
      </c>
      <c r="B32" s="20" t="n">
        <f aca="false">Datos!L40</f>
        <v>-0.0260941044948726</v>
      </c>
      <c r="C32" s="20" t="n">
        <f aca="false">Datos!I40</f>
        <v>-0.0573108864708702</v>
      </c>
      <c r="D32" s="20" t="n">
        <f aca="false">Datos!H40</f>
        <v>-236.474292776639</v>
      </c>
      <c r="E32" s="20" t="n">
        <f aca="false">Datos!H38</f>
        <v>74.8855166666669</v>
      </c>
      <c r="F32" s="20" t="n">
        <f aca="false">Datos!H34</f>
        <v>231.838685176651</v>
      </c>
      <c r="G32" s="20" t="n">
        <f aca="false">Datos!J34</f>
        <v>-0.0400600353414598</v>
      </c>
      <c r="H32" s="20" t="n">
        <f aca="false">Datos!K33</f>
        <v>-0.0212380852307825</v>
      </c>
      <c r="I32" s="18" t="n">
        <v>1</v>
      </c>
      <c r="J32" s="18" t="n">
        <f aca="false">B32-($B$88+$B$89*C32+$B$90*D32+$B$91*E32+$B$92*F32+$B$93*G32+$B$94*H32)</f>
        <v>-0.0415586987403086</v>
      </c>
      <c r="K32" s="18" t="n">
        <f aca="false">J32^2</f>
        <v>0.00172712544098773</v>
      </c>
      <c r="L32" s="18" t="n">
        <f aca="false">I32*$J32</f>
        <v>-0.0415586987403086</v>
      </c>
      <c r="M32" s="18" t="n">
        <f aca="false">C32*$J32</f>
        <v>0.00238176586538293</v>
      </c>
      <c r="N32" s="18" t="n">
        <f aca="false">D32*$J32</f>
        <v>9.82756389333188</v>
      </c>
      <c r="O32" s="18" t="n">
        <f aca="false">E32*$J32</f>
        <v>-3.11214462716237</v>
      </c>
      <c r="P32" s="18" t="n">
        <f aca="false">F32*$J32</f>
        <v>-9.6349140736057</v>
      </c>
      <c r="Q32" s="18" t="n">
        <f aca="false">G32*$J32</f>
        <v>0.00166484294028184</v>
      </c>
      <c r="R32" s="18" t="n">
        <f aca="false">H32*$J32</f>
        <v>0.000882627185927089</v>
      </c>
    </row>
    <row r="33" customFormat="false" ht="15" hidden="false" customHeight="false" outlineLevel="0" collapsed="false">
      <c r="A33" s="19" t="str">
        <f aca="false">Datos!A41</f>
        <v>2014Q1</v>
      </c>
      <c r="B33" s="20" t="n">
        <f aca="false">Datos!L41</f>
        <v>-0.00838007808506247</v>
      </c>
      <c r="C33" s="20" t="n">
        <f aca="false">Datos!I41</f>
        <v>-0.0958800124314026</v>
      </c>
      <c r="D33" s="20" t="n">
        <f aca="false">Datos!H41</f>
        <v>71.9946229508196</v>
      </c>
      <c r="E33" s="20" t="n">
        <f aca="false">Datos!H39</f>
        <v>-109.725953125</v>
      </c>
      <c r="F33" s="20" t="n">
        <f aca="false">Datos!H35</f>
        <v>-43.7133031746029</v>
      </c>
      <c r="G33" s="20" t="n">
        <f aca="false">Datos!J35</f>
        <v>-0.067078079606848</v>
      </c>
      <c r="H33" s="20" t="n">
        <f aca="false">Datos!K34</f>
        <v>-0.0420035680408851</v>
      </c>
      <c r="I33" s="18" t="n">
        <v>1</v>
      </c>
      <c r="J33" s="18" t="n">
        <f aca="false">B33-($B$88+$B$89*C33+$B$90*D33+$B$91*E33+$B$92*F33+$B$93*G33+$B$94*H33)</f>
        <v>-0.0012062558771025</v>
      </c>
      <c r="K33" s="18" t="n">
        <f aca="false">J33^2</f>
        <v>1.45505324104433E-006</v>
      </c>
      <c r="L33" s="18" t="n">
        <f aca="false">I33*$J33</f>
        <v>-0.0012062558771025</v>
      </c>
      <c r="M33" s="18" t="n">
        <f aca="false">C33*$J33</f>
        <v>0.000115655828492041</v>
      </c>
      <c r="N33" s="18" t="n">
        <f aca="false">D33*$J33</f>
        <v>-0.0868439370542049</v>
      </c>
      <c r="O33" s="18" t="n">
        <f aca="false">E33*$J33</f>
        <v>0.132357575827705</v>
      </c>
      <c r="P33" s="18" t="n">
        <f aca="false">F33*$J33</f>
        <v>0.0527294288619282</v>
      </c>
      <c r="Q33" s="18" t="n">
        <f aca="false">G33*$J33</f>
        <v>8.09133277505101E-005</v>
      </c>
      <c r="R33" s="18" t="n">
        <f aca="false">H33*$J33</f>
        <v>5.06670508085926E-005</v>
      </c>
    </row>
    <row r="34" customFormat="false" ht="15" hidden="false" customHeight="false" outlineLevel="0" collapsed="false">
      <c r="A34" s="19" t="str">
        <f aca="false">Datos!A42</f>
        <v>2014Q2</v>
      </c>
      <c r="B34" s="20" t="n">
        <f aca="false">Datos!L42</f>
        <v>-0.0115991030912197</v>
      </c>
      <c r="C34" s="20" t="n">
        <f aca="false">Datos!I42</f>
        <v>-0.0333671304691989</v>
      </c>
      <c r="D34" s="20" t="n">
        <f aca="false">Datos!H42</f>
        <v>-143.202551652355</v>
      </c>
      <c r="E34" s="20" t="n">
        <f aca="false">Datos!H40</f>
        <v>-236.474292776639</v>
      </c>
      <c r="F34" s="20" t="n">
        <f aca="false">Datos!H36</f>
        <v>16.4557341269839</v>
      </c>
      <c r="G34" s="20" t="n">
        <f aca="false">Datos!J36</f>
        <v>0.0542645345476518</v>
      </c>
      <c r="H34" s="20" t="n">
        <f aca="false">Datos!K35</f>
        <v>0.079458812069766</v>
      </c>
      <c r="I34" s="18" t="n">
        <v>1</v>
      </c>
      <c r="J34" s="18" t="n">
        <f aca="false">B34-($B$88+$B$89*C34+$B$90*D34+$B$91*E34+$B$92*F34+$B$93*G34+$B$94*H34)</f>
        <v>-0.0429677076784583</v>
      </c>
      <c r="K34" s="18" t="n">
        <f aca="false">J34^2</f>
        <v>0.00184622390314144</v>
      </c>
      <c r="L34" s="18" t="n">
        <f aca="false">I34*$J34</f>
        <v>-0.0429677076784583</v>
      </c>
      <c r="M34" s="18" t="n">
        <f aca="false">C34*$J34</f>
        <v>0.00143370910806952</v>
      </c>
      <c r="N34" s="18" t="n">
        <f aca="false">D34*$J34</f>
        <v>6.15308537820773</v>
      </c>
      <c r="O34" s="18" t="n">
        <f aca="false">E34*$J34</f>
        <v>10.1607582854968</v>
      </c>
      <c r="P34" s="18" t="n">
        <f aca="false">F34*$J34</f>
        <v>-0.707065173602674</v>
      </c>
      <c r="Q34" s="18" t="n">
        <f aca="false">G34*$J34</f>
        <v>-0.0023316226577511</v>
      </c>
      <c r="R34" s="18" t="n">
        <f aca="false">H34*$J34</f>
        <v>-0.00341416300949126</v>
      </c>
    </row>
    <row r="35" customFormat="false" ht="15" hidden="false" customHeight="false" outlineLevel="0" collapsed="false">
      <c r="A35" s="19" t="str">
        <f aca="false">Datos!A43</f>
        <v>2014Q3</v>
      </c>
      <c r="B35" s="20" t="n">
        <f aca="false">Datos!L43</f>
        <v>-0.021895763616679</v>
      </c>
      <c r="C35" s="20" t="n">
        <f aca="false">Datos!I43</f>
        <v>-0.00270570265133011</v>
      </c>
      <c r="D35" s="20" t="n">
        <f aca="false">Datos!H43</f>
        <v>-73.5206691468252</v>
      </c>
      <c r="E35" s="20" t="n">
        <f aca="false">Datos!H41</f>
        <v>71.9946229508196</v>
      </c>
      <c r="F35" s="20" t="n">
        <f aca="false">Datos!H37</f>
        <v>88.9247333333331</v>
      </c>
      <c r="G35" s="20" t="n">
        <f aca="false">Datos!J37</f>
        <v>-0.0125683284799909</v>
      </c>
      <c r="H35" s="20" t="n">
        <f aca="false">Datos!K36</f>
        <v>-0.0215673319846723</v>
      </c>
      <c r="I35" s="18" t="n">
        <v>1</v>
      </c>
      <c r="J35" s="18" t="n">
        <f aca="false">B35-($B$88+$B$89*C35+$B$90*D35+$B$91*E35+$B$92*F35+$B$93*G35+$B$94*H35)</f>
        <v>-0.02380113807586</v>
      </c>
      <c r="K35" s="18" t="n">
        <f aca="false">J35^2</f>
        <v>0.000566494173706153</v>
      </c>
      <c r="L35" s="18" t="n">
        <f aca="false">I35*$J35</f>
        <v>-0.02380113807586</v>
      </c>
      <c r="M35" s="18" t="n">
        <f aca="false">C35*$J35</f>
        <v>6.43988023965283E-005</v>
      </c>
      <c r="N35" s="18" t="n">
        <f aca="false">D35*$J35</f>
        <v>1.74987559779321</v>
      </c>
      <c r="O35" s="18" t="n">
        <f aca="false">E35*$J35</f>
        <v>-1.71355396157194</v>
      </c>
      <c r="P35" s="18" t="n">
        <f aca="false">F35*$J35</f>
        <v>-2.11650985642569</v>
      </c>
      <c r="Q35" s="18" t="n">
        <f aca="false">G35*$J35</f>
        <v>0.000299140521535027</v>
      </c>
      <c r="R35" s="18" t="n">
        <f aca="false">H35*$J35</f>
        <v>0.000513327046495097</v>
      </c>
    </row>
    <row r="36" customFormat="false" ht="15" hidden="false" customHeight="false" outlineLevel="0" collapsed="false">
      <c r="A36" s="19" t="str">
        <f aca="false">Datos!A44</f>
        <v>2014Q4</v>
      </c>
      <c r="B36" s="20" t="n">
        <f aca="false">Datos!L44</f>
        <v>0.0142278491595248</v>
      </c>
      <c r="C36" s="20" t="n">
        <f aca="false">Datos!I44</f>
        <v>0.0206592277311123</v>
      </c>
      <c r="D36" s="20" t="n">
        <f aca="false">Datos!H44</f>
        <v>21.0197781762296</v>
      </c>
      <c r="E36" s="20" t="n">
        <f aca="false">Datos!H42</f>
        <v>-143.202551652355</v>
      </c>
      <c r="F36" s="20" t="n">
        <f aca="false">Datos!H38</f>
        <v>74.8855166666669</v>
      </c>
      <c r="G36" s="20" t="n">
        <f aca="false">Datos!J38</f>
        <v>0.0292871541298152</v>
      </c>
      <c r="H36" s="20" t="n">
        <f aca="false">Datos!K37</f>
        <v>-0.0867445085368881</v>
      </c>
      <c r="I36" s="18" t="n">
        <v>1</v>
      </c>
      <c r="J36" s="18" t="n">
        <f aca="false">B36-($B$88+$B$89*C36+$B$90*D36+$B$91*E36+$B$92*F36+$B$93*G36+$B$94*H36)</f>
        <v>0.020507140775628</v>
      </c>
      <c r="K36" s="18" t="n">
        <f aca="false">J36^2</f>
        <v>0.000420542822791424</v>
      </c>
      <c r="L36" s="18" t="n">
        <f aca="false">I36*$J36</f>
        <v>0.020507140775628</v>
      </c>
      <c r="M36" s="18" t="n">
        <f aca="false">C36*$J36</f>
        <v>0.000423661691397678</v>
      </c>
      <c r="N36" s="18" t="n">
        <f aca="false">D36*$J36</f>
        <v>0.431055550132413</v>
      </c>
      <c r="O36" s="18" t="n">
        <f aca="false">E36*$J36</f>
        <v>-2.93667488616399</v>
      </c>
      <c r="P36" s="18" t="n">
        <f aca="false">F36*$J36</f>
        <v>1.53568783233898</v>
      </c>
      <c r="Q36" s="18" t="n">
        <f aca="false">G36*$J36</f>
        <v>0.000600595792657635</v>
      </c>
      <c r="R36" s="18" t="n">
        <f aca="false">H36*$J36</f>
        <v>-0.00177888184807863</v>
      </c>
    </row>
    <row r="37" customFormat="false" ht="15" hidden="false" customHeight="false" outlineLevel="0" collapsed="false">
      <c r="A37" s="19" t="str">
        <f aca="false">Datos!A45</f>
        <v>2015Q1</v>
      </c>
      <c r="B37" s="20" t="n">
        <f aca="false">Datos!L45</f>
        <v>0.0306663908660249</v>
      </c>
      <c r="C37" s="20" t="n">
        <f aca="false">Datos!I45</f>
        <v>0.12737234338906</v>
      </c>
      <c r="D37" s="20" t="n">
        <f aca="false">Datos!H45</f>
        <v>-63.2494918032786</v>
      </c>
      <c r="E37" s="20" t="n">
        <f aca="false">Datos!H43</f>
        <v>-73.5206691468252</v>
      </c>
      <c r="F37" s="20" t="n">
        <f aca="false">Datos!H39</f>
        <v>-109.725953125</v>
      </c>
      <c r="G37" s="20" t="n">
        <f aca="false">Datos!J39</f>
        <v>0.0770487894176897</v>
      </c>
      <c r="H37" s="20" t="n">
        <f aca="false">Datos!K38</f>
        <v>0.0123174371873954</v>
      </c>
      <c r="I37" s="18" t="n">
        <v>1</v>
      </c>
      <c r="J37" s="18" t="n">
        <f aca="false">B37-($B$88+$B$89*C37+$B$90*D37+$B$91*E37+$B$92*F37+$B$93*G37+$B$94*H37)</f>
        <v>0.0194408113164844</v>
      </c>
      <c r="K37" s="18" t="n">
        <f aca="false">J37^2</f>
        <v>0.000377945144643147</v>
      </c>
      <c r="L37" s="18" t="n">
        <f aca="false">I37*$J37</f>
        <v>0.0194408113164844</v>
      </c>
      <c r="M37" s="18" t="n">
        <f aca="false">C37*$J37</f>
        <v>0.00247622169476517</v>
      </c>
      <c r="N37" s="18" t="n">
        <f aca="false">D37*$J37</f>
        <v>-1.22962143601106</v>
      </c>
      <c r="O37" s="18" t="n">
        <f aca="false">E37*$J37</f>
        <v>-1.4293014567451</v>
      </c>
      <c r="P37" s="18" t="n">
        <f aca="false">F37*$J37</f>
        <v>-2.13316155122453</v>
      </c>
      <c r="Q37" s="18" t="n">
        <f aca="false">G37*$J37</f>
        <v>0.00149789097723284</v>
      </c>
      <c r="R37" s="18" t="n">
        <f aca="false">H37*$J37</f>
        <v>0.000239460972262802</v>
      </c>
    </row>
    <row r="38" customFormat="false" ht="15" hidden="false" customHeight="false" outlineLevel="0" collapsed="false">
      <c r="A38" s="19" t="str">
        <f aca="false">Datos!A46</f>
        <v>2015Q2</v>
      </c>
      <c r="B38" s="20" t="n">
        <f aca="false">Datos!L46</f>
        <v>0.0378012308454139</v>
      </c>
      <c r="C38" s="20" t="n">
        <f aca="false">Datos!I46</f>
        <v>0.079305358514979</v>
      </c>
      <c r="D38" s="20" t="n">
        <f aca="false">Datos!H46</f>
        <v>-69.448288776797</v>
      </c>
      <c r="E38" s="20" t="n">
        <f aca="false">Datos!H44</f>
        <v>21.0197781762296</v>
      </c>
      <c r="F38" s="20" t="n">
        <f aca="false">Datos!H40</f>
        <v>-236.474292776639</v>
      </c>
      <c r="G38" s="20" t="n">
        <f aca="false">Datos!J40</f>
        <v>-0.031577165647831</v>
      </c>
      <c r="H38" s="20" t="n">
        <f aca="false">Datos!K39</f>
        <v>-0.0661301293821577</v>
      </c>
      <c r="I38" s="18" t="n">
        <v>1</v>
      </c>
      <c r="J38" s="18" t="n">
        <f aca="false">B38-($B$88+$B$89*C38+$B$90*D38+$B$91*E38+$B$92*F38+$B$93*G38+$B$94*H38)</f>
        <v>0.0433367119240044</v>
      </c>
      <c r="K38" s="18" t="n">
        <f aca="false">J38^2</f>
        <v>0.00187807060038414</v>
      </c>
      <c r="L38" s="18" t="n">
        <f aca="false">I38*$J38</f>
        <v>0.0433367119240044</v>
      </c>
      <c r="M38" s="18" t="n">
        <f aca="false">C38*$J38</f>
        <v>0.00343683347599353</v>
      </c>
      <c r="N38" s="18" t="n">
        <f aca="false">D38*$J38</f>
        <v>-3.00966048433512</v>
      </c>
      <c r="O38" s="18" t="n">
        <f aca="false">E38*$J38</f>
        <v>0.910928071529735</v>
      </c>
      <c r="P38" s="18" t="n">
        <f aca="false">F38*$J38</f>
        <v>-10.2480183034939</v>
      </c>
      <c r="Q38" s="18" t="n">
        <f aca="false">G38*$J38</f>
        <v>-0.00136845053105662</v>
      </c>
      <c r="R38" s="18" t="n">
        <f aca="false">H38*$J38</f>
        <v>-0.00286586236653171</v>
      </c>
    </row>
    <row r="39" customFormat="false" ht="15" hidden="false" customHeight="false" outlineLevel="0" collapsed="false">
      <c r="A39" s="19" t="str">
        <f aca="false">Datos!A47</f>
        <v>2015Q3</v>
      </c>
      <c r="B39" s="20" t="n">
        <f aca="false">Datos!L47</f>
        <v>-0.000648620462658789</v>
      </c>
      <c r="C39" s="20" t="n">
        <f aca="false">Datos!I47</f>
        <v>-0.0219317664243788</v>
      </c>
      <c r="D39" s="20" t="n">
        <f aca="false">Datos!H47</f>
        <v>-12.3885780885781</v>
      </c>
      <c r="E39" s="20" t="n">
        <f aca="false">Datos!H45</f>
        <v>-63.2494918032786</v>
      </c>
      <c r="F39" s="20" t="n">
        <f aca="false">Datos!H41</f>
        <v>71.9946229508196</v>
      </c>
      <c r="G39" s="20" t="n">
        <f aca="false">Datos!J41</f>
        <v>0.0530334992950312</v>
      </c>
      <c r="H39" s="20" t="n">
        <f aca="false">Datos!K40</f>
        <v>-0.0319000966767005</v>
      </c>
      <c r="I39" s="18" t="n">
        <v>1</v>
      </c>
      <c r="J39" s="18" t="n">
        <f aca="false">B39-($B$88+$B$89*C39+$B$90*D39+$B$91*E39+$B$92*F39+$B$93*G39+$B$94*H39)</f>
        <v>0.00479242993337058</v>
      </c>
      <c r="K39" s="18" t="n">
        <f aca="false">J39^2</f>
        <v>2.29673846662663E-005</v>
      </c>
      <c r="L39" s="18" t="n">
        <f aca="false">I39*$J39</f>
        <v>0.00479242993337058</v>
      </c>
      <c r="M39" s="18" t="n">
        <f aca="false">C39*$J39</f>
        <v>-0.000105106453903885</v>
      </c>
      <c r="N39" s="18" t="n">
        <f aca="false">D39*$J39</f>
        <v>-0.0593713924636007</v>
      </c>
      <c r="O39" s="18" t="n">
        <f aca="false">E39*$J39</f>
        <v>-0.30311875778851</v>
      </c>
      <c r="P39" s="18" t="n">
        <f aca="false">F39*$J39</f>
        <v>0.345029186071236</v>
      </c>
      <c r="Q39" s="18" t="n">
        <f aca="false">G39*$J39</f>
        <v>0.000254159329492895</v>
      </c>
      <c r="R39" s="18" t="n">
        <f aca="false">H39*$J39</f>
        <v>-0.000152878978190835</v>
      </c>
    </row>
    <row r="40" customFormat="false" ht="15" hidden="false" customHeight="false" outlineLevel="0" collapsed="false">
      <c r="A40" s="19" t="str">
        <f aca="false">Datos!A48</f>
        <v>2015Q4</v>
      </c>
      <c r="B40" s="20" t="n">
        <f aca="false">Datos!L48</f>
        <v>-0.014934690706373</v>
      </c>
      <c r="C40" s="20" t="n">
        <f aca="false">Datos!I48</f>
        <v>0.00284689976009123</v>
      </c>
      <c r="D40" s="20" t="n">
        <f aca="false">Datos!H48</f>
        <v>-78.2729603729604</v>
      </c>
      <c r="E40" s="20" t="n">
        <f aca="false">Datos!H46</f>
        <v>-69.448288776797</v>
      </c>
      <c r="F40" s="20" t="n">
        <f aca="false">Datos!H42</f>
        <v>-143.202551652355</v>
      </c>
      <c r="G40" s="20" t="n">
        <f aca="false">Datos!J42</f>
        <v>0.067920751391922</v>
      </c>
      <c r="H40" s="20" t="n">
        <f aca="false">Datos!K41</f>
        <v>0.0671200742533991</v>
      </c>
      <c r="I40" s="18" t="n">
        <v>1</v>
      </c>
      <c r="J40" s="18" t="n">
        <f aca="false">B40-($B$88+$B$89*C40+$B$90*D40+$B$91*E40+$B$92*F40+$B$93*G40+$B$94*H40)</f>
        <v>-0.0256160377465274</v>
      </c>
      <c r="K40" s="18" t="n">
        <f aca="false">J40^2</f>
        <v>0.000656181389831515</v>
      </c>
      <c r="L40" s="18" t="n">
        <f aca="false">I40*$J40</f>
        <v>-0.0256160377465274</v>
      </c>
      <c r="M40" s="18" t="n">
        <f aca="false">C40*$J40</f>
        <v>-7.29262917150767E-005</v>
      </c>
      <c r="N40" s="18" t="n">
        <f aca="false">D40*$J40</f>
        <v>2.00504310744619</v>
      </c>
      <c r="O40" s="18" t="n">
        <f aca="false">E40*$J40</f>
        <v>1.77898998673816</v>
      </c>
      <c r="P40" s="18" t="n">
        <f aca="false">F40*$J40</f>
        <v>3.66828196852577</v>
      </c>
      <c r="Q40" s="18" t="n">
        <f aca="false">G40*$J40</f>
        <v>-0.00173986053142798</v>
      </c>
      <c r="R40" s="18" t="n">
        <f aca="false">H40*$J40</f>
        <v>-0.00171935035562479</v>
      </c>
    </row>
    <row r="41" customFormat="false" ht="15" hidden="false" customHeight="false" outlineLevel="0" collapsed="false">
      <c r="A41" s="19" t="str">
        <f aca="false">Datos!A49</f>
        <v>2016Q1</v>
      </c>
      <c r="B41" s="20" t="n">
        <f aca="false">Datos!L49</f>
        <v>-0.0174400837015445</v>
      </c>
      <c r="C41" s="20" t="n">
        <f aca="false">Datos!I49</f>
        <v>-0.114795786877596</v>
      </c>
      <c r="D41" s="20" t="n">
        <f aca="false">Datos!H49</f>
        <v>-38.2862026862027</v>
      </c>
      <c r="E41" s="20" t="n">
        <f aca="false">Datos!H47</f>
        <v>-12.3885780885781</v>
      </c>
      <c r="F41" s="20" t="n">
        <f aca="false">Datos!H43</f>
        <v>-73.5206691468252</v>
      </c>
      <c r="G41" s="20" t="n">
        <f aca="false">Datos!J43</f>
        <v>-0.0382165552288544</v>
      </c>
      <c r="H41" s="20" t="n">
        <f aca="false">Datos!K42</f>
        <v>0.0831122793228319</v>
      </c>
      <c r="I41" s="18" t="n">
        <v>1</v>
      </c>
      <c r="J41" s="18" t="n">
        <f aca="false">B41-($B$88+$B$89*C41+$B$90*D41+$B$91*E41+$B$92*F41+$B$93*G41+$B$94*H41)</f>
        <v>-0.0288001094154985</v>
      </c>
      <c r="K41" s="18" t="n">
        <f aca="false">J41^2</f>
        <v>0.000829446302344687</v>
      </c>
      <c r="L41" s="18" t="n">
        <f aca="false">I41*$J41</f>
        <v>-0.0288001094154985</v>
      </c>
      <c r="M41" s="18" t="n">
        <f aca="false">C41*$J41</f>
        <v>0.00330613122251301</v>
      </c>
      <c r="N41" s="18" t="n">
        <f aca="false">D41*$J41</f>
        <v>1.10264682646659</v>
      </c>
      <c r="O41" s="18" t="n">
        <f aca="false">E41*$J41</f>
        <v>0.356792404453498</v>
      </c>
      <c r="P41" s="18" t="n">
        <f aca="false">F41*$J41</f>
        <v>2.11740331572923</v>
      </c>
      <c r="Q41" s="18" t="n">
        <f aca="false">G41*$J41</f>
        <v>0.00110064097207445</v>
      </c>
      <c r="R41" s="18" t="n">
        <f aca="false">H41*$J41</f>
        <v>-0.00239364273826904</v>
      </c>
    </row>
    <row r="42" customFormat="false" ht="15" hidden="false" customHeight="false" outlineLevel="0" collapsed="false">
      <c r="A42" s="19" t="str">
        <f aca="false">Datos!A50</f>
        <v>2016Q2</v>
      </c>
      <c r="B42" s="20" t="n">
        <f aca="false">Datos!L50</f>
        <v>-0.0458755219268234</v>
      </c>
      <c r="C42" s="20" t="n">
        <f aca="false">Datos!I50</f>
        <v>-0.0963649166129051</v>
      </c>
      <c r="D42" s="20" t="n">
        <f aca="false">Datos!H50</f>
        <v>-20.156746031746</v>
      </c>
      <c r="E42" s="20" t="n">
        <f aca="false">Datos!H48</f>
        <v>-78.2729603729604</v>
      </c>
      <c r="F42" s="20" t="n">
        <f aca="false">Datos!H44</f>
        <v>21.0197781762296</v>
      </c>
      <c r="G42" s="20" t="n">
        <f aca="false">Datos!J44</f>
        <v>-0.0169003162690849</v>
      </c>
      <c r="H42" s="20" t="n">
        <f aca="false">Datos!K43</f>
        <v>-0.0497386703925971</v>
      </c>
      <c r="I42" s="18" t="n">
        <v>1</v>
      </c>
      <c r="J42" s="18" t="n">
        <f aca="false">B42-($B$88+$B$89*C42+$B$90*D42+$B$91*E42+$B$92*F42+$B$93*G42+$B$94*H42)</f>
        <v>-0.0378041606906039</v>
      </c>
      <c r="K42" s="18" t="n">
        <f aca="false">J42^2</f>
        <v>0.001429154565521</v>
      </c>
      <c r="L42" s="18" t="n">
        <f aca="false">I42*$J42</f>
        <v>-0.0378041606906039</v>
      </c>
      <c r="M42" s="18" t="n">
        <f aca="false">C42*$J42</f>
        <v>0.00364299479257091</v>
      </c>
      <c r="N42" s="18" t="n">
        <f aca="false">D42*$J42</f>
        <v>0.762008865983819</v>
      </c>
      <c r="O42" s="18" t="n">
        <f aca="false">E42*$J42</f>
        <v>2.95904357166866</v>
      </c>
      <c r="P42" s="18" t="n">
        <f aca="false">F42*$J42</f>
        <v>-0.794635071855032</v>
      </c>
      <c r="Q42" s="18" t="n">
        <f aca="false">G42*$J42</f>
        <v>0.000638902271958513</v>
      </c>
      <c r="R42" s="18" t="n">
        <f aca="false">H42*$J42</f>
        <v>0.00188032868805872</v>
      </c>
    </row>
    <row r="43" customFormat="false" ht="15" hidden="false" customHeight="false" outlineLevel="0" collapsed="false">
      <c r="A43" s="19" t="str">
        <f aca="false">Datos!A51</f>
        <v>2016Q3</v>
      </c>
      <c r="B43" s="20" t="n">
        <f aca="false">Datos!L51</f>
        <v>0.0053164079552358</v>
      </c>
      <c r="C43" s="20" t="n">
        <f aca="false">Datos!I51</f>
        <v>0.0125883030332315</v>
      </c>
      <c r="D43" s="20" t="n">
        <f aca="false">Datos!H51</f>
        <v>51.5281007751937</v>
      </c>
      <c r="E43" s="20" t="n">
        <f aca="false">Datos!H49</f>
        <v>-38.2862026862027</v>
      </c>
      <c r="F43" s="20" t="n">
        <f aca="false">Datos!H45</f>
        <v>-63.2494918032786</v>
      </c>
      <c r="G43" s="20" t="n">
        <f aca="false">Datos!J45</f>
        <v>-0.0227808354678118</v>
      </c>
      <c r="H43" s="20" t="n">
        <f aca="false">Datos!K44</f>
        <v>-0.0545195466572687</v>
      </c>
      <c r="I43" s="18" t="n">
        <v>1</v>
      </c>
      <c r="J43" s="18" t="n">
        <f aca="false">B43-($B$88+$B$89*C43+$B$90*D43+$B$91*E43+$B$92*F43+$B$93*G43+$B$94*H43)</f>
        <v>0.013714262110323</v>
      </c>
      <c r="K43" s="18" t="n">
        <f aca="false">J43^2</f>
        <v>0.000188080985230642</v>
      </c>
      <c r="L43" s="18" t="n">
        <f aca="false">I43*$J43</f>
        <v>0.013714262110323</v>
      </c>
      <c r="M43" s="18" t="n">
        <f aca="false">C43*$J43</f>
        <v>0.000172639287321912</v>
      </c>
      <c r="N43" s="18" t="n">
        <f aca="false">D43*$J43</f>
        <v>0.706669880078146</v>
      </c>
      <c r="O43" s="18" t="n">
        <f aca="false">E43*$J43</f>
        <v>-0.525067018847537</v>
      </c>
      <c r="P43" s="18" t="n">
        <f aca="false">F43*$J43</f>
        <v>-0.867420108934891</v>
      </c>
      <c r="Q43" s="18" t="n">
        <f aca="false">G43*$J43</f>
        <v>-0.000312422348697714</v>
      </c>
      <c r="R43" s="18" t="n">
        <f aca="false">H43*$J43</f>
        <v>-0.000747695352993768</v>
      </c>
    </row>
    <row r="44" customFormat="false" ht="15" hidden="false" customHeight="false" outlineLevel="0" collapsed="false">
      <c r="A44" s="19" t="str">
        <f aca="false">Datos!A52</f>
        <v>2016Q4</v>
      </c>
      <c r="B44" s="20" t="n">
        <f aca="false">Datos!L52</f>
        <v>0.0183393045899268</v>
      </c>
      <c r="C44" s="20" t="n">
        <f aca="false">Datos!I52</f>
        <v>0.0215081148240396</v>
      </c>
      <c r="D44" s="20" t="n">
        <f aca="false">Datos!H52</f>
        <v>-26.5005366726296</v>
      </c>
      <c r="E44" s="20" t="n">
        <f aca="false">Datos!H50</f>
        <v>-20.156746031746</v>
      </c>
      <c r="F44" s="20" t="n">
        <f aca="false">Datos!H46</f>
        <v>-69.448288776797</v>
      </c>
      <c r="G44" s="20" t="n">
        <f aca="false">Datos!J46</f>
        <v>-0.00580415466024192</v>
      </c>
      <c r="H44" s="20" t="n">
        <f aca="false">Datos!K45</f>
        <v>0.0452568848055677</v>
      </c>
      <c r="I44" s="18" t="n">
        <v>1</v>
      </c>
      <c r="J44" s="18" t="n">
        <f aca="false">B44-($B$88+$B$89*C44+$B$90*D44+$B$91*E44+$B$92*F44+$B$93*G44+$B$94*H44)</f>
        <v>0.00542578246391617</v>
      </c>
      <c r="K44" s="18" t="n">
        <f aca="false">J44^2</f>
        <v>2.94391153457402E-005</v>
      </c>
      <c r="L44" s="18" t="n">
        <f aca="false">I44*$J44</f>
        <v>0.00542578246391617</v>
      </c>
      <c r="M44" s="18" t="n">
        <f aca="false">C44*$J44</f>
        <v>0.000116698352244169</v>
      </c>
      <c r="N44" s="18" t="n">
        <f aca="false">D44*$J44</f>
        <v>-0.143786147162721</v>
      </c>
      <c r="O44" s="18" t="n">
        <f aca="false">E44*$J44</f>
        <v>-0.109366119148659</v>
      </c>
      <c r="P44" s="18" t="n">
        <f aca="false">F44*$J44</f>
        <v>-0.376811307394131</v>
      </c>
      <c r="Q44" s="18" t="n">
        <f aca="false">G44*$J44</f>
        <v>-3.14920805733979E-005</v>
      </c>
      <c r="R44" s="18" t="n">
        <f aca="false">H44*$J44</f>
        <v>0.000245554011949523</v>
      </c>
    </row>
    <row r="45" customFormat="false" ht="15" hidden="false" customHeight="false" outlineLevel="0" collapsed="false">
      <c r="A45" s="19" t="str">
        <f aca="false">Datos!A53</f>
        <v>2017Q1</v>
      </c>
      <c r="B45" s="20" t="n">
        <f aca="false">Datos!L53</f>
        <v>0.0205296747532824</v>
      </c>
      <c r="C45" s="20" t="n">
        <f aca="false">Datos!I53</f>
        <v>0.0929246843768103</v>
      </c>
      <c r="D45" s="20" t="n">
        <f aca="false">Datos!H53</f>
        <v>-15.9076923076924</v>
      </c>
      <c r="E45" s="20" t="n">
        <f aca="false">Datos!H51</f>
        <v>51.5281007751937</v>
      </c>
      <c r="F45" s="20" t="n">
        <f aca="false">Datos!H47</f>
        <v>-12.3885780885781</v>
      </c>
      <c r="G45" s="20" t="n">
        <f aca="false">Datos!J47</f>
        <v>-0.0725670071793785</v>
      </c>
      <c r="H45" s="20" t="n">
        <f aca="false">Datos!K46</f>
        <v>-0.0840598834733707</v>
      </c>
      <c r="I45" s="18" t="n">
        <v>1</v>
      </c>
      <c r="J45" s="18" t="n">
        <f aca="false">B45-($B$88+$B$89*C45+$B$90*D45+$B$91*E45+$B$92*F45+$B$93*G45+$B$94*H45)</f>
        <v>0.0208642212274398</v>
      </c>
      <c r="K45" s="18" t="n">
        <f aca="false">J45^2</f>
        <v>0.000435315727427551</v>
      </c>
      <c r="L45" s="18" t="n">
        <f aca="false">I45*$J45</f>
        <v>0.0208642212274398</v>
      </c>
      <c r="M45" s="18" t="n">
        <f aca="false">C45*$J45</f>
        <v>0.00193880117232779</v>
      </c>
      <c r="N45" s="18" t="n">
        <f aca="false">D45*$J45</f>
        <v>-0.331901611525737</v>
      </c>
      <c r="O45" s="18" t="n">
        <f aca="false">E45*$J45</f>
        <v>1.07509369400346</v>
      </c>
      <c r="P45" s="18" t="n">
        <f aca="false">F45*$J45</f>
        <v>-0.258478033933508</v>
      </c>
      <c r="Q45" s="18" t="n">
        <f aca="false">G45*$J45</f>
        <v>-0.00151405409160377</v>
      </c>
      <c r="R45" s="18" t="n">
        <f aca="false">H45*$J45</f>
        <v>-0.00175384400514122</v>
      </c>
    </row>
    <row r="46" customFormat="false" ht="15" hidden="false" customHeight="false" outlineLevel="0" collapsed="false">
      <c r="A46" s="19" t="str">
        <f aca="false">Datos!A54</f>
        <v>2017Q2</v>
      </c>
      <c r="B46" s="20" t="n">
        <f aca="false">Datos!L54</f>
        <v>0.0176690432523345</v>
      </c>
      <c r="C46" s="20" t="n">
        <f aca="false">Datos!I54</f>
        <v>0.0763750387701306</v>
      </c>
      <c r="D46" s="20" t="n">
        <f aca="false">Datos!H54</f>
        <v>-40.3959134615384</v>
      </c>
      <c r="E46" s="20" t="n">
        <f aca="false">Datos!H52</f>
        <v>-26.5005366726296</v>
      </c>
      <c r="F46" s="20" t="n">
        <f aca="false">Datos!H48</f>
        <v>-78.2729603729604</v>
      </c>
      <c r="G46" s="20" t="n">
        <f aca="false">Datos!J48</f>
        <v>-0.0214726951640203</v>
      </c>
      <c r="H46" s="20" t="n">
        <f aca="false">Datos!K47</f>
        <v>0.0549125616583312</v>
      </c>
      <c r="I46" s="18" t="n">
        <v>1</v>
      </c>
      <c r="J46" s="18" t="n">
        <f aca="false">B46-($B$88+$B$89*C46+$B$90*D46+$B$91*E46+$B$92*F46+$B$93*G46+$B$94*H46)</f>
        <v>-0.00482375830609101</v>
      </c>
      <c r="K46" s="18" t="n">
        <f aca="false">J46^2</f>
        <v>2.3268644195582E-005</v>
      </c>
      <c r="L46" s="18" t="n">
        <f aca="false">I46*$J46</f>
        <v>-0.00482375830609101</v>
      </c>
      <c r="M46" s="18" t="n">
        <f aca="false">C46*$J46</f>
        <v>-0.000368414727645441</v>
      </c>
      <c r="N46" s="18" t="n">
        <f aca="false">D46*$J46</f>
        <v>0.194860123092229</v>
      </c>
      <c r="O46" s="18" t="n">
        <f aca="false">E46*$J46</f>
        <v>0.127832183890467</v>
      </c>
      <c r="P46" s="18" t="n">
        <f aca="false">F46*$J46</f>
        <v>0.3775698427414</v>
      </c>
      <c r="Q46" s="18" t="n">
        <f aca="false">G46*$J46</f>
        <v>0.000103579091651603</v>
      </c>
      <c r="R46" s="18" t="n">
        <f aca="false">H46*$J46</f>
        <v>-0.00026488492540811</v>
      </c>
    </row>
    <row r="47" customFormat="false" ht="15" hidden="false" customHeight="false" outlineLevel="0" collapsed="false">
      <c r="A47" s="19" t="str">
        <f aca="false">Datos!A55</f>
        <v>2017Q3</v>
      </c>
      <c r="B47" s="20" t="n">
        <f aca="false">Datos!L55</f>
        <v>0.0152402515595023</v>
      </c>
      <c r="C47" s="20" t="n">
        <f aca="false">Datos!I55</f>
        <v>-0.0381479768126187</v>
      </c>
      <c r="D47" s="20" t="n">
        <f aca="false">Datos!H55</f>
        <v>0.498765624999805</v>
      </c>
      <c r="E47" s="20" t="n">
        <f aca="false">Datos!H53</f>
        <v>-15.9076923076924</v>
      </c>
      <c r="F47" s="20" t="n">
        <f aca="false">Datos!H49</f>
        <v>-38.2862026862027</v>
      </c>
      <c r="G47" s="20" t="n">
        <f aca="false">Datos!J49</f>
        <v>-0.013556503122827</v>
      </c>
      <c r="H47" s="20" t="n">
        <f aca="false">Datos!K48</f>
        <v>0.0929604971038175</v>
      </c>
      <c r="I47" s="18" t="n">
        <v>1</v>
      </c>
      <c r="J47" s="18" t="n">
        <f aca="false">B47-($B$88+$B$89*C47+$B$90*D47+$B$91*E47+$B$92*F47+$B$93*G47+$B$94*H47)</f>
        <v>-0.00117230855558336</v>
      </c>
      <c r="K47" s="18" t="n">
        <f aca="false">J47^2</f>
        <v>1.37430734949395E-006</v>
      </c>
      <c r="L47" s="18" t="n">
        <f aca="false">I47*$J47</f>
        <v>-0.00117230855558336</v>
      </c>
      <c r="M47" s="18" t="n">
        <f aca="false">C47*$J47</f>
        <v>4.47211995956286E-005</v>
      </c>
      <c r="N47" s="18" t="n">
        <f aca="false">D47*$J47</f>
        <v>-0.000584707209418154</v>
      </c>
      <c r="O47" s="18" t="n">
        <f aca="false">E47*$J47</f>
        <v>0.0186487237918954</v>
      </c>
      <c r="P47" s="18" t="n">
        <f aca="false">F47*$J47</f>
        <v>0.0448832429698341</v>
      </c>
      <c r="Q47" s="18" t="n">
        <f aca="false">G47*$J47</f>
        <v>1.58924045946826E-005</v>
      </c>
      <c r="R47" s="18" t="n">
        <f aca="false">H47*$J47</f>
        <v>-0.000108978386086087</v>
      </c>
    </row>
    <row r="48" customFormat="false" ht="15" hidden="false" customHeight="false" outlineLevel="0" collapsed="false">
      <c r="A48" s="19" t="str">
        <f aca="false">Datos!A56</f>
        <v>2017Q4</v>
      </c>
      <c r="B48" s="20" t="n">
        <f aca="false">Datos!L56</f>
        <v>0.00682076262777875</v>
      </c>
      <c r="C48" s="20" t="n">
        <f aca="false">Datos!I56</f>
        <v>-0.00847913753638218</v>
      </c>
      <c r="D48" s="20" t="n">
        <f aca="false">Datos!H56</f>
        <v>-54.5718281249997</v>
      </c>
      <c r="E48" s="20" t="n">
        <f aca="false">Datos!H54</f>
        <v>-40.3959134615384</v>
      </c>
      <c r="F48" s="20" t="n">
        <f aca="false">Datos!H50</f>
        <v>-20.156746031746</v>
      </c>
      <c r="G48" s="20" t="n">
        <f aca="false">Datos!J50</f>
        <v>-0.0260787645308853</v>
      </c>
      <c r="H48" s="20" t="n">
        <f aca="false">Datos!K49</f>
        <v>-0.0501806657673727</v>
      </c>
      <c r="I48" s="18" t="n">
        <v>1</v>
      </c>
      <c r="J48" s="18" t="n">
        <f aca="false">B48-($B$88+$B$89*C48+$B$90*D48+$B$91*E48+$B$92*F48+$B$93*G48+$B$94*H48)</f>
        <v>0.00748060278900355</v>
      </c>
      <c r="K48" s="18" t="n">
        <f aca="false">J48^2</f>
        <v>5.59594180868477E-005</v>
      </c>
      <c r="L48" s="18" t="n">
        <f aca="false">I48*$J48</f>
        <v>0.00748060278900355</v>
      </c>
      <c r="M48" s="18" t="n">
        <f aca="false">C48*$J48</f>
        <v>-6.34290599030053E-005</v>
      </c>
      <c r="N48" s="18" t="n">
        <f aca="false">D48*$J48</f>
        <v>-0.408230169672895</v>
      </c>
      <c r="O48" s="18" t="n">
        <f aca="false">E48*$J48</f>
        <v>-0.30218578290473</v>
      </c>
      <c r="P48" s="18" t="n">
        <f aca="false">F48*$J48</f>
        <v>-0.150784610582316</v>
      </c>
      <c r="Q48" s="18" t="n">
        <f aca="false">G48*$J48</f>
        <v>-0.000195084878683508</v>
      </c>
      <c r="R48" s="18" t="n">
        <f aca="false">H48*$J48</f>
        <v>-0.000375381628293463</v>
      </c>
    </row>
    <row r="49" customFormat="false" ht="15" hidden="false" customHeight="false" outlineLevel="0" collapsed="false">
      <c r="A49" s="19" t="str">
        <f aca="false">Datos!A57</f>
        <v>2018Q1</v>
      </c>
      <c r="B49" s="20" t="n">
        <f aca="false">Datos!L57</f>
        <v>-0.00734944608262711</v>
      </c>
      <c r="C49" s="20" t="n">
        <f aca="false">Datos!I57</f>
        <v>0.015677961339587</v>
      </c>
      <c r="D49" s="20" t="n">
        <f aca="false">Datos!H57</f>
        <v>28.5320987903223</v>
      </c>
      <c r="E49" s="20" t="n">
        <f aca="false">Datos!H55</f>
        <v>0.498765624999805</v>
      </c>
      <c r="F49" s="20" t="n">
        <f aca="false">Datos!H51</f>
        <v>51.5281007751937</v>
      </c>
      <c r="G49" s="20" t="n">
        <f aca="false">Datos!J51</f>
        <v>0.0942185203778218</v>
      </c>
      <c r="H49" s="20" t="n">
        <f aca="false">Datos!K50</f>
        <v>0.114909941997091</v>
      </c>
      <c r="I49" s="18" t="n">
        <v>1</v>
      </c>
      <c r="J49" s="18" t="n">
        <f aca="false">B49-($B$88+$B$89*C49+$B$90*D49+$B$91*E49+$B$92*F49+$B$93*G49+$B$94*H49)</f>
        <v>-0.020987868302606</v>
      </c>
      <c r="K49" s="18" t="n">
        <f aca="false">J49^2</f>
        <v>0.000440490615887535</v>
      </c>
      <c r="L49" s="18" t="n">
        <f aca="false">I49*$J49</f>
        <v>-0.020987868302606</v>
      </c>
      <c r="M49" s="18" t="n">
        <f aca="false">C49*$J49</f>
        <v>-0.000329046987848601</v>
      </c>
      <c r="N49" s="18" t="n">
        <f aca="false">D49*$J49</f>
        <v>-0.598827931808229</v>
      </c>
      <c r="O49" s="18" t="n">
        <f aca="false">E49*$J49</f>
        <v>-0.0104680272513629</v>
      </c>
      <c r="P49" s="18" t="n">
        <f aca="false">F49*$J49</f>
        <v>-1.08146499295318</v>
      </c>
      <c r="Q49" s="18" t="n">
        <f aca="false">G49*$J49</f>
        <v>-0.00197744589735613</v>
      </c>
      <c r="R49" s="18" t="n">
        <f aca="false">H49*$J49</f>
        <v>-0.00241171472929504</v>
      </c>
    </row>
    <row r="50" customFormat="false" ht="15" hidden="false" customHeight="false" outlineLevel="0" collapsed="false">
      <c r="A50" s="19" t="str">
        <f aca="false">Datos!A58</f>
        <v>2018Q2</v>
      </c>
      <c r="B50" s="20" t="n">
        <f aca="false">Datos!L58</f>
        <v>-0.0777683962553631</v>
      </c>
      <c r="C50" s="20" t="n">
        <f aca="false">Datos!I58</f>
        <v>-0.0742810049049096</v>
      </c>
      <c r="D50" s="20" t="n">
        <f aca="false">Datos!H58</f>
        <v>77.2218156327545</v>
      </c>
      <c r="E50" s="20" t="n">
        <f aca="false">Datos!H56</f>
        <v>-54.5718281249997</v>
      </c>
      <c r="F50" s="20" t="n">
        <f aca="false">Datos!H52</f>
        <v>-26.5005366726296</v>
      </c>
      <c r="G50" s="20" t="n">
        <f aca="false">Datos!J52</f>
        <v>0.241810567395166</v>
      </c>
      <c r="H50" s="20" t="n">
        <f aca="false">Datos!K51</f>
        <v>0.0078308829818691</v>
      </c>
      <c r="I50" s="18" t="n">
        <v>1</v>
      </c>
      <c r="J50" s="18" t="n">
        <f aca="false">B50-($B$88+$B$89*C50+$B$90*D50+$B$91*E50+$B$92*F50+$B$93*G50+$B$94*H50)</f>
        <v>-0.0438028860168658</v>
      </c>
      <c r="K50" s="18" t="n">
        <f aca="false">J50^2</f>
        <v>0.00191869282340654</v>
      </c>
      <c r="L50" s="18" t="n">
        <f aca="false">I50*$J50</f>
        <v>-0.0438028860168658</v>
      </c>
      <c r="M50" s="18" t="n">
        <f aca="false">C50*$J50</f>
        <v>0.00325372239106801</v>
      </c>
      <c r="N50" s="18" t="n">
        <f aca="false">D50*$J50</f>
        <v>-3.38253838817697</v>
      </c>
      <c r="O50" s="18" t="n">
        <f aca="false">E50*$J50</f>
        <v>2.39040356709135</v>
      </c>
      <c r="P50" s="18" t="n">
        <f aca="false">F50*$J50</f>
        <v>1.16079998725697</v>
      </c>
      <c r="Q50" s="18" t="n">
        <f aca="false">G50*$J50</f>
        <v>-0.0105920007212841</v>
      </c>
      <c r="R50" s="18" t="n">
        <f aca="false">H50*$J50</f>
        <v>-0.000343015274666226</v>
      </c>
    </row>
    <row r="51" customFormat="false" ht="15" hidden="false" customHeight="false" outlineLevel="0" collapsed="false">
      <c r="A51" s="19" t="str">
        <f aca="false">Datos!A59</f>
        <v>2018Q3</v>
      </c>
      <c r="B51" s="20" t="n">
        <f aca="false">Datos!L59</f>
        <v>0.00509659019999231</v>
      </c>
      <c r="C51" s="20" t="n">
        <f aca="false">Datos!I59</f>
        <v>0.0297586266112664</v>
      </c>
      <c r="D51" s="20" t="n">
        <f aca="false">Datos!H59</f>
        <v>166.169284270953</v>
      </c>
      <c r="E51" s="20" t="n">
        <f aca="false">Datos!H57</f>
        <v>28.5320987903223</v>
      </c>
      <c r="F51" s="20" t="n">
        <f aca="false">Datos!H53</f>
        <v>-15.9076923076924</v>
      </c>
      <c r="G51" s="20" t="n">
        <f aca="false">Datos!J53</f>
        <v>-0.24283692228193</v>
      </c>
      <c r="H51" s="20" t="n">
        <f aca="false">Datos!K52</f>
        <v>-0.0600242033998368</v>
      </c>
      <c r="I51" s="18" t="n">
        <v>1</v>
      </c>
      <c r="J51" s="18" t="n">
        <f aca="false">B51-($B$88+$B$89*C51+$B$90*D51+$B$91*E51+$B$92*F51+$B$93*G51+$B$94*H51)</f>
        <v>-0.00220834279255511</v>
      </c>
      <c r="K51" s="18" t="n">
        <f aca="false">J51^2</f>
        <v>4.8767778894301E-006</v>
      </c>
      <c r="L51" s="18" t="n">
        <f aca="false">I51*$J51</f>
        <v>-0.00220834279255511</v>
      </c>
      <c r="M51" s="18" t="n">
        <f aca="false">C51*$J51</f>
        <v>-6.57172485933289E-005</v>
      </c>
      <c r="N51" s="18" t="n">
        <f aca="false">D51*$J51</f>
        <v>-0.366958741263801</v>
      </c>
      <c r="O51" s="18" t="n">
        <f aca="false">E51*$J51</f>
        <v>-0.0630086547200786</v>
      </c>
      <c r="P51" s="18" t="n">
        <f aca="false">F51*$J51</f>
        <v>0.0351296376538769</v>
      </c>
      <c r="Q51" s="18" t="n">
        <f aca="false">G51*$J51</f>
        <v>0.000536267167087565</v>
      </c>
      <c r="R51" s="18" t="n">
        <f aca="false">H51*$J51</f>
        <v>0.000132554016956892</v>
      </c>
    </row>
    <row r="52" customFormat="false" ht="15" hidden="false" customHeight="false" outlineLevel="0" collapsed="false">
      <c r="A52" s="19" t="str">
        <f aca="false">Datos!A60</f>
        <v>2018Q4</v>
      </c>
      <c r="B52" s="20" t="n">
        <f aca="false">Datos!L60</f>
        <v>-0.0287029877961243</v>
      </c>
      <c r="C52" s="20" t="n">
        <f aca="false">Datos!I60</f>
        <v>-0.0501462610157425</v>
      </c>
      <c r="D52" s="20" t="n">
        <f aca="false">Datos!H60</f>
        <v>56.51817630597</v>
      </c>
      <c r="E52" s="20" t="n">
        <f aca="false">Datos!H58</f>
        <v>77.2218156327545</v>
      </c>
      <c r="F52" s="20" t="n">
        <f aca="false">Datos!H54</f>
        <v>-40.3959134615384</v>
      </c>
      <c r="G52" s="20" t="n">
        <f aca="false">Datos!J54</f>
        <v>-0.0647458372468179</v>
      </c>
      <c r="H52" s="20" t="n">
        <f aca="false">Datos!K53</f>
        <v>-0.035749043779608</v>
      </c>
      <c r="I52" s="18" t="n">
        <v>1</v>
      </c>
      <c r="J52" s="18" t="n">
        <f aca="false">B52-($B$88+$B$89*C52+$B$90*D52+$B$91*E52+$B$92*F52+$B$93*G52+$B$94*H52)</f>
        <v>-0.0162373425539009</v>
      </c>
      <c r="K52" s="18" t="n">
        <f aca="false">J52^2</f>
        <v>0.000263651293212723</v>
      </c>
      <c r="L52" s="18" t="n">
        <f aca="false">I52*$J52</f>
        <v>-0.0162373425539009</v>
      </c>
      <c r="M52" s="18" t="n">
        <f aca="false">C52*$J52</f>
        <v>0.00081424201790994</v>
      </c>
      <c r="N52" s="18" t="n">
        <f aca="false">D52*$J52</f>
        <v>-0.917704989201803</v>
      </c>
      <c r="O52" s="18" t="n">
        <f aca="false">E52*$J52</f>
        <v>-1.25387707306322</v>
      </c>
      <c r="P52" s="18" t="n">
        <f aca="false">F52*$J52</f>
        <v>0.655922284652737</v>
      </c>
      <c r="Q52" s="18" t="n">
        <f aca="false">G52*$J52</f>
        <v>0.0010513003383157</v>
      </c>
      <c r="R52" s="18" t="n">
        <f aca="false">H52*$J52</f>
        <v>0.000580469469823897</v>
      </c>
    </row>
    <row r="53" customFormat="false" ht="15" hidden="false" customHeight="false" outlineLevel="0" collapsed="false">
      <c r="A53" s="19" t="str">
        <f aca="false">Datos!A61</f>
        <v>2019Q1</v>
      </c>
      <c r="B53" s="20" t="n">
        <f aca="false">Datos!L61</f>
        <v>0.00476013768269978</v>
      </c>
      <c r="C53" s="20" t="n">
        <f aca="false">Datos!I61</f>
        <v>-0.0500271266876492</v>
      </c>
      <c r="D53" s="20" t="n">
        <f aca="false">Datos!H61</f>
        <v>19.2017013888889</v>
      </c>
      <c r="E53" s="20" t="n">
        <f aca="false">Datos!H59</f>
        <v>166.169284270953</v>
      </c>
      <c r="F53" s="20" t="n">
        <f aca="false">Datos!H55</f>
        <v>0.498765624999805</v>
      </c>
      <c r="G53" s="20" t="n">
        <f aca="false">Datos!J55</f>
        <v>-0.0931139816863711</v>
      </c>
      <c r="H53" s="20" t="n">
        <f aca="false">Datos!K54</f>
        <v>-0.0598239352005628</v>
      </c>
      <c r="I53" s="18" t="n">
        <v>1</v>
      </c>
      <c r="J53" s="18" t="n">
        <f aca="false">B53-($B$88+$B$89*C53+$B$90*D53+$B$91*E53+$B$92*F53+$B$93*G53+$B$94*H53)</f>
        <v>0.0201402959832629</v>
      </c>
      <c r="K53" s="18" t="n">
        <f aca="false">J53^2</f>
        <v>0.000405631522293434</v>
      </c>
      <c r="L53" s="18" t="n">
        <f aca="false">I53*$J53</f>
        <v>0.0201402959832629</v>
      </c>
      <c r="M53" s="18" t="n">
        <f aca="false">C53*$J53</f>
        <v>-0.00100756113868144</v>
      </c>
      <c r="N53" s="18" t="n">
        <f aca="false">D53*$J53</f>
        <v>0.386727949354451</v>
      </c>
      <c r="O53" s="18" t="n">
        <f aca="false">E53*$J53</f>
        <v>3.34669856854394</v>
      </c>
      <c r="P53" s="18" t="n">
        <f aca="false">F53*$J53</f>
        <v>0.0100452873137732</v>
      </c>
      <c r="Q53" s="18" t="n">
        <f aca="false">G53*$J53</f>
        <v>-0.00187534315134363</v>
      </c>
      <c r="R53" s="18" t="n">
        <f aca="false">H53*$J53</f>
        <v>-0.00120487176182287</v>
      </c>
    </row>
    <row r="54" customFormat="false" ht="15" hidden="false" customHeight="false" outlineLevel="0" collapsed="false">
      <c r="A54" s="19" t="str">
        <f aca="false">Datos!A62</f>
        <v>2019Q2</v>
      </c>
      <c r="B54" s="20" t="n">
        <f aca="false">Datos!L62</f>
        <v>0.0644654529234107</v>
      </c>
      <c r="C54" s="20" t="n">
        <f aca="false">Datos!I62</f>
        <v>0.000114296886335796</v>
      </c>
      <c r="D54" s="20" t="n">
        <f aca="false">Datos!H62</f>
        <v>162.790259661836</v>
      </c>
      <c r="E54" s="20" t="n">
        <f aca="false">Datos!H60</f>
        <v>56.51817630597</v>
      </c>
      <c r="F54" s="20" t="n">
        <f aca="false">Datos!H56</f>
        <v>-54.5718281249997</v>
      </c>
      <c r="G54" s="20" t="n">
        <f aca="false">Datos!J56</f>
        <v>-0.0800850350667679</v>
      </c>
      <c r="H54" s="20" t="n">
        <f aca="false">Datos!K55</f>
        <v>-0.0336017376367385</v>
      </c>
      <c r="I54" s="18" t="n">
        <v>1</v>
      </c>
      <c r="J54" s="18" t="n">
        <f aca="false">B54-($B$88+$B$89*C54+$B$90*D54+$B$91*E54+$B$92*F54+$B$93*G54+$B$94*H54)</f>
        <v>0.076242605193512</v>
      </c>
      <c r="K54" s="18" t="n">
        <f aca="false">J54^2</f>
        <v>0.00581293484669374</v>
      </c>
      <c r="L54" s="18" t="n">
        <f aca="false">I54*$J54</f>
        <v>0.076242605193512</v>
      </c>
      <c r="M54" s="18" t="n">
        <f aca="false">C54*$J54</f>
        <v>8.71429237974783E-006</v>
      </c>
      <c r="N54" s="18" t="n">
        <f aca="false">D54*$J54</f>
        <v>12.4115534967466</v>
      </c>
      <c r="O54" s="18" t="n">
        <f aca="false">E54*$J54</f>
        <v>4.30909300235337</v>
      </c>
      <c r="P54" s="18" t="n">
        <f aca="false">F54*$J54</f>
        <v>-4.16069834642254</v>
      </c>
      <c r="Q54" s="18" t="n">
        <f aca="false">G54*$J54</f>
        <v>-0.00610589171050415</v>
      </c>
      <c r="R54" s="18" t="n">
        <f aca="false">H54*$J54</f>
        <v>-0.00256188401645382</v>
      </c>
    </row>
    <row r="55" customFormat="false" ht="15" hidden="false" customHeight="false" outlineLevel="0" collapsed="false">
      <c r="A55" s="19" t="str">
        <f aca="false">Datos!A63</f>
        <v>2019Q3</v>
      </c>
      <c r="B55" s="20" t="n">
        <f aca="false">Datos!L63</f>
        <v>-0.0233553605717005</v>
      </c>
      <c r="C55" s="20" t="n">
        <f aca="false">Datos!I63</f>
        <v>-0.0239132057868301</v>
      </c>
      <c r="D55" s="20" t="n">
        <f aca="false">Datos!H63</f>
        <v>679.618686815129</v>
      </c>
      <c r="E55" s="20" t="n">
        <f aca="false">Datos!H61</f>
        <v>19.2017013888889</v>
      </c>
      <c r="F55" s="20" t="n">
        <f aca="false">Datos!H57</f>
        <v>28.5320987903223</v>
      </c>
      <c r="G55" s="20" t="n">
        <f aca="false">Datos!J57</f>
        <v>0.072575912604689</v>
      </c>
      <c r="H55" s="20" t="n">
        <f aca="false">Datos!K56</f>
        <v>0.0834781752199751</v>
      </c>
      <c r="I55" s="18" t="n">
        <v>1</v>
      </c>
      <c r="J55" s="18" t="n">
        <f aca="false">B55-($B$88+$B$89*C55+$B$90*D55+$B$91*E55+$B$92*F55+$B$93*G55+$B$94*H55)</f>
        <v>0.0138459142074761</v>
      </c>
      <c r="K55" s="18" t="n">
        <f aca="false">J55^2</f>
        <v>0.000191709340240788</v>
      </c>
      <c r="L55" s="18" t="n">
        <f aca="false">I55*$J55</f>
        <v>0.0138459142074761</v>
      </c>
      <c r="M55" s="18" t="n">
        <f aca="false">C55*$J55</f>
        <v>-0.000331100195750171</v>
      </c>
      <c r="N55" s="18" t="n">
        <f aca="false">D55*$J55</f>
        <v>9.40994203143985</v>
      </c>
      <c r="O55" s="18" t="n">
        <f aca="false">E55*$J55</f>
        <v>0.26586511006813</v>
      </c>
      <c r="P55" s="18" t="n">
        <f aca="false">F55*$J55</f>
        <v>0.395052992010035</v>
      </c>
      <c r="Q55" s="18" t="n">
        <f aca="false">G55*$J55</f>
        <v>0.00100487985945381</v>
      </c>
      <c r="R55" s="18" t="n">
        <f aca="false">H55*$J55</f>
        <v>0.00115583165229243</v>
      </c>
    </row>
    <row r="56" customFormat="false" ht="15" hidden="false" customHeight="false" outlineLevel="0" collapsed="false">
      <c r="A56" s="19" t="str">
        <f aca="false">Datos!A64</f>
        <v>2019Q4</v>
      </c>
      <c r="B56" s="20" t="n">
        <f aca="false">Datos!L64</f>
        <v>0.00677873424048458</v>
      </c>
      <c r="C56" s="20" t="n">
        <f aca="false">Datos!I64</f>
        <v>-0.0444370543348369</v>
      </c>
      <c r="D56" s="20" t="n">
        <f aca="false">Datos!H64</f>
        <v>598.881251590669</v>
      </c>
      <c r="E56" s="20" t="n">
        <f aca="false">Datos!H62</f>
        <v>162.790259661836</v>
      </c>
      <c r="F56" s="20" t="n">
        <f aca="false">Datos!H58</f>
        <v>77.2218156327545</v>
      </c>
      <c r="G56" s="20" t="n">
        <f aca="false">Datos!J58</f>
        <v>0.016146963656916</v>
      </c>
      <c r="H56" s="20" t="n">
        <f aca="false">Datos!K57</f>
        <v>0.0156446596022237</v>
      </c>
      <c r="I56" s="18" t="n">
        <v>1</v>
      </c>
      <c r="J56" s="18" t="n">
        <f aca="false">B56-($B$88+$B$89*C56+$B$90*D56+$B$91*E56+$B$92*F56+$B$93*G56+$B$94*H56)</f>
        <v>0.0541204279258312</v>
      </c>
      <c r="K56" s="18" t="n">
        <f aca="false">J56^2</f>
        <v>0.00292902071887509</v>
      </c>
      <c r="L56" s="18" t="n">
        <f aca="false">I56*$J56</f>
        <v>0.0541204279258312</v>
      </c>
      <c r="M56" s="18" t="n">
        <f aca="false">C56*$J56</f>
        <v>-0.00240495239636478</v>
      </c>
      <c r="N56" s="18" t="n">
        <f aca="false">D56*$J56</f>
        <v>32.4117096128444</v>
      </c>
      <c r="O56" s="18" t="n">
        <f aca="false">E56*$J56</f>
        <v>8.81027851505572</v>
      </c>
      <c r="P56" s="18" t="n">
        <f aca="false">F56*$J56</f>
        <v>4.17927770725432</v>
      </c>
      <c r="Q56" s="18" t="n">
        <f aca="false">G56*$J56</f>
        <v>0.000873880582815139</v>
      </c>
      <c r="R56" s="18" t="n">
        <f aca="false">H56*$J56</f>
        <v>0.000846695672426312</v>
      </c>
    </row>
    <row r="57" customFormat="false" ht="15" hidden="false" customHeight="false" outlineLevel="0" collapsed="false">
      <c r="A57" s="19" t="str">
        <f aca="false">Datos!A65</f>
        <v>2020Q1</v>
      </c>
      <c r="B57" s="20" t="n">
        <f aca="false">Datos!L65</f>
        <v>-0.0395022691914131</v>
      </c>
      <c r="C57" s="20" t="n">
        <f aca="false">Datos!I65</f>
        <v>0.114946009672505</v>
      </c>
      <c r="D57" s="20" t="n">
        <f aca="false">Datos!H65</f>
        <v>187.118199188056</v>
      </c>
      <c r="E57" s="20" t="n">
        <f aca="false">Datos!H63</f>
        <v>679.618686815129</v>
      </c>
      <c r="F57" s="20" t="n">
        <f aca="false">Datos!H59</f>
        <v>166.169284270953</v>
      </c>
      <c r="G57" s="20" t="n">
        <f aca="false">Datos!J59</f>
        <v>0.0202539754709583</v>
      </c>
      <c r="H57" s="20" t="n">
        <f aca="false">Datos!K58</f>
        <v>0.0616247472334126</v>
      </c>
      <c r="I57" s="18" t="n">
        <v>1</v>
      </c>
      <c r="J57" s="18" t="n">
        <f aca="false">B57-($B$88+$B$89*C57+$B$90*D57+$B$91*E57+$B$92*F57+$B$93*G57+$B$94*H57)</f>
        <v>-0.0127316877827912</v>
      </c>
      <c r="K57" s="18" t="n">
        <f aca="false">J57^2</f>
        <v>0.000162095873798475</v>
      </c>
      <c r="L57" s="18" t="n">
        <f aca="false">I57*$J57</f>
        <v>-0.0127316877827912</v>
      </c>
      <c r="M57" s="18" t="n">
        <f aca="false">C57*$J57</f>
        <v>-0.00146345670702803</v>
      </c>
      <c r="N57" s="18" t="n">
        <f aca="false">D57*$J57</f>
        <v>-2.38233049054047</v>
      </c>
      <c r="O57" s="18" t="n">
        <f aca="false">E57*$J57</f>
        <v>-8.6526929318808</v>
      </c>
      <c r="P57" s="18" t="n">
        <f aca="false">F57*$J57</f>
        <v>-2.11561544642766</v>
      </c>
      <c r="Q57" s="18" t="n">
        <f aca="false">G57*$J57</f>
        <v>-0.000257867292056553</v>
      </c>
      <c r="R57" s="18" t="n">
        <f aca="false">H57*$J57</f>
        <v>-0.000784587041469237</v>
      </c>
    </row>
    <row r="58" customFormat="false" ht="15" hidden="false" customHeight="false" outlineLevel="0" collapsed="false">
      <c r="A58" s="19" t="str">
        <f aca="false">Datos!A66</f>
        <v>2020Q2</v>
      </c>
      <c r="B58" s="20" t="n">
        <f aca="false">Datos!L66</f>
        <v>-0.139171243799252</v>
      </c>
      <c r="C58" s="20" t="n">
        <f aca="false">Datos!I66</f>
        <v>0.262181063646304</v>
      </c>
      <c r="D58" s="20" t="n">
        <f aca="false">Datos!H66</f>
        <v>756.86685274431</v>
      </c>
      <c r="E58" s="20" t="n">
        <f aca="false">Datos!H64</f>
        <v>598.881251590669</v>
      </c>
      <c r="F58" s="20" t="n">
        <f aca="false">Datos!H60</f>
        <v>56.51817630597</v>
      </c>
      <c r="G58" s="20" t="n">
        <f aca="false">Datos!J60</f>
        <v>0.0511719688039525</v>
      </c>
      <c r="H58" s="20" t="n">
        <f aca="false">Datos!K59</f>
        <v>-0.0680385631508205</v>
      </c>
      <c r="I58" s="18" t="n">
        <v>1</v>
      </c>
      <c r="J58" s="18" t="n">
        <f aca="false">B58-($B$88+$B$89*C58+$B$90*D58+$B$91*E58+$B$92*F58+$B$93*G58+$B$94*H58)</f>
        <v>-0.0624915803681284</v>
      </c>
      <c r="K58" s="18" t="n">
        <f aca="false">J58^2</f>
        <v>0.00390519761690625</v>
      </c>
      <c r="L58" s="18" t="n">
        <f aca="false">I58*$J58</f>
        <v>-0.0624915803681284</v>
      </c>
      <c r="M58" s="18" t="n">
        <f aca="false">C58*$J58</f>
        <v>-0.0163841090098544</v>
      </c>
      <c r="N58" s="18" t="n">
        <f aca="false">D58*$J58</f>
        <v>-47.2978057562435</v>
      </c>
      <c r="O58" s="18" t="n">
        <f aca="false">E58*$J58</f>
        <v>-37.4250358647436</v>
      </c>
      <c r="P58" s="18" t="n">
        <f aca="false">F58*$J58</f>
        <v>-3.53191015688457</v>
      </c>
      <c r="Q58" s="18" t="n">
        <f aca="false">G58*$J58</f>
        <v>-0.00319781720110756</v>
      </c>
      <c r="R58" s="18" t="n">
        <f aca="false">H58*$J58</f>
        <v>0.00425183733727148</v>
      </c>
    </row>
    <row r="59" customFormat="false" ht="15" hidden="false" customHeight="false" outlineLevel="0" collapsed="false">
      <c r="A59" s="19" t="str">
        <f aca="false">Datos!A67</f>
        <v>2020Q3</v>
      </c>
      <c r="B59" s="20" t="n">
        <f aca="false">Datos!L67</f>
        <v>0.0874942776266831</v>
      </c>
      <c r="C59" s="20" t="n">
        <f aca="false">Datos!I67</f>
        <v>0.119661051181248</v>
      </c>
      <c r="D59" s="20" t="n">
        <f aca="false">Datos!H67</f>
        <v>-1097.40393434344</v>
      </c>
      <c r="E59" s="20" t="n">
        <f aca="false">Datos!H65</f>
        <v>187.118199188056</v>
      </c>
      <c r="F59" s="20" t="n">
        <f aca="false">Datos!H61</f>
        <v>19.2017013888889</v>
      </c>
      <c r="G59" s="20" t="n">
        <f aca="false">Datos!J61</f>
        <v>0.0364106470243743</v>
      </c>
      <c r="H59" s="20" t="n">
        <f aca="false">Datos!K60</f>
        <v>-0.0795880772476278</v>
      </c>
      <c r="I59" s="18" t="n">
        <v>1</v>
      </c>
      <c r="J59" s="18" t="n">
        <f aca="false">B59-($B$88+$B$89*C59+$B$90*D59+$B$91*E59+$B$92*F59+$B$93*G59+$B$94*H59)</f>
        <v>0.0346881622993895</v>
      </c>
      <c r="K59" s="18" t="n">
        <f aca="false">J59^2</f>
        <v>0.00120326860370879</v>
      </c>
      <c r="L59" s="18" t="n">
        <f aca="false">I59*$J59</f>
        <v>0.0346881622993895</v>
      </c>
      <c r="M59" s="18" t="n">
        <f aca="false">C59*$J59</f>
        <v>0.00415082196429068</v>
      </c>
      <c r="N59" s="18" t="n">
        <f aca="false">D59*$J59</f>
        <v>-38.0669257824936</v>
      </c>
      <c r="O59" s="18" t="n">
        <f aca="false">E59*$J59</f>
        <v>6.49078646260477</v>
      </c>
      <c r="P59" s="18" t="n">
        <f aca="false">F59*$J59</f>
        <v>0.666071734202189</v>
      </c>
      <c r="Q59" s="18" t="n">
        <f aca="false">G59*$J59</f>
        <v>0.00126301843340728</v>
      </c>
      <c r="R59" s="18" t="n">
        <f aca="false">H59*$J59</f>
        <v>-0.00276076414066206</v>
      </c>
    </row>
    <row r="60" customFormat="false" ht="15" hidden="false" customHeight="false" outlineLevel="0" collapsed="false">
      <c r="A60" s="19" t="str">
        <f aca="false">Datos!A68</f>
        <v>2020Q4</v>
      </c>
      <c r="B60" s="20" t="n">
        <f aca="false">Datos!L68</f>
        <v>0.0587946679950591</v>
      </c>
      <c r="C60" s="20" t="n">
        <f aca="false">Datos!I68</f>
        <v>0.0642375050953509</v>
      </c>
      <c r="D60" s="20" t="n">
        <f aca="false">Datos!H68</f>
        <v>-606.890139160839</v>
      </c>
      <c r="E60" s="20" t="n">
        <f aca="false">Datos!H66</f>
        <v>756.86685274431</v>
      </c>
      <c r="F60" s="20" t="n">
        <f aca="false">Datos!H62</f>
        <v>162.790259661836</v>
      </c>
      <c r="G60" s="20" t="n">
        <f aca="false">Datos!J62</f>
        <v>0.0549585965392439</v>
      </c>
      <c r="H60" s="20" t="n">
        <f aca="false">Datos!K61</f>
        <v>0.0351944925910753</v>
      </c>
      <c r="I60" s="18" t="n">
        <v>1</v>
      </c>
      <c r="J60" s="18" t="n">
        <f aca="false">B60-($B$88+$B$89*C60+$B$90*D60+$B$91*E60+$B$92*F60+$B$93*G60+$B$94*H60)</f>
        <v>0.0530104960041684</v>
      </c>
      <c r="K60" s="18" t="n">
        <f aca="false">J60^2</f>
        <v>0.00281011268660795</v>
      </c>
      <c r="L60" s="18" t="n">
        <f aca="false">I60*$J60</f>
        <v>0.0530104960041684</v>
      </c>
      <c r="M60" s="18" t="n">
        <f aca="false">C60*$J60</f>
        <v>0.00340526200717484</v>
      </c>
      <c r="N60" s="18" t="n">
        <f aca="false">D60*$J60</f>
        <v>-32.1715472969549</v>
      </c>
      <c r="O60" s="18" t="n">
        <f aca="false">E60*$J60</f>
        <v>40.1218872730898</v>
      </c>
      <c r="P60" s="18" t="n">
        <f aca="false">F60*$J60</f>
        <v>8.62959240932127</v>
      </c>
      <c r="Q60" s="18" t="n">
        <f aca="false">G60*$J60</f>
        <v>0.00291338246223829</v>
      </c>
      <c r="R60" s="18" t="n">
        <f aca="false">H60*$J60</f>
        <v>0.00186567750886793</v>
      </c>
    </row>
    <row r="61" customFormat="false" ht="15" hidden="false" customHeight="false" outlineLevel="0" collapsed="false">
      <c r="A61" s="19" t="str">
        <f aca="false">Datos!A69</f>
        <v>2021Q1</v>
      </c>
      <c r="B61" s="20" t="n">
        <f aca="false">Datos!L69</f>
        <v>0.0754590025589087</v>
      </c>
      <c r="C61" s="20" t="n">
        <f aca="false">Datos!I69</f>
        <v>-0.193638860735541</v>
      </c>
      <c r="D61" s="20" t="n">
        <f aca="false">Datos!H69</f>
        <v>100.224470329671</v>
      </c>
      <c r="E61" s="20" t="n">
        <f aca="false">Datos!H67</f>
        <v>-1097.40393434344</v>
      </c>
      <c r="F61" s="20" t="n">
        <f aca="false">Datos!H63</f>
        <v>679.618686815129</v>
      </c>
      <c r="G61" s="20" t="n">
        <f aca="false">Datos!J63</f>
        <v>0.088789332367494</v>
      </c>
      <c r="H61" s="20" t="n">
        <f aca="false">Datos!K62</f>
        <v>-0.0270236391269938</v>
      </c>
      <c r="I61" s="18" t="n">
        <v>1</v>
      </c>
      <c r="J61" s="18" t="n">
        <f aca="false">B61-($B$88+$B$89*C61+$B$90*D61+$B$91*E61+$B$92*F61+$B$93*G61+$B$94*H61)</f>
        <v>0.0217005281150463</v>
      </c>
      <c r="K61" s="18" t="n">
        <f aca="false">J61^2</f>
        <v>0.000470912920471916</v>
      </c>
      <c r="L61" s="18" t="n">
        <f aca="false">I61*$J61</f>
        <v>0.0217005281150463</v>
      </c>
      <c r="M61" s="18" t="n">
        <f aca="false">C61*$J61</f>
        <v>-0.00420206554155716</v>
      </c>
      <c r="N61" s="18" t="n">
        <f aca="false">D61*$J61</f>
        <v>2.17492393620465</v>
      </c>
      <c r="O61" s="18" t="n">
        <f aca="false">E61*$J61</f>
        <v>-23.8142449307822</v>
      </c>
      <c r="P61" s="18" t="n">
        <f aca="false">F61*$J61</f>
        <v>14.7480844207426</v>
      </c>
      <c r="Q61" s="18" t="n">
        <f aca="false">G61*$J61</f>
        <v>0.001926775403357</v>
      </c>
      <c r="R61" s="18" t="n">
        <f aca="false">H61*$J61</f>
        <v>-0.000586427240646195</v>
      </c>
    </row>
    <row r="62" customFormat="false" ht="15" hidden="false" customHeight="false" outlineLevel="0" collapsed="false">
      <c r="A62" s="19" t="str">
        <f aca="false">Datos!A70</f>
        <v>2021Q2</v>
      </c>
      <c r="B62" s="20" t="n">
        <f aca="false">Datos!L70</f>
        <v>0.154973600001828</v>
      </c>
      <c r="C62" s="20" t="n">
        <f aca="false">Datos!I70</f>
        <v>-0.244749418467121</v>
      </c>
      <c r="D62" s="20" t="n">
        <f aca="false">Datos!H70</f>
        <v>51.4231142857141</v>
      </c>
      <c r="E62" s="20" t="n">
        <f aca="false">Datos!H68</f>
        <v>-606.890139160839</v>
      </c>
      <c r="F62" s="20" t="n">
        <f aca="false">Datos!H64</f>
        <v>598.881251590669</v>
      </c>
      <c r="G62" s="20" t="n">
        <f aca="false">Datos!J64</f>
        <v>-0.0976170322305177</v>
      </c>
      <c r="H62" s="20" t="n">
        <f aca="false">Datos!K63</f>
        <v>0.0668497563295599</v>
      </c>
      <c r="I62" s="18" t="n">
        <v>1</v>
      </c>
      <c r="J62" s="18" t="n">
        <f aca="false">B62-($B$88+$B$89*C62+$B$90*D62+$B$91*E62+$B$92*F62+$B$93*G62+$B$94*H62)</f>
        <v>0.0970417841044079</v>
      </c>
      <c r="K62" s="18" t="n">
        <f aca="false">J62^2</f>
        <v>0.00941710786216651</v>
      </c>
      <c r="L62" s="18" t="n">
        <f aca="false">I62*$J62</f>
        <v>0.0970417841044079</v>
      </c>
      <c r="M62" s="18" t="n">
        <f aca="false">C62*$J62</f>
        <v>-0.0237509202265658</v>
      </c>
      <c r="N62" s="18" t="n">
        <f aca="false">D62*$J62</f>
        <v>4.99019075449056</v>
      </c>
      <c r="O62" s="18" t="n">
        <f aca="false">E62*$J62</f>
        <v>-58.8937018595402</v>
      </c>
      <c r="P62" s="18" t="n">
        <f aca="false">F62*$J62</f>
        <v>58.1165051210393</v>
      </c>
      <c r="Q62" s="18" t="n">
        <f aca="false">G62*$J62</f>
        <v>-0.00947293096662693</v>
      </c>
      <c r="R62" s="18" t="n">
        <f aca="false">H62*$J62</f>
        <v>0.00648721962116543</v>
      </c>
    </row>
    <row r="63" customFormat="false" ht="15" hidden="false" customHeight="false" outlineLevel="0" collapsed="false">
      <c r="A63" s="19" t="str">
        <f aca="false">Datos!A71</f>
        <v>2021Q3</v>
      </c>
      <c r="B63" s="20" t="n">
        <f aca="false">Datos!L71</f>
        <v>-0.0691542511309424</v>
      </c>
      <c r="C63" s="20" t="n">
        <f aca="false">Datos!I71</f>
        <v>0.0155375869236292</v>
      </c>
      <c r="D63" s="20" t="n">
        <f aca="false">Datos!H71</f>
        <v>24.6869913043479</v>
      </c>
      <c r="E63" s="20" t="n">
        <f aca="false">Datos!H69</f>
        <v>100.224470329671</v>
      </c>
      <c r="F63" s="20" t="n">
        <f aca="false">Datos!H65</f>
        <v>187.118199188056</v>
      </c>
      <c r="G63" s="20" t="n">
        <f aca="false">Datos!J65</f>
        <v>0.221076901929335</v>
      </c>
      <c r="H63" s="20" t="n">
        <f aca="false">Datos!K64</f>
        <v>0.0445321255864519</v>
      </c>
      <c r="I63" s="18" t="n">
        <v>1</v>
      </c>
      <c r="J63" s="18" t="n">
        <f aca="false">B63-($B$88+$B$89*C63+$B$90*D63+$B$91*E63+$B$92*F63+$B$93*G63+$B$94*H63)</f>
        <v>-0.0541220604953766</v>
      </c>
      <c r="K63" s="18" t="n">
        <f aca="false">J63^2</f>
        <v>0.00292919743226521</v>
      </c>
      <c r="L63" s="18" t="n">
        <f aca="false">I63*$J63</f>
        <v>-0.0541220604953766</v>
      </c>
      <c r="M63" s="18" t="n">
        <f aca="false">C63*$J63</f>
        <v>-0.00084092621943283</v>
      </c>
      <c r="N63" s="18" t="n">
        <f aca="false">D63*$J63</f>
        <v>-1.33611083682275</v>
      </c>
      <c r="O63" s="18" t="n">
        <f aca="false">E63*$J63</f>
        <v>-5.42435484629953</v>
      </c>
      <c r="P63" s="18" t="n">
        <f aca="false">F63*$J63</f>
        <v>-10.1272224962419</v>
      </c>
      <c r="Q63" s="18" t="n">
        <f aca="false">G63*$J63</f>
        <v>-0.0119651374603499</v>
      </c>
      <c r="R63" s="18" t="n">
        <f aca="false">H63*$J63</f>
        <v>-0.00241017039497766</v>
      </c>
    </row>
    <row r="64" customFormat="false" ht="15" hidden="false" customHeight="false" outlineLevel="0" collapsed="false">
      <c r="A64" s="19" t="str">
        <f aca="false">Datos!A72</f>
        <v>2021Q4</v>
      </c>
      <c r="B64" s="20" t="n">
        <f aca="false">Datos!L72</f>
        <v>-0.0345042172539505</v>
      </c>
      <c r="C64" s="20" t="n">
        <f aca="false">Datos!I72</f>
        <v>0.0372511420898235</v>
      </c>
      <c r="D64" s="20" t="n">
        <f aca="false">Datos!H72</f>
        <v>144.162478260869</v>
      </c>
      <c r="E64" s="20" t="n">
        <f aca="false">Datos!H70</f>
        <v>51.4231142857141</v>
      </c>
      <c r="F64" s="20" t="n">
        <f aca="false">Datos!H66</f>
        <v>756.86685274431</v>
      </c>
      <c r="G64" s="20" t="n">
        <f aca="false">Datos!J66</f>
        <v>0.295953407381194</v>
      </c>
      <c r="H64" s="20" t="n">
        <f aca="false">Datos!K65</f>
        <v>-0.0349380110691591</v>
      </c>
      <c r="I64" s="18" t="n">
        <v>1</v>
      </c>
      <c r="J64" s="18" t="n">
        <f aca="false">B64-($B$88+$B$89*C64+$B$90*D64+$B$91*E64+$B$92*F64+$B$93*G64+$B$94*H64)</f>
        <v>-0.0136867267709212</v>
      </c>
      <c r="K64" s="18" t="n">
        <f aca="false">J64^2</f>
        <v>0.00018732648970185</v>
      </c>
      <c r="L64" s="18" t="n">
        <f aca="false">I64*$J64</f>
        <v>-0.0136867267709212</v>
      </c>
      <c r="M64" s="18" t="n">
        <f aca="false">C64*$J64</f>
        <v>-0.000509846203688176</v>
      </c>
      <c r="N64" s="18" t="n">
        <f aca="false">D64*$J64</f>
        <v>-1.97311245057538</v>
      </c>
      <c r="O64" s="18" t="n">
        <f aca="false">E64*$J64</f>
        <v>-0.703814114938422</v>
      </c>
      <c r="P64" s="18" t="n">
        <f aca="false">F64*$J64</f>
        <v>-10.3590298154784</v>
      </c>
      <c r="Q64" s="18" t="n">
        <f aca="false">G64*$J64</f>
        <v>-0.00405063342374953</v>
      </c>
      <c r="R64" s="18" t="n">
        <f aca="false">H64*$J64</f>
        <v>0.000478187011422999</v>
      </c>
    </row>
    <row r="65" customFormat="false" ht="15" hidden="false" customHeight="false" outlineLevel="0" collapsed="false">
      <c r="A65" s="19" t="str">
        <f aca="false">Datos!A73</f>
        <v>2022Q1</v>
      </c>
      <c r="B65" s="20" t="n">
        <f aca="false">Datos!L73</f>
        <v>-0.0150273006931949</v>
      </c>
      <c r="C65" s="20" t="n">
        <f aca="false">Datos!I73</f>
        <v>0.0355016157142883</v>
      </c>
      <c r="D65" s="20" t="n">
        <f aca="false">Datos!H73</f>
        <v>94.729852657005</v>
      </c>
      <c r="E65" s="20" t="n">
        <f aca="false">Datos!H71</f>
        <v>24.6869913043479</v>
      </c>
      <c r="F65" s="20" t="n">
        <f aca="false">Datos!H67</f>
        <v>-1097.40393434344</v>
      </c>
      <c r="G65" s="20" t="n">
        <f aca="false">Datos!J67</f>
        <v>-0.245003429458452</v>
      </c>
      <c r="H65" s="20" t="n">
        <f aca="false">Datos!K66</f>
        <v>-0.0474907628165441</v>
      </c>
      <c r="I65" s="18" t="n">
        <v>1</v>
      </c>
      <c r="J65" s="18" t="n">
        <f aca="false">B65-($B$88+$B$89*C65+$B$90*D65+$B$91*E65+$B$92*F65+$B$93*G65+$B$94*H65)</f>
        <v>0.00828131025590103</v>
      </c>
      <c r="K65" s="18" t="n">
        <f aca="false">J65^2</f>
        <v>6.85800995544916E-005</v>
      </c>
      <c r="L65" s="18" t="n">
        <f aca="false">I65*$J65</f>
        <v>0.00828131025590103</v>
      </c>
      <c r="M65" s="18" t="n">
        <f aca="false">C65*$J65</f>
        <v>0.000293999894315793</v>
      </c>
      <c r="N65" s="18" t="n">
        <f aca="false">D65*$J65</f>
        <v>0.784487300348449</v>
      </c>
      <c r="O65" s="18" t="n">
        <f aca="false">E65*$J65</f>
        <v>0.204440634276036</v>
      </c>
      <c r="P65" s="18" t="n">
        <f aca="false">F65*$J65</f>
        <v>-9.08794245634443</v>
      </c>
      <c r="Q65" s="18" t="n">
        <f aca="false">G65*$J65</f>
        <v>-0.00202894941310521</v>
      </c>
      <c r="R65" s="18" t="n">
        <f aca="false">H65*$J65</f>
        <v>-0.00039328574117321</v>
      </c>
    </row>
    <row r="66" customFormat="false" ht="15" hidden="false" customHeight="false" outlineLevel="0" collapsed="false">
      <c r="A66" s="19" t="str">
        <f aca="false">Datos!A74</f>
        <v>2022Q2</v>
      </c>
      <c r="B66" s="20" t="n">
        <f aca="false">Datos!L74</f>
        <v>0.0126863059008944</v>
      </c>
      <c r="C66" s="20" t="n">
        <f aca="false">Datos!I74</f>
        <v>-0.00674178026505711</v>
      </c>
      <c r="D66" s="20" t="n">
        <f aca="false">Datos!H74</f>
        <v>111.567003052503</v>
      </c>
      <c r="E66" s="20" t="n">
        <f aca="false">Datos!H72</f>
        <v>144.162478260869</v>
      </c>
      <c r="F66" s="20" t="n">
        <f aca="false">Datos!H68</f>
        <v>-606.890139160839</v>
      </c>
      <c r="G66" s="20" t="n">
        <f aca="false">Datos!J68</f>
        <v>-0.131027789991017</v>
      </c>
      <c r="H66" s="20" t="n">
        <f aca="false">Datos!K67</f>
        <v>0.0306557066678773</v>
      </c>
      <c r="I66" s="18" t="n">
        <v>1</v>
      </c>
      <c r="J66" s="18" t="n">
        <f aca="false">B66-($B$88+$B$89*C66+$B$90*D66+$B$91*E66+$B$92*F66+$B$93*G66+$B$94*H66)</f>
        <v>0.0290390626539434</v>
      </c>
      <c r="K66" s="18" t="n">
        <f aca="false">J66^2</f>
        <v>0.00084326715981965</v>
      </c>
      <c r="L66" s="18" t="n">
        <f aca="false">I66*$J66</f>
        <v>0.0290390626539434</v>
      </c>
      <c r="M66" s="18" t="n">
        <f aca="false">C66*$J66</f>
        <v>-0.000195774979516112</v>
      </c>
      <c r="N66" s="18" t="n">
        <f aca="false">D66*$J66</f>
        <v>3.23980119175433</v>
      </c>
      <c r="O66" s="18" t="n">
        <f aca="false">E66*$J66</f>
        <v>4.18634323856513</v>
      </c>
      <c r="P66" s="18" t="n">
        <f aca="false">F66*$J66</f>
        <v>-17.623520775152</v>
      </c>
      <c r="Q66" s="18" t="n">
        <f aca="false">G66*$J66</f>
        <v>-0.00380492420295687</v>
      </c>
      <c r="R66" s="18" t="n">
        <f aca="false">H66*$J66</f>
        <v>0.000890212986629399</v>
      </c>
    </row>
    <row r="67" customFormat="false" ht="15" hidden="false" customHeight="false" outlineLevel="0" collapsed="false">
      <c r="A67" s="19" t="str">
        <f aca="false">Datos!A75</f>
        <v>2022Q3</v>
      </c>
      <c r="B67" s="20" t="n">
        <f aca="false">Datos!L75</f>
        <v>-0.0144559309870564</v>
      </c>
      <c r="C67" s="20" t="n">
        <f aca="false">Datos!I75</f>
        <v>-0.0371795981009521</v>
      </c>
      <c r="D67" s="20" t="n">
        <f aca="false">Datos!H75</f>
        <v>613.427821391941</v>
      </c>
      <c r="E67" s="20" t="n">
        <f aca="false">Datos!H73</f>
        <v>94.729852657005</v>
      </c>
      <c r="F67" s="20" t="n">
        <f aca="false">Datos!H69</f>
        <v>100.224470329671</v>
      </c>
      <c r="G67" s="20" t="n">
        <f aca="false">Datos!J69</f>
        <v>-0.0811045233564329</v>
      </c>
      <c r="H67" s="20" t="n">
        <f aca="false">Datos!K68</f>
        <v>0.0276558919383922</v>
      </c>
      <c r="I67" s="18" t="n">
        <v>1</v>
      </c>
      <c r="J67" s="18" t="n">
        <f aca="false">B67-($B$88+$B$89*C67+$B$90*D67+$B$91*E67+$B$92*F67+$B$93*G67+$B$94*H67)</f>
        <v>0.0148667668378783</v>
      </c>
      <c r="K67" s="18" t="n">
        <f aca="false">J67^2</f>
        <v>0.000221020756211837</v>
      </c>
      <c r="L67" s="18" t="n">
        <f aca="false">I67*$J67</f>
        <v>0.0148667668378783</v>
      </c>
      <c r="M67" s="18" t="n">
        <f aca="false">C67*$J67</f>
        <v>-0.000552740416092876</v>
      </c>
      <c r="N67" s="18" t="n">
        <f aca="false">D67*$J67</f>
        <v>9.11968839250163</v>
      </c>
      <c r="O67" s="18" t="n">
        <f aca="false">E67*$J67</f>
        <v>1.40832663203826</v>
      </c>
      <c r="P67" s="18" t="n">
        <f aca="false">F67*$J67</f>
        <v>1.49001383184107</v>
      </c>
      <c r="Q67" s="18" t="n">
        <f aca="false">G67*$J67</f>
        <v>-0.00120576203823734</v>
      </c>
      <c r="R67" s="18" t="n">
        <f aca="false">H67*$J67</f>
        <v>0.000411153697141635</v>
      </c>
    </row>
    <row r="68" customFormat="false" ht="15" hidden="false" customHeight="false" outlineLevel="0" collapsed="false">
      <c r="A68" s="19" t="str">
        <f aca="false">Datos!A76</f>
        <v>2022Q4</v>
      </c>
      <c r="B68" s="20" t="n">
        <f aca="false">Datos!L76</f>
        <v>-0.042989937364541</v>
      </c>
      <c r="C68" s="20" t="n">
        <f aca="false">Datos!I76</f>
        <v>-0.0252636786491897</v>
      </c>
      <c r="D68" s="20" t="n">
        <f aca="false">Datos!H76</f>
        <v>-69.2846118840562</v>
      </c>
      <c r="E68" s="20" t="n">
        <f aca="false">Datos!H74</f>
        <v>111.567003052503</v>
      </c>
      <c r="F68" s="20" t="n">
        <f aca="false">Datos!H70</f>
        <v>51.4231142857141</v>
      </c>
      <c r="G68" s="20" t="n">
        <f aca="false">Datos!J70</f>
        <v>-0.164266961512105</v>
      </c>
      <c r="H68" s="20" t="n">
        <f aca="false">Datos!K69</f>
        <v>0.0884101043961178</v>
      </c>
      <c r="I68" s="18" t="n">
        <v>1</v>
      </c>
      <c r="J68" s="18" t="n">
        <f aca="false">B68-($B$88+$B$89*C68+$B$90*D68+$B$91*E68+$B$92*F68+$B$93*G68+$B$94*H68)</f>
        <v>-0.0766487884335209</v>
      </c>
      <c r="K68" s="18" t="n">
        <f aca="false">J68^2</f>
        <v>0.00587503676832665</v>
      </c>
      <c r="L68" s="18" t="n">
        <f aca="false">I68*$J68</f>
        <v>-0.0766487884335209</v>
      </c>
      <c r="M68" s="18" t="n">
        <f aca="false">C68*$J68</f>
        <v>0.0019364303598342</v>
      </c>
      <c r="N68" s="18" t="n">
        <f aca="false">D68*$J68</f>
        <v>5.31058155799963</v>
      </c>
      <c r="O68" s="18" t="n">
        <f aca="false">E68*$J68</f>
        <v>-8.55147561313329</v>
      </c>
      <c r="P68" s="18" t="n">
        <f aca="false">F68*$J68</f>
        <v>-3.94151940747847</v>
      </c>
      <c r="Q68" s="18" t="n">
        <f aca="false">G68*$J68</f>
        <v>0.0125908635795587</v>
      </c>
      <c r="R68" s="18" t="n">
        <f aca="false">H68*$J68</f>
        <v>-0.00677652738724353</v>
      </c>
    </row>
    <row r="69" customFormat="false" ht="15" hidden="false" customHeight="false" outlineLevel="0" collapsed="false">
      <c r="A69" s="19" t="str">
        <f aca="false">Datos!A77</f>
        <v>2023Q1</v>
      </c>
      <c r="B69" s="20" t="n">
        <f aca="false">Datos!L77</f>
        <v>-0.0147344524955975</v>
      </c>
      <c r="C69" s="20" t="n">
        <f aca="false">Datos!I77</f>
        <v>-0.00518521666359616</v>
      </c>
      <c r="D69" s="20" t="n">
        <f aca="false">Datos!H77</f>
        <v>-376.758957004832</v>
      </c>
      <c r="E69" s="20" t="n">
        <f aca="false">Datos!H75</f>
        <v>613.427821391941</v>
      </c>
      <c r="F69" s="20" t="n">
        <f aca="false">Datos!H71</f>
        <v>24.6869913043479</v>
      </c>
      <c r="G69" s="20" t="n">
        <f aca="false">Datos!J71</f>
        <v>0.249643026411689</v>
      </c>
      <c r="H69" s="20" t="n">
        <f aca="false">Datos!K70</f>
        <v>0.025645645716768</v>
      </c>
      <c r="I69" s="18" t="n">
        <v>1</v>
      </c>
      <c r="J69" s="18" t="n">
        <f aca="false">B69-($B$88+$B$89*C69+$B$90*D69+$B$91*E69+$B$92*F69+$B$93*G69+$B$94*H69)</f>
        <v>0.0205725334142871</v>
      </c>
      <c r="K69" s="18" t="n">
        <f aca="false">J69^2</f>
        <v>0.000423229131081958</v>
      </c>
      <c r="L69" s="18" t="n">
        <f aca="false">I69*$J69</f>
        <v>0.0205725334142871</v>
      </c>
      <c r="M69" s="18" t="n">
        <f aca="false">C69*$J69</f>
        <v>-0.00010667304307215</v>
      </c>
      <c r="N69" s="18" t="n">
        <f aca="false">D69*$J69</f>
        <v>-7.75088623211386</v>
      </c>
      <c r="O69" s="18" t="n">
        <f aca="false">E69*$J69</f>
        <v>12.619764352839</v>
      </c>
      <c r="P69" s="18" t="n">
        <f aca="false">F69*$J69</f>
        <v>0.507873953506911</v>
      </c>
      <c r="Q69" s="18" t="n">
        <f aca="false">G69*$J69</f>
        <v>0.00513578950249823</v>
      </c>
      <c r="R69" s="18" t="n">
        <f aca="false">H69*$J69</f>
        <v>0.000527595903439178</v>
      </c>
    </row>
    <row r="70" customFormat="false" ht="15" hidden="false" customHeight="false" outlineLevel="0" collapsed="false">
      <c r="A70" s="19" t="str">
        <f aca="false">Datos!A78</f>
        <v>2023Q2</v>
      </c>
      <c r="B70" s="20" t="n">
        <f aca="false">Datos!L78</f>
        <v>-0.0658685480975044</v>
      </c>
      <c r="C70" s="20" t="n">
        <f aca="false">Datos!I78</f>
        <v>-0.0211814413429257</v>
      </c>
      <c r="D70" s="20" t="n">
        <f aca="false">Datos!H78</f>
        <v>396.345972839506</v>
      </c>
      <c r="E70" s="20" t="n">
        <f aca="false">Datos!H76</f>
        <v>-69.2846118840562</v>
      </c>
      <c r="F70" s="20" t="n">
        <f aca="false">Datos!H72</f>
        <v>144.162478260869</v>
      </c>
      <c r="G70" s="20" t="n">
        <f aca="false">Datos!J72</f>
        <v>0.284553859686216</v>
      </c>
      <c r="H70" s="20" t="n">
        <f aca="false">Datos!K71</f>
        <v>-0.065948233834193</v>
      </c>
      <c r="I70" s="18" t="n">
        <v>1</v>
      </c>
      <c r="J70" s="18" t="n">
        <f aca="false">B70-($B$88+$B$89*C70+$B$90*D70+$B$91*E70+$B$92*F70+$B$93*G70+$B$94*H70)</f>
        <v>-0.00455984415559337</v>
      </c>
      <c r="K70" s="18" t="n">
        <f aca="false">J70^2</f>
        <v>2.0792178723299E-005</v>
      </c>
      <c r="L70" s="18" t="n">
        <f aca="false">I70*$J70</f>
        <v>-0.00455984415559337</v>
      </c>
      <c r="M70" s="18" t="n">
        <f aca="false">C70*$J70</f>
        <v>9.65840715145833E-005</v>
      </c>
      <c r="N70" s="18" t="n">
        <f aca="false">D70*$J70</f>
        <v>-1.80727586784519</v>
      </c>
      <c r="O70" s="18" t="n">
        <f aca="false">E70*$J70</f>
        <v>0.315927032572068</v>
      </c>
      <c r="P70" s="18" t="n">
        <f aca="false">F70*$J70</f>
        <v>-0.657358433953679</v>
      </c>
      <c r="Q70" s="18" t="n">
        <f aca="false">G70*$J70</f>
        <v>-0.00129752125404173</v>
      </c>
      <c r="R70" s="18" t="n">
        <f aca="false">H70*$J70</f>
        <v>0.00030071366862055</v>
      </c>
    </row>
    <row r="71" customFormat="false" ht="15" hidden="false" customHeight="false" outlineLevel="0" collapsed="false">
      <c r="A71" s="19" t="str">
        <f aca="false">Datos!A79</f>
        <v>2023Q3</v>
      </c>
      <c r="B71" s="20" t="n">
        <f aca="false">Datos!L79</f>
        <v>0.0512569990728792</v>
      </c>
      <c r="C71" s="20" t="n">
        <f aca="false">Datos!I79</f>
        <v>-0.0552380565995734</v>
      </c>
      <c r="D71" s="20" t="n">
        <f aca="false">Datos!H79</f>
        <v>-393.961216440069</v>
      </c>
      <c r="E71" s="20" t="n">
        <f aca="false">Datos!H77</f>
        <v>-376.758957004832</v>
      </c>
      <c r="F71" s="20" t="n">
        <f aca="false">Datos!H73</f>
        <v>94.729852657005</v>
      </c>
      <c r="G71" s="20" t="n">
        <f aca="false">Datos!J73</f>
        <v>-0.167076079806291</v>
      </c>
      <c r="H71" s="20" t="n">
        <f aca="false">Datos!K72</f>
        <v>-0.0279737231897952</v>
      </c>
      <c r="I71" s="18" t="n">
        <v>1</v>
      </c>
      <c r="J71" s="18" t="n">
        <f aca="false">B71-($B$88+$B$89*C71+$B$90*D71+$B$91*E71+$B$92*F71+$B$93*G71+$B$94*H71)</f>
        <v>-0.0105334927347448</v>
      </c>
      <c r="K71" s="18" t="n">
        <f aca="false">J71^2</f>
        <v>0.000110954469192922</v>
      </c>
      <c r="L71" s="18" t="n">
        <f aca="false">I71*$J71</f>
        <v>-0.0105334927347448</v>
      </c>
      <c r="M71" s="18" t="n">
        <f aca="false">C71*$J71</f>
        <v>0.00058184966787303</v>
      </c>
      <c r="N71" s="18" t="n">
        <f aca="false">D71*$J71</f>
        <v>4.1497876111427</v>
      </c>
      <c r="O71" s="18" t="n">
        <f aca="false">E71*$J71</f>
        <v>3.96858773636044</v>
      </c>
      <c r="P71" s="18" t="n">
        <f aca="false">F71*$J71</f>
        <v>-0.997836214726011</v>
      </c>
      <c r="Q71" s="18" t="n">
        <f aca="false">G71*$J71</f>
        <v>0.00175989467278921</v>
      </c>
      <c r="R71" s="18" t="n">
        <f aca="false">H71*$J71</f>
        <v>0.00029466100998347</v>
      </c>
    </row>
    <row r="72" customFormat="false" ht="15" hidden="false" customHeight="false" outlineLevel="0" collapsed="false">
      <c r="A72" s="19" t="str">
        <f aca="false">Datos!A80</f>
        <v>2023Q4</v>
      </c>
      <c r="B72" s="20" t="n">
        <f aca="false">Datos!L80</f>
        <v>-0.0116681302350901</v>
      </c>
      <c r="C72" s="20" t="n">
        <f aca="false">Datos!I80</f>
        <v>-0.104830369197381</v>
      </c>
      <c r="D72" s="20" t="n">
        <f aca="false">Datos!H80</f>
        <v>122.080899625603</v>
      </c>
      <c r="E72" s="20" t="n">
        <f aca="false">Datos!H78</f>
        <v>396.345972839506</v>
      </c>
      <c r="F72" s="20" t="n">
        <f aca="false">Datos!H74</f>
        <v>111.567003052503</v>
      </c>
      <c r="G72" s="20" t="n">
        <f aca="false">Datos!J74</f>
        <v>0.169220698210594</v>
      </c>
      <c r="H72" s="20" t="n">
        <f aca="false">Datos!K73</f>
        <v>-0.0135796367455427</v>
      </c>
      <c r="I72" s="18" t="n">
        <v>1</v>
      </c>
      <c r="J72" s="18" t="n">
        <f aca="false">B72-($B$88+$B$89*C72+$B$90*D72+$B$91*E72+$B$92*F72+$B$93*G72+$B$94*H72)</f>
        <v>0.0465807993423579</v>
      </c>
      <c r="K72" s="18" t="n">
        <f aca="false">J72^2</f>
        <v>0.00216977086737301</v>
      </c>
      <c r="L72" s="18" t="n">
        <f aca="false">I72*$J72</f>
        <v>0.0465807993423579</v>
      </c>
      <c r="M72" s="18" t="n">
        <f aca="false">C72*$J72</f>
        <v>-0.0048830823925685</v>
      </c>
      <c r="N72" s="18" t="n">
        <f aca="false">D72*$J72</f>
        <v>5.68662588899474</v>
      </c>
      <c r="O72" s="18" t="n">
        <f aca="false">E72*$J72</f>
        <v>18.4621122309887</v>
      </c>
      <c r="P72" s="18" t="n">
        <f aca="false">F72*$J72</f>
        <v>5.19688018241687</v>
      </c>
      <c r="Q72" s="18" t="n">
        <f aca="false">G72*$J72</f>
        <v>0.00788243538792139</v>
      </c>
      <c r="R72" s="18" t="n">
        <f aca="false">H72*$J72</f>
        <v>-0.000632550334386237</v>
      </c>
    </row>
    <row r="73" customFormat="false" ht="15" hidden="false" customHeight="false" outlineLevel="0" collapsed="false">
      <c r="A73" s="19" t="str">
        <f aca="false">Datos!A81</f>
        <v>2024Q1</v>
      </c>
      <c r="B73" s="20" t="n">
        <f aca="false">Datos!L81</f>
        <v>-0.0324571770905033</v>
      </c>
      <c r="C73" s="20" t="n">
        <f aca="false">Datos!I81</f>
        <v>-0.0995297912662513</v>
      </c>
      <c r="D73" s="20" t="n">
        <f aca="false">Datos!H81</f>
        <v>-454.938553802817</v>
      </c>
      <c r="E73" s="20" t="n">
        <f aca="false">Datos!H79</f>
        <v>-393.961216440069</v>
      </c>
      <c r="F73" s="20" t="n">
        <f aca="false">Datos!H75</f>
        <v>613.427821391941</v>
      </c>
      <c r="G73" s="20" t="n">
        <f aca="false">Datos!J75</f>
        <v>-0.0735093011783898</v>
      </c>
      <c r="H73" s="20" t="n">
        <f aca="false">Datos!K74</f>
        <v>-0.0666502884026636</v>
      </c>
      <c r="I73" s="18" t="n">
        <v>1</v>
      </c>
      <c r="J73" s="18" t="n">
        <f aca="false">B73-($B$88+$B$89*C73+$B$90*D73+$B$91*E73+$B$92*F73+$B$93*G73+$B$94*H73)</f>
        <v>-0.0957870722023176</v>
      </c>
      <c r="K73" s="18" t="n">
        <f aca="false">J73^2</f>
        <v>0.00917516320109201</v>
      </c>
      <c r="L73" s="18" t="n">
        <f aca="false">I73*$J73</f>
        <v>-0.0957870722023176</v>
      </c>
      <c r="M73" s="18" t="n">
        <f aca="false">C73*$J73</f>
        <v>0.00953366730230202</v>
      </c>
      <c r="N73" s="18" t="n">
        <f aca="false">D73*$J73</f>
        <v>43.5772321007284</v>
      </c>
      <c r="O73" s="18" t="n">
        <f aca="false">E73*$J73</f>
        <v>37.7363914840577</v>
      </c>
      <c r="P73" s="18" t="n">
        <f aca="false">F73*$J73</f>
        <v>-58.7584550185803</v>
      </c>
      <c r="Q73" s="18" t="n">
        <f aca="false">G73*$J73</f>
        <v>0.00704124073951634</v>
      </c>
      <c r="R73" s="18" t="n">
        <f aca="false">H73*$J73</f>
        <v>0.00638423598753123</v>
      </c>
    </row>
    <row r="74" customFormat="false" ht="15" hidden="false" customHeight="false" outlineLevel="0" collapsed="false">
      <c r="A74" s="19" t="str">
        <f aca="false">Datos!A82</f>
        <v>2024Q2</v>
      </c>
      <c r="B74" s="20" t="n">
        <f aca="false">Datos!L82</f>
        <v>0.0387840333974563</v>
      </c>
      <c r="C74" s="20" t="n">
        <f aca="false">Datos!I82</f>
        <v>0.0839810999883668</v>
      </c>
      <c r="D74" s="20" t="n">
        <f aca="false">Datos!H82</f>
        <v>-411.750199402986</v>
      </c>
      <c r="E74" s="20" t="n">
        <f aca="false">Datos!H80</f>
        <v>122.080899625603</v>
      </c>
      <c r="F74" s="20" t="n">
        <f aca="false">Datos!H76</f>
        <v>-69.2846118840562</v>
      </c>
      <c r="G74" s="20" t="n">
        <f aca="false">Datos!J76</f>
        <v>-0.0738502184948509</v>
      </c>
      <c r="H74" s="20" t="n">
        <f aca="false">Datos!K75</f>
        <v>-0.0294452458384041</v>
      </c>
      <c r="I74" s="18" t="n">
        <v>1</v>
      </c>
      <c r="J74" s="18" t="n">
        <f aca="false">B74-($B$88+$B$89*C74+$B$90*D74+$B$91*E74+$B$92*F74+$B$93*G74+$B$94*H74)</f>
        <v>0.0104891431931992</v>
      </c>
      <c r="K74" s="18" t="n">
        <f aca="false">J74^2</f>
        <v>0.000110022124927437</v>
      </c>
      <c r="L74" s="18" t="n">
        <f aca="false">I74*$J74</f>
        <v>0.0104891431931992</v>
      </c>
      <c r="M74" s="18" t="n">
        <f aca="false">C74*$J74</f>
        <v>0.000880889783300361</v>
      </c>
      <c r="N74" s="18" t="n">
        <f aca="false">D74*$J74</f>
        <v>-4.31890680136625</v>
      </c>
      <c r="O74" s="18" t="n">
        <f aca="false">E74*$J74</f>
        <v>1.28052403732753</v>
      </c>
      <c r="P74" s="18" t="n">
        <f aca="false">F74*$J74</f>
        <v>-0.726736215137097</v>
      </c>
      <c r="Q74" s="18" t="n">
        <f aca="false">G74*$J74</f>
        <v>-0.000774625516641539</v>
      </c>
      <c r="R74" s="18" t="n">
        <f aca="false">H74*$J74</f>
        <v>-0.000308855399957974</v>
      </c>
    </row>
    <row r="75" customFormat="false" ht="15" hidden="false" customHeight="false" outlineLevel="0" collapsed="false">
      <c r="A75" s="19" t="str">
        <f aca="false">Datos!A83</f>
        <v>2024Q3</v>
      </c>
      <c r="B75" s="20" t="n">
        <f aca="false">Datos!L83</f>
        <v>-0.00853767280644247</v>
      </c>
      <c r="C75" s="20" t="n">
        <f aca="false">Datos!I83</f>
        <v>0.0583938784085901</v>
      </c>
      <c r="D75" s="20" t="n">
        <f aca="false">Datos!H83</f>
        <v>140.77357394844</v>
      </c>
      <c r="E75" s="20" t="n">
        <f aca="false">Datos!H81</f>
        <v>-454.938553802817</v>
      </c>
      <c r="F75" s="20" t="n">
        <f aca="false">Datos!H77</f>
        <v>-376.758957004832</v>
      </c>
      <c r="G75" s="20" t="n">
        <f aca="false">Datos!J77</f>
        <v>0.367099592287782</v>
      </c>
      <c r="H75" s="20" t="n">
        <f aca="false">Datos!K76</f>
        <v>0.11290837336386</v>
      </c>
      <c r="I75" s="18" t="n">
        <v>1</v>
      </c>
      <c r="J75" s="18" t="n">
        <f aca="false">B75-($B$88+$B$89*C75+$B$90*D75+$B$91*E75+$B$92*F75+$B$93*G75+$B$94*H75)</f>
        <v>-0.000313411858414912</v>
      </c>
      <c r="K75" s="18" t="n">
        <f aca="false">J75^2</f>
        <v>9.82269929950886E-008</v>
      </c>
      <c r="L75" s="18" t="n">
        <f aca="false">I75*$J75</f>
        <v>-0.000313411858414912</v>
      </c>
      <c r="M75" s="18" t="n">
        <f aca="false">C75*$J75</f>
        <v>-1.83013339520906E-005</v>
      </c>
      <c r="N75" s="18" t="n">
        <f aca="false">D75*$J75</f>
        <v>-0.0441201074268895</v>
      </c>
      <c r="O75" s="18" t="n">
        <f aca="false">E75*$J75</f>
        <v>0.142583137611933</v>
      </c>
      <c r="P75" s="18" t="n">
        <f aca="false">F75*$J75</f>
        <v>0.118080724889348</v>
      </c>
      <c r="Q75" s="18" t="n">
        <f aca="false">G75*$J75</f>
        <v>-0.00011505336544227</v>
      </c>
      <c r="R75" s="18" t="n">
        <f aca="false">H75*$J75</f>
        <v>-3.53868231265719E-005</v>
      </c>
    </row>
    <row r="76" customFormat="false" ht="15" hidden="false" customHeight="false" outlineLevel="0" collapsed="false">
      <c r="A76" s="19" t="str">
        <f aca="false">Datos!A84</f>
        <v>2024Q4</v>
      </c>
      <c r="B76" s="20" t="n">
        <f aca="false">Datos!L84</f>
        <v>0.0457536331016225</v>
      </c>
      <c r="C76" s="20" t="n">
        <f aca="false">Datos!I84</f>
        <v>0.209850652496816</v>
      </c>
      <c r="D76" s="20" t="n">
        <f aca="false">Datos!H84</f>
        <v>-564.145454545455</v>
      </c>
      <c r="E76" s="20" t="n">
        <f aca="false">Datos!H82</f>
        <v>-411.750199402986</v>
      </c>
      <c r="F76" s="20" t="n">
        <f aca="false">Datos!H78</f>
        <v>396.345972839506</v>
      </c>
      <c r="G76" s="20" t="n">
        <f aca="false">Datos!J78</f>
        <v>-0.00797161018467474</v>
      </c>
      <c r="H76" s="20" t="n">
        <f aca="false">Datos!K77</f>
        <v>-0.11679097674453</v>
      </c>
      <c r="I76" s="18" t="n">
        <v>1</v>
      </c>
      <c r="J76" s="18" t="n">
        <f aca="false">B76-($B$88+$B$89*C76+$B$90*D76+$B$91*E76+$B$92*F76+$B$93*G76+$B$94*H76)</f>
        <v>-0.0294031707102385</v>
      </c>
      <c r="K76" s="18" t="n">
        <f aca="false">J76^2</f>
        <v>0.000864546447815429</v>
      </c>
      <c r="L76" s="18" t="n">
        <f aca="false">I76*$J76</f>
        <v>-0.0294031707102385</v>
      </c>
      <c r="M76" s="18" t="n">
        <f aca="false">C76*$J76</f>
        <v>-0.00617027455901882</v>
      </c>
      <c r="N76" s="18" t="n">
        <f aca="false">D76*$J76</f>
        <v>16.5876651054051</v>
      </c>
      <c r="O76" s="18" t="n">
        <f aca="false">E76*$J76</f>
        <v>12.1067614030208</v>
      </c>
      <c r="P76" s="18" t="n">
        <f aca="false">F76*$J76</f>
        <v>-11.6538282997156</v>
      </c>
      <c r="Q76" s="18" t="n">
        <f aca="false">G76*$J76</f>
        <v>0.000234390615095467</v>
      </c>
      <c r="R76" s="18" t="n">
        <f aca="false">H76*$J76</f>
        <v>0.00343402502663491</v>
      </c>
    </row>
    <row r="77" customFormat="false" ht="15" hidden="false" customHeight="false" outlineLevel="0" collapsed="false">
      <c r="A77" s="19" t="str">
        <f aca="false">Datos!A85</f>
        <v>2025Q1</v>
      </c>
      <c r="B77" s="20" t="n">
        <f aca="false">Datos!L85</f>
        <v>0.031991780460181</v>
      </c>
      <c r="C77" s="20" t="n">
        <f aca="false">Datos!I85</f>
        <v>0.248983047054301</v>
      </c>
      <c r="D77" s="20" t="n">
        <f aca="false">Datos!H85</f>
        <v>-235.861538461538</v>
      </c>
      <c r="E77" s="20" t="n">
        <f aca="false">Datos!H83</f>
        <v>140.77357394844</v>
      </c>
      <c r="F77" s="20" t="n">
        <f aca="false">Datos!H79</f>
        <v>-393.961216440069</v>
      </c>
      <c r="G77" s="20" t="n">
        <f aca="false">Datos!J79</f>
        <v>0.183376294592147</v>
      </c>
      <c r="H77" s="20" t="n">
        <f aca="false">Datos!K78</f>
        <v>0.0155541344453244</v>
      </c>
      <c r="I77" s="18" t="n">
        <v>1</v>
      </c>
      <c r="J77" s="18" t="n">
        <f aca="false">B77-($B$88+$B$89*C77+$B$90*D77+$B$91*E77+$B$92*F77+$B$93*G77+$B$94*H77)</f>
        <v>0.0333190056652649</v>
      </c>
      <c r="K77" s="18" t="n">
        <f aca="false">J77^2</f>
        <v>0.00111015613852196</v>
      </c>
      <c r="L77" s="18" t="n">
        <f aca="false">I77*$J77</f>
        <v>0.0333190056652649</v>
      </c>
      <c r="M77" s="18" t="n">
        <f aca="false">C77*$J77</f>
        <v>0.0082958675553572</v>
      </c>
      <c r="N77" s="18" t="n">
        <f aca="false">D77*$J77</f>
        <v>-7.85867193621811</v>
      </c>
      <c r="O77" s="18" t="n">
        <f aca="false">E77*$J77</f>
        <v>4.69043550790766</v>
      </c>
      <c r="P77" s="18" t="n">
        <f aca="false">F77*$J77</f>
        <v>-13.1263960024613</v>
      </c>
      <c r="Q77" s="18" t="n">
        <f aca="false">G77*$J77</f>
        <v>0.00610991579839103</v>
      </c>
      <c r="R77" s="18" t="n">
        <f aca="false">H77*$J77</f>
        <v>0.000518248293702056</v>
      </c>
    </row>
    <row r="78" customFormat="false" ht="15" hidden="false" customHeight="false" outlineLevel="0" collapsed="false">
      <c r="A78" s="19" t="str">
        <f aca="false">Datos!A86</f>
        <v>2025Q2</v>
      </c>
      <c r="B78" s="20" t="n">
        <f aca="false">Datos!L86</f>
        <v>0.005439399321155</v>
      </c>
      <c r="C78" s="20" t="n">
        <f aca="false">Datos!I86</f>
        <v>-0.0247458039655413</v>
      </c>
      <c r="D78" s="20" t="n">
        <f aca="false">Datos!H86</f>
        <v>39.3076923076923</v>
      </c>
      <c r="E78" s="20" t="n">
        <f aca="false">Datos!H84</f>
        <v>-564.145454545455</v>
      </c>
      <c r="F78" s="20" t="n">
        <f aca="false">Datos!H80</f>
        <v>122.080899625603</v>
      </c>
      <c r="G78" s="20" t="n">
        <f aca="false">Datos!J80</f>
        <v>0.44451895067595</v>
      </c>
      <c r="H78" s="20" t="n">
        <f aca="false">Datos!K79</f>
        <v>0.0783071254305534</v>
      </c>
      <c r="I78" s="18" t="n">
        <v>1</v>
      </c>
      <c r="J78" s="18" t="n">
        <f aca="false">B78-($B$88+$B$89*C78+$B$90*D78+$B$91*E78+$B$92*F78+$B$93*G78+$B$94*H78)</f>
        <v>0.0055328030242614</v>
      </c>
      <c r="K78" s="18" t="n">
        <f aca="false">J78^2</f>
        <v>3.06119093052761E-005</v>
      </c>
      <c r="L78" s="18" t="n">
        <f aca="false">I78*$J78</f>
        <v>0.0055328030242614</v>
      </c>
      <c r="M78" s="18" t="n">
        <f aca="false">C78*$J78</f>
        <v>-0.000136913659018327</v>
      </c>
      <c r="N78" s="18" t="n">
        <f aca="false">D78*$J78</f>
        <v>0.217481718876736</v>
      </c>
      <c r="O78" s="18" t="n">
        <f aca="false">E78*$J78</f>
        <v>-3.12130567703242</v>
      </c>
      <c r="P78" s="18" t="n">
        <f aca="false">F78*$J78</f>
        <v>0.675449570653088</v>
      </c>
      <c r="Q78" s="18" t="n">
        <f aca="false">G78*$J78</f>
        <v>0.0024594357946414</v>
      </c>
      <c r="R78" s="18" t="n">
        <f aca="false">H78*$J78</f>
        <v>0.000433257900403383</v>
      </c>
    </row>
    <row r="79" customFormat="false" ht="15" hidden="false" customHeight="false" outlineLevel="0" collapsed="false">
      <c r="A79" s="19" t="str">
        <f aca="false">Datos!A87</f>
        <v>2025Q3</v>
      </c>
      <c r="B79" s="20" t="n">
        <f aca="false">Datos!L87</f>
        <v>-0.0312450961083366</v>
      </c>
      <c r="C79" s="20" t="n">
        <f aca="false">Datos!I87</f>
        <v>-0.0607636894755312</v>
      </c>
      <c r="D79" s="20" t="n">
        <f aca="false">Datos!H87</f>
        <v>142.307692307692</v>
      </c>
      <c r="E79" s="20" t="n">
        <f aca="false">Datos!H85</f>
        <v>-235.861538461538</v>
      </c>
      <c r="F79" s="20" t="n">
        <f aca="false">Datos!H81</f>
        <v>-454.938553802817</v>
      </c>
      <c r="G79" s="20" t="n">
        <f aca="false">Datos!J81</f>
        <v>-0.185892833904252</v>
      </c>
      <c r="H79" s="20" t="n">
        <f aca="false">Datos!K80</f>
        <v>-0.105805285831385</v>
      </c>
      <c r="I79" s="18" t="n">
        <v>1</v>
      </c>
      <c r="J79" s="18" t="n">
        <f aca="false">B79-($B$88+$B$89*C79+$B$90*D79+$B$91*E79+$B$92*F79+$B$93*G79+$B$94*H79)</f>
        <v>-0.0173495769142906</v>
      </c>
      <c r="K79" s="18" t="n">
        <f aca="false">J79^2</f>
        <v>0.000301007819104885</v>
      </c>
      <c r="L79" s="18" t="n">
        <f aca="false">I79*$J79</f>
        <v>-0.0173495769142906</v>
      </c>
      <c r="M79" s="18" t="n">
        <f aca="false">C79*$J79</f>
        <v>0.0010542243041518</v>
      </c>
      <c r="N79" s="18" t="n">
        <f aca="false">D79*$J79</f>
        <v>-2.46897825318751</v>
      </c>
      <c r="O79" s="18" t="n">
        <f aca="false">E79*$J79</f>
        <v>4.09209790266137</v>
      </c>
      <c r="P79" s="18" t="n">
        <f aca="false">F79*$J79</f>
        <v>7.8929914304781</v>
      </c>
      <c r="Q79" s="18" t="n">
        <f aca="false">G79*$J79</f>
        <v>0.00322516201963727</v>
      </c>
      <c r="R79" s="18" t="n">
        <f aca="false">H79*$J79</f>
        <v>0.00183567694447012</v>
      </c>
    </row>
    <row r="80" customFormat="false" ht="15" hidden="false" customHeight="false" outlineLevel="0" collapsed="false">
      <c r="A80" s="19" t="str">
        <f aca="false">Datos!A88</f>
        <v>2025Q4</v>
      </c>
      <c r="B80" s="20" t="n">
        <f aca="false">Datos!L88</f>
        <v>-0.0119885377129245</v>
      </c>
      <c r="C80" s="20" t="n">
        <f aca="false">Datos!I88</f>
        <v>-0.0750355248434347</v>
      </c>
      <c r="D80" s="20" t="n">
        <f aca="false">Datos!H88</f>
        <v>-113.153846153846</v>
      </c>
      <c r="E80" s="20" t="n">
        <f aca="false">Datos!H86</f>
        <v>39.3076923076923</v>
      </c>
      <c r="F80" s="20" t="n">
        <f aca="false">Datos!H82</f>
        <v>-411.750199402986</v>
      </c>
      <c r="G80" s="20" t="n">
        <f aca="false">Datos!J82</f>
        <v>0.211724770440168</v>
      </c>
      <c r="H80" s="20" t="n">
        <f aca="false">Datos!K81</f>
        <v>0.0467744313554986</v>
      </c>
      <c r="I80" s="18" t="n">
        <v>1</v>
      </c>
      <c r="J80" s="18" t="n">
        <f aca="false">B80-($B$88+$B$89*C80+$B$90*D80+$B$91*E80+$B$92*F80+$B$93*G80+$B$94*H80)</f>
        <v>0.0186091315629941</v>
      </c>
      <c r="K80" s="18" t="n">
        <f aca="false">J80^2</f>
        <v>0.000346299777528823</v>
      </c>
      <c r="L80" s="18" t="n">
        <f aca="false">I80*$J80</f>
        <v>0.0186091315629941</v>
      </c>
      <c r="M80" s="18" t="n">
        <f aca="false">C80*$J80</f>
        <v>-0.00139634595370979</v>
      </c>
      <c r="N80" s="18" t="n">
        <f aca="false">D80*$J80</f>
        <v>-2.10569480993572</v>
      </c>
      <c r="O80" s="18" t="n">
        <f aca="false">E80*$J80</f>
        <v>0.731482017591536</v>
      </c>
      <c r="P80" s="18" t="n">
        <f aca="false">F80*$J80</f>
        <v>-7.66231363177922</v>
      </c>
      <c r="Q80" s="18" t="n">
        <f aca="false">G80*$J80</f>
        <v>0.00394001410826581</v>
      </c>
      <c r="R80" s="18" t="n">
        <f aca="false">H80*$J80</f>
        <v>0.000870431546878711</v>
      </c>
    </row>
    <row r="81" customFormat="false" ht="15" hidden="false" customHeight="false" outlineLevel="0" collapsed="false">
      <c r="A81" s="19" t="str">
        <f aca="false">Datos!A89</f>
        <v>2026Q1</v>
      </c>
      <c r="B81" s="20" t="n">
        <f aca="false">Datos!L89</f>
        <v>0.00411353813353888</v>
      </c>
      <c r="C81" s="20" t="n">
        <f aca="false">Datos!I89</f>
        <v>-0.0996496025806773</v>
      </c>
      <c r="D81" s="20" t="n">
        <f aca="false">Datos!H89</f>
        <v>-216.777777777778</v>
      </c>
      <c r="E81" s="20" t="n">
        <f aca="false">Datos!H87</f>
        <v>142.307692307692</v>
      </c>
      <c r="F81" s="20" t="n">
        <f aca="false">Datos!H83</f>
        <v>140.77357394844</v>
      </c>
      <c r="G81" s="20" t="n">
        <f aca="false">Datos!J83</f>
        <v>-0.11430199205953</v>
      </c>
      <c r="H81" s="20" t="n">
        <f aca="false">Datos!K82</f>
        <v>0.0075734886805694</v>
      </c>
      <c r="I81" s="18" t="n">
        <v>1</v>
      </c>
      <c r="J81" s="18" t="n">
        <f aca="false">B81-($B$88+$B$89*C81+$B$90*D81+$B$91*E81+$B$92*F81+$B$93*G81+$B$94*H81)</f>
        <v>-0.0126475563478759</v>
      </c>
      <c r="K81" s="18" t="n">
        <f aca="false">J81^2</f>
        <v>0.000159960681572695</v>
      </c>
      <c r="L81" s="18" t="n">
        <f aca="false">I81*$J81</f>
        <v>-0.0126475563478759</v>
      </c>
      <c r="M81" s="18" t="n">
        <f aca="false">C81*$J81</f>
        <v>0.00126032396368255</v>
      </c>
      <c r="N81" s="18" t="n">
        <f aca="false">D81*$J81</f>
        <v>2.74170915941176</v>
      </c>
      <c r="O81" s="18" t="n">
        <f aca="false">E81*$J81</f>
        <v>-1.79984455719772</v>
      </c>
      <c r="P81" s="18" t="n">
        <f aca="false">F81*$J81</f>
        <v>-1.78044170880476</v>
      </c>
      <c r="Q81" s="18" t="n">
        <f aca="false">G81*$J81</f>
        <v>0.00144564088524736</v>
      </c>
      <c r="R81" s="18" t="n">
        <f aca="false">H81*$J81</f>
        <v>-9.57861248375014E-005</v>
      </c>
    </row>
    <row r="86" customFormat="false" ht="15" hidden="false" customHeight="false" outlineLevel="0" collapsed="false">
      <c r="A86" s="21" t="s">
        <v>151</v>
      </c>
      <c r="B86" s="22"/>
      <c r="C86" s="22"/>
      <c r="D86" s="22"/>
      <c r="E86" s="22"/>
      <c r="F86" s="22"/>
      <c r="G86" s="22"/>
      <c r="H86" s="22"/>
      <c r="I86" s="22"/>
    </row>
    <row r="87" customFormat="false" ht="15" hidden="false" customHeight="false" outlineLevel="0" collapsed="false">
      <c r="A87" s="14" t="s">
        <v>22</v>
      </c>
      <c r="B87" s="14" t="s">
        <v>23</v>
      </c>
      <c r="C87" s="14" t="s">
        <v>152</v>
      </c>
      <c r="D87" s="14" t="s">
        <v>153</v>
      </c>
      <c r="E87" s="14" t="s">
        <v>20</v>
      </c>
      <c r="G87" s="11" t="s">
        <v>154</v>
      </c>
      <c r="H87" s="23" t="n">
        <f aca="false">INDEX(LINEST($B$6:$B$81,$C$6:$H$81,TRUE(),TRUE()),4,2)</f>
        <v>69</v>
      </c>
    </row>
    <row r="88" customFormat="false" ht="15" hidden="false" customHeight="false" outlineLevel="0" collapsed="false">
      <c r="A88" s="24" t="s">
        <v>155</v>
      </c>
      <c r="B88" s="25" t="n">
        <f aca="false">INDEX(LINEST($B$6:$B$81,$C$6:$H$81,TRUE(),TRUE()),1,7)</f>
        <v>0.00131905025225478</v>
      </c>
      <c r="C88" s="8" t="n">
        <f aca="false">INDEX(LINEST($B$6:$B$81,$C$6:$H$81,TRUE(),TRUE()),2,7)</f>
        <v>0.00388070216464606</v>
      </c>
      <c r="D88" s="5" t="n">
        <f aca="false">B88/C88</f>
        <v>0.339899893444949</v>
      </c>
      <c r="E88" s="7" t="n">
        <f aca="false">TDIST(ABS(D88),$H$87,2)</f>
        <v>0.734964442414012</v>
      </c>
    </row>
    <row r="89" customFormat="false" ht="15" hidden="false" customHeight="false" outlineLevel="0" collapsed="false">
      <c r="A89" s="24" t="s">
        <v>135</v>
      </c>
      <c r="B89" s="25" t="n">
        <f aca="false">INDEX(LINEST($B$6:$B$81,$C$6:$H$81,TRUE(),TRUE()),1,6)</f>
        <v>0.0915170543914971</v>
      </c>
      <c r="C89" s="8" t="n">
        <f aca="false">INDEX(LINEST($B$6:$B$81,$C$6:$H$81,TRUE(),TRUE()),2,6)</f>
        <v>0.0513890996860263</v>
      </c>
      <c r="D89" s="5" t="n">
        <f aca="false">B89/C89</f>
        <v>1.78086510467476</v>
      </c>
      <c r="E89" s="7" t="n">
        <f aca="false">TDIST(ABS(D89),$H$87,2)</f>
        <v>0.0793360808693298</v>
      </c>
    </row>
    <row r="90" customFormat="false" ht="15" hidden="false" customHeight="false" outlineLevel="0" collapsed="false">
      <c r="A90" s="24" t="s">
        <v>136</v>
      </c>
      <c r="B90" s="25" t="n">
        <f aca="false">INDEX(LINEST($B$6:$B$81,$C$6:$H$81,TRUE(),TRUE()),1,5)</f>
        <v>-6.41908048970035E-005</v>
      </c>
      <c r="C90" s="8" t="n">
        <f aca="false">INDEX(LINEST($B$6:$B$81,$C$6:$H$81,TRUE(),TRUE()),2,5)</f>
        <v>1.32900705349559E-005</v>
      </c>
      <c r="D90" s="5" t="n">
        <f aca="false">B90/C90</f>
        <v>-4.8299822584212</v>
      </c>
      <c r="E90" s="7" t="n">
        <f aca="false">TDIST(ABS(D90),$H$87,2)</f>
        <v>7.93026113867441E-006</v>
      </c>
    </row>
    <row r="91" customFormat="false" ht="15" hidden="false" customHeight="false" outlineLevel="0" collapsed="false">
      <c r="A91" s="24" t="s">
        <v>137</v>
      </c>
      <c r="B91" s="25" t="n">
        <f aca="false">INDEX(LINEST($B$6:$B$81,$C$6:$H$81,TRUE(),TRUE()),1,4)</f>
        <v>-6.15131575700507E-005</v>
      </c>
      <c r="C91" s="8" t="n">
        <f aca="false">INDEX(LINEST($B$6:$B$81,$C$6:$H$81,TRUE(),TRUE()),2,4)</f>
        <v>1.40205881825342E-005</v>
      </c>
      <c r="D91" s="5" t="n">
        <f aca="false">B91/C91</f>
        <v>-4.38734500787057</v>
      </c>
      <c r="E91" s="7" t="n">
        <f aca="false">TDIST(ABS(D91),$H$87,2)</f>
        <v>4.02908627401501E-005</v>
      </c>
    </row>
    <row r="92" customFormat="false" ht="15" hidden="false" customHeight="false" outlineLevel="0" collapsed="false">
      <c r="A92" s="24" t="s">
        <v>138</v>
      </c>
      <c r="B92" s="25" t="n">
        <f aca="false">INDEX(LINEST($B$6:$B$81,$C$6:$H$81,TRUE(),TRUE()),1,3)</f>
        <v>3.56560998606745E-005</v>
      </c>
      <c r="C92" s="8" t="n">
        <f aca="false">INDEX(LINEST($B$6:$B$81,$C$6:$H$81,TRUE(),TRUE()),2,3)</f>
        <v>1.42902536143687E-005</v>
      </c>
      <c r="D92" s="5" t="n">
        <f aca="false">B92/C92</f>
        <v>2.49513415386992</v>
      </c>
      <c r="E92" s="7" t="n">
        <f aca="false">TDIST(ABS(D92),$H$87,2)</f>
        <v>0.0149875276846145</v>
      </c>
    </row>
    <row r="93" customFormat="false" ht="15" hidden="false" customHeight="false" outlineLevel="0" collapsed="false">
      <c r="A93" s="24" t="s">
        <v>139</v>
      </c>
      <c r="B93" s="25" t="n">
        <f aca="false">INDEX(LINEST($B$6:$B$81,$C$6:$H$81,TRUE(),TRUE()),1,2)</f>
        <v>-0.113365544667691</v>
      </c>
      <c r="C93" s="8" t="n">
        <f aca="false">INDEX(LINEST($B$6:$B$81,$C$6:$H$81,TRUE(),TRUE()),2,2)</f>
        <v>0.0321933927500933</v>
      </c>
      <c r="D93" s="5" t="n">
        <f aca="false">B93/C93</f>
        <v>-3.52139165783831</v>
      </c>
      <c r="E93" s="7" t="n">
        <f aca="false">TDIST(ABS(D93),$H$87,2)</f>
        <v>0.000765728321826828</v>
      </c>
    </row>
    <row r="94" customFormat="false" ht="15" hidden="false" customHeight="false" outlineLevel="0" collapsed="false">
      <c r="A94" s="24" t="s">
        <v>140</v>
      </c>
      <c r="B94" s="25" t="n">
        <f aca="false">INDEX(LINEST($B$6:$B$81,$C$6:$H$81,TRUE(),TRUE()),1,1)</f>
        <v>0.187891426630302</v>
      </c>
      <c r="C94" s="8" t="n">
        <f aca="false">INDEX(LINEST($B$6:$B$81,$C$6:$H$81,TRUE(),TRUE()),2,1)</f>
        <v>0.0597155045093155</v>
      </c>
      <c r="D94" s="5" t="n">
        <f aca="false">B94/C94</f>
        <v>3.14644292423237</v>
      </c>
      <c r="E94" s="7" t="n">
        <f aca="false">TDIST(ABS(D94),$H$87,2)</f>
        <v>0.00243979683163873</v>
      </c>
    </row>
    <row r="96" customFormat="false" ht="15" hidden="false" customHeight="false" outlineLevel="0" collapsed="false">
      <c r="A96" s="21" t="s">
        <v>156</v>
      </c>
      <c r="B96" s="22"/>
      <c r="C96" s="22"/>
      <c r="D96" s="22"/>
      <c r="E96" s="22"/>
      <c r="F96" s="22"/>
      <c r="G96" s="22"/>
      <c r="H96" s="22"/>
      <c r="I96" s="22"/>
    </row>
    <row r="97" customFormat="false" ht="15" hidden="false" customHeight="false" outlineLevel="0" collapsed="false">
      <c r="A97" s="24" t="s">
        <v>157</v>
      </c>
      <c r="B97" s="5" t="n">
        <f aca="false">COUNT($B$6:$B$81)</f>
        <v>76</v>
      </c>
    </row>
    <row r="98" customFormat="false" ht="15" hidden="false" customHeight="false" outlineLevel="0" collapsed="false">
      <c r="A98" s="24" t="s">
        <v>7</v>
      </c>
      <c r="B98" s="5" t="n">
        <v>7</v>
      </c>
    </row>
    <row r="99" customFormat="false" ht="15" hidden="false" customHeight="false" outlineLevel="0" collapsed="false">
      <c r="A99" s="24" t="s">
        <v>8</v>
      </c>
      <c r="B99" s="6" t="n">
        <f aca="false">INDEX(LINEST($B$6:$B$81,$C$6:$H$81,TRUE(),TRUE()),3,1)</f>
        <v>0.500220645045771</v>
      </c>
    </row>
    <row r="100" customFormat="false" ht="15" hidden="false" customHeight="false" outlineLevel="0" collapsed="false">
      <c r="A100" s="24" t="s">
        <v>9</v>
      </c>
      <c r="B100" s="26" t="n">
        <f aca="false">1-(1-B99)*(B97-1)/(B97-B98)</f>
        <v>0.456761570701924</v>
      </c>
    </row>
    <row r="101" customFormat="false" ht="15" hidden="false" customHeight="false" outlineLevel="0" collapsed="false">
      <c r="A101" s="24" t="s">
        <v>10</v>
      </c>
      <c r="B101" s="8" t="n">
        <f aca="false">INDEX(LINEST($B$6:$B$81,$C$6:$H$81,TRUE(),TRUE()),5,2)</f>
        <v>0.0772633950960716</v>
      </c>
    </row>
    <row r="102" customFormat="false" ht="15" hidden="false" customHeight="false" outlineLevel="0" collapsed="false">
      <c r="A102" s="24" t="s">
        <v>158</v>
      </c>
      <c r="B102" s="6" t="n">
        <f aca="false">-B97/2*(LN(2*PI())+LN(B101/B97)+1)</f>
        <v>154.028867606829</v>
      </c>
    </row>
    <row r="103" customFormat="false" ht="15" hidden="false" customHeight="false" outlineLevel="0" collapsed="false">
      <c r="A103" s="24" t="s">
        <v>11</v>
      </c>
      <c r="B103" s="27" t="n">
        <f aca="false">-2*B102+2*B98</f>
        <v>-294.057735213658</v>
      </c>
    </row>
    <row r="104" customFormat="false" ht="15" hidden="false" customHeight="false" outlineLevel="0" collapsed="false">
      <c r="A104" s="24" t="s">
        <v>12</v>
      </c>
      <c r="B104" s="27" t="n">
        <f aca="false">-2*B102+LN(B97)*B98</f>
        <v>-277.742601831654</v>
      </c>
    </row>
    <row r="106" customFormat="false" ht="15" hidden="false" customHeight="false" outlineLevel="0" collapsed="false">
      <c r="A106" s="10" t="s">
        <v>13</v>
      </c>
      <c r="B106" s="28" t="n">
        <f aca="false">SUMXMY2(J7:J81,J6:J80)/SUMSQ(J6:J81)</f>
        <v>2.14847309305388</v>
      </c>
    </row>
    <row r="108" customFormat="false" ht="15" hidden="false" customHeight="false" outlineLevel="0" collapsed="false">
      <c r="A108" s="21" t="s">
        <v>159</v>
      </c>
      <c r="B108" s="22"/>
      <c r="C108" s="22"/>
      <c r="D108" s="22"/>
      <c r="E108" s="22"/>
      <c r="F108" s="22"/>
      <c r="G108" s="22"/>
      <c r="H108" s="22"/>
      <c r="I108" s="22"/>
    </row>
    <row r="109" customFormat="false" ht="15" hidden="false" customHeight="false" outlineLevel="0" collapsed="false">
      <c r="A109" s="2" t="s">
        <v>160</v>
      </c>
    </row>
    <row r="110" customFormat="false" ht="15" hidden="false" customHeight="false" outlineLevel="0" collapsed="false">
      <c r="A110" s="10" t="s">
        <v>161</v>
      </c>
    </row>
    <row r="111" customFormat="false" ht="15" hidden="false" customHeight="false" outlineLevel="0" collapsed="false">
      <c r="B111" s="29" t="n">
        <f aca="false">SUMPRODUCT($I$6:$I$81,$I$6:$I$81)</f>
        <v>76</v>
      </c>
      <c r="C111" s="29" t="n">
        <f aca="false">SUMPRODUCT($I$6:$I$81,$C$6:$C$81)</f>
        <v>-0.121233612767257</v>
      </c>
      <c r="D111" s="29" t="n">
        <f aca="false">SUMPRODUCT($I$6:$I$81,$D$6:$D$81)</f>
        <v>325.942786738351</v>
      </c>
      <c r="E111" s="29" t="n">
        <f aca="false">SUMPRODUCT($I$6:$I$81,$E$6:$E$81)</f>
        <v>527.108560439561</v>
      </c>
      <c r="F111" s="29" t="n">
        <f aca="false">SUMPRODUCT($I$6:$I$81,$F$6:$F$81)</f>
        <v>1070.81611079546</v>
      </c>
      <c r="G111" s="29" t="n">
        <f aca="false">SUMPRODUCT($I$6:$I$81,$G$6:$G$81)</f>
        <v>1.2903791864309</v>
      </c>
      <c r="H111" s="29" t="n">
        <f aca="false">SUMPRODUCT($I$6:$I$81,$H$6:$H$81)</f>
        <v>0.0713274305954488</v>
      </c>
    </row>
    <row r="112" customFormat="false" ht="15" hidden="false" customHeight="false" outlineLevel="0" collapsed="false">
      <c r="B112" s="29" t="n">
        <f aca="false">SUMPRODUCT($C$6:$C$81,$I$6:$I$81)</f>
        <v>-0.121233612767257</v>
      </c>
      <c r="C112" s="29" t="n">
        <f aca="false">SUMPRODUCT($C$6:$C$81,$C$6:$C$81)</f>
        <v>0.493963661653485</v>
      </c>
      <c r="D112" s="29" t="n">
        <f aca="false">SUMPRODUCT($C$6:$C$81,$D$6:$D$81)</f>
        <v>-213.844074053853</v>
      </c>
      <c r="E112" s="29" t="n">
        <f aca="false">SUMPRODUCT($C$6:$C$81,$E$6:$E$81)</f>
        <v>536.092904308499</v>
      </c>
      <c r="F112" s="29" t="n">
        <f aca="false">SUMPRODUCT($C$6:$C$81,$F$6:$F$81)</f>
        <v>-258.35726775354</v>
      </c>
      <c r="G112" s="29" t="n">
        <f aca="false">SUMPRODUCT($C$6:$C$81,$G$6:$G$81)</f>
        <v>0.0704398903859033</v>
      </c>
      <c r="H112" s="29" t="n">
        <f aca="false">SUMPRODUCT($C$6:$C$81,$H$6:$H$81)</f>
        <v>-0.036860379912551</v>
      </c>
    </row>
    <row r="113" customFormat="false" ht="15" hidden="false" customHeight="false" outlineLevel="0" collapsed="false">
      <c r="B113" s="29" t="n">
        <f aca="false">SUMPRODUCT($D$6:$D$81,$I$6:$I$81)</f>
        <v>325.942786738351</v>
      </c>
      <c r="C113" s="29" t="n">
        <f aca="false">SUMPRODUCT($D$6:$D$81,$C$6:$C$81)</f>
        <v>-213.844074053853</v>
      </c>
      <c r="D113" s="29" t="n">
        <f aca="false">SUMPRODUCT($D$6:$D$81,$D$6:$D$81)</f>
        <v>6554410.02196266</v>
      </c>
      <c r="E113" s="29" t="n">
        <f aca="false">SUMPRODUCT($D$6:$D$81,$E$6:$E$81)</f>
        <v>6110.73710727444</v>
      </c>
      <c r="F113" s="29" t="n">
        <f aca="false">SUMPRODUCT($D$6:$D$81,$F$6:$F$81)</f>
        <v>-350848.584297187</v>
      </c>
      <c r="G113" s="29" t="n">
        <f aca="false">SUMPRODUCT($D$6:$D$81,$G$6:$G$81)</f>
        <v>157.921881700649</v>
      </c>
      <c r="H113" s="29" t="n">
        <f aca="false">SUMPRODUCT($D$6:$D$81,$H$6:$H$81)</f>
        <v>160.36468791988</v>
      </c>
    </row>
    <row r="114" customFormat="false" ht="15" hidden="false" customHeight="false" outlineLevel="0" collapsed="false">
      <c r="B114" s="29" t="n">
        <f aca="false">SUMPRODUCT($E$6:$E$81,$I$6:$I$81)</f>
        <v>527.108560439561</v>
      </c>
      <c r="C114" s="29" t="n">
        <f aca="false">SUMPRODUCT($E$6:$E$81,$C$6:$C$81)</f>
        <v>536.092904308499</v>
      </c>
      <c r="D114" s="29" t="n">
        <f aca="false">SUMPRODUCT($E$6:$E$81,$D$6:$D$81)</f>
        <v>6110.73710727444</v>
      </c>
      <c r="E114" s="29" t="n">
        <f aca="false">SUMPRODUCT($E$6:$E$81,$E$6:$E$81)</f>
        <v>6503003.15102718</v>
      </c>
      <c r="F114" s="29" t="n">
        <f aca="false">SUMPRODUCT($E$6:$E$81,$F$6:$F$81)</f>
        <v>-1377315.04912634</v>
      </c>
      <c r="G114" s="29" t="n">
        <f aca="false">SUMPRODUCT($E$6:$E$81,$G$6:$G$81)</f>
        <v>-103.939166691169</v>
      </c>
      <c r="H114" s="29" t="n">
        <f aca="false">SUMPRODUCT($E$6:$E$81,$H$6:$H$81)</f>
        <v>-14.3096811472102</v>
      </c>
    </row>
    <row r="115" customFormat="false" ht="15" hidden="false" customHeight="false" outlineLevel="0" collapsed="false">
      <c r="B115" s="29" t="n">
        <f aca="false">SUMPRODUCT($F$6:$F$81,$I$6:$I$81)</f>
        <v>1070.81611079546</v>
      </c>
      <c r="C115" s="29" t="n">
        <f aca="false">SUMPRODUCT($F$6:$F$81,$C$6:$C$81)</f>
        <v>-258.35726775354</v>
      </c>
      <c r="D115" s="29" t="n">
        <f aca="false">SUMPRODUCT($F$6:$F$81,$D$6:$D$81)</f>
        <v>-350848.584297187</v>
      </c>
      <c r="E115" s="29" t="n">
        <f aca="false">SUMPRODUCT($F$6:$F$81,$E$6:$E$81)</f>
        <v>-1377315.04912634</v>
      </c>
      <c r="F115" s="29" t="n">
        <f aca="false">SUMPRODUCT($F$6:$F$81,$F$6:$F$81)</f>
        <v>6110122.48283867</v>
      </c>
      <c r="G115" s="29" t="n">
        <f aca="false">SUMPRODUCT($F$6:$F$81,$G$6:$G$81)</f>
        <v>479.134334705858</v>
      </c>
      <c r="H115" s="29" t="n">
        <f aca="false">SUMPRODUCT($F$6:$F$81,$H$6:$H$81)</f>
        <v>-67.7085780845978</v>
      </c>
    </row>
    <row r="116" customFormat="false" ht="15" hidden="false" customHeight="false" outlineLevel="0" collapsed="false">
      <c r="B116" s="29" t="n">
        <f aca="false">SUMPRODUCT($G$6:$G$81,$I$6:$I$81)</f>
        <v>1.2903791864309</v>
      </c>
      <c r="C116" s="29" t="n">
        <f aca="false">SUMPRODUCT($G$6:$G$81,$C$6:$C$81)</f>
        <v>0.0704398903859033</v>
      </c>
      <c r="D116" s="29" t="n">
        <f aca="false">SUMPRODUCT($G$6:$G$81,$D$6:$D$81)</f>
        <v>157.921881700649</v>
      </c>
      <c r="E116" s="29" t="n">
        <f aca="false">SUMPRODUCT($G$6:$G$81,$E$6:$E$81)</f>
        <v>-103.939166691169</v>
      </c>
      <c r="F116" s="29" t="n">
        <f aca="false">SUMPRODUCT($G$6:$G$81,$F$6:$F$81)</f>
        <v>479.134334705858</v>
      </c>
      <c r="G116" s="29" t="n">
        <f aca="false">SUMPRODUCT($G$6:$G$81,$G$6:$G$81)</f>
        <v>1.22816223067722</v>
      </c>
      <c r="H116" s="29" t="n">
        <f aca="false">SUMPRODUCT($G$6:$G$81,$H$6:$H$81)</f>
        <v>0.138854123435612</v>
      </c>
    </row>
    <row r="117" customFormat="false" ht="15" hidden="false" customHeight="false" outlineLevel="0" collapsed="false">
      <c r="B117" s="29" t="n">
        <f aca="false">SUMPRODUCT($H$6:$H$81,$I$6:$I$81)</f>
        <v>0.0713274305954488</v>
      </c>
      <c r="C117" s="29" t="n">
        <f aca="false">SUMPRODUCT($H$6:$H$81,$C$6:$C$81)</f>
        <v>-0.036860379912551</v>
      </c>
      <c r="D117" s="29" t="n">
        <f aca="false">SUMPRODUCT($H$6:$H$81,$D$6:$D$81)</f>
        <v>160.36468791988</v>
      </c>
      <c r="E117" s="29" t="n">
        <f aca="false">SUMPRODUCT($H$6:$H$81,$E$6:$E$81)</f>
        <v>-14.3096811472102</v>
      </c>
      <c r="F117" s="29" t="n">
        <f aca="false">SUMPRODUCT($H$6:$H$81,$F$6:$F$81)</f>
        <v>-67.7085780845978</v>
      </c>
      <c r="G117" s="29" t="n">
        <f aca="false">SUMPRODUCT($H$6:$H$81,$G$6:$G$81)</f>
        <v>0.138854123435612</v>
      </c>
      <c r="H117" s="29" t="n">
        <f aca="false">SUMPRODUCT($H$6:$H$81,$H$6:$H$81)</f>
        <v>0.339609588911864</v>
      </c>
    </row>
    <row r="118" customFormat="false" ht="15" hidden="false" customHeight="false" outlineLevel="0" collapsed="false">
      <c r="A118" s="10" t="s">
        <v>162</v>
      </c>
    </row>
    <row r="119" customFormat="false" ht="15" hidden="false" customHeight="false" outlineLevel="0" collapsed="false">
      <c r="B119" s="29" t="n">
        <f aca="false">INDEX(MINVERSE($B$111:$H$117),1,1)</f>
        <v>0.013449183792214</v>
      </c>
      <c r="C119" s="29" t="n">
        <f aca="false">INDEX(MINVERSE($B$111:$H$117),1,2)</f>
        <v>0.00721584766686858</v>
      </c>
      <c r="D119" s="29" t="n">
        <f aca="false">INDEX(MINVERSE($B$111:$H$117),1,3)</f>
        <v>-2.43616295032299E-007</v>
      </c>
      <c r="E119" s="29" t="n">
        <f aca="false">INDEX(MINVERSE($B$111:$H$117),1,4)</f>
        <v>-2.20164771423941E-006</v>
      </c>
      <c r="F119" s="29" t="n">
        <f aca="false">INDEX(MINVERSE($B$111:$H$117),1,5)</f>
        <v>-1.37855483357204E-006</v>
      </c>
      <c r="G119" s="29" t="n">
        <f aca="false">INDEX(MINVERSE($B$111:$H$117),1,6)</f>
        <v>-0.0145759670882859</v>
      </c>
      <c r="H119" s="29" t="n">
        <f aca="false">INDEX(MINVERSE($B$111:$H$117),1,7)</f>
        <v>0.00366549980785019</v>
      </c>
    </row>
    <row r="120" customFormat="false" ht="15" hidden="false" customHeight="false" outlineLevel="0" collapsed="false">
      <c r="B120" s="29" t="n">
        <f aca="false">INDEX(MINVERSE($B$111:$H$117),2,1)</f>
        <v>0.00721584766686831</v>
      </c>
      <c r="C120" s="29" t="n">
        <f aca="false">INDEX(MINVERSE($B$111:$H$117),2,2)</f>
        <v>2.35839921174456</v>
      </c>
      <c r="D120" s="29" t="n">
        <f aca="false">INDEX(MINVERSE($B$111:$H$117),2,3)</f>
        <v>7.90959705597307E-005</v>
      </c>
      <c r="E120" s="29" t="n">
        <f aca="false">INDEX(MINVERSE($B$111:$H$117),2,4)</f>
        <v>-0.0001802507183528</v>
      </c>
      <c r="F120" s="29" t="n">
        <f aca="false">INDEX(MINVERSE($B$111:$H$117),2,5)</f>
        <v>8.46062579271441E-005</v>
      </c>
      <c r="G120" s="29" t="n">
        <f aca="false">INDEX(MINVERSE($B$111:$H$117),2,6)</f>
        <v>-0.237866709571307</v>
      </c>
      <c r="H120" s="29" t="n">
        <f aca="false">INDEX(MINVERSE($B$111:$H$117),2,7)</f>
        <v>0.32363813796162</v>
      </c>
    </row>
    <row r="121" customFormat="false" ht="15" hidden="false" customHeight="false" outlineLevel="0" collapsed="false">
      <c r="B121" s="29" t="n">
        <f aca="false">INDEX(MINVERSE($B$111:$H$117),3,1)</f>
        <v>-2.43616295032301E-007</v>
      </c>
      <c r="C121" s="29" t="n">
        <f aca="false">INDEX(MINVERSE($B$111:$H$117),3,2)</f>
        <v>7.90959705597307E-005</v>
      </c>
      <c r="D121" s="29" t="n">
        <f aca="false">INDEX(MINVERSE($B$111:$H$117),3,3)</f>
        <v>1.57735655386477E-007</v>
      </c>
      <c r="E121" s="29" t="n">
        <f aca="false">INDEX(MINVERSE($B$111:$H$117),3,4)</f>
        <v>-4.45557431249522E-009</v>
      </c>
      <c r="F121" s="29" t="n">
        <f aca="false">INDEX(MINVERSE($B$111:$H$117),3,5)</f>
        <v>1.27123344836199E-008</v>
      </c>
      <c r="G121" s="29" t="n">
        <f aca="false">INDEX(MINVERSE($B$111:$H$117),3,6)</f>
        <v>-2.3821095573007E-005</v>
      </c>
      <c r="H121" s="29" t="n">
        <f aca="false">INDEX(MINVERSE($B$111:$H$117),3,7)</f>
        <v>-5.37608834022673E-005</v>
      </c>
    </row>
    <row r="122" customFormat="false" ht="15" hidden="false" customHeight="false" outlineLevel="0" collapsed="false">
      <c r="B122" s="29" t="n">
        <f aca="false">INDEX(MINVERSE($B$111:$H$117),4,1)</f>
        <v>-2.20164771423927E-006</v>
      </c>
      <c r="C122" s="29" t="n">
        <f aca="false">INDEX(MINVERSE($B$111:$H$117),4,2)</f>
        <v>-0.0001802507183528</v>
      </c>
      <c r="D122" s="29" t="n">
        <f aca="false">INDEX(MINVERSE($B$111:$H$117),4,3)</f>
        <v>-4.45557431249522E-009</v>
      </c>
      <c r="E122" s="29" t="n">
        <f aca="false">INDEX(MINVERSE($B$111:$H$117),4,4)</f>
        <v>1.75552803485344E-007</v>
      </c>
      <c r="F122" s="29" t="n">
        <f aca="false">INDEX(MINVERSE($B$111:$H$117),4,5)</f>
        <v>3.06036545857811E-008</v>
      </c>
      <c r="G122" s="29" t="n">
        <f aca="false">INDEX(MINVERSE($B$111:$H$117),4,6)</f>
        <v>1.73391010832324E-005</v>
      </c>
      <c r="H122" s="29" t="n">
        <f aca="false">INDEX(MINVERSE($B$111:$H$117),4,7)</f>
        <v>-1.05884124602019E-005</v>
      </c>
    </row>
    <row r="123" customFormat="false" ht="15" hidden="false" customHeight="false" outlineLevel="0" collapsed="false">
      <c r="B123" s="29" t="n">
        <f aca="false">INDEX(MINVERSE($B$111:$H$117),5,1)</f>
        <v>-1.37855483357213E-006</v>
      </c>
      <c r="C123" s="29" t="n">
        <f aca="false">INDEX(MINVERSE($B$111:$H$117),5,2)</f>
        <v>8.4606257927145E-005</v>
      </c>
      <c r="D123" s="29" t="n">
        <f aca="false">INDEX(MINVERSE($B$111:$H$117),5,3)</f>
        <v>1.27123344836199E-008</v>
      </c>
      <c r="E123" s="29" t="n">
        <f aca="false">INDEX(MINVERSE($B$111:$H$117),5,4)</f>
        <v>3.0603654585781E-008</v>
      </c>
      <c r="F123" s="29" t="n">
        <f aca="false">INDEX(MINVERSE($B$111:$H$117),5,5)</f>
        <v>1.82370746451471E-007</v>
      </c>
      <c r="G123" s="29" t="n">
        <f aca="false">INDEX(MINVERSE($B$111:$H$117),5,6)</f>
        <v>-8.20367683820503E-005</v>
      </c>
      <c r="H123" s="29" t="n">
        <f aca="false">INDEX(MINVERSE($B$111:$H$117),5,7)</f>
        <v>7.46606541415017E-005</v>
      </c>
    </row>
    <row r="124" customFormat="false" ht="15" hidden="false" customHeight="false" outlineLevel="0" collapsed="false">
      <c r="B124" s="29" t="n">
        <f aca="false">INDEX(MINVERSE($B$111:$H$117),6,1)</f>
        <v>-0.0145759670882858</v>
      </c>
      <c r="C124" s="29" t="n">
        <f aca="false">INDEX(MINVERSE($B$111:$H$117),6,2)</f>
        <v>-0.237866709571307</v>
      </c>
      <c r="D124" s="29" t="n">
        <f aca="false">INDEX(MINVERSE($B$111:$H$117),6,3)</f>
        <v>-2.3821095573007E-005</v>
      </c>
      <c r="E124" s="29" t="n">
        <f aca="false">INDEX(MINVERSE($B$111:$H$117),6,4)</f>
        <v>1.73391010832326E-005</v>
      </c>
      <c r="F124" s="29" t="n">
        <f aca="false">INDEX(MINVERSE($B$111:$H$117),6,5)</f>
        <v>-8.203676838205E-005</v>
      </c>
      <c r="G124" s="29" t="n">
        <f aca="false">INDEX(MINVERSE($B$111:$H$117),6,6)</f>
        <v>0.925568996128639</v>
      </c>
      <c r="H124" s="29" t="n">
        <f aca="false">INDEX(MINVERSE($B$111:$H$117),6,7)</f>
        <v>-0.405564744072379</v>
      </c>
    </row>
    <row r="125" customFormat="false" ht="15" hidden="false" customHeight="false" outlineLevel="0" collapsed="false">
      <c r="B125" s="29" t="n">
        <f aca="false">INDEX(MINVERSE($B$111:$H$117),7,1)</f>
        <v>0.00366549980785019</v>
      </c>
      <c r="C125" s="29" t="n">
        <f aca="false">INDEX(MINVERSE($B$111:$H$117),7,2)</f>
        <v>0.32363813796162</v>
      </c>
      <c r="D125" s="29" t="n">
        <f aca="false">INDEX(MINVERSE($B$111:$H$117),7,3)</f>
        <v>-5.37608834022673E-005</v>
      </c>
      <c r="E125" s="29" t="n">
        <f aca="false">INDEX(MINVERSE($B$111:$H$117),7,4)</f>
        <v>-1.0588412460202E-005</v>
      </c>
      <c r="F125" s="29" t="n">
        <f aca="false">INDEX(MINVERSE($B$111:$H$117),7,5)</f>
        <v>7.46606541415014E-005</v>
      </c>
      <c r="G125" s="29" t="n">
        <f aca="false">INDEX(MINVERSE($B$111:$H$117),7,6)</f>
        <v>-0.405564744072378</v>
      </c>
      <c r="H125" s="29" t="n">
        <f aca="false">INDEX(MINVERSE($B$111:$H$117),7,7)</f>
        <v>3.18456057660161</v>
      </c>
    </row>
    <row r="126" customFormat="false" ht="15" hidden="false" customHeight="false" outlineLevel="0" collapsed="false">
      <c r="A126" s="10" t="s">
        <v>163</v>
      </c>
    </row>
    <row r="127" customFormat="false" ht="15" hidden="false" customHeight="false" outlineLevel="0" collapsed="false">
      <c r="B127" s="29" t="n">
        <f aca="false">SUMPRODUCT($L$6:$L$81,$L$6:$L$81)</f>
        <v>0.0772633950960716</v>
      </c>
      <c r="C127" s="29" t="n">
        <f aca="false">SUMPRODUCT($L$6:$L$81,$M$6:$M$81)</f>
        <v>-0.0020937263029491</v>
      </c>
      <c r="D127" s="29" t="n">
        <f aca="false">SUMPRODUCT($L$6:$L$81,$N$6:$N$81)</f>
        <v>-1.73850759613699</v>
      </c>
      <c r="E127" s="29" t="n">
        <f aca="false">SUMPRODUCT($L$6:$L$81,$O$6:$O$81)</f>
        <v>-3.24230906627953</v>
      </c>
      <c r="F127" s="29" t="n">
        <f aca="false">SUMPRODUCT($L$6:$L$81,$P$6:$P$81)</f>
        <v>14.3160073775092</v>
      </c>
      <c r="G127" s="29" t="n">
        <f aca="false">SUMPRODUCT($L$6:$L$81,$Q$6:$Q$81)</f>
        <v>-0.00112612709753101</v>
      </c>
      <c r="H127" s="29" t="n">
        <f aca="false">SUMPRODUCT($L$6:$L$81,$R$6:$R$81)</f>
        <v>-6.90950503254499E-005</v>
      </c>
    </row>
    <row r="128" customFormat="false" ht="15" hidden="false" customHeight="false" outlineLevel="0" collapsed="false">
      <c r="B128" s="29" t="n">
        <f aca="false">SUMPRODUCT($M$6:$M$81,$L$6:$L$81)</f>
        <v>-0.0020937263029491</v>
      </c>
      <c r="C128" s="29" t="n">
        <f aca="false">SUMPRODUCT($M$6:$M$81,$M$6:$M$81)</f>
        <v>0.00122120286227873</v>
      </c>
      <c r="D128" s="29" t="n">
        <f aca="false">SUMPRODUCT($M$6:$M$81,$N$6:$N$81)</f>
        <v>0.533171956271122</v>
      </c>
      <c r="E128" s="29" t="n">
        <f aca="false">SUMPRODUCT($M$6:$M$81,$O$6:$O$81)</f>
        <v>2.46349967595238</v>
      </c>
      <c r="F128" s="29" t="n">
        <f aca="false">SUMPRODUCT($M$6:$M$81,$P$6:$P$81)</f>
        <v>-1.76673559785112</v>
      </c>
      <c r="G128" s="29" t="n">
        <f aca="false">SUMPRODUCT($M$6:$M$81,$Q$6:$Q$81)</f>
        <v>0.000372880661985992</v>
      </c>
      <c r="H128" s="29" t="n">
        <f aca="false">SUMPRODUCT($M$6:$M$81,$R$6:$R$81)</f>
        <v>-0.000205835139245559</v>
      </c>
    </row>
    <row r="129" customFormat="false" ht="15" hidden="false" customHeight="false" outlineLevel="0" collapsed="false">
      <c r="B129" s="29" t="n">
        <f aca="false">SUMPRODUCT($N$6:$N$81,$L$6:$L$81)</f>
        <v>-1.73850759613699</v>
      </c>
      <c r="C129" s="29" t="n">
        <f aca="false">SUMPRODUCT($N$6:$N$81,$M$6:$M$81)</f>
        <v>0.533171956271122</v>
      </c>
      <c r="D129" s="29" t="n">
        <f aca="false">SUMPRODUCT($N$6:$N$81,$N$6:$N$81)</f>
        <v>9246.35918137482</v>
      </c>
      <c r="E129" s="29" t="n">
        <f aca="false">SUMPRODUCT($N$6:$N$81,$O$6:$O$81)</f>
        <v>2116.23749712483</v>
      </c>
      <c r="F129" s="29" t="n">
        <f aca="false">SUMPRODUCT($N$6:$N$81,$P$6:$P$81)</f>
        <v>-2444.44397945141</v>
      </c>
      <c r="G129" s="29" t="n">
        <f aca="false">SUMPRODUCT($N$6:$N$81,$Q$6:$Q$81)</f>
        <v>0.297270049438755</v>
      </c>
      <c r="H129" s="29" t="n">
        <f aca="false">SUMPRODUCT($N$6:$N$81,$R$6:$R$81)</f>
        <v>0.187490323520051</v>
      </c>
    </row>
    <row r="130" customFormat="false" ht="15" hidden="false" customHeight="false" outlineLevel="0" collapsed="false">
      <c r="B130" s="29" t="n">
        <f aca="false">SUMPRODUCT($O$6:$O$81,$L$6:$L$81)</f>
        <v>-3.24230906627953</v>
      </c>
      <c r="C130" s="29" t="n">
        <f aca="false">SUMPRODUCT($O$6:$O$81,$M$6:$M$81)</f>
        <v>2.46349967595238</v>
      </c>
      <c r="D130" s="29" t="n">
        <f aca="false">SUMPRODUCT($O$6:$O$81,$N$6:$N$81)</f>
        <v>2116.23749712483</v>
      </c>
      <c r="E130" s="29" t="n">
        <f aca="false">SUMPRODUCT($O$6:$O$81,$O$6:$O$81)</f>
        <v>10063.7008844632</v>
      </c>
      <c r="F130" s="29" t="n">
        <f aca="false">SUMPRODUCT($O$6:$O$81,$P$6:$P$81)</f>
        <v>-5916.740428732</v>
      </c>
      <c r="G130" s="29" t="n">
        <f aca="false">SUMPRODUCT($O$6:$O$81,$Q$6:$Q$81)</f>
        <v>1.12700140412106</v>
      </c>
      <c r="H130" s="29" t="n">
        <f aca="false">SUMPRODUCT($O$6:$O$81,$R$6:$R$81)</f>
        <v>-0.155429780284858</v>
      </c>
    </row>
    <row r="131" customFormat="false" ht="15" hidden="false" customHeight="false" outlineLevel="0" collapsed="false">
      <c r="B131" s="29" t="n">
        <f aca="false">SUMPRODUCT($P$6:$P$81,$L$6:$L$81)</f>
        <v>14.3160073775092</v>
      </c>
      <c r="C131" s="29" t="n">
        <f aca="false">SUMPRODUCT($P$6:$P$81,$M$6:$M$81)</f>
        <v>-1.76673559785112</v>
      </c>
      <c r="D131" s="29" t="n">
        <f aca="false">SUMPRODUCT($P$6:$P$81,$N$6:$N$81)</f>
        <v>-2444.44397945141</v>
      </c>
      <c r="E131" s="29" t="n">
        <f aca="false">SUMPRODUCT($P$6:$P$81,$O$6:$O$81)</f>
        <v>-5916.740428732</v>
      </c>
      <c r="F131" s="29" t="n">
        <f aca="false">SUMPRODUCT($P$6:$P$81,$P$6:$P$81)</f>
        <v>10911.9711204441</v>
      </c>
      <c r="G131" s="29" t="n">
        <f aca="false">SUMPRODUCT($P$6:$P$81,$Q$6:$Q$81)</f>
        <v>-0.687259390725569</v>
      </c>
      <c r="H131" s="29" t="n">
        <f aca="false">SUMPRODUCT($P$6:$P$81,$R$6:$R$81)</f>
        <v>0.00892698160032948</v>
      </c>
    </row>
    <row r="132" customFormat="false" ht="15" hidden="false" customHeight="false" outlineLevel="0" collapsed="false">
      <c r="B132" s="29" t="n">
        <f aca="false">SUMPRODUCT($Q$6:$Q$81,$L$6:$L$81)</f>
        <v>-0.00112612709753101</v>
      </c>
      <c r="C132" s="29" t="n">
        <f aca="false">SUMPRODUCT($Q$6:$Q$81,$M$6:$M$81)</f>
        <v>0.000372880661985992</v>
      </c>
      <c r="D132" s="29" t="n">
        <f aca="false">SUMPRODUCT($Q$6:$Q$81,$N$6:$N$81)</f>
        <v>0.297270049438755</v>
      </c>
      <c r="E132" s="29" t="n">
        <f aca="false">SUMPRODUCT($Q$6:$Q$81,$O$6:$O$81)</f>
        <v>1.12700140412106</v>
      </c>
      <c r="F132" s="29" t="n">
        <f aca="false">SUMPRODUCT($Q$6:$Q$81,$P$6:$P$81)</f>
        <v>-0.687259390725569</v>
      </c>
      <c r="G132" s="29" t="n">
        <f aca="false">SUMPRODUCT($Q$6:$Q$81,$Q$6:$Q$81)</f>
        <v>0.000909663717326738</v>
      </c>
      <c r="H132" s="29" t="n">
        <f aca="false">SUMPRODUCT($Q$6:$Q$81,$R$6:$R$81)</f>
        <v>2.31154783043179E-006</v>
      </c>
    </row>
    <row r="133" customFormat="false" ht="15" hidden="false" customHeight="false" outlineLevel="0" collapsed="false">
      <c r="B133" s="29" t="n">
        <f aca="false">SUMPRODUCT($R$6:$R$81,$L$6:$L$81)</f>
        <v>-6.90950503254499E-005</v>
      </c>
      <c r="C133" s="29" t="n">
        <f aca="false">SUMPRODUCT($R$6:$R$81,$M$6:$M$81)</f>
        <v>-0.000205835139245559</v>
      </c>
      <c r="D133" s="29" t="n">
        <f aca="false">SUMPRODUCT($R$6:$R$81,$N$6:$N$81)</f>
        <v>0.187490323520051</v>
      </c>
      <c r="E133" s="29" t="n">
        <f aca="false">SUMPRODUCT($R$6:$R$81,$O$6:$O$81)</f>
        <v>-0.155429780284858</v>
      </c>
      <c r="F133" s="29" t="n">
        <f aca="false">SUMPRODUCT($R$6:$R$81,$P$6:$P$81)</f>
        <v>0.00892698160032948</v>
      </c>
      <c r="G133" s="29" t="n">
        <f aca="false">SUMPRODUCT($R$6:$R$81,$Q$6:$Q$81)</f>
        <v>2.31154783043179E-006</v>
      </c>
      <c r="H133" s="29" t="n">
        <f aca="false">SUMPRODUCT($R$6:$R$81,$R$6:$R$81)</f>
        <v>0.00033048621654246</v>
      </c>
    </row>
    <row r="134" customFormat="false" ht="15" hidden="false" customHeight="false" outlineLevel="0" collapsed="false">
      <c r="A134" s="10" t="s">
        <v>164</v>
      </c>
    </row>
    <row r="135" customFormat="false" ht="15" hidden="false" customHeight="false" outlineLevel="0" collapsed="false">
      <c r="B135" s="29" t="n">
        <f aca="false">SUMPRODUCT($L$7:$L$81,$L$6:$L$80)</f>
        <v>-0.00591873188929637</v>
      </c>
      <c r="C135" s="29" t="n">
        <f aca="false">SUMPRODUCT($L$7:$L$81,$M$6:$M$80)</f>
        <v>0.00104475247120555</v>
      </c>
      <c r="D135" s="29" t="n">
        <f aca="false">SUMPRODUCT($L$7:$L$81,$N$6:$N$80)</f>
        <v>-3.92303176845485</v>
      </c>
      <c r="E135" s="29" t="n">
        <f aca="false">SUMPRODUCT($L$7:$L$81,$O$6:$O$80)</f>
        <v>0.234819629474982</v>
      </c>
      <c r="F135" s="29" t="n">
        <f aca="false">SUMPRODUCT($L$7:$L$81,$P$6:$P$80)</f>
        <v>-6.2047234926698</v>
      </c>
      <c r="G135" s="29" t="n">
        <f aca="false">SUMPRODUCT($L$7:$L$81,$Q$6:$Q$80)</f>
        <v>0.000439450670552688</v>
      </c>
      <c r="H135" s="29" t="n">
        <f aca="false">SUMPRODUCT($L$7:$L$81,$R$6:$R$80)</f>
        <v>0.000135731136465805</v>
      </c>
    </row>
    <row r="136" customFormat="false" ht="15" hidden="false" customHeight="false" outlineLevel="0" collapsed="false">
      <c r="B136" s="29" t="n">
        <f aca="false">SUMPRODUCT($M$7:$M$81,$L$6:$L$80)</f>
        <v>-0.000759609408516159</v>
      </c>
      <c r="C136" s="29" t="n">
        <f aca="false">SUMPRODUCT($M$7:$M$81,$M$6:$M$80)</f>
        <v>2.98375927346621E-006</v>
      </c>
      <c r="D136" s="29" t="n">
        <f aca="false">SUMPRODUCT($M$7:$M$81,$N$6:$N$80)</f>
        <v>-0.0563803255068106</v>
      </c>
      <c r="E136" s="29" t="n">
        <f aca="false">SUMPRODUCT($M$7:$M$81,$O$6:$O$80)</f>
        <v>0.671068553425364</v>
      </c>
      <c r="F136" s="29" t="n">
        <f aca="false">SUMPRODUCT($M$7:$M$81,$P$6:$P$80)</f>
        <v>-0.491973788501799</v>
      </c>
      <c r="G136" s="29" t="n">
        <f aca="false">SUMPRODUCT($M$7:$M$81,$Q$6:$Q$80)</f>
        <v>1.02953116050259E-005</v>
      </c>
      <c r="H136" s="29" t="n">
        <f aca="false">SUMPRODUCT($M$7:$M$81,$R$6:$R$80)</f>
        <v>1.30305714804807E-005</v>
      </c>
    </row>
    <row r="137" customFormat="false" ht="15" hidden="false" customHeight="false" outlineLevel="0" collapsed="false">
      <c r="B137" s="29" t="n">
        <f aca="false">SUMPRODUCT($N$7:$N$81,$L$6:$L$80)</f>
        <v>6.24126160287481</v>
      </c>
      <c r="C137" s="29" t="n">
        <f aca="false">SUMPRODUCT($N$7:$N$81,$M$6:$M$80)</f>
        <v>0.352133398072195</v>
      </c>
      <c r="D137" s="29" t="n">
        <f aca="false">SUMPRODUCT($N$7:$N$81,$N$6:$N$80)</f>
        <v>3375.94212103753</v>
      </c>
      <c r="E137" s="29" t="n">
        <f aca="false">SUMPRODUCT($N$7:$N$81,$O$6:$O$80)</f>
        <v>2344.51572508799</v>
      </c>
      <c r="F137" s="29" t="n">
        <f aca="false">SUMPRODUCT($N$7:$N$81,$P$6:$P$80)</f>
        <v>670.580112864984</v>
      </c>
      <c r="G137" s="29" t="n">
        <f aca="false">SUMPRODUCT($N$7:$N$81,$Q$6:$Q$80)</f>
        <v>0.213266256225275</v>
      </c>
      <c r="H137" s="29" t="n">
        <f aca="false">SUMPRODUCT($N$7:$N$81,$R$6:$R$80)</f>
        <v>-0.0692678193652851</v>
      </c>
    </row>
    <row r="138" customFormat="false" ht="15" hidden="false" customHeight="false" outlineLevel="0" collapsed="false">
      <c r="B138" s="29" t="n">
        <f aca="false">SUMPRODUCT($O$7:$O$81,$L$6:$L$80)</f>
        <v>-1.99984936158148</v>
      </c>
      <c r="C138" s="29" t="n">
        <f aca="false">SUMPRODUCT($O$7:$O$81,$M$6:$M$80)</f>
        <v>0.223539700998328</v>
      </c>
      <c r="D138" s="29" t="n">
        <f aca="false">SUMPRODUCT($O$7:$O$81,$N$6:$N$80)</f>
        <v>-857.720674148942</v>
      </c>
      <c r="E138" s="29" t="n">
        <f aca="false">SUMPRODUCT($O$7:$O$81,$O$6:$O$80)</f>
        <v>1941.73470437746</v>
      </c>
      <c r="F138" s="29" t="n">
        <f aca="false">SUMPRODUCT($O$7:$O$81,$P$6:$P$80)</f>
        <v>-1314.06668376221</v>
      </c>
      <c r="G138" s="29" t="n">
        <f aca="false">SUMPRODUCT($O$7:$O$81,$Q$6:$Q$80)</f>
        <v>0.423335688165244</v>
      </c>
      <c r="H138" s="29" t="n">
        <f aca="false">SUMPRODUCT($O$7:$O$81,$R$6:$R$80)</f>
        <v>-0.201874983943833</v>
      </c>
    </row>
    <row r="139" customFormat="false" ht="15" hidden="false" customHeight="false" outlineLevel="0" collapsed="false">
      <c r="B139" s="29" t="n">
        <f aca="false">SUMPRODUCT($P$7:$P$81,$L$6:$L$80)</f>
        <v>0.347572474728625</v>
      </c>
      <c r="C139" s="29" t="n">
        <f aca="false">SUMPRODUCT($P$7:$P$81,$M$6:$M$80)</f>
        <v>0.44806664358464</v>
      </c>
      <c r="D139" s="29" t="n">
        <f aca="false">SUMPRODUCT($P$7:$P$81,$N$6:$N$80)</f>
        <v>-1303.07098335273</v>
      </c>
      <c r="E139" s="29" t="n">
        <f aca="false">SUMPRODUCT($P$7:$P$81,$O$6:$O$80)</f>
        <v>-1881.37463826563</v>
      </c>
      <c r="F139" s="29" t="n">
        <f aca="false">SUMPRODUCT($P$7:$P$81,$P$6:$P$80)</f>
        <v>747.922011722855</v>
      </c>
      <c r="G139" s="29" t="n">
        <f aca="false">SUMPRODUCT($P$7:$P$81,$Q$6:$Q$80)</f>
        <v>-0.0935872244780716</v>
      </c>
      <c r="H139" s="29" t="n">
        <f aca="false">SUMPRODUCT($P$7:$P$81,$R$6:$R$80)</f>
        <v>-0.223695828855731</v>
      </c>
    </row>
    <row r="140" customFormat="false" ht="15" hidden="false" customHeight="false" outlineLevel="0" collapsed="false">
      <c r="B140" s="29" t="n">
        <f aca="false">SUMPRODUCT($Q$7:$Q$81,$L$6:$L$80)</f>
        <v>-0.000788763436649928</v>
      </c>
      <c r="C140" s="29" t="n">
        <f aca="false">SUMPRODUCT($Q$7:$Q$81,$M$6:$M$80)</f>
        <v>0.000308859826313733</v>
      </c>
      <c r="D140" s="29" t="n">
        <f aca="false">SUMPRODUCT($Q$7:$Q$81,$N$6:$N$80)</f>
        <v>0.0263424713781007</v>
      </c>
      <c r="E140" s="29" t="n">
        <f aca="false">SUMPRODUCT($Q$7:$Q$81,$O$6:$O$80)</f>
        <v>1.1450043064988</v>
      </c>
      <c r="F140" s="29" t="n">
        <f aca="false">SUMPRODUCT($Q$7:$Q$81,$P$6:$P$80)</f>
        <v>-0.554731920021355</v>
      </c>
      <c r="G140" s="29" t="n">
        <f aca="false">SUMPRODUCT($Q$7:$Q$81,$Q$6:$Q$80)</f>
        <v>0.000340944637404133</v>
      </c>
      <c r="H140" s="29" t="n">
        <f aca="false">SUMPRODUCT($Q$7:$Q$81,$R$6:$R$80)</f>
        <v>-3.2206829979302E-005</v>
      </c>
    </row>
    <row r="141" customFormat="false" ht="15" hidden="false" customHeight="false" outlineLevel="0" collapsed="false">
      <c r="B141" s="29" t="n">
        <f aca="false">SUMPRODUCT($R$7:$R$81,$L$6:$L$80)</f>
        <v>0.000576820077453247</v>
      </c>
      <c r="C141" s="29" t="n">
        <f aca="false">SUMPRODUCT($R$7:$R$81,$M$6:$M$80)</f>
        <v>9.09882626027304E-005</v>
      </c>
      <c r="D141" s="29" t="n">
        <f aca="false">SUMPRODUCT($R$7:$R$81,$N$6:$N$80)</f>
        <v>0.0313185402548703</v>
      </c>
      <c r="E141" s="29" t="n">
        <f aca="false">SUMPRODUCT($R$7:$R$81,$O$6:$O$80)</f>
        <v>0.0683436839991607</v>
      </c>
      <c r="F141" s="29" t="n">
        <f aca="false">SUMPRODUCT($R$7:$R$81,$P$6:$P$80)</f>
        <v>0.354016279007996</v>
      </c>
      <c r="G141" s="29" t="n">
        <f aca="false">SUMPRODUCT($R$7:$R$81,$Q$6:$Q$80)</f>
        <v>0.000105449765801466</v>
      </c>
      <c r="H141" s="29" t="n">
        <f aca="false">SUMPRODUCT($R$7:$R$81,$R$6:$R$80)</f>
        <v>-5.52012349475965E-005</v>
      </c>
    </row>
    <row r="142" customFormat="false" ht="15" hidden="false" customHeight="false" outlineLevel="0" collapsed="false">
      <c r="A142" s="10" t="s">
        <v>165</v>
      </c>
    </row>
    <row r="143" customFormat="false" ht="15" hidden="false" customHeight="false" outlineLevel="0" collapsed="false">
      <c r="B143" s="29" t="n">
        <f aca="false">SUMPRODUCT($L$8:$L$81,$L$6:$L$79)</f>
        <v>-0.00269117258616653</v>
      </c>
      <c r="C143" s="29" t="n">
        <f aca="false">SUMPRODUCT($L$8:$L$81,$M$6:$M$79)</f>
        <v>-0.000145506330677335</v>
      </c>
      <c r="D143" s="29" t="n">
        <f aca="false">SUMPRODUCT($L$8:$L$81,$N$6:$N$79)</f>
        <v>-8.59844682668488</v>
      </c>
      <c r="E143" s="29" t="n">
        <f aca="false">SUMPRODUCT($L$8:$L$81,$O$6:$O$79)</f>
        <v>2.95556194383037</v>
      </c>
      <c r="F143" s="29" t="n">
        <f aca="false">SUMPRODUCT($L$8:$L$81,$P$6:$P$79)</f>
        <v>0.71413512572957</v>
      </c>
      <c r="G143" s="29" t="n">
        <f aca="false">SUMPRODUCT($L$8:$L$81,$Q$6:$Q$79)</f>
        <v>5.71658644221987E-005</v>
      </c>
      <c r="H143" s="29" t="n">
        <f aca="false">SUMPRODUCT($L$8:$L$81,$R$6:$R$79)</f>
        <v>1.78746560370967E-005</v>
      </c>
    </row>
    <row r="144" customFormat="false" ht="15" hidden="false" customHeight="false" outlineLevel="0" collapsed="false">
      <c r="B144" s="29" t="n">
        <f aca="false">SUMPRODUCT($M$8:$M$81,$L$6:$L$79)</f>
        <v>-0.00281540983314215</v>
      </c>
      <c r="C144" s="29" t="n">
        <f aca="false">SUMPRODUCT($M$8:$M$81,$M$6:$M$79)</f>
        <v>-8.55518345867501E-005</v>
      </c>
      <c r="D144" s="29" t="n">
        <f aca="false">SUMPRODUCT($M$8:$M$81,$N$6:$N$79)</f>
        <v>0.253314252733108</v>
      </c>
      <c r="E144" s="29" t="n">
        <f aca="false">SUMPRODUCT($M$8:$M$81,$O$6:$O$79)</f>
        <v>-1.20372617908408</v>
      </c>
      <c r="F144" s="29" t="n">
        <f aca="false">SUMPRODUCT($M$8:$M$81,$P$6:$P$79)</f>
        <v>-0.321656806674705</v>
      </c>
      <c r="G144" s="29" t="n">
        <f aca="false">SUMPRODUCT($M$8:$M$81,$Q$6:$Q$79)</f>
        <v>-7.00615370027405E-005</v>
      </c>
      <c r="H144" s="29" t="n">
        <f aca="false">SUMPRODUCT($M$8:$M$81,$R$6:$R$79)</f>
        <v>-4.84853805793969E-005</v>
      </c>
    </row>
    <row r="145" customFormat="false" ht="15" hidden="false" customHeight="false" outlineLevel="0" collapsed="false">
      <c r="B145" s="29" t="n">
        <f aca="false">SUMPRODUCT($N$8:$N$81,$L$6:$L$79)</f>
        <v>2.02457822967269</v>
      </c>
      <c r="C145" s="29" t="n">
        <f aca="false">SUMPRODUCT($N$8:$N$81,$M$6:$M$79)</f>
        <v>0.839263867442842</v>
      </c>
      <c r="D145" s="29" t="n">
        <f aca="false">SUMPRODUCT($N$8:$N$81,$N$6:$N$79)</f>
        <v>230.815757867042</v>
      </c>
      <c r="E145" s="29" t="n">
        <f aca="false">SUMPRODUCT($N$8:$N$81,$O$6:$O$79)</f>
        <v>1866.54133771524</v>
      </c>
      <c r="F145" s="29" t="n">
        <f aca="false">SUMPRODUCT($N$8:$N$81,$P$6:$P$79)</f>
        <v>-528.940413051361</v>
      </c>
      <c r="G145" s="29" t="n">
        <f aca="false">SUMPRODUCT($N$8:$N$81,$Q$6:$Q$79)</f>
        <v>-0.19894526462185</v>
      </c>
      <c r="H145" s="29" t="n">
        <f aca="false">SUMPRODUCT($N$8:$N$81,$R$6:$R$79)</f>
        <v>-0.224971524371324</v>
      </c>
    </row>
    <row r="146" customFormat="false" ht="15" hidden="false" customHeight="false" outlineLevel="0" collapsed="false">
      <c r="B146" s="29" t="n">
        <f aca="false">SUMPRODUCT($O$8:$O$81,$L$6:$L$79)</f>
        <v>-8.59844682668488</v>
      </c>
      <c r="C146" s="29" t="n">
        <f aca="false">SUMPRODUCT($O$8:$O$81,$M$6:$M$79)</f>
        <v>-0.736251698511595</v>
      </c>
      <c r="D146" s="29" t="n">
        <f aca="false">SUMPRODUCT($O$8:$O$81,$N$6:$N$79)</f>
        <v>-94.304919345653</v>
      </c>
      <c r="E146" s="29" t="n">
        <f aca="false">SUMPRODUCT($O$8:$O$81,$O$6:$O$79)</f>
        <v>-4014.36417226717</v>
      </c>
      <c r="F146" s="29" t="n">
        <f aca="false">SUMPRODUCT($O$8:$O$81,$P$6:$P$79)</f>
        <v>-1081.62927572607</v>
      </c>
      <c r="G146" s="29" t="n">
        <f aca="false">SUMPRODUCT($O$8:$O$81,$Q$6:$Q$79)</f>
        <v>-0.305167160059588</v>
      </c>
      <c r="H146" s="29" t="n">
        <f aca="false">SUMPRODUCT($O$8:$O$81,$R$6:$R$79)</f>
        <v>0.0746078783667647</v>
      </c>
    </row>
    <row r="147" customFormat="false" ht="15" hidden="false" customHeight="false" outlineLevel="0" collapsed="false">
      <c r="B147" s="29" t="n">
        <f aca="false">SUMPRODUCT($P$8:$P$81,$L$6:$L$79)</f>
        <v>3.0426603879369</v>
      </c>
      <c r="C147" s="29" t="n">
        <f aca="false">SUMPRODUCT($P$8:$P$81,$M$6:$M$79)</f>
        <v>0.456572336409384</v>
      </c>
      <c r="D147" s="29" t="n">
        <f aca="false">SUMPRODUCT($P$8:$P$81,$N$6:$N$79)</f>
        <v>-3382.69144822928</v>
      </c>
      <c r="E147" s="29" t="n">
        <f aca="false">SUMPRODUCT($P$8:$P$81,$O$6:$O$79)</f>
        <v>2722.87885031047</v>
      </c>
      <c r="F147" s="29" t="n">
        <f aca="false">SUMPRODUCT($P$8:$P$81,$P$6:$P$79)</f>
        <v>-249.038440327749</v>
      </c>
      <c r="G147" s="29" t="n">
        <f aca="false">SUMPRODUCT($P$8:$P$81,$Q$6:$Q$79)</f>
        <v>0.409440523060465</v>
      </c>
      <c r="H147" s="29" t="n">
        <f aca="false">SUMPRODUCT($P$8:$P$81,$R$6:$R$79)</f>
        <v>0.183135866136382</v>
      </c>
    </row>
    <row r="148" customFormat="false" ht="15" hidden="false" customHeight="false" outlineLevel="0" collapsed="false">
      <c r="B148" s="29" t="n">
        <f aca="false">SUMPRODUCT($Q$8:$Q$81,$L$6:$L$79)</f>
        <v>-0.000933917433233393</v>
      </c>
      <c r="C148" s="29" t="n">
        <f aca="false">SUMPRODUCT($Q$8:$Q$81,$M$6:$M$79)</f>
        <v>8.21014642955405E-005</v>
      </c>
      <c r="D148" s="29" t="n">
        <f aca="false">SUMPRODUCT($Q$8:$Q$81,$N$6:$N$79)</f>
        <v>0.00813263303434244</v>
      </c>
      <c r="E148" s="29" t="n">
        <f aca="false">SUMPRODUCT($Q$8:$Q$81,$O$6:$O$79)</f>
        <v>0.111574334590051</v>
      </c>
      <c r="F148" s="29" t="n">
        <f aca="false">SUMPRODUCT($Q$8:$Q$81,$P$6:$P$79)</f>
        <v>-0.632472365467951</v>
      </c>
      <c r="G148" s="29" t="n">
        <f aca="false">SUMPRODUCT($Q$8:$Q$81,$Q$6:$Q$79)</f>
        <v>-5.84837734279644E-005</v>
      </c>
      <c r="H148" s="29" t="n">
        <f aca="false">SUMPRODUCT($Q$8:$Q$81,$R$6:$R$79)</f>
        <v>1.27810871775873E-005</v>
      </c>
    </row>
    <row r="149" customFormat="false" ht="15" hidden="false" customHeight="false" outlineLevel="0" collapsed="false">
      <c r="B149" s="29" t="n">
        <f aca="false">SUMPRODUCT($R$8:$R$81,$L$6:$L$79)</f>
        <v>0.000595283155957389</v>
      </c>
      <c r="C149" s="29" t="n">
        <f aca="false">SUMPRODUCT($R$8:$R$81,$M$6:$M$79)</f>
        <v>-1.75676474146889E-005</v>
      </c>
      <c r="D149" s="29" t="n">
        <f aca="false">SUMPRODUCT($R$8:$R$81,$N$6:$N$79)</f>
        <v>-0.195019174078875</v>
      </c>
      <c r="E149" s="29" t="n">
        <f aca="false">SUMPRODUCT($R$8:$R$81,$O$6:$O$79)</f>
        <v>0.212863773315422</v>
      </c>
      <c r="F149" s="29" t="n">
        <f aca="false">SUMPRODUCT($R$8:$R$81,$P$6:$P$79)</f>
        <v>0.188388144223684</v>
      </c>
      <c r="G149" s="29" t="n">
        <f aca="false">SUMPRODUCT($R$8:$R$81,$Q$6:$Q$79)</f>
        <v>7.484377333812E-006</v>
      </c>
      <c r="H149" s="29" t="n">
        <f aca="false">SUMPRODUCT($R$8:$R$81,$R$6:$R$79)</f>
        <v>-3.27350185562641E-006</v>
      </c>
    </row>
    <row r="150" customFormat="false" ht="15" hidden="false" customHeight="false" outlineLevel="0" collapsed="false">
      <c r="A150" s="10" t="s">
        <v>166</v>
      </c>
    </row>
    <row r="151" customFormat="false" ht="15" hidden="false" customHeight="false" outlineLevel="0" collapsed="false">
      <c r="B151" s="29" t="n">
        <f aca="false">SUMPRODUCT($L$9:$L$81,$L$6:$L$78)</f>
        <v>0.000268050264181211</v>
      </c>
      <c r="C151" s="29" t="n">
        <f aca="false">SUMPRODUCT($L$9:$L$81,$M$6:$M$78)</f>
        <v>-0.000664003191640917</v>
      </c>
      <c r="D151" s="29" t="n">
        <f aca="false">SUMPRODUCT($L$9:$L$81,$N$6:$N$78)</f>
        <v>-4.36298836804024</v>
      </c>
      <c r="E151" s="29" t="n">
        <f aca="false">SUMPRODUCT($L$9:$L$81,$O$6:$O$78)</f>
        <v>-2.67694551545351</v>
      </c>
      <c r="F151" s="29" t="n">
        <f aca="false">SUMPRODUCT($L$9:$L$81,$P$6:$P$78)</f>
        <v>0.952466434823703</v>
      </c>
      <c r="G151" s="29" t="n">
        <f aca="false">SUMPRODUCT($L$9:$L$81,$Q$6:$Q$78)</f>
        <v>-0.000914060174753201</v>
      </c>
      <c r="H151" s="29" t="n">
        <f aca="false">SUMPRODUCT($L$9:$L$81,$R$6:$R$78)</f>
        <v>-0.000940925661518811</v>
      </c>
    </row>
    <row r="152" customFormat="false" ht="15" hidden="false" customHeight="false" outlineLevel="0" collapsed="false">
      <c r="B152" s="29" t="n">
        <f aca="false">SUMPRODUCT($M$9:$M$81,$L$6:$L$78)</f>
        <v>-0.000612060391416917</v>
      </c>
      <c r="C152" s="29" t="n">
        <f aca="false">SUMPRODUCT($M$9:$M$81,$M$6:$M$78)</f>
        <v>-9.65933490117318E-005</v>
      </c>
      <c r="D152" s="29" t="n">
        <f aca="false">SUMPRODUCT($M$9:$M$81,$N$6:$N$78)</f>
        <v>0.891143921859784</v>
      </c>
      <c r="E152" s="29" t="n">
        <f aca="false">SUMPRODUCT($M$9:$M$81,$O$6:$O$78)</f>
        <v>-0.298221761609315</v>
      </c>
      <c r="F152" s="29" t="n">
        <f aca="false">SUMPRODUCT($M$9:$M$81,$P$6:$P$78)</f>
        <v>0.261308908475903</v>
      </c>
      <c r="G152" s="29" t="n">
        <f aca="false">SUMPRODUCT($M$9:$M$81,$Q$6:$Q$78)</f>
        <v>-0.000103073908610855</v>
      </c>
      <c r="H152" s="29" t="n">
        <f aca="false">SUMPRODUCT($M$9:$M$81,$R$6:$R$78)</f>
        <v>-1.73186274650894E-005</v>
      </c>
    </row>
    <row r="153" customFormat="false" ht="15" hidden="false" customHeight="false" outlineLevel="0" collapsed="false">
      <c r="B153" s="29" t="n">
        <f aca="false">SUMPRODUCT($N$9:$N$81,$L$6:$L$78)</f>
        <v>-4.3868865506898</v>
      </c>
      <c r="C153" s="29" t="n">
        <f aca="false">SUMPRODUCT($N$9:$N$81,$M$6:$M$78)</f>
        <v>0.267071249226863</v>
      </c>
      <c r="D153" s="29" t="n">
        <f aca="false">SUMPRODUCT($N$9:$N$81,$N$6:$N$78)</f>
        <v>-1438.43249673509</v>
      </c>
      <c r="E153" s="29" t="n">
        <f aca="false">SUMPRODUCT($N$9:$N$81,$O$6:$O$78)</f>
        <v>472.787581318111</v>
      </c>
      <c r="F153" s="29" t="n">
        <f aca="false">SUMPRODUCT($N$9:$N$81,$P$6:$P$78)</f>
        <v>-1129.0547409913</v>
      </c>
      <c r="G153" s="29" t="n">
        <f aca="false">SUMPRODUCT($N$9:$N$81,$Q$6:$Q$78)</f>
        <v>-0.0388817644630329</v>
      </c>
      <c r="H153" s="29" t="n">
        <f aca="false">SUMPRODUCT($N$9:$N$81,$R$6:$R$78)</f>
        <v>-0.0335315857686864</v>
      </c>
    </row>
    <row r="154" customFormat="false" ht="15" hidden="false" customHeight="false" outlineLevel="0" collapsed="false">
      <c r="B154" s="29" t="n">
        <f aca="false">SUMPRODUCT($O$9:$O$81,$L$6:$L$78)</f>
        <v>-3.61776560065926</v>
      </c>
      <c r="C154" s="29" t="n">
        <f aca="false">SUMPRODUCT($O$9:$O$81,$M$6:$M$78)</f>
        <v>0.166102036696933</v>
      </c>
      <c r="D154" s="29" t="n">
        <f aca="false">SUMPRODUCT($O$9:$O$81,$N$6:$N$78)</f>
        <v>3485.5012769716</v>
      </c>
      <c r="E154" s="29" t="n">
        <f aca="false">SUMPRODUCT($O$9:$O$81,$O$6:$O$78)</f>
        <v>814.032307815404</v>
      </c>
      <c r="F154" s="29" t="n">
        <f aca="false">SUMPRODUCT($O$9:$O$81,$P$6:$P$78)</f>
        <v>-968.175988107482</v>
      </c>
      <c r="G154" s="29" t="n">
        <f aca="false">SUMPRODUCT($O$9:$O$81,$Q$6:$Q$78)</f>
        <v>0.0466711342077896</v>
      </c>
      <c r="H154" s="29" t="n">
        <f aca="false">SUMPRODUCT($O$9:$O$81,$R$6:$R$78)</f>
        <v>0.152946141366218</v>
      </c>
    </row>
    <row r="155" customFormat="false" ht="15" hidden="false" customHeight="false" outlineLevel="0" collapsed="false">
      <c r="B155" s="29" t="n">
        <f aca="false">SUMPRODUCT($P$9:$P$81,$L$6:$L$78)</f>
        <v>1.63756845242388</v>
      </c>
      <c r="C155" s="29" t="n">
        <f aca="false">SUMPRODUCT($P$9:$P$81,$M$6:$M$78)</f>
        <v>0.0307271060958109</v>
      </c>
      <c r="D155" s="29" t="n">
        <f aca="false">SUMPRODUCT($P$9:$P$81,$N$6:$N$78)</f>
        <v>-2668.5933397346</v>
      </c>
      <c r="E155" s="29" t="n">
        <f aca="false">SUMPRODUCT($P$9:$P$81,$O$6:$O$78)</f>
        <v>-217.936985300684</v>
      </c>
      <c r="F155" s="29" t="n">
        <f aca="false">SUMPRODUCT($P$9:$P$81,$P$6:$P$78)</f>
        <v>643.480568967507</v>
      </c>
      <c r="G155" s="29" t="n">
        <f aca="false">SUMPRODUCT($P$9:$P$81,$Q$6:$Q$78)</f>
        <v>0.306621700003316</v>
      </c>
      <c r="H155" s="29" t="n">
        <f aca="false">SUMPRODUCT($P$9:$P$81,$R$6:$R$78)</f>
        <v>-0.15675919487296</v>
      </c>
    </row>
    <row r="156" customFormat="false" ht="15" hidden="false" customHeight="false" outlineLevel="0" collapsed="false">
      <c r="B156" s="29" t="n">
        <f aca="false">SUMPRODUCT($Q$9:$Q$81,$L$6:$L$78)</f>
        <v>-0.000628767047260641</v>
      </c>
      <c r="C156" s="29" t="n">
        <f aca="false">SUMPRODUCT($Q$9:$Q$81,$M$6:$M$78)</f>
        <v>-2.69505233207481E-005</v>
      </c>
      <c r="D156" s="29" t="n">
        <f aca="false">SUMPRODUCT($Q$9:$Q$81,$N$6:$N$78)</f>
        <v>0.603113956070934</v>
      </c>
      <c r="E156" s="29" t="n">
        <f aca="false">SUMPRODUCT($Q$9:$Q$81,$O$6:$O$78)</f>
        <v>-0.213762229867763</v>
      </c>
      <c r="F156" s="29" t="n">
        <f aca="false">SUMPRODUCT($Q$9:$Q$81,$P$6:$P$78)</f>
        <v>-0.532186036013598</v>
      </c>
      <c r="G156" s="29" t="n">
        <f aca="false">SUMPRODUCT($Q$9:$Q$81,$Q$6:$Q$78)</f>
        <v>4.74045389914122E-005</v>
      </c>
      <c r="H156" s="29" t="n">
        <f aca="false">SUMPRODUCT($Q$9:$Q$81,$R$6:$R$78)</f>
        <v>-1.22190219939956E-005</v>
      </c>
    </row>
    <row r="157" customFormat="false" ht="15" hidden="false" customHeight="false" outlineLevel="0" collapsed="false">
      <c r="B157" s="29" t="n">
        <f aca="false">SUMPRODUCT($R$9:$R$81,$L$6:$L$78)</f>
        <v>-0.000436379116085852</v>
      </c>
      <c r="C157" s="29" t="n">
        <f aca="false">SUMPRODUCT($R$9:$R$81,$M$6:$M$78)</f>
        <v>2.92574204254573E-005</v>
      </c>
      <c r="D157" s="29" t="n">
        <f aca="false">SUMPRODUCT($R$9:$R$81,$N$6:$N$78)</f>
        <v>-0.0307443323550463</v>
      </c>
      <c r="E157" s="29" t="n">
        <f aca="false">SUMPRODUCT($R$9:$R$81,$O$6:$O$78)</f>
        <v>0.108616341259276</v>
      </c>
      <c r="F157" s="29" t="n">
        <f aca="false">SUMPRODUCT($R$9:$R$81,$P$6:$P$78)</f>
        <v>-0.353123587983374</v>
      </c>
      <c r="G157" s="29" t="n">
        <f aca="false">SUMPRODUCT($R$9:$R$81,$Q$6:$Q$78)</f>
        <v>4.50268118106574E-005</v>
      </c>
      <c r="H157" s="29" t="n">
        <f aca="false">SUMPRODUCT($R$9:$R$81,$R$6:$R$78)</f>
        <v>3.70443809149667E-006</v>
      </c>
    </row>
    <row r="158" customFormat="false" ht="15" hidden="false" customHeight="false" outlineLevel="0" collapsed="false">
      <c r="A158" s="10" t="s">
        <v>167</v>
      </c>
    </row>
    <row r="159" customFormat="false" ht="15" hidden="false" customHeight="false" outlineLevel="0" collapsed="false">
      <c r="B159" s="29" t="n">
        <f aca="false">SUMPRODUCT($L$10:$L$81,$L$6:$L$77)</f>
        <v>-0.0361562211992138</v>
      </c>
      <c r="C159" s="29" t="n">
        <f aca="false">SUMPRODUCT($L$10:$L$81,$M$6:$M$77)</f>
        <v>-0.00239486371869507</v>
      </c>
      <c r="D159" s="29" t="n">
        <f aca="false">SUMPRODUCT($L$10:$L$81,$N$6:$N$77)</f>
        <v>1.44180727665212</v>
      </c>
      <c r="E159" s="29" t="n">
        <f aca="false">SUMPRODUCT($L$10:$L$81,$O$6:$O$77)</f>
        <v>-7.22903399826504</v>
      </c>
      <c r="F159" s="29" t="n">
        <f aca="false">SUMPRODUCT($L$10:$L$81,$P$6:$P$77)</f>
        <v>-1.98795585248934</v>
      </c>
      <c r="G159" s="29" t="n">
        <f aca="false">SUMPRODUCT($L$10:$L$81,$Q$6:$Q$77)</f>
        <v>-0.000647672645534255</v>
      </c>
      <c r="H159" s="29" t="n">
        <f aca="false">SUMPRODUCT($L$10:$L$81,$R$6:$R$77)</f>
        <v>0.000968164900334342</v>
      </c>
    </row>
    <row r="160" customFormat="false" ht="15" hidden="false" customHeight="false" outlineLevel="0" collapsed="false">
      <c r="B160" s="29" t="n">
        <f aca="false">SUMPRODUCT($M$10:$M$81,$L$6:$L$77)</f>
        <v>0.000156504099757149</v>
      </c>
      <c r="C160" s="29" t="n">
        <f aca="false">SUMPRODUCT($M$10:$M$81,$M$6:$M$77)</f>
        <v>0.000543433875435016</v>
      </c>
      <c r="D160" s="29" t="n">
        <f aca="false">SUMPRODUCT($M$10:$M$81,$N$6:$N$77)</f>
        <v>1.34207241101501</v>
      </c>
      <c r="E160" s="29" t="n">
        <f aca="false">SUMPRODUCT($M$10:$M$81,$O$6:$O$77)</f>
        <v>1.21113909790152</v>
      </c>
      <c r="F160" s="29" t="n">
        <f aca="false">SUMPRODUCT($M$10:$M$81,$P$6:$P$77)</f>
        <v>-0.305349694456375</v>
      </c>
      <c r="G160" s="29" t="n">
        <f aca="false">SUMPRODUCT($M$10:$M$81,$Q$6:$Q$77)</f>
        <v>0.000182504463568427</v>
      </c>
      <c r="H160" s="29" t="n">
        <f aca="false">SUMPRODUCT($M$10:$M$81,$R$6:$R$77)</f>
        <v>2.75930114563872E-005</v>
      </c>
    </row>
    <row r="161" customFormat="false" ht="15" hidden="false" customHeight="false" outlineLevel="0" collapsed="false">
      <c r="B161" s="29" t="n">
        <f aca="false">SUMPRODUCT($N$10:$N$81,$L$6:$L$77)</f>
        <v>-4.95255863638667</v>
      </c>
      <c r="C161" s="29" t="n">
        <f aca="false">SUMPRODUCT($N$10:$N$81,$M$6:$M$77)</f>
        <v>-0.145401093976585</v>
      </c>
      <c r="D161" s="29" t="n">
        <f aca="false">SUMPRODUCT($N$10:$N$81,$N$6:$N$77)</f>
        <v>-2688.74825932403</v>
      </c>
      <c r="E161" s="29" t="n">
        <f aca="false">SUMPRODUCT($N$10:$N$81,$O$6:$O$77)</f>
        <v>-594.793367475179</v>
      </c>
      <c r="F161" s="29" t="n">
        <f aca="false">SUMPRODUCT($N$10:$N$81,$P$6:$P$77)</f>
        <v>676.295755812252</v>
      </c>
      <c r="G161" s="29" t="n">
        <f aca="false">SUMPRODUCT($N$10:$N$81,$Q$6:$Q$77)</f>
        <v>0.35243786982291</v>
      </c>
      <c r="H161" s="29" t="n">
        <f aca="false">SUMPRODUCT($N$10:$N$81,$R$6:$R$77)</f>
        <v>0.037023121646142</v>
      </c>
    </row>
    <row r="162" customFormat="false" ht="15" hidden="false" customHeight="false" outlineLevel="0" collapsed="false">
      <c r="B162" s="29" t="n">
        <f aca="false">SUMPRODUCT($O$10:$O$81,$L$6:$L$77)</f>
        <v>3.8787095240992</v>
      </c>
      <c r="C162" s="29" t="n">
        <f aca="false">SUMPRODUCT($O$10:$O$81,$M$6:$M$77)</f>
        <v>0.829653383547171</v>
      </c>
      <c r="D162" s="29" t="n">
        <f aca="false">SUMPRODUCT($O$10:$O$81,$N$6:$N$77)</f>
        <v>4182.98508273251</v>
      </c>
      <c r="E162" s="29" t="n">
        <f aca="false">SUMPRODUCT($O$10:$O$81,$O$6:$O$77)</f>
        <v>3005.25562820811</v>
      </c>
      <c r="F162" s="29" t="n">
        <f aca="false">SUMPRODUCT($O$10:$O$81,$P$6:$P$77)</f>
        <v>918.202724753285</v>
      </c>
      <c r="G162" s="29" t="n">
        <f aca="false">SUMPRODUCT($O$10:$O$81,$Q$6:$Q$77)</f>
        <v>0.876306723286966</v>
      </c>
      <c r="H162" s="29" t="n">
        <f aca="false">SUMPRODUCT($O$10:$O$81,$R$6:$R$77)</f>
        <v>-0.170240689076046</v>
      </c>
    </row>
    <row r="163" customFormat="false" ht="15" hidden="false" customHeight="false" outlineLevel="0" collapsed="false">
      <c r="B163" s="29" t="n">
        <f aca="false">SUMPRODUCT($P$10:$P$81,$L$6:$L$77)</f>
        <v>-7.22903399826504</v>
      </c>
      <c r="C163" s="29" t="n">
        <f aca="false">SUMPRODUCT($P$10:$P$81,$M$6:$M$77)</f>
        <v>-0.585194957930483</v>
      </c>
      <c r="D163" s="29" t="n">
        <f aca="false">SUMPRODUCT($P$10:$P$81,$N$6:$N$77)</f>
        <v>-2219.0126698576</v>
      </c>
      <c r="E163" s="29" t="n">
        <f aca="false">SUMPRODUCT($P$10:$P$81,$O$6:$O$77)</f>
        <v>-3866.36887323544</v>
      </c>
      <c r="F163" s="29" t="n">
        <f aca="false">SUMPRODUCT($P$10:$P$81,$P$6:$P$77)</f>
        <v>-186.452655883327</v>
      </c>
      <c r="G163" s="29" t="n">
        <f aca="false">SUMPRODUCT($P$10:$P$81,$Q$6:$Q$77)</f>
        <v>-0.391102808833218</v>
      </c>
      <c r="H163" s="29" t="n">
        <f aca="false">SUMPRODUCT($P$10:$P$81,$R$6:$R$77)</f>
        <v>0.000522891927701644</v>
      </c>
    </row>
    <row r="164" customFormat="false" ht="15" hidden="false" customHeight="false" outlineLevel="0" collapsed="false">
      <c r="B164" s="29" t="n">
        <f aca="false">SUMPRODUCT($Q$10:$Q$81,$L$6:$L$77)</f>
        <v>-0.00124797041172473</v>
      </c>
      <c r="C164" s="29" t="n">
        <f aca="false">SUMPRODUCT($Q$10:$Q$81,$M$6:$M$77)</f>
        <v>0.000208458177219166</v>
      </c>
      <c r="D164" s="29" t="n">
        <f aca="false">SUMPRODUCT($Q$10:$Q$81,$N$6:$N$77)</f>
        <v>1.41070892715719</v>
      </c>
      <c r="E164" s="29" t="n">
        <f aca="false">SUMPRODUCT($Q$10:$Q$81,$O$6:$O$77)</f>
        <v>0.667691243615159</v>
      </c>
      <c r="F164" s="29" t="n">
        <f aca="false">SUMPRODUCT($Q$10:$Q$81,$P$6:$P$77)</f>
        <v>-0.939892648821928</v>
      </c>
      <c r="G164" s="29" t="n">
        <f aca="false">SUMPRODUCT($Q$10:$Q$81,$Q$6:$Q$77)</f>
        <v>0.000302720290874982</v>
      </c>
      <c r="H164" s="29" t="n">
        <f aca="false">SUMPRODUCT($Q$10:$Q$81,$R$6:$R$77)</f>
        <v>5.50923256746645E-006</v>
      </c>
    </row>
    <row r="165" customFormat="false" ht="15" hidden="false" customHeight="false" outlineLevel="0" collapsed="false">
      <c r="B165" s="29" t="n">
        <f aca="false">SUMPRODUCT($R$10:$R$81,$L$6:$L$77)</f>
        <v>0.000301572913632556</v>
      </c>
      <c r="C165" s="29" t="n">
        <f aca="false">SUMPRODUCT($R$10:$R$81,$M$6:$M$77)</f>
        <v>-0.000190083778011339</v>
      </c>
      <c r="D165" s="29" t="n">
        <f aca="false">SUMPRODUCT($R$10:$R$81,$N$6:$N$77)</f>
        <v>-0.136043880217913</v>
      </c>
      <c r="E165" s="29" t="n">
        <f aca="false">SUMPRODUCT($R$10:$R$81,$O$6:$O$77)</f>
        <v>-0.0494313018579217</v>
      </c>
      <c r="F165" s="29" t="n">
        <f aca="false">SUMPRODUCT($R$10:$R$81,$P$6:$P$77)</f>
        <v>-0.0402044495075461</v>
      </c>
      <c r="G165" s="29" t="n">
        <f aca="false">SUMPRODUCT($R$10:$R$81,$Q$6:$Q$77)</f>
        <v>7.66048343388718E-005</v>
      </c>
      <c r="H165" s="29" t="n">
        <f aca="false">SUMPRODUCT($R$10:$R$81,$R$6:$R$77)</f>
        <v>6.14849254201486E-005</v>
      </c>
    </row>
    <row r="166" customFormat="false" ht="15" hidden="false" customHeight="false" outlineLevel="0" collapsed="false">
      <c r="A166" s="10" t="s">
        <v>168</v>
      </c>
    </row>
    <row r="167" customFormat="false" ht="15" hidden="false" customHeight="false" outlineLevel="0" collapsed="false">
      <c r="B167" s="29" t="n">
        <f aca="false">INDEX($B$127:$H$133,1,1)+0.8*(INDEX($B$135:$H$141,1,1)+INDEX($B$135:$H$141,1,1))+0.6*(INDEX($B$143:$H$149,1,1)+INDEX($B$143:$H$149,1,1))+0.4*(INDEX($B$151:$H$157,1,1)+INDEX($B$151:$H$157,1,1))+0.2*(INDEX($B$159:$H$165,1,1)+INDEX($B$159:$H$165,1,1))</f>
        <v>0.050315968701457</v>
      </c>
      <c r="C167" s="29" t="n">
        <f aca="false">INDEX($B$127:$H$133,1,2)+0.8*(INDEX($B$135:$H$141,1,2)+INDEX($B$135:$H$141,2,1))+0.6*(INDEX($B$143:$H$149,1,2)+INDEX($B$143:$H$149,2,1))+0.4*(INDEX($B$151:$H$157,1,2)+INDEX($B$151:$H$157,2,1))+0.2*(INDEX($B$159:$H$165,1,2)+INDEX($B$159:$H$165,2,1))</f>
        <v>-0.0046002589081</v>
      </c>
      <c r="D167" s="29" t="n">
        <f aca="false">INDEX($B$127:$H$133,1,3)+0.8*(INDEX($B$135:$H$141,1,3)+INDEX($B$135:$H$141,3,1))+0.6*(INDEX($B$143:$H$149,1,3)+INDEX($B$143:$H$149,3,1))+0.4*(INDEX($B$151:$H$157,1,3)+INDEX($B$151:$H$157,3,1))+0.2*(INDEX($B$159:$H$165,1,3)+INDEX($B$159:$H$165,3,1))</f>
        <v>-8.03034512624725</v>
      </c>
      <c r="E167" s="29" t="n">
        <f aca="false">INDEX($B$127:$H$133,1,4)+0.8*(INDEX($B$135:$H$141,1,4)+INDEX($B$135:$H$141,4,1))+0.6*(INDEX($B$143:$H$149,1,4)+INDEX($B$143:$H$149,4,1))+0.4*(INDEX($B$151:$H$157,1,4)+INDEX($B$151:$H$157,4,1))+0.2*(INDEX($B$159:$H$165,1,4)+INDEX($B$159:$H$165,4,1))</f>
        <v>-11.2280131229557</v>
      </c>
      <c r="F167" s="29" t="n">
        <f aca="false">INDEX($B$127:$H$133,1,5)+0.8*(INDEX($B$135:$H$141,1,5)+INDEX($B$135:$H$141,5,1))+0.6*(INDEX($B$143:$H$149,1,5)+INDEX($B$143:$H$149,5,1))+0.4*(INDEX($B$151:$H$157,1,5)+INDEX($B$151:$H$157,5,1))+0.2*(INDEX($B$159:$H$165,1,5)+INDEX($B$159:$H$165,5,1))</f>
        <v>11.0769798561043</v>
      </c>
      <c r="G167" s="29" t="n">
        <f aca="false">INDEX($B$127:$H$133,1,6)+0.8*(INDEX($B$135:$H$141,1,6)+INDEX($B$135:$H$141,6,1))+0.6*(INDEX($B$143:$H$149,1,6)+INDEX($B$143:$H$149,6,1))+0.4*(INDEX($B$151:$H$157,1,6)+INDEX($B$151:$H$157,6,1))+0.2*(INDEX($B$159:$H$165,1,6)+INDEX($B$159:$H$165,6,1))</f>
        <v>-0.00292788775195285</v>
      </c>
      <c r="H167" s="29" t="n">
        <f aca="false">INDEX($B$127:$H$133,1,7)+0.8*(INDEX($B$135:$H$141,1,7)+INDEX($B$135:$H$141,7,1))+0.6*(INDEX($B$143:$H$149,1,7)+INDEX($B$143:$H$149,7,1))+0.4*(INDEX($B$151:$H$157,1,7)+INDEX($B$151:$H$157,7,1))+0.2*(INDEX($B$159:$H$165,1,7)+INDEX($B$159:$H$165,7,1))</f>
        <v>0.000571866259757997</v>
      </c>
    </row>
    <row r="168" customFormat="false" ht="15" hidden="false" customHeight="false" outlineLevel="0" collapsed="false">
      <c r="B168" s="29" t="n">
        <f aca="false">INDEX($B$127:$H$133,2,1)+0.8*(INDEX($B$135:$H$141,2,1)+INDEX($B$135:$H$141,1,2))+0.6*(INDEX($B$143:$H$149,2,1)+INDEX($B$143:$H$149,1,2))+0.4*(INDEX($B$151:$H$157,2,1)+INDEX($B$151:$H$157,1,2))+0.2*(INDEX($B$159:$H$165,2,1)+INDEX($B$159:$H$165,1,2))</f>
        <v>-0.0046002589081</v>
      </c>
      <c r="C168" s="29" t="n">
        <f aca="false">INDEX($B$127:$H$133,2,2)+0.8*(INDEX($B$135:$H$141,2,2)+INDEX($B$135:$H$141,2,2))+0.6*(INDEX($B$143:$H$149,2,2)+INDEX($B$143:$H$149,2,2))+0.4*(INDEX($B$151:$H$157,2,2)+INDEX($B$151:$H$157,2,2))+0.2*(INDEX($B$159:$H$165,2,2)+INDEX($B$159:$H$165,2,2))</f>
        <v>0.0012634135465768</v>
      </c>
      <c r="D168" s="29" t="n">
        <f aca="false">INDEX($B$127:$H$133,2,3)+0.8*(INDEX($B$135:$H$141,2,3)+INDEX($B$135:$H$141,3,2))+0.6*(INDEX($B$143:$H$149,2,3)+INDEX($B$143:$H$149,3,2))+0.4*(INDEX($B$151:$H$157,2,3)+INDEX($B$151:$H$157,3,2))+0.2*(INDEX($B$159:$H$165,2,3)+INDEX($B$159:$H$165,3,2))</f>
        <v>2.12794161827134</v>
      </c>
      <c r="E168" s="29" t="n">
        <f aca="false">INDEX($B$127:$H$133,2,4)+0.8*(INDEX($B$135:$H$141,2,4)+INDEX($B$135:$H$141,4,2))+0.6*(INDEX($B$143:$H$149,2,4)+INDEX($B$143:$H$149,4,2))+0.4*(INDEX($B$151:$H$157,2,4)+INDEX($B$151:$H$157,4,2))+0.2*(INDEX($B$159:$H$165,2,4)+INDEX($B$159:$H$165,4,2))</f>
        <v>2.37051015925871</v>
      </c>
      <c r="F168" s="29" t="n">
        <f aca="false">INDEX($B$127:$H$133,2,5)+0.8*(INDEX($B$135:$H$141,2,5)+INDEX($B$135:$H$141,5,2))+0.6*(INDEX($B$143:$H$149,2,5)+INDEX($B$143:$H$149,5,2))+0.4*(INDEX($B$151:$H$157,2,5)+INDEX($B$151:$H$157,5,2))+0.2*(INDEX($B$159:$H$165,2,5)+INDEX($B$159:$H$165,5,2))</f>
        <v>-1.78220652059273</v>
      </c>
      <c r="G168" s="29" t="n">
        <f aca="false">INDEX($B$127:$H$133,2,6)+0.8*(INDEX($B$135:$H$141,2,6)+INDEX($B$135:$H$141,6,2))+0.6*(INDEX($B$143:$H$149,2,6)+INDEX($B$143:$H$149,6,2))+0.4*(INDEX($B$151:$H$157,2,6)+INDEX($B$151:$H$157,6,2))+0.2*(INDEX($B$159:$H$165,2,6)+INDEX($B$159:$H$165,6,2))</f>
        <v>0.000661611484081557</v>
      </c>
      <c r="H168" s="29" t="n">
        <f aca="false">INDEX($B$127:$H$133,2,7)+0.8*(INDEX($B$135:$H$141,2,7)+INDEX($B$135:$H$141,7,2))+0.6*(INDEX($B$143:$H$149,2,7)+INDEX($B$143:$H$149,7,2))+0.4*(INDEX($B$151:$H$157,2,7)+INDEX($B$151:$H$157,7,2))+0.2*(INDEX($B$159:$H$165,2,7)+INDEX($B$159:$H$165,7,2))</f>
        <v>-0.000189974524902285</v>
      </c>
    </row>
    <row r="169" customFormat="false" ht="15" hidden="false" customHeight="false" outlineLevel="0" collapsed="false">
      <c r="B169" s="29" t="n">
        <f aca="false">INDEX($B$127:$H$133,3,1)+0.8*(INDEX($B$135:$H$141,3,1)+INDEX($B$135:$H$141,1,3))+0.6*(INDEX($B$143:$H$149,3,1)+INDEX($B$143:$H$149,1,3))+0.4*(INDEX($B$151:$H$157,3,1)+INDEX($B$151:$H$157,1,3))+0.2*(INDEX($B$159:$H$165,3,1)+INDEX($B$159:$H$165,1,3))</f>
        <v>-8.03034512624725</v>
      </c>
      <c r="C169" s="29" t="n">
        <f aca="false">INDEX($B$127:$H$133,3,2)+0.8*(INDEX($B$135:$H$141,3,2)+INDEX($B$135:$H$141,2,3))+0.6*(INDEX($B$143:$H$149,3,2)+INDEX($B$143:$H$149,2,3))+0.4*(INDEX($B$151:$H$157,3,2)+INDEX($B$151:$H$157,2,3))+0.2*(INDEX($B$159:$H$165,3,2)+INDEX($B$159:$H$165,2,3))</f>
        <v>2.12794161827134</v>
      </c>
      <c r="D169" s="29" t="n">
        <f aca="false">INDEX($B$127:$H$133,3,3)+0.8*(INDEX($B$135:$H$141,3,3)+INDEX($B$135:$H$141,3,3))+0.6*(INDEX($B$143:$H$149,3,3)+INDEX($B$143:$H$149,3,3))+0.4*(INDEX($B$151:$H$157,3,3)+INDEX($B$151:$H$157,3,3))+0.2*(INDEX($B$159:$H$165,3,3)+INDEX($B$159:$H$165,3,3))</f>
        <v>12698.6001833576</v>
      </c>
      <c r="E169" s="29" t="n">
        <f aca="false">INDEX($B$127:$H$133,3,4)+0.8*(INDEX($B$135:$H$141,3,4)+INDEX($B$135:$H$141,4,3))+0.6*(INDEX($B$143:$H$149,3,4)+INDEX($B$143:$H$149,4,3))+0.4*(INDEX($B$151:$H$157,3,4)+INDEX($B$151:$H$157,4,3))+0.2*(INDEX($B$159:$H$165,3,4)+INDEX($B$159:$H$165,4,3))</f>
        <v>6669.96927526517</v>
      </c>
      <c r="F169" s="29" t="n">
        <f aca="false">INDEX($B$127:$H$133,3,5)+0.8*(INDEX($B$135:$H$141,3,5)+INDEX($B$135:$H$141,5,3))+0.6*(INDEX($B$143:$H$149,3,5)+INDEX($B$143:$H$149,5,3))+0.4*(INDEX($B$151:$H$157,3,5)+INDEX($B$151:$H$157,5,3))+0.2*(INDEX($B$159:$H$165,3,5)+INDEX($B$159:$H$165,5,3))</f>
        <v>-7125.01840770943</v>
      </c>
      <c r="G169" s="29" t="n">
        <f aca="false">INDEX($B$127:$H$133,3,6)+0.8*(INDEX($B$135:$H$141,3,6)+INDEX($B$135:$H$141,6,3))+0.6*(INDEX($B$143:$H$149,3,6)+INDEX($B$143:$H$149,6,3))+0.4*(INDEX($B$151:$H$157,3,6)+INDEX($B$151:$H$157,6,3))+0.2*(INDEX($B$159:$H$165,3,6)+INDEX($B$159:$H$165,6,3))</f>
        <v>0.95279168860813</v>
      </c>
      <c r="H169" s="29" t="n">
        <f aca="false">INDEX($B$127:$H$133,3,7)+0.8*(INDEX($B$135:$H$141,3,7)+INDEX($B$135:$H$141,7,3))+0.6*(INDEX($B$143:$H$149,3,7)+INDEX($B$143:$H$149,7,3))+0.4*(INDEX($B$151:$H$157,3,7)+INDEX($B$151:$H$157,7,3))+0.2*(INDEX($B$159:$H$165,3,7)+INDEX($B$159:$H$165,7,3))</f>
        <v>-0.140378037802248</v>
      </c>
    </row>
    <row r="170" customFormat="false" ht="15" hidden="false" customHeight="false" outlineLevel="0" collapsed="false">
      <c r="B170" s="29" t="n">
        <f aca="false">INDEX($B$127:$H$133,4,1)+0.8*(INDEX($B$135:$H$141,4,1)+INDEX($B$135:$H$141,1,4))+0.6*(INDEX($B$143:$H$149,4,1)+INDEX($B$143:$H$149,1,4))+0.4*(INDEX($B$151:$H$157,4,1)+INDEX($B$151:$H$157,1,4))+0.2*(INDEX($B$159:$H$165,4,1)+INDEX($B$159:$H$165,1,4))</f>
        <v>-11.2280131229557</v>
      </c>
      <c r="C170" s="29" t="n">
        <f aca="false">INDEX($B$127:$H$133,4,2)+0.8*(INDEX($B$135:$H$141,4,2)+INDEX($B$135:$H$141,2,4))+0.6*(INDEX($B$143:$H$149,4,2)+INDEX($B$143:$H$149,2,4))+0.4*(INDEX($B$151:$H$157,4,2)+INDEX($B$151:$H$157,2,4))+0.2*(INDEX($B$159:$H$165,4,2)+INDEX($B$159:$H$165,2,4))</f>
        <v>2.37051015925871</v>
      </c>
      <c r="D170" s="29" t="n">
        <f aca="false">INDEX($B$127:$H$133,4,3)+0.8*(INDEX($B$135:$H$141,4,3)+INDEX($B$135:$H$141,3,4))+0.6*(INDEX($B$143:$H$149,4,3)+INDEX($B$143:$H$149,3,4))+0.4*(INDEX($B$151:$H$157,4,3)+INDEX($B$151:$H$157,3,4))+0.2*(INDEX($B$159:$H$165,4,3)+INDEX($B$159:$H$165,3,4))</f>
        <v>6669.96927526517</v>
      </c>
      <c r="E170" s="29" t="n">
        <f aca="false">INDEX($B$127:$H$133,4,4)+0.8*(INDEX($B$135:$H$141,4,4)+INDEX($B$135:$H$141,4,4))+0.6*(INDEX($B$143:$H$149,4,4)+INDEX($B$143:$H$149,4,4))+0.4*(INDEX($B$151:$H$157,4,4)+INDEX($B$151:$H$157,4,4))+0.2*(INDEX($B$159:$H$165,4,4)+INDEX($B$159:$H$165,4,4))</f>
        <v>10206.5675022821</v>
      </c>
      <c r="F170" s="29" t="n">
        <f aca="false">INDEX($B$127:$H$133,4,5)+0.8*(INDEX($B$135:$H$141,4,5)+INDEX($B$135:$H$141,5,4))+0.6*(INDEX($B$143:$H$149,4,5)+INDEX($B$143:$H$149,5,4))+0.4*(INDEX($B$151:$H$157,4,5)+INDEX($B$151:$H$157,5,4))+0.2*(INDEX($B$159:$H$165,4,5)+INDEX($B$159:$H$165,5,4))</f>
        <v>-8552.42216066332</v>
      </c>
      <c r="G170" s="29" t="n">
        <f aca="false">INDEX($B$127:$H$133,4,6)+0.8*(INDEX($B$135:$H$141,4,6)+INDEX($B$135:$H$141,6,4))+0.6*(INDEX($B$143:$H$149,4,6)+INDEX($B$143:$H$149,6,4))+0.4*(INDEX($B$151:$H$157,4,6)+INDEX($B$151:$H$157,6,4))+0.2*(INDEX($B$159:$H$165,4,6)+INDEX($B$159:$H$165,6,4))</f>
        <v>2.50748085968701</v>
      </c>
      <c r="H170" s="29" t="n">
        <f aca="false">INDEX($B$127:$H$133,4,7)+0.8*(INDEX($B$135:$H$141,4,7)+INDEX($B$135:$H$141,7,4))+0.6*(INDEX($B$143:$H$149,4,7)+INDEX($B$143:$H$149,7,4))+0.4*(INDEX($B$151:$H$157,4,7)+INDEX($B$151:$H$157,7,4))+0.2*(INDEX($B$159:$H$165,4,7)+INDEX($B$159:$H$165,7,4))</f>
        <v>-0.0290812343678802</v>
      </c>
    </row>
    <row r="171" customFormat="false" ht="15" hidden="false" customHeight="false" outlineLevel="0" collapsed="false">
      <c r="B171" s="29" t="n">
        <f aca="false">INDEX($B$127:$H$133,5,1)+0.8*(INDEX($B$135:$H$141,5,1)+INDEX($B$135:$H$141,1,5))+0.6*(INDEX($B$143:$H$149,5,1)+INDEX($B$143:$H$149,1,5))+0.4*(INDEX($B$151:$H$157,5,1)+INDEX($B$151:$H$157,1,5))+0.2*(INDEX($B$159:$H$165,5,1)+INDEX($B$159:$H$165,1,5))</f>
        <v>11.0769798561043</v>
      </c>
      <c r="C171" s="29" t="n">
        <f aca="false">INDEX($B$127:$H$133,5,2)+0.8*(INDEX($B$135:$H$141,5,2)+INDEX($B$135:$H$141,2,5))+0.6*(INDEX($B$143:$H$149,5,2)+INDEX($B$143:$H$149,2,5))+0.4*(INDEX($B$151:$H$157,5,2)+INDEX($B$151:$H$157,2,5))+0.2*(INDEX($B$159:$H$165,5,2)+INDEX($B$159:$H$165,2,5))</f>
        <v>-1.78220652059273</v>
      </c>
      <c r="D171" s="29" t="n">
        <f aca="false">INDEX($B$127:$H$133,5,3)+0.8*(INDEX($B$135:$H$141,5,3)+INDEX($B$135:$H$141,3,5))+0.6*(INDEX($B$143:$H$149,5,3)+INDEX($B$143:$H$149,3,5))+0.4*(INDEX($B$151:$H$157,5,3)+INDEX($B$151:$H$157,3,5))+0.2*(INDEX($B$159:$H$165,5,3)+INDEX($B$159:$H$165,3,5))</f>
        <v>-7125.01840770943</v>
      </c>
      <c r="E171" s="29" t="n">
        <f aca="false">INDEX($B$127:$H$133,5,4)+0.8*(INDEX($B$135:$H$141,5,4)+INDEX($B$135:$H$141,4,5))+0.6*(INDEX($B$143:$H$149,5,4)+INDEX($B$143:$H$149,4,5))+0.4*(INDEX($B$151:$H$157,5,4)+INDEX($B$151:$H$157,4,5))+0.2*(INDEX($B$159:$H$165,5,4)+INDEX($B$159:$H$165,4,5))</f>
        <v>-8552.42216066332</v>
      </c>
      <c r="F171" s="29" t="n">
        <f aca="false">INDEX($B$127:$H$133,5,5)+0.8*(INDEX($B$135:$H$141,5,5)+INDEX($B$135:$H$141,5,5))+0.6*(INDEX($B$143:$H$149,5,5)+INDEX($B$143:$H$149,5,5))+0.4*(INDEX($B$151:$H$157,5,5)+INDEX($B$151:$H$157,5,5))+0.2*(INDEX($B$159:$H$165,5,5)+INDEX($B$159:$H$165,5,5))</f>
        <v>12250.003603628</v>
      </c>
      <c r="G171" s="29" t="n">
        <f aca="false">INDEX($B$127:$H$133,5,6)+0.8*(INDEX($B$135:$H$141,5,6)+INDEX($B$135:$H$141,6,5))+0.6*(INDEX($B$143:$H$149,5,6)+INDEX($B$143:$H$149,6,5))+0.4*(INDEX($B$151:$H$157,5,6)+INDEX($B$151:$H$157,6,5))+0.2*(INDEX($B$159:$H$165,5,6)+INDEX($B$159:$H$165,6,5))</f>
        <v>-1.69615863770474</v>
      </c>
      <c r="H171" s="29" t="n">
        <f aca="false">INDEX($B$127:$H$133,5,7)+0.8*(INDEX($B$135:$H$141,5,7)+INDEX($B$135:$H$141,7,5))+0.6*(INDEX($B$143:$H$149,5,7)+INDEX($B$143:$H$149,7,5))+0.4*(INDEX($B$151:$H$157,5,7)+INDEX($B$151:$H$157,7,5))+0.2*(INDEX($B$159:$H$165,5,7)+INDEX($B$159:$H$165,7,5))</f>
        <v>0.124208323279678</v>
      </c>
    </row>
    <row r="172" customFormat="false" ht="15" hidden="false" customHeight="false" outlineLevel="0" collapsed="false">
      <c r="B172" s="29" t="n">
        <f aca="false">INDEX($B$127:$H$133,6,1)+0.8*(INDEX($B$135:$H$141,6,1)+INDEX($B$135:$H$141,1,6))+0.6*(INDEX($B$143:$H$149,6,1)+INDEX($B$143:$H$149,1,6))+0.4*(INDEX($B$151:$H$157,6,1)+INDEX($B$151:$H$157,1,6))+0.2*(INDEX($B$159:$H$165,6,1)+INDEX($B$159:$H$165,1,6))</f>
        <v>-0.00292788775195285</v>
      </c>
      <c r="C172" s="29" t="n">
        <f aca="false">INDEX($B$127:$H$133,6,2)+0.8*(INDEX($B$135:$H$141,6,2)+INDEX($B$135:$H$141,2,6))+0.6*(INDEX($B$143:$H$149,6,2)+INDEX($B$143:$H$149,2,6))+0.4*(INDEX($B$151:$H$157,6,2)+INDEX($B$151:$H$157,2,6))+0.2*(INDEX($B$159:$H$165,6,2)+INDEX($B$159:$H$165,2,6))</f>
        <v>0.000661611484081557</v>
      </c>
      <c r="D172" s="29" t="n">
        <f aca="false">INDEX($B$127:$H$133,6,3)+0.8*(INDEX($B$135:$H$141,6,3)+INDEX($B$135:$H$141,3,6))+0.6*(INDEX($B$143:$H$149,6,3)+INDEX($B$143:$H$149,3,6))+0.4*(INDEX($B$151:$H$157,6,3)+INDEX($B$151:$H$157,3,6))+0.2*(INDEX($B$159:$H$165,6,3)+INDEX($B$159:$H$165,3,6))</f>
        <v>0.95279168860813</v>
      </c>
      <c r="E172" s="29" t="n">
        <f aca="false">INDEX($B$127:$H$133,6,4)+0.8*(INDEX($B$135:$H$141,6,4)+INDEX($B$135:$H$141,4,6))+0.6*(INDEX($B$143:$H$149,6,4)+INDEX($B$143:$H$149,4,6))+0.4*(INDEX($B$151:$H$157,6,4)+INDEX($B$151:$H$157,4,6))+0.2*(INDEX($B$159:$H$165,6,4)+INDEX($B$159:$H$165,4,6))</f>
        <v>2.50748085968701</v>
      </c>
      <c r="F172" s="29" t="n">
        <f aca="false">INDEX($B$127:$H$133,6,5)+0.8*(INDEX($B$135:$H$141,6,5)+INDEX($B$135:$H$141,5,6))+0.6*(INDEX($B$143:$H$149,6,5)+INDEX($B$143:$H$149,5,6))+0.4*(INDEX($B$151:$H$157,6,5)+INDEX($B$151:$H$157,5,6))+0.2*(INDEX($B$159:$H$165,6,5)+INDEX($B$159:$H$165,5,6))</f>
        <v>-1.69615863770474</v>
      </c>
      <c r="G172" s="29" t="n">
        <f aca="false">INDEX($B$127:$H$133,6,6)+0.8*(INDEX($B$135:$H$141,6,6)+INDEX($B$135:$H$141,6,6))+0.6*(INDEX($B$143:$H$149,6,6)+INDEX($B$143:$H$149,6,6))+0.4*(INDEX($B$151:$H$157,6,6)+INDEX($B$151:$H$157,6,6))+0.2*(INDEX($B$159:$H$165,6,6)+INDEX($B$159:$H$165,6,6))</f>
        <v>0.00154400635660292</v>
      </c>
      <c r="H172" s="29" t="n">
        <f aca="false">INDEX($B$127:$H$133,6,7)+0.8*(INDEX($B$135:$H$141,6,7)+INDEX($B$135:$H$141,7,6))+0.6*(INDEX($B$143:$H$149,6,7)+INDEX($B$143:$H$149,7,6))+0.4*(INDEX($B$151:$H$157,6,7)+INDEX($B$151:$H$157,7,6))+0.2*(INDEX($B$159:$H$165,6,7)+INDEX($B$159:$H$165,7,6))</f>
        <v>0.000102611104502935</v>
      </c>
    </row>
    <row r="173" customFormat="false" ht="15" hidden="false" customHeight="false" outlineLevel="0" collapsed="false">
      <c r="B173" s="29" t="n">
        <f aca="false">INDEX($B$127:$H$133,7,1)+0.8*(INDEX($B$135:$H$141,7,1)+INDEX($B$135:$H$141,1,7))+0.6*(INDEX($B$143:$H$149,7,1)+INDEX($B$143:$H$149,1,7))+0.4*(INDEX($B$151:$H$157,7,1)+INDEX($B$151:$H$157,1,7))+0.2*(INDEX($B$159:$H$165,7,1)+INDEX($B$159:$H$165,1,7))</f>
        <v>0.000571866259757997</v>
      </c>
      <c r="C173" s="29" t="n">
        <f aca="false">INDEX($B$127:$H$133,7,2)+0.8*(INDEX($B$135:$H$141,7,2)+INDEX($B$135:$H$141,2,7))+0.6*(INDEX($B$143:$H$149,7,2)+INDEX($B$143:$H$149,2,7))+0.4*(INDEX($B$151:$H$157,7,2)+INDEX($B$151:$H$157,2,7))+0.2*(INDEX($B$159:$H$165,7,2)+INDEX($B$159:$H$165,2,7))</f>
        <v>-0.000189974524902285</v>
      </c>
      <c r="D173" s="29" t="n">
        <f aca="false">INDEX($B$127:$H$133,7,3)+0.8*(INDEX($B$135:$H$141,7,3)+INDEX($B$135:$H$141,3,7))+0.6*(INDEX($B$143:$H$149,7,3)+INDEX($B$143:$H$149,3,7))+0.4*(INDEX($B$151:$H$157,7,3)+INDEX($B$151:$H$157,3,7))+0.2*(INDEX($B$159:$H$165,7,3)+INDEX($B$159:$H$165,3,7))</f>
        <v>-0.140378037802248</v>
      </c>
      <c r="E173" s="29" t="n">
        <f aca="false">INDEX($B$127:$H$133,7,4)+0.8*(INDEX($B$135:$H$141,7,4)+INDEX($B$135:$H$141,4,7))+0.6*(INDEX($B$143:$H$149,7,4)+INDEX($B$143:$H$149,4,7))+0.4*(INDEX($B$151:$H$157,7,4)+INDEX($B$151:$H$157,4,7))+0.2*(INDEX($B$159:$H$165,7,4)+INDEX($B$159:$H$165,4,7))</f>
        <v>-0.0290812343678802</v>
      </c>
      <c r="F173" s="29" t="n">
        <f aca="false">INDEX($B$127:$H$133,7,5)+0.8*(INDEX($B$135:$H$141,7,5)+INDEX($B$135:$H$141,5,7))+0.6*(INDEX($B$143:$H$149,7,5)+INDEX($B$143:$H$149,5,7))+0.4*(INDEX($B$151:$H$157,7,5)+INDEX($B$151:$H$157,5,7))+0.2*(INDEX($B$159:$H$165,7,5)+INDEX($B$159:$H$165,5,7))</f>
        <v>0.124208323279678</v>
      </c>
      <c r="G173" s="29" t="n">
        <f aca="false">INDEX($B$127:$H$133,7,6)+0.8*(INDEX($B$135:$H$141,7,6)+INDEX($B$135:$H$141,6,7))+0.6*(INDEX($B$143:$H$149,7,6)+INDEX($B$143:$H$149,6,7))+0.4*(INDEX($B$151:$H$157,7,6)+INDEX($B$151:$H$157,6,7))+0.2*(INDEX($B$159:$H$165,7,6)+INDEX($B$159:$H$165,6,7))</f>
        <v>0.000102611104502935</v>
      </c>
      <c r="H173" s="29" t="n">
        <f aca="false">INDEX($B$127:$H$133,7,7)+0.8*(INDEX($B$135:$H$141,7,7)+INDEX($B$135:$H$141,7,7))+0.6*(INDEX($B$143:$H$149,7,7)+INDEX($B$143:$H$149,7,7))+0.4*(INDEX($B$151:$H$157,7,7)+INDEX($B$151:$H$157,7,7))+0.2*(INDEX($B$159:$H$165,7,7)+INDEX($B$159:$H$165,7,7))</f>
        <v>0.000265793559040811</v>
      </c>
    </row>
    <row r="174" customFormat="false" ht="15" hidden="false" customHeight="false" outlineLevel="0" collapsed="false">
      <c r="A174" s="10" t="s">
        <v>169</v>
      </c>
    </row>
    <row r="175" customFormat="false" ht="15" hidden="false" customHeight="false" outlineLevel="0" collapsed="false">
      <c r="B175" s="29" t="n">
        <f aca="false">INDEX(MMULT(MMULT($B$119:$H$125,$B$167:$H$173),$B$119:$H$125),1,1)</f>
        <v>1.00322491995716E-005</v>
      </c>
      <c r="C175" s="29" t="n">
        <f aca="false">INDEX(MMULT(MMULT($B$119:$H$125,$B$167:$H$173),$B$119:$H$125),1,2)</f>
        <v>-9.75039149900624E-005</v>
      </c>
      <c r="D175" s="29" t="n">
        <f aca="false">INDEX(MMULT(MMULT($B$119:$H$125,$B$167:$H$173),$B$119:$H$125),1,3)</f>
        <v>-1.95238994335762E-008</v>
      </c>
      <c r="E175" s="29" t="n">
        <f aca="false">INDEX(MMULT(MMULT($B$119:$H$125,$B$167:$H$173),$B$119:$H$125),1,4)</f>
        <v>-1.7221237883359E-008</v>
      </c>
      <c r="F175" s="29" t="n">
        <f aca="false">INDEX(MMULT(MMULT($B$119:$H$125,$B$167:$H$173),$B$119:$H$125),1,5)</f>
        <v>2.18094675456418E-008</v>
      </c>
      <c r="G175" s="29" t="n">
        <f aca="false">INDEX(MMULT(MMULT($B$119:$H$125,$B$167:$H$173),$B$119:$H$125),1,6)</f>
        <v>-6.63683150316977E-005</v>
      </c>
      <c r="H175" s="29" t="n">
        <f aca="false">INDEX(MMULT(MMULT($B$119:$H$125,$B$167:$H$173),$B$119:$H$125),1,7)</f>
        <v>4.41478239292241E-005</v>
      </c>
    </row>
    <row r="176" customFormat="false" ht="15" hidden="false" customHeight="false" outlineLevel="0" collapsed="false">
      <c r="B176" s="29" t="n">
        <f aca="false">INDEX(MMULT(MMULT($B$119:$H$125,$B$167:$H$173),$B$119:$H$125),2,1)</f>
        <v>-9.75039149900628E-005</v>
      </c>
      <c r="C176" s="29" t="n">
        <f aca="false">INDEX(MMULT(MMULT($B$119:$H$125,$B$167:$H$173),$B$119:$H$125),2,2)</f>
        <v>0.00477833226035581</v>
      </c>
      <c r="D176" s="29" t="n">
        <f aca="false">INDEX(MMULT(MMULT($B$119:$H$125,$B$167:$H$173),$B$119:$H$125),2,3)</f>
        <v>7.68392969934064E-007</v>
      </c>
      <c r="E176" s="29" t="n">
        <f aca="false">INDEX(MMULT(MMULT($B$119:$H$125,$B$167:$H$173),$B$119:$H$125),2,4)</f>
        <v>4.93120726662574E-008</v>
      </c>
      <c r="F176" s="29" t="n">
        <f aca="false">INDEX(MMULT(MMULT($B$119:$H$125,$B$167:$H$173),$B$119:$H$125),2,5)</f>
        <v>-4.47328073376057E-008</v>
      </c>
      <c r="G176" s="29" t="n">
        <f aca="false">INDEX(MMULT(MMULT($B$119:$H$125,$B$167:$H$173),$B$119:$H$125),2,6)</f>
        <v>0.00043569136635417</v>
      </c>
      <c r="H176" s="29" t="n">
        <f aca="false">INDEX(MMULT(MMULT($B$119:$H$125,$B$167:$H$173),$B$119:$H$125),2,7)</f>
        <v>-0.00112071828391553</v>
      </c>
    </row>
    <row r="177" customFormat="false" ht="15" hidden="false" customHeight="false" outlineLevel="0" collapsed="false">
      <c r="B177" s="29" t="n">
        <f aca="false">INDEX(MMULT(MMULT($B$119:$H$125,$B$167:$H$173),$B$119:$H$125),3,1)</f>
        <v>-1.95238994335761E-008</v>
      </c>
      <c r="C177" s="29" t="n">
        <f aca="false">INDEX(MMULT(MMULT($B$119:$H$125,$B$167:$H$173),$B$119:$H$125),3,2)</f>
        <v>7.68392969934063E-007</v>
      </c>
      <c r="D177" s="29" t="n">
        <f aca="false">INDEX(MMULT(MMULT($B$119:$H$125,$B$167:$H$173),$B$119:$H$125),3,3)</f>
        <v>3.35208167322193E-010</v>
      </c>
      <c r="E177" s="29" t="n">
        <f aca="false">INDEX(MMULT(MMULT($B$119:$H$125,$B$167:$H$173),$B$119:$H$125),3,4)</f>
        <v>7.40664511285697E-011</v>
      </c>
      <c r="F177" s="29" t="n">
        <f aca="false">INDEX(MMULT(MMULT($B$119:$H$125,$B$167:$H$173),$B$119:$H$125),3,5)</f>
        <v>-1.11051402501085E-010</v>
      </c>
      <c r="G177" s="29" t="n">
        <f aca="false">INDEX(MMULT(MMULT($B$119:$H$125,$B$167:$H$173),$B$119:$H$125),3,6)</f>
        <v>1.2054703708289E-007</v>
      </c>
      <c r="H177" s="29" t="n">
        <f aca="false">INDEX(MMULT(MMULT($B$119:$H$125,$B$167:$H$173),$B$119:$H$125),3,7)</f>
        <v>-2.93191475494121E-007</v>
      </c>
    </row>
    <row r="178" customFormat="false" ht="15" hidden="false" customHeight="false" outlineLevel="0" collapsed="false">
      <c r="B178" s="29" t="n">
        <f aca="false">INDEX(MMULT(MMULT($B$119:$H$125,$B$167:$H$173),$B$119:$H$125),4,1)</f>
        <v>-1.72212378833587E-008</v>
      </c>
      <c r="C178" s="29" t="n">
        <f aca="false">INDEX(MMULT(MMULT($B$119:$H$125,$B$167:$H$173),$B$119:$H$125),4,2)</f>
        <v>4.93120726662551E-008</v>
      </c>
      <c r="D178" s="29" t="n">
        <f aca="false">INDEX(MMULT(MMULT($B$119:$H$125,$B$167:$H$173),$B$119:$H$125),4,3)</f>
        <v>7.40664511285694E-011</v>
      </c>
      <c r="E178" s="29" t="n">
        <f aca="false">INDEX(MMULT(MMULT($B$119:$H$125,$B$167:$H$173),$B$119:$H$125),4,4)</f>
        <v>1.52797703110882E-010</v>
      </c>
      <c r="F178" s="29" t="n">
        <f aca="false">INDEX(MMULT(MMULT($B$119:$H$125,$B$167:$H$173),$B$119:$H$125),4,5)</f>
        <v>-1.1742275545784E-010</v>
      </c>
      <c r="G178" s="29" t="n">
        <f aca="false">INDEX(MMULT(MMULT($B$119:$H$125,$B$167:$H$173),$B$119:$H$125),4,6)</f>
        <v>3.15261258328431E-007</v>
      </c>
      <c r="H178" s="29" t="n">
        <f aca="false">INDEX(MMULT(MMULT($B$119:$H$125,$B$167:$H$173),$B$119:$H$125),4,7)</f>
        <v>-7.97997250294421E-008</v>
      </c>
    </row>
    <row r="179" customFormat="false" ht="15" hidden="false" customHeight="false" outlineLevel="0" collapsed="false">
      <c r="B179" s="29" t="n">
        <f aca="false">INDEX(MMULT(MMULT($B$119:$H$125,$B$167:$H$173),$B$119:$H$125),5,1)</f>
        <v>2.18094675456414E-008</v>
      </c>
      <c r="C179" s="29" t="n">
        <f aca="false">INDEX(MMULT(MMULT($B$119:$H$125,$B$167:$H$173),$B$119:$H$125),5,2)</f>
        <v>-4.47328073376011E-008</v>
      </c>
      <c r="D179" s="29" t="n">
        <f aca="false">INDEX(MMULT(MMULT($B$119:$H$125,$B$167:$H$173),$B$119:$H$125),5,3)</f>
        <v>-1.11051402501085E-010</v>
      </c>
      <c r="E179" s="29" t="n">
        <f aca="false">INDEX(MMULT(MMULT($B$119:$H$125,$B$167:$H$173),$B$119:$H$125),5,4)</f>
        <v>-1.1742275545784E-010</v>
      </c>
      <c r="F179" s="29" t="n">
        <f aca="false">INDEX(MMULT(MMULT($B$119:$H$125,$B$167:$H$173),$B$119:$H$125),5,5)</f>
        <v>3.00859206282629E-010</v>
      </c>
      <c r="G179" s="29" t="n">
        <f aca="false">INDEX(MMULT(MMULT($B$119:$H$125,$B$167:$H$173),$B$119:$H$125),5,6)</f>
        <v>-3.95121046069595E-007</v>
      </c>
      <c r="H179" s="29" t="n">
        <f aca="false">INDEX(MMULT(MMULT($B$119:$H$125,$B$167:$H$173),$B$119:$H$125),5,7)</f>
        <v>3.0241016039421E-007</v>
      </c>
    </row>
    <row r="180" customFormat="false" ht="15" hidden="false" customHeight="false" outlineLevel="0" collapsed="false">
      <c r="B180" s="29" t="n">
        <f aca="false">INDEX(MMULT(MMULT($B$119:$H$125,$B$167:$H$173),$B$119:$H$125),6,1)</f>
        <v>-6.6368315031697E-005</v>
      </c>
      <c r="C180" s="29" t="n">
        <f aca="false">INDEX(MMULT(MMULT($B$119:$H$125,$B$167:$H$173),$B$119:$H$125),6,2)</f>
        <v>0.000435691366354165</v>
      </c>
      <c r="D180" s="29" t="n">
        <f aca="false">INDEX(MMULT(MMULT($B$119:$H$125,$B$167:$H$173),$B$119:$H$125),6,3)</f>
        <v>1.2054703708289E-007</v>
      </c>
      <c r="E180" s="29" t="n">
        <f aca="false">INDEX(MMULT(MMULT($B$119:$H$125,$B$167:$H$173),$B$119:$H$125),6,4)</f>
        <v>3.15261258328432E-007</v>
      </c>
      <c r="F180" s="29" t="n">
        <f aca="false">INDEX(MMULT(MMULT($B$119:$H$125,$B$167:$H$173),$B$119:$H$125),6,5)</f>
        <v>-3.95121046069595E-007</v>
      </c>
      <c r="G180" s="29" t="n">
        <f aca="false">INDEX(MMULT(MMULT($B$119:$H$125,$B$167:$H$173),$B$119:$H$125),6,6)</f>
        <v>0.00144475568721737</v>
      </c>
      <c r="H180" s="29" t="n">
        <f aca="false">INDEX(MMULT(MMULT($B$119:$H$125,$B$167:$H$173),$B$119:$H$125),6,7)</f>
        <v>-0.000602779209696896</v>
      </c>
    </row>
    <row r="181" customFormat="false" ht="15" hidden="false" customHeight="false" outlineLevel="0" collapsed="false">
      <c r="B181" s="29" t="n">
        <f aca="false">INDEX(MMULT(MMULT($B$119:$H$125,$B$167:$H$173),$B$119:$H$125),7,1)</f>
        <v>4.41478239292238E-005</v>
      </c>
      <c r="C181" s="29" t="n">
        <f aca="false">INDEX(MMULT(MMULT($B$119:$H$125,$B$167:$H$173),$B$119:$H$125),7,2)</f>
        <v>-0.00112071828391553</v>
      </c>
      <c r="D181" s="29" t="n">
        <f aca="false">INDEX(MMULT(MMULT($B$119:$H$125,$B$167:$H$173),$B$119:$H$125),7,3)</f>
        <v>-2.93191475494121E-007</v>
      </c>
      <c r="E181" s="29" t="n">
        <f aca="false">INDEX(MMULT(MMULT($B$119:$H$125,$B$167:$H$173),$B$119:$H$125),7,4)</f>
        <v>-7.97997250294426E-008</v>
      </c>
      <c r="F181" s="29" t="n">
        <f aca="false">INDEX(MMULT(MMULT($B$119:$H$125,$B$167:$H$173),$B$119:$H$125),7,5)</f>
        <v>3.0241016039421E-007</v>
      </c>
      <c r="G181" s="29" t="n">
        <f aca="false">INDEX(MMULT(MMULT($B$119:$H$125,$B$167:$H$173),$B$119:$H$125),7,6)</f>
        <v>-0.000602779209696896</v>
      </c>
      <c r="H181" s="29" t="n">
        <f aca="false">INDEX(MMULT(MMULT($B$119:$H$125,$B$167:$H$173),$B$119:$H$125),7,7)</f>
        <v>0.0025563247650514</v>
      </c>
    </row>
    <row r="183" customFormat="false" ht="15" hidden="false" customHeight="false" outlineLevel="0" collapsed="false">
      <c r="A183" s="14" t="s">
        <v>22</v>
      </c>
      <c r="B183" s="14" t="s">
        <v>23</v>
      </c>
      <c r="C183" s="14" t="s">
        <v>24</v>
      </c>
      <c r="D183" s="14" t="s">
        <v>25</v>
      </c>
      <c r="E183" s="14" t="s">
        <v>26</v>
      </c>
    </row>
    <row r="184" customFormat="false" ht="15" hidden="false" customHeight="false" outlineLevel="0" collapsed="false">
      <c r="A184" s="24" t="s">
        <v>155</v>
      </c>
      <c r="B184" s="8" t="n">
        <f aca="false">B88</f>
        <v>0.00131905025225478</v>
      </c>
      <c r="C184" s="25" t="n">
        <f aca="false">SQRT(INDEX($B$175:$H$181,1,1))</f>
        <v>0.00316737260194812</v>
      </c>
      <c r="D184" s="5" t="n">
        <f aca="false">B184/C184</f>
        <v>0.416449347147691</v>
      </c>
      <c r="E184" s="7" t="n">
        <f aca="false">TDIST(ABS(D184),$H$87,2)</f>
        <v>0.678373840730041</v>
      </c>
    </row>
    <row r="185" customFormat="false" ht="15" hidden="false" customHeight="false" outlineLevel="0" collapsed="false">
      <c r="A185" s="24" t="s">
        <v>135</v>
      </c>
      <c r="B185" s="8" t="n">
        <f aca="false">B89</f>
        <v>0.0915170543914971</v>
      </c>
      <c r="C185" s="25" t="n">
        <f aca="false">SQRT(INDEX($B$175:$H$181,2,2))</f>
        <v>0.0691254819900433</v>
      </c>
      <c r="D185" s="5" t="n">
        <f aca="false">B185/C185</f>
        <v>1.32392645601631</v>
      </c>
      <c r="E185" s="7" t="n">
        <f aca="false">TDIST(ABS(D185),$H$87,2)</f>
        <v>0.189896819236482</v>
      </c>
    </row>
    <row r="186" customFormat="false" ht="15" hidden="false" customHeight="false" outlineLevel="0" collapsed="false">
      <c r="A186" s="24" t="s">
        <v>136</v>
      </c>
      <c r="B186" s="8" t="n">
        <f aca="false">B90</f>
        <v>-6.41908048970035E-005</v>
      </c>
      <c r="C186" s="25" t="n">
        <f aca="false">SQRT(INDEX($B$175:$H$181,3,3))</f>
        <v>1.83086910324631E-005</v>
      </c>
      <c r="D186" s="5" t="n">
        <f aca="false">B186/C186</f>
        <v>-3.50602917396919</v>
      </c>
      <c r="E186" s="7" t="n">
        <f aca="false">TDIST(ABS(D186),$H$87,2)</f>
        <v>0.000804168512941853</v>
      </c>
    </row>
    <row r="187" customFormat="false" ht="15" hidden="false" customHeight="false" outlineLevel="0" collapsed="false">
      <c r="A187" s="24" t="s">
        <v>137</v>
      </c>
      <c r="B187" s="8" t="n">
        <f aca="false">B91</f>
        <v>-6.15131575700507E-005</v>
      </c>
      <c r="C187" s="25" t="n">
        <f aca="false">SQRT(INDEX($B$175:$H$181,4,4))</f>
        <v>1.23611368049578E-005</v>
      </c>
      <c r="D187" s="5" t="n">
        <f aca="false">B187/C187</f>
        <v>-4.97633498768326</v>
      </c>
      <c r="E187" s="7" t="n">
        <f aca="false">TDIST(ABS(D187),$H$87,2)</f>
        <v>4.56508634303329E-006</v>
      </c>
    </row>
    <row r="188" customFormat="false" ht="15" hidden="false" customHeight="false" outlineLevel="0" collapsed="false">
      <c r="A188" s="24" t="s">
        <v>138</v>
      </c>
      <c r="B188" s="8" t="n">
        <f aca="false">B92</f>
        <v>3.56560998606745E-005</v>
      </c>
      <c r="C188" s="25" t="n">
        <f aca="false">SQRT(INDEX($B$175:$H$181,5,5))</f>
        <v>1.73452934908185E-005</v>
      </c>
      <c r="D188" s="5" t="n">
        <f aca="false">B188/C188</f>
        <v>2.05566425725507</v>
      </c>
      <c r="E188" s="7" t="n">
        <f aca="false">TDIST(ABS(D188),$H$87,2)</f>
        <v>0.0436010678074197</v>
      </c>
    </row>
    <row r="189" customFormat="false" ht="15" hidden="false" customHeight="false" outlineLevel="0" collapsed="false">
      <c r="A189" s="24" t="s">
        <v>139</v>
      </c>
      <c r="B189" s="8" t="n">
        <f aca="false">B93</f>
        <v>-0.113365544667691</v>
      </c>
      <c r="C189" s="25" t="n">
        <f aca="false">SQRT(INDEX($B$175:$H$181,6,6))</f>
        <v>0.0380099419523021</v>
      </c>
      <c r="D189" s="5" t="n">
        <f aca="false">B189/C189</f>
        <v>-2.98252348845865</v>
      </c>
      <c r="E189" s="7" t="n">
        <f aca="false">TDIST(ABS(D189),$H$87,2)</f>
        <v>0.00394879672938255</v>
      </c>
    </row>
    <row r="190" customFormat="false" ht="15" hidden="false" customHeight="false" outlineLevel="0" collapsed="false">
      <c r="A190" s="24" t="s">
        <v>140</v>
      </c>
      <c r="B190" s="8" t="n">
        <f aca="false">B94</f>
        <v>0.187891426630302</v>
      </c>
      <c r="C190" s="25" t="n">
        <f aca="false">SQRT(INDEX($B$175:$H$181,7,7))</f>
        <v>0.050560110413758</v>
      </c>
      <c r="D190" s="5" t="n">
        <f aca="false">B190/C190</f>
        <v>3.71619889855253</v>
      </c>
      <c r="E190" s="7" t="n">
        <f aca="false">TDIST(ABS(D190),$H$87,2)</f>
        <v>0.000407141745339763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1" min="2" style="0" width="13"/>
  </cols>
  <sheetData>
    <row r="1" customFormat="false" ht="17.35" hidden="false" customHeight="false" outlineLevel="0" collapsed="false">
      <c r="A1" s="1" t="s">
        <v>170</v>
      </c>
    </row>
    <row r="2" customFormat="false" ht="15" hidden="false" customHeight="false" outlineLevel="0" collapsed="false">
      <c r="A2" s="2" t="s">
        <v>171</v>
      </c>
    </row>
    <row r="5" customFormat="false" ht="15" hidden="false" customHeight="false" outlineLevel="0" collapsed="false">
      <c r="A5" s="3" t="s">
        <v>36</v>
      </c>
      <c r="B5" s="3" t="s">
        <v>134</v>
      </c>
      <c r="C5" s="3" t="s">
        <v>135</v>
      </c>
      <c r="D5" s="3" t="s">
        <v>136</v>
      </c>
      <c r="E5" s="3" t="s">
        <v>137</v>
      </c>
      <c r="F5" s="3" t="s">
        <v>138</v>
      </c>
      <c r="G5" s="3" t="s">
        <v>139</v>
      </c>
      <c r="H5" s="3" t="s">
        <v>140</v>
      </c>
      <c r="I5" s="3" t="s">
        <v>172</v>
      </c>
      <c r="J5" s="3" t="s">
        <v>141</v>
      </c>
      <c r="K5" s="3" t="s">
        <v>142</v>
      </c>
      <c r="L5" s="3" t="s">
        <v>143</v>
      </c>
    </row>
    <row r="6" customFormat="false" ht="15" hidden="false" customHeight="false" outlineLevel="0" collapsed="false">
      <c r="A6" s="19" t="str">
        <f aca="false">Datos!A14</f>
        <v>2007Q2</v>
      </c>
      <c r="B6" s="20" t="n">
        <f aca="false">Datos!F14</f>
        <v>0.0985938738676382</v>
      </c>
      <c r="C6" s="20" t="n">
        <f aca="false">Datos!I14</f>
        <v>-0.012635858101546</v>
      </c>
      <c r="D6" s="20" t="n">
        <f aca="false">Datos!H14</f>
        <v>58.1062311827956</v>
      </c>
      <c r="E6" s="20" t="n">
        <f aca="false">Datos!H12</f>
        <v>-57.3400276497695</v>
      </c>
      <c r="F6" s="20" t="n">
        <f aca="false">Datos!H8</f>
        <v>9.68690215163929</v>
      </c>
      <c r="G6" s="20" t="n">
        <f aca="false">Datos!J8</f>
        <v>-0.0652841179146</v>
      </c>
      <c r="H6" s="20" t="n">
        <f aca="false">Datos!K7</f>
        <v>0.115224744248954</v>
      </c>
      <c r="I6" s="20" t="n">
        <f aca="false">Datos!F13</f>
        <v>0.0835894113627564</v>
      </c>
      <c r="J6" s="18" t="n">
        <v>1</v>
      </c>
      <c r="K6" s="18" t="n">
        <f aca="false">B6-($B$88+$B$89*C6+$B$90*D6+$B$91*E6+$B$92*F6+$B$93*G6+$B$94*H6+$B$95*I6)</f>
        <v>-0.00204213799811492</v>
      </c>
      <c r="L6" s="18" t="n">
        <f aca="false">K6^2</f>
        <v>4.17032760334483E-006</v>
      </c>
    </row>
    <row r="7" customFormat="false" ht="15" hidden="false" customHeight="false" outlineLevel="0" collapsed="false">
      <c r="A7" s="19" t="str">
        <f aca="false">Datos!A15</f>
        <v>2007Q3</v>
      </c>
      <c r="B7" s="20" t="n">
        <f aca="false">Datos!F15</f>
        <v>0.0842779771268098</v>
      </c>
      <c r="C7" s="20" t="n">
        <f aca="false">Datos!I15</f>
        <v>-0.0246226187787558</v>
      </c>
      <c r="D7" s="20" t="n">
        <f aca="false">Datos!H15</f>
        <v>146.742396825397</v>
      </c>
      <c r="E7" s="20" t="n">
        <f aca="false">Datos!H13</f>
        <v>-71.4258225806452</v>
      </c>
      <c r="F7" s="20" t="n">
        <f aca="false">Datos!H9</f>
        <v>-29.0010684822845</v>
      </c>
      <c r="G7" s="20" t="n">
        <f aca="false">Datos!J9</f>
        <v>0.104633678332462</v>
      </c>
      <c r="H7" s="20" t="n">
        <f aca="false">Datos!K8</f>
        <v>0.0193530431424458</v>
      </c>
      <c r="I7" s="20" t="n">
        <f aca="false">Datos!F14</f>
        <v>0.0985938738676382</v>
      </c>
      <c r="J7" s="18" t="n">
        <v>1</v>
      </c>
      <c r="K7" s="18" t="n">
        <f aca="false">B7-($B$88+$B$89*C7+$B$90*D7+$B$91*E7+$B$92*F7+$B$93*G7+$B$94*H7+$B$95*I7)</f>
        <v>0.0112125350527847</v>
      </c>
      <c r="L7" s="18" t="n">
        <f aca="false">K7^2</f>
        <v>0.000125720942309926</v>
      </c>
    </row>
    <row r="8" customFormat="false" ht="15" hidden="false" customHeight="false" outlineLevel="0" collapsed="false">
      <c r="A8" s="19" t="str">
        <f aca="false">Datos!A16</f>
        <v>2007Q4</v>
      </c>
      <c r="B8" s="20" t="n">
        <f aca="false">Datos!F16</f>
        <v>0.092673486299768</v>
      </c>
      <c r="C8" s="20" t="n">
        <f aca="false">Datos!I16</f>
        <v>-0.0513696334944869</v>
      </c>
      <c r="D8" s="20" t="n">
        <f aca="false">Datos!H16</f>
        <v>-28.2266763952893</v>
      </c>
      <c r="E8" s="20" t="n">
        <f aca="false">Datos!H14</f>
        <v>58.1062311827956</v>
      </c>
      <c r="F8" s="20" t="n">
        <f aca="false">Datos!H10</f>
        <v>-40.7013678955453</v>
      </c>
      <c r="G8" s="20" t="n">
        <f aca="false">Datos!J10</f>
        <v>-0.0328640375646361</v>
      </c>
      <c r="H8" s="20" t="n">
        <f aca="false">Datos!K9</f>
        <v>0.0252689346766117</v>
      </c>
      <c r="I8" s="20" t="n">
        <f aca="false">Datos!F15</f>
        <v>0.0842779771268098</v>
      </c>
      <c r="J8" s="18" t="n">
        <v>1</v>
      </c>
      <c r="K8" s="18" t="n">
        <f aca="false">B8-($B$88+$B$89*C8+$B$90*D8+$B$91*E8+$B$92*F8+$B$93*G8+$B$94*H8+$B$95*I8)</f>
        <v>0.0181627624132863</v>
      </c>
      <c r="L8" s="18" t="n">
        <f aca="false">K8^2</f>
        <v>0.000329885938481486</v>
      </c>
    </row>
    <row r="9" customFormat="false" ht="15" hidden="false" customHeight="false" outlineLevel="0" collapsed="false">
      <c r="A9" s="19" t="str">
        <f aca="false">Datos!A17</f>
        <v>2008Q1</v>
      </c>
      <c r="B9" s="20" t="n">
        <f aca="false">Datos!F17</f>
        <v>0.0691231457663233</v>
      </c>
      <c r="C9" s="20" t="n">
        <f aca="false">Datos!I17</f>
        <v>-0.0322053955184198</v>
      </c>
      <c r="D9" s="20" t="n">
        <f aca="false">Datos!H17</f>
        <v>95.3370391327341</v>
      </c>
      <c r="E9" s="20" t="n">
        <f aca="false">Datos!H15</f>
        <v>146.742396825397</v>
      </c>
      <c r="F9" s="20" t="n">
        <f aca="false">Datos!H11</f>
        <v>-14.6685238095238</v>
      </c>
      <c r="G9" s="20" t="n">
        <f aca="false">Datos!J11</f>
        <v>0.0272371314829849</v>
      </c>
      <c r="H9" s="20" t="n">
        <f aca="false">Datos!K10</f>
        <v>0.000733575253602181</v>
      </c>
      <c r="I9" s="20" t="n">
        <f aca="false">Datos!F16</f>
        <v>0.092673486299768</v>
      </c>
      <c r="J9" s="18" t="n">
        <v>1</v>
      </c>
      <c r="K9" s="18" t="n">
        <f aca="false">B9-($B$88+$B$89*C9+$B$90*D9+$B$91*E9+$B$92*F9+$B$93*G9+$B$94*H9+$B$95*I9)</f>
        <v>0.00812721402086779</v>
      </c>
      <c r="L9" s="18" t="n">
        <f aca="false">K9^2</f>
        <v>6.605160774099E-005</v>
      </c>
    </row>
    <row r="10" customFormat="false" ht="15" hidden="false" customHeight="false" outlineLevel="0" collapsed="false">
      <c r="A10" s="19" t="str">
        <f aca="false">Datos!A18</f>
        <v>2008Q2</v>
      </c>
      <c r="B10" s="20" t="n">
        <f aca="false">Datos!F18</f>
        <v>0.0545268547475248</v>
      </c>
      <c r="C10" s="20" t="n">
        <f aca="false">Datos!I18</f>
        <v>-0.0472126174388314</v>
      </c>
      <c r="D10" s="20" t="n">
        <f aca="false">Datos!H18</f>
        <v>74.4147768954915</v>
      </c>
      <c r="E10" s="20" t="n">
        <f aca="false">Datos!H16</f>
        <v>-28.2266763952893</v>
      </c>
      <c r="F10" s="20" t="n">
        <f aca="false">Datos!H12</f>
        <v>-57.3400276497695</v>
      </c>
      <c r="G10" s="20" t="n">
        <f aca="false">Datos!J12</f>
        <v>0.0188405816005308</v>
      </c>
      <c r="H10" s="20" t="n">
        <f aca="false">Datos!K11</f>
        <v>-0.0492636656107994</v>
      </c>
      <c r="I10" s="20" t="n">
        <f aca="false">Datos!F17</f>
        <v>0.0691231457663233</v>
      </c>
      <c r="J10" s="18" t="n">
        <v>1</v>
      </c>
      <c r="K10" s="18" t="n">
        <f aca="false">B10-($B$88+$B$89*C10+$B$90*D10+$B$91*E10+$B$92*F10+$B$93*G10+$B$94*H10+$B$95*I10)</f>
        <v>0.0112586711425226</v>
      </c>
      <c r="L10" s="18" t="n">
        <f aca="false">K10^2</f>
        <v>0.000126757675895471</v>
      </c>
    </row>
    <row r="11" customFormat="false" ht="15" hidden="false" customHeight="false" outlineLevel="0" collapsed="false">
      <c r="A11" s="19" t="str">
        <f aca="false">Datos!A19</f>
        <v>2008Q3</v>
      </c>
      <c r="B11" s="20" t="n">
        <f aca="false">Datos!F19</f>
        <v>0.060060161436698</v>
      </c>
      <c r="C11" s="20" t="n">
        <f aca="false">Datos!I19</f>
        <v>0.0103881918110503</v>
      </c>
      <c r="D11" s="20" t="n">
        <f aca="false">Datos!H19</f>
        <v>140.17396875</v>
      </c>
      <c r="E11" s="20" t="n">
        <f aca="false">Datos!H17</f>
        <v>95.3370391327341</v>
      </c>
      <c r="F11" s="20" t="n">
        <f aca="false">Datos!H13</f>
        <v>-71.4258225806452</v>
      </c>
      <c r="G11" s="20" t="n">
        <f aca="false">Datos!J13</f>
        <v>0.0352994903857049</v>
      </c>
      <c r="H11" s="20" t="n">
        <f aca="false">Datos!K12</f>
        <v>0.0102718216533466</v>
      </c>
      <c r="I11" s="20" t="n">
        <f aca="false">Datos!F18</f>
        <v>0.0545268547475248</v>
      </c>
      <c r="J11" s="18" t="n">
        <v>1</v>
      </c>
      <c r="K11" s="18" t="n">
        <f aca="false">B11-($B$88+$B$89*C11+$B$90*D11+$B$91*E11+$B$92*F11+$B$93*G11+$B$94*H11+$B$95*I11)</f>
        <v>0.0274869377318643</v>
      </c>
      <c r="L11" s="18" t="n">
        <f aca="false">K11^2</f>
        <v>0.000755531745875384</v>
      </c>
    </row>
    <row r="12" customFormat="false" ht="15" hidden="false" customHeight="false" outlineLevel="0" collapsed="false">
      <c r="A12" s="19" t="str">
        <f aca="false">Datos!A20</f>
        <v>2008Q4</v>
      </c>
      <c r="B12" s="20" t="n">
        <f aca="false">Datos!F20</f>
        <v>-0.019789908841391</v>
      </c>
      <c r="C12" s="20" t="n">
        <f aca="false">Datos!I20</f>
        <v>-0.012294190622106</v>
      </c>
      <c r="D12" s="20" t="n">
        <f aca="false">Datos!H20</f>
        <v>999.763070060484</v>
      </c>
      <c r="E12" s="20" t="n">
        <f aca="false">Datos!H18</f>
        <v>74.4147768954915</v>
      </c>
      <c r="F12" s="20" t="n">
        <f aca="false">Datos!H14</f>
        <v>58.1062311827956</v>
      </c>
      <c r="G12" s="20" t="n">
        <f aca="false">Datos!J14</f>
        <v>0.00539921963636064</v>
      </c>
      <c r="H12" s="20" t="n">
        <f aca="false">Datos!K13</f>
        <v>0.0394713580665338</v>
      </c>
      <c r="I12" s="20" t="n">
        <f aca="false">Datos!F19</f>
        <v>0.060060161436698</v>
      </c>
      <c r="J12" s="18" t="n">
        <v>1</v>
      </c>
      <c r="K12" s="18" t="n">
        <f aca="false">B12-($B$88+$B$89*C12+$B$90*D12+$B$91*E12+$B$92*F12+$B$93*G12+$B$94*H12+$B$95*I12)</f>
        <v>-0.0238061294144336</v>
      </c>
      <c r="L12" s="18" t="n">
        <f aca="false">K12^2</f>
        <v>0.00056673179769676</v>
      </c>
    </row>
    <row r="13" customFormat="false" ht="15" hidden="false" customHeight="false" outlineLevel="0" collapsed="false">
      <c r="A13" s="19" t="str">
        <f aca="false">Datos!A21</f>
        <v>2009Q1</v>
      </c>
      <c r="B13" s="20" t="n">
        <f aca="false">Datos!F21</f>
        <v>-0.0618875514402444</v>
      </c>
      <c r="C13" s="20" t="n">
        <f aca="false">Datos!I21</f>
        <v>-0.0506409298873551</v>
      </c>
      <c r="D13" s="20" t="n">
        <f aca="false">Datos!H21</f>
        <v>3.47016790058183</v>
      </c>
      <c r="E13" s="20" t="n">
        <f aca="false">Datos!H19</f>
        <v>140.17396875</v>
      </c>
      <c r="F13" s="20" t="n">
        <f aca="false">Datos!H15</f>
        <v>146.742396825397</v>
      </c>
      <c r="G13" s="20" t="n">
        <f aca="false">Datos!J15</f>
        <v>0.100083014779252</v>
      </c>
      <c r="H13" s="20" t="n">
        <f aca="false">Datos!K14</f>
        <v>-0.0416510073677663</v>
      </c>
      <c r="I13" s="20" t="n">
        <f aca="false">Datos!F20</f>
        <v>-0.019789908841391</v>
      </c>
      <c r="J13" s="18" t="n">
        <v>1</v>
      </c>
      <c r="K13" s="18" t="n">
        <f aca="false">B13-($B$88+$B$89*C13+$B$90*D13+$B$91*E13+$B$92*F13+$B$93*G13+$B$94*H13+$B$95*I13)</f>
        <v>-0.0231380304776474</v>
      </c>
      <c r="L13" s="18" t="n">
        <f aca="false">K13^2</f>
        <v>0.000535368454384541</v>
      </c>
    </row>
    <row r="14" customFormat="false" ht="15" hidden="false" customHeight="false" outlineLevel="0" collapsed="false">
      <c r="A14" s="19" t="str">
        <f aca="false">Datos!A22</f>
        <v>2009Q2</v>
      </c>
      <c r="B14" s="20" t="n">
        <f aca="false">Datos!F22</f>
        <v>-0.112745471526209</v>
      </c>
      <c r="C14" s="20" t="n">
        <f aca="false">Datos!I22</f>
        <v>-0.0270336828188397</v>
      </c>
      <c r="D14" s="20" t="n">
        <f aca="false">Datos!H22</f>
        <v>-244.401219359875</v>
      </c>
      <c r="E14" s="20" t="n">
        <f aca="false">Datos!H20</f>
        <v>999.763070060484</v>
      </c>
      <c r="F14" s="20" t="n">
        <f aca="false">Datos!H16</f>
        <v>-28.2266763952893</v>
      </c>
      <c r="G14" s="20" t="n">
        <f aca="false">Datos!J16</f>
        <v>-0.0807503897728054</v>
      </c>
      <c r="H14" s="20" t="n">
        <f aca="false">Datos!K15</f>
        <v>-0.0183885313531229</v>
      </c>
      <c r="I14" s="20" t="n">
        <f aca="false">Datos!F21</f>
        <v>-0.0618875514402444</v>
      </c>
      <c r="J14" s="18" t="n">
        <v>1</v>
      </c>
      <c r="K14" s="18" t="n">
        <f aca="false">B14-($B$88+$B$89*C14+$B$90*D14+$B$91*E14+$B$92*F14+$B$93*G14+$B$94*H14+$B$95*I14)</f>
        <v>-0.015375574268654</v>
      </c>
      <c r="L14" s="18" t="n">
        <f aca="false">K14^2</f>
        <v>0.000236408284090895</v>
      </c>
    </row>
    <row r="15" customFormat="false" ht="15" hidden="false" customHeight="false" outlineLevel="0" collapsed="false">
      <c r="A15" s="19" t="str">
        <f aca="false">Datos!A23</f>
        <v>2009Q3</v>
      </c>
      <c r="B15" s="20" t="n">
        <f aca="false">Datos!F23</f>
        <v>-0.0565117996405296</v>
      </c>
      <c r="C15" s="20" t="n">
        <f aca="false">Datos!I23</f>
        <v>0.0188952503887881</v>
      </c>
      <c r="D15" s="20" t="n">
        <f aca="false">Datos!H23</f>
        <v>-533.989581101191</v>
      </c>
      <c r="E15" s="20" t="n">
        <f aca="false">Datos!H21</f>
        <v>3.47016790058183</v>
      </c>
      <c r="F15" s="20" t="n">
        <f aca="false">Datos!H17</f>
        <v>95.3370391327341</v>
      </c>
      <c r="G15" s="20" t="n">
        <f aca="false">Datos!J17</f>
        <v>-0.0136163320117733</v>
      </c>
      <c r="H15" s="20" t="n">
        <f aca="false">Datos!K16</f>
        <v>0.126406856244862</v>
      </c>
      <c r="I15" s="20" t="n">
        <f aca="false">Datos!F22</f>
        <v>-0.112745471526209</v>
      </c>
      <c r="J15" s="18" t="n">
        <v>1</v>
      </c>
      <c r="K15" s="18" t="n">
        <f aca="false">B15-($B$88+$B$89*C15+$B$90*D15+$B$91*E15+$B$92*F15+$B$93*G15+$B$94*H15+$B$95*I15)</f>
        <v>-0.0226973771113435</v>
      </c>
      <c r="L15" s="18" t="n">
        <f aca="false">K15^2</f>
        <v>0.000515170927734541</v>
      </c>
    </row>
    <row r="16" customFormat="false" ht="15" hidden="false" customHeight="false" outlineLevel="0" collapsed="false">
      <c r="A16" s="19" t="str">
        <f aca="false">Datos!A24</f>
        <v>2009Q4</v>
      </c>
      <c r="B16" s="20" t="n">
        <f aca="false">Datos!F24</f>
        <v>0.00281998226127467</v>
      </c>
      <c r="C16" s="20" t="n">
        <f aca="false">Datos!I24</f>
        <v>0.0202660816321944</v>
      </c>
      <c r="D16" s="20" t="n">
        <f aca="false">Datos!H24</f>
        <v>-203.745835181452</v>
      </c>
      <c r="E16" s="20" t="n">
        <f aca="false">Datos!H22</f>
        <v>-244.401219359875</v>
      </c>
      <c r="F16" s="20" t="n">
        <f aca="false">Datos!H18</f>
        <v>74.4147768954915</v>
      </c>
      <c r="G16" s="20" t="n">
        <f aca="false">Datos!J18</f>
        <v>0.051677262796743</v>
      </c>
      <c r="H16" s="20" t="n">
        <f aca="false">Datos!K17</f>
        <v>0.0947144557948736</v>
      </c>
      <c r="I16" s="20" t="n">
        <f aca="false">Datos!F23</f>
        <v>-0.0565117996405296</v>
      </c>
      <c r="J16" s="18" t="n">
        <v>1</v>
      </c>
      <c r="K16" s="18" t="n">
        <f aca="false">B16-($B$88+$B$89*C16+$B$90*D16+$B$91*E16+$B$92*F16+$B$93*G16+$B$94*H16+$B$95*I16)</f>
        <v>0.00397193009165241</v>
      </c>
      <c r="L16" s="18" t="n">
        <f aca="false">K16^2</f>
        <v>1.57762286529739E-005</v>
      </c>
    </row>
    <row r="17" customFormat="false" ht="15" hidden="false" customHeight="false" outlineLevel="0" collapsed="false">
      <c r="A17" s="19" t="str">
        <f aca="false">Datos!A25</f>
        <v>2010Q1</v>
      </c>
      <c r="B17" s="20" t="n">
        <f aca="false">Datos!F25</f>
        <v>0.0571326910752132</v>
      </c>
      <c r="C17" s="20" t="n">
        <f aca="false">Datos!I25</f>
        <v>0.0364851445863187</v>
      </c>
      <c r="D17" s="20" t="n">
        <f aca="false">Datos!H25</f>
        <v>15.4416356425168</v>
      </c>
      <c r="E17" s="20" t="n">
        <f aca="false">Datos!H23</f>
        <v>-533.989581101191</v>
      </c>
      <c r="F17" s="20" t="n">
        <f aca="false">Datos!H19</f>
        <v>140.17396875</v>
      </c>
      <c r="G17" s="20" t="n">
        <f aca="false">Datos!J19</f>
        <v>-0.0922660919721236</v>
      </c>
      <c r="H17" s="20" t="n">
        <f aca="false">Datos!K18</f>
        <v>-0.088947266354809</v>
      </c>
      <c r="I17" s="20" t="n">
        <f aca="false">Datos!F24</f>
        <v>0.00281998226127467</v>
      </c>
      <c r="J17" s="18" t="n">
        <v>1</v>
      </c>
      <c r="K17" s="18" t="n">
        <f aca="false">B17-($B$88+$B$89*C17+$B$90*D17+$B$91*E17+$B$92*F17+$B$93*G17+$B$94*H17+$B$95*I17)</f>
        <v>0.0176042002246411</v>
      </c>
      <c r="L17" s="18" t="n">
        <f aca="false">K17^2</f>
        <v>0.000309907865549254</v>
      </c>
    </row>
    <row r="18" customFormat="false" ht="15" hidden="false" customHeight="false" outlineLevel="0" collapsed="false">
      <c r="A18" s="19" t="str">
        <f aca="false">Datos!A26</f>
        <v>2010Q2</v>
      </c>
      <c r="B18" s="20" t="n">
        <f aca="false">Datos!F26</f>
        <v>0.162441995090574</v>
      </c>
      <c r="C18" s="20" t="n">
        <f aca="false">Datos!I26</f>
        <v>0.115499149243793</v>
      </c>
      <c r="D18" s="20" t="n">
        <f aca="false">Datos!H26</f>
        <v>0.464510798855258</v>
      </c>
      <c r="E18" s="20" t="n">
        <f aca="false">Datos!H24</f>
        <v>-203.745835181452</v>
      </c>
      <c r="F18" s="20" t="n">
        <f aca="false">Datos!H20</f>
        <v>999.763070060484</v>
      </c>
      <c r="G18" s="20" t="n">
        <f aca="false">Datos!J20</f>
        <v>0.044032264635168</v>
      </c>
      <c r="H18" s="20" t="n">
        <f aca="false">Datos!K19</f>
        <v>0.0223520724544983</v>
      </c>
      <c r="I18" s="20" t="n">
        <f aca="false">Datos!F25</f>
        <v>0.0571326910752132</v>
      </c>
      <c r="J18" s="18" t="n">
        <v>1</v>
      </c>
      <c r="K18" s="18" t="n">
        <f aca="false">B18-($B$88+$B$89*C18+$B$90*D18+$B$91*E18+$B$92*F18+$B$93*G18+$B$94*H18+$B$95*I18)</f>
        <v>0.0609448756357402</v>
      </c>
      <c r="L18" s="18" t="n">
        <f aca="false">K18^2</f>
        <v>0.00371427786625584</v>
      </c>
    </row>
    <row r="19" customFormat="false" ht="15" hidden="false" customHeight="false" outlineLevel="0" collapsed="false">
      <c r="A19" s="19" t="str">
        <f aca="false">Datos!A27</f>
        <v>2010Q3</v>
      </c>
      <c r="B19" s="20" t="n">
        <f aca="false">Datos!F27</f>
        <v>0.0950774236722809</v>
      </c>
      <c r="C19" s="20" t="n">
        <f aca="false">Datos!I27</f>
        <v>0.0131107735865699</v>
      </c>
      <c r="D19" s="20" t="n">
        <f aca="false">Datos!H27</f>
        <v>-22.7225300099209</v>
      </c>
      <c r="E19" s="20" t="n">
        <f aca="false">Datos!H25</f>
        <v>15.4416356425168</v>
      </c>
      <c r="F19" s="20" t="n">
        <f aca="false">Datos!H21</f>
        <v>3.47016790058183</v>
      </c>
      <c r="G19" s="20" t="n">
        <f aca="false">Datos!J21</f>
        <v>-0.0701582840739423</v>
      </c>
      <c r="H19" s="20" t="n">
        <f aca="false">Datos!K20</f>
        <v>-0.181715050328396</v>
      </c>
      <c r="I19" s="20" t="n">
        <f aca="false">Datos!F26</f>
        <v>0.162441995090574</v>
      </c>
      <c r="J19" s="18" t="n">
        <v>1</v>
      </c>
      <c r="K19" s="18" t="n">
        <f aca="false">B19-($B$88+$B$89*C19+$B$90*D19+$B$91*E19+$B$92*F19+$B$93*G19+$B$94*H19+$B$95*I19)</f>
        <v>-0.0189549091799627</v>
      </c>
      <c r="L19" s="18" t="n">
        <f aca="false">K19^2</f>
        <v>0.000359288582020633</v>
      </c>
    </row>
    <row r="20" customFormat="false" ht="15" hidden="false" customHeight="false" outlineLevel="0" collapsed="false">
      <c r="A20" s="19" t="str">
        <f aca="false">Datos!A28</f>
        <v>2010Q4</v>
      </c>
      <c r="B20" s="20" t="n">
        <f aca="false">Datos!F28</f>
        <v>0.0860979311042298</v>
      </c>
      <c r="C20" s="20" t="n">
        <f aca="false">Datos!I28</f>
        <v>0.0312470107223477</v>
      </c>
      <c r="D20" s="20" t="n">
        <f aca="false">Datos!H28</f>
        <v>-165.748584173387</v>
      </c>
      <c r="E20" s="20" t="n">
        <f aca="false">Datos!H26</f>
        <v>0.464510798855258</v>
      </c>
      <c r="F20" s="20" t="n">
        <f aca="false">Datos!H22</f>
        <v>-244.401219359875</v>
      </c>
      <c r="G20" s="20" t="n">
        <f aca="false">Datos!J22</f>
        <v>0.054123533141051</v>
      </c>
      <c r="H20" s="20" t="n">
        <f aca="false">Datos!K21</f>
        <v>-0.10171645872716</v>
      </c>
      <c r="I20" s="20" t="n">
        <f aca="false">Datos!F27</f>
        <v>0.0950774236722809</v>
      </c>
      <c r="J20" s="18" t="n">
        <v>1</v>
      </c>
      <c r="K20" s="18" t="n">
        <f aca="false">B20-($B$88+$B$89*C20+$B$90*D20+$B$91*E20+$B$92*F20+$B$93*G20+$B$94*H20+$B$95*I20)</f>
        <v>0.0234599101195893</v>
      </c>
      <c r="L20" s="18" t="n">
        <f aca="false">K20^2</f>
        <v>0.00055036738281921</v>
      </c>
    </row>
    <row r="21" customFormat="false" ht="15" hidden="false" customHeight="false" outlineLevel="0" collapsed="false">
      <c r="A21" s="19" t="str">
        <f aca="false">Datos!A29</f>
        <v>2011Q1</v>
      </c>
      <c r="B21" s="20" t="n">
        <f aca="false">Datos!F29</f>
        <v>0.0829261625044686</v>
      </c>
      <c r="C21" s="20" t="n">
        <f aca="false">Datos!I29</f>
        <v>0.0422766191537938</v>
      </c>
      <c r="D21" s="20" t="n">
        <f aca="false">Datos!H29</f>
        <v>-12.9487096774192</v>
      </c>
      <c r="E21" s="20" t="n">
        <f aca="false">Datos!H27</f>
        <v>-22.7225300099209</v>
      </c>
      <c r="F21" s="20" t="n">
        <f aca="false">Datos!H23</f>
        <v>-533.989581101191</v>
      </c>
      <c r="G21" s="20" t="n">
        <f aca="false">Datos!J23</f>
        <v>-0.0490698977401611</v>
      </c>
      <c r="H21" s="20" t="n">
        <f aca="false">Datos!K22</f>
        <v>0.129643513362584</v>
      </c>
      <c r="I21" s="20" t="n">
        <f aca="false">Datos!F28</f>
        <v>0.0860979311042298</v>
      </c>
      <c r="J21" s="18" t="n">
        <v>1</v>
      </c>
      <c r="K21" s="18" t="n">
        <f aca="false">B21-($B$88+$B$89*C21+$B$90*D21+$B$91*E21+$B$92*F21+$B$93*G21+$B$94*H21+$B$95*I21)</f>
        <v>-0.0102741136052611</v>
      </c>
      <c r="L21" s="18" t="n">
        <f aca="false">K21^2</f>
        <v>0.000105557410373811</v>
      </c>
    </row>
    <row r="22" customFormat="false" ht="15" hidden="false" customHeight="false" outlineLevel="0" collapsed="false">
      <c r="A22" s="19" t="str">
        <f aca="false">Datos!A30</f>
        <v>2011Q2</v>
      </c>
      <c r="B22" s="20" t="n">
        <f aca="false">Datos!F30</f>
        <v>0.0444334376577356</v>
      </c>
      <c r="C22" s="20" t="n">
        <f aca="false">Datos!I30</f>
        <v>-0.0386592979395697</v>
      </c>
      <c r="D22" s="20" t="n">
        <f aca="false">Datos!H30</f>
        <v>41.5229032258063</v>
      </c>
      <c r="E22" s="20" t="n">
        <f aca="false">Datos!H28</f>
        <v>-165.748584173387</v>
      </c>
      <c r="F22" s="20" t="n">
        <f aca="false">Datos!H24</f>
        <v>-203.745835181452</v>
      </c>
      <c r="G22" s="20" t="n">
        <f aca="false">Datos!J24</f>
        <v>0.0211877049597919</v>
      </c>
      <c r="H22" s="20" t="n">
        <f aca="false">Datos!K23</f>
        <v>0.0271664532119418</v>
      </c>
      <c r="I22" s="20" t="n">
        <f aca="false">Datos!F29</f>
        <v>0.0829261625044686</v>
      </c>
      <c r="J22" s="18" t="n">
        <v>1</v>
      </c>
      <c r="K22" s="18" t="n">
        <f aca="false">B22-($B$88+$B$89*C22+$B$90*D22+$B$91*E22+$B$92*F22+$B$93*G22+$B$94*H22+$B$95*I22)</f>
        <v>-0.0308256194740207</v>
      </c>
      <c r="L22" s="18" t="n">
        <f aca="false">K22^2</f>
        <v>0.000950218815957122</v>
      </c>
    </row>
    <row r="23" customFormat="false" ht="15" hidden="false" customHeight="false" outlineLevel="0" collapsed="false">
      <c r="A23" s="19" t="str">
        <f aca="false">Datos!A31</f>
        <v>2011Q3</v>
      </c>
      <c r="B23" s="20" t="n">
        <f aca="false">Datos!F31</f>
        <v>0.0640936718081673</v>
      </c>
      <c r="C23" s="20" t="n">
        <f aca="false">Datos!I31</f>
        <v>0.0068203401084819</v>
      </c>
      <c r="D23" s="20" t="n">
        <f aca="false">Datos!H31</f>
        <v>158.444625</v>
      </c>
      <c r="E23" s="20" t="n">
        <f aca="false">Datos!H29</f>
        <v>-12.9487096774192</v>
      </c>
      <c r="F23" s="20" t="n">
        <f aca="false">Datos!H25</f>
        <v>15.4416356425168</v>
      </c>
      <c r="G23" s="20" t="n">
        <f aca="false">Datos!J25</f>
        <v>0.0221868916706847</v>
      </c>
      <c r="H23" s="20" t="n">
        <f aca="false">Datos!K24</f>
        <v>0.081172316441758</v>
      </c>
      <c r="I23" s="20" t="n">
        <f aca="false">Datos!F30</f>
        <v>0.0444334376577356</v>
      </c>
      <c r="J23" s="18" t="n">
        <v>1</v>
      </c>
      <c r="K23" s="18" t="n">
        <f aca="false">B23-($B$88+$B$89*C23+$B$90*D23+$B$91*E23+$B$92*F23+$B$93*G23+$B$94*H23+$B$95*I23)</f>
        <v>0.0174390842013807</v>
      </c>
      <c r="L23" s="18" t="n">
        <f aca="false">K23^2</f>
        <v>0.000304121657782848</v>
      </c>
    </row>
    <row r="24" customFormat="false" ht="15" hidden="false" customHeight="false" outlineLevel="0" collapsed="false">
      <c r="A24" s="19" t="str">
        <f aca="false">Datos!A32</f>
        <v>2011Q4</v>
      </c>
      <c r="B24" s="20" t="n">
        <f aca="false">Datos!F32</f>
        <v>0.0521713189216535</v>
      </c>
      <c r="C24" s="20" t="n">
        <f aca="false">Datos!I32</f>
        <v>-0.0270244482852387</v>
      </c>
      <c r="D24" s="20" t="n">
        <f aca="false">Datos!H32</f>
        <v>174.585041666667</v>
      </c>
      <c r="E24" s="20" t="n">
        <f aca="false">Datos!H30</f>
        <v>41.5229032258063</v>
      </c>
      <c r="F24" s="20" t="n">
        <f aca="false">Datos!H26</f>
        <v>0.464510798855258</v>
      </c>
      <c r="G24" s="20" t="n">
        <f aca="false">Datos!J26</f>
        <v>-0.0447960728624985</v>
      </c>
      <c r="H24" s="20" t="n">
        <f aca="false">Datos!K25</f>
        <v>0.00367116102547781</v>
      </c>
      <c r="I24" s="20" t="n">
        <f aca="false">Datos!F31</f>
        <v>0.0640936718081673</v>
      </c>
      <c r="J24" s="18" t="n">
        <v>1</v>
      </c>
      <c r="K24" s="18" t="n">
        <f aca="false">B24-($B$88+$B$89*C24+$B$90*D24+$B$91*E24+$B$92*F24+$B$93*G24+$B$94*H24+$B$95*I24)</f>
        <v>0.003746539269007</v>
      </c>
      <c r="L24" s="18" t="n">
        <f aca="false">K24^2</f>
        <v>1.40365564942115E-005</v>
      </c>
    </row>
    <row r="25" customFormat="false" ht="15" hidden="false" customHeight="false" outlineLevel="0" collapsed="false">
      <c r="A25" s="19" t="str">
        <f aca="false">Datos!A33</f>
        <v>2012Q1</v>
      </c>
      <c r="B25" s="20" t="n">
        <f aca="false">Datos!F33</f>
        <v>0.0156424693190642</v>
      </c>
      <c r="C25" s="20" t="n">
        <f aca="false">Datos!I33</f>
        <v>-0.0290398188694472</v>
      </c>
      <c r="D25" s="20" t="n">
        <f aca="false">Datos!H33</f>
        <v>-75.1010327956988</v>
      </c>
      <c r="E25" s="20" t="n">
        <f aca="false">Datos!H31</f>
        <v>158.444625</v>
      </c>
      <c r="F25" s="20" t="n">
        <f aca="false">Datos!H27</f>
        <v>-22.7225300099209</v>
      </c>
      <c r="G25" s="20" t="n">
        <f aca="false">Datos!J27</f>
        <v>0.0629084391155807</v>
      </c>
      <c r="H25" s="20" t="n">
        <f aca="false">Datos!K26</f>
        <v>-0.134873174066432</v>
      </c>
      <c r="I25" s="20" t="n">
        <f aca="false">Datos!F32</f>
        <v>0.0521713189216535</v>
      </c>
      <c r="J25" s="18" t="n">
        <v>1</v>
      </c>
      <c r="K25" s="18" t="n">
        <f aca="false">B25-($B$88+$B$89*C25+$B$90*D25+$B$91*E25+$B$92*F25+$B$93*G25+$B$94*H25+$B$95*I25)</f>
        <v>0.00827230014675878</v>
      </c>
      <c r="L25" s="18" t="n">
        <f aca="false">K25^2</f>
        <v>6.84309497180653E-005</v>
      </c>
    </row>
    <row r="26" customFormat="false" ht="15" hidden="false" customHeight="false" outlineLevel="0" collapsed="false">
      <c r="A26" s="19" t="str">
        <f aca="false">Datos!A34</f>
        <v>2012Q2</v>
      </c>
      <c r="B26" s="20" t="n">
        <f aca="false">Datos!F34</f>
        <v>-0.0463175722342237</v>
      </c>
      <c r="C26" s="20" t="n">
        <f aca="false">Datos!I34</f>
        <v>-0.026110493572689</v>
      </c>
      <c r="D26" s="20" t="n">
        <f aca="false">Datos!H34</f>
        <v>231.838685176651</v>
      </c>
      <c r="E26" s="20" t="n">
        <f aca="false">Datos!H32</f>
        <v>174.585041666667</v>
      </c>
      <c r="F26" s="20" t="n">
        <f aca="false">Datos!H28</f>
        <v>-165.748584173387</v>
      </c>
      <c r="G26" s="20" t="n">
        <f aca="false">Datos!J28</f>
        <v>0.0406890191956908</v>
      </c>
      <c r="H26" s="20" t="n">
        <f aca="false">Datos!K27</f>
        <v>0.00395895744112517</v>
      </c>
      <c r="I26" s="20" t="n">
        <f aca="false">Datos!F33</f>
        <v>0.0156424693190642</v>
      </c>
      <c r="J26" s="18" t="n">
        <v>1</v>
      </c>
      <c r="K26" s="18" t="n">
        <f aca="false">B26-($B$88+$B$89*C26+$B$90*D26+$B$91*E26+$B$92*F26+$B$93*G26+$B$94*H26+$B$95*I26)</f>
        <v>-0.0296364276051608</v>
      </c>
      <c r="L26" s="18" t="n">
        <f aca="false">K26^2</f>
        <v>0.000878317841195938</v>
      </c>
    </row>
    <row r="27" customFormat="false" ht="15" hidden="false" customHeight="false" outlineLevel="0" collapsed="false">
      <c r="A27" s="19" t="str">
        <f aca="false">Datos!A35</f>
        <v>2012Q3</v>
      </c>
      <c r="B27" s="20" t="n">
        <f aca="false">Datos!F35</f>
        <v>-0.0111829419552486</v>
      </c>
      <c r="C27" s="20" t="n">
        <f aca="false">Datos!I35</f>
        <v>0.0386172859864582</v>
      </c>
      <c r="D27" s="20" t="n">
        <f aca="false">Datos!H35</f>
        <v>-43.7133031746029</v>
      </c>
      <c r="E27" s="20" t="n">
        <f aca="false">Datos!H33</f>
        <v>-75.1010327956988</v>
      </c>
      <c r="F27" s="20" t="n">
        <f aca="false">Datos!H29</f>
        <v>-12.9487096774192</v>
      </c>
      <c r="G27" s="20" t="n">
        <f aca="false">Datos!J29</f>
        <v>-0.0741697784354101</v>
      </c>
      <c r="H27" s="20" t="n">
        <f aca="false">Datos!K28</f>
        <v>0.05803748575736</v>
      </c>
      <c r="I27" s="20" t="n">
        <f aca="false">Datos!F34</f>
        <v>-0.0463175722342237</v>
      </c>
      <c r="J27" s="18" t="n">
        <v>1</v>
      </c>
      <c r="K27" s="18" t="n">
        <f aca="false">B27-($B$88+$B$89*C27+$B$90*D27+$B$91*E27+$B$92*F27+$B$93*G27+$B$94*H27+$B$95*I27)</f>
        <v>-0.00388082051825131</v>
      </c>
      <c r="L27" s="18" t="n">
        <f aca="false">K27^2</f>
        <v>1.50607678948803E-005</v>
      </c>
    </row>
    <row r="28" customFormat="false" ht="15" hidden="false" customHeight="false" outlineLevel="0" collapsed="false">
      <c r="A28" s="19" t="str">
        <f aca="false">Datos!A36</f>
        <v>2012Q4</v>
      </c>
      <c r="B28" s="20" t="n">
        <f aca="false">Datos!F36</f>
        <v>0.00555804016441552</v>
      </c>
      <c r="C28" s="20" t="n">
        <f aca="false">Datos!I36</f>
        <v>0.0395024208900321</v>
      </c>
      <c r="D28" s="20" t="n">
        <f aca="false">Datos!H36</f>
        <v>16.4557341269839</v>
      </c>
      <c r="E28" s="20" t="n">
        <f aca="false">Datos!H34</f>
        <v>231.838685176651</v>
      </c>
      <c r="F28" s="20" t="n">
        <f aca="false">Datos!H30</f>
        <v>41.5229032258063</v>
      </c>
      <c r="G28" s="20" t="n">
        <f aca="false">Datos!J30</f>
        <v>0.0370188748562493</v>
      </c>
      <c r="H28" s="20" t="n">
        <f aca="false">Datos!K29</f>
        <v>0.0369403748928518</v>
      </c>
      <c r="I28" s="20" t="n">
        <f aca="false">Datos!F35</f>
        <v>-0.0111829419552486</v>
      </c>
      <c r="J28" s="18" t="n">
        <v>1</v>
      </c>
      <c r="K28" s="18" t="n">
        <f aca="false">B28-($B$88+$B$89*C28+$B$90*D28+$B$91*E28+$B$92*F28+$B$93*G28+$B$94*H28+$B$95*I28)</f>
        <v>0.0198677090695707</v>
      </c>
      <c r="L28" s="18" t="n">
        <f aca="false">K28^2</f>
        <v>0.000394725863673103</v>
      </c>
    </row>
    <row r="29" customFormat="false" ht="15" hidden="false" customHeight="false" outlineLevel="0" collapsed="false">
      <c r="A29" s="19" t="str">
        <f aca="false">Datos!A37</f>
        <v>2013Q1</v>
      </c>
      <c r="B29" s="20" t="n">
        <f aca="false">Datos!F37</f>
        <v>0.00654025144614989</v>
      </c>
      <c r="C29" s="20" t="n">
        <f aca="false">Datos!I37</f>
        <v>-0.0136126649327899</v>
      </c>
      <c r="D29" s="20" t="n">
        <f aca="false">Datos!H37</f>
        <v>88.9247333333331</v>
      </c>
      <c r="E29" s="20" t="n">
        <f aca="false">Datos!H35</f>
        <v>-43.7133031746029</v>
      </c>
      <c r="F29" s="20" t="n">
        <f aca="false">Datos!H31</f>
        <v>158.444625</v>
      </c>
      <c r="G29" s="20" t="n">
        <f aca="false">Datos!J31</f>
        <v>0.0367630898891084</v>
      </c>
      <c r="H29" s="20" t="n">
        <f aca="false">Datos!K30</f>
        <v>0.0675225331288068</v>
      </c>
      <c r="I29" s="20" t="n">
        <f aca="false">Datos!F36</f>
        <v>0.00555804016441552</v>
      </c>
      <c r="J29" s="18" t="n">
        <v>1</v>
      </c>
      <c r="K29" s="18" t="n">
        <f aca="false">B29-($B$88+$B$89*C29+$B$90*D29+$B$91*E29+$B$92*F29+$B$93*G29+$B$94*H29+$B$95*I29)</f>
        <v>-0.0122366962566863</v>
      </c>
      <c r="L29" s="18" t="n">
        <f aca="false">K29^2</f>
        <v>0.000149736735278402</v>
      </c>
    </row>
    <row r="30" customFormat="false" ht="15" hidden="false" customHeight="false" outlineLevel="0" collapsed="false">
      <c r="A30" s="19" t="str">
        <f aca="false">Datos!A38</f>
        <v>2013Q2</v>
      </c>
      <c r="B30" s="20" t="n">
        <f aca="false">Datos!F38</f>
        <v>0.0624602349363816</v>
      </c>
      <c r="C30" s="20" t="n">
        <f aca="false">Datos!I38</f>
        <v>0.000905918240426698</v>
      </c>
      <c r="D30" s="20" t="n">
        <f aca="false">Datos!H38</f>
        <v>74.8855166666669</v>
      </c>
      <c r="E30" s="20" t="n">
        <f aca="false">Datos!H36</f>
        <v>16.4557341269839</v>
      </c>
      <c r="F30" s="20" t="n">
        <f aca="false">Datos!H32</f>
        <v>174.585041666667</v>
      </c>
      <c r="G30" s="20" t="n">
        <f aca="false">Datos!J32</f>
        <v>-0.135501479583027</v>
      </c>
      <c r="H30" s="20" t="n">
        <f aca="false">Datos!K31</f>
        <v>-0.0288618479552661</v>
      </c>
      <c r="I30" s="20" t="n">
        <f aca="false">Datos!F37</f>
        <v>0.00654025144614989</v>
      </c>
      <c r="J30" s="18" t="n">
        <v>1</v>
      </c>
      <c r="K30" s="18" t="n">
        <f aca="false">B30-($B$88+$B$89*C30+$B$90*D30+$B$91*E30+$B$92*F30+$B$93*G30+$B$94*H30+$B$95*I30)</f>
        <v>0.0447749336525014</v>
      </c>
      <c r="L30" s="18" t="n">
        <f aca="false">K30^2</f>
        <v>0.0020047946835859</v>
      </c>
    </row>
    <row r="31" customFormat="false" ht="15" hidden="false" customHeight="false" outlineLevel="0" collapsed="false">
      <c r="A31" s="19" t="str">
        <f aca="false">Datos!A39</f>
        <v>2013Q3</v>
      </c>
      <c r="B31" s="20" t="n">
        <f aca="false">Datos!F39</f>
        <v>0.0255838987402566</v>
      </c>
      <c r="C31" s="20" t="n">
        <f aca="false">Datos!I39</f>
        <v>-0.0669208551958795</v>
      </c>
      <c r="D31" s="20" t="n">
        <f aca="false">Datos!H39</f>
        <v>-109.725953125</v>
      </c>
      <c r="E31" s="20" t="n">
        <f aca="false">Datos!H37</f>
        <v>88.9247333333331</v>
      </c>
      <c r="F31" s="20" t="n">
        <f aca="false">Datos!H33</f>
        <v>-75.1010327956988</v>
      </c>
      <c r="G31" s="20" t="n">
        <f aca="false">Datos!J33</f>
        <v>0.0927807464043467</v>
      </c>
      <c r="H31" s="20" t="n">
        <f aca="false">Datos!K32</f>
        <v>-0.0632996042190603</v>
      </c>
      <c r="I31" s="20" t="n">
        <f aca="false">Datos!F38</f>
        <v>0.0624602349363816</v>
      </c>
      <c r="J31" s="18" t="n">
        <v>1</v>
      </c>
      <c r="K31" s="18" t="n">
        <f aca="false">B31-($B$88+$B$89*C31+$B$90*D31+$B$91*E31+$B$92*F31+$B$93*G31+$B$94*H31+$B$95*I31)</f>
        <v>-0.00237736330217742</v>
      </c>
      <c r="L31" s="18" t="n">
        <f aca="false">K31^2</f>
        <v>5.65185627053992E-006</v>
      </c>
    </row>
    <row r="32" customFormat="false" ht="15" hidden="false" customHeight="false" outlineLevel="0" collapsed="false">
      <c r="A32" s="19" t="str">
        <f aca="false">Datos!A40</f>
        <v>2013Q4</v>
      </c>
      <c r="B32" s="20" t="n">
        <f aca="false">Datos!F40</f>
        <v>-0.000510205754616022</v>
      </c>
      <c r="C32" s="20" t="n">
        <f aca="false">Datos!I40</f>
        <v>-0.0573108864708702</v>
      </c>
      <c r="D32" s="20" t="n">
        <f aca="false">Datos!H40</f>
        <v>-236.474292776639</v>
      </c>
      <c r="E32" s="20" t="n">
        <f aca="false">Datos!H38</f>
        <v>74.8855166666669</v>
      </c>
      <c r="F32" s="20" t="n">
        <f aca="false">Datos!H34</f>
        <v>231.838685176651</v>
      </c>
      <c r="G32" s="20" t="n">
        <f aca="false">Datos!J34</f>
        <v>-0.0400600353414598</v>
      </c>
      <c r="H32" s="20" t="n">
        <f aca="false">Datos!K33</f>
        <v>-0.0212380852307825</v>
      </c>
      <c r="I32" s="20" t="n">
        <f aca="false">Datos!F39</f>
        <v>0.0255838987402566</v>
      </c>
      <c r="J32" s="18" t="n">
        <v>1</v>
      </c>
      <c r="K32" s="18" t="n">
        <f aca="false">B32-($B$88+$B$89*C32+$B$90*D32+$B$91*E32+$B$92*F32+$B$93*G32+$B$94*H32+$B$95*I32)</f>
        <v>-0.0359122001507646</v>
      </c>
      <c r="L32" s="18" t="n">
        <f aca="false">K32^2</f>
        <v>0.00128968611966857</v>
      </c>
    </row>
    <row r="33" customFormat="false" ht="15" hidden="false" customHeight="false" outlineLevel="0" collapsed="false">
      <c r="A33" s="19" t="str">
        <f aca="false">Datos!A41</f>
        <v>2014Q1</v>
      </c>
      <c r="B33" s="20" t="n">
        <f aca="false">Datos!F41</f>
        <v>-0.00889028383967849</v>
      </c>
      <c r="C33" s="20" t="n">
        <f aca="false">Datos!I41</f>
        <v>-0.0958800124314026</v>
      </c>
      <c r="D33" s="20" t="n">
        <f aca="false">Datos!H41</f>
        <v>71.9946229508196</v>
      </c>
      <c r="E33" s="20" t="n">
        <f aca="false">Datos!H39</f>
        <v>-109.725953125</v>
      </c>
      <c r="F33" s="20" t="n">
        <f aca="false">Datos!H35</f>
        <v>-43.7133031746029</v>
      </c>
      <c r="G33" s="20" t="n">
        <f aca="false">Datos!J35</f>
        <v>-0.067078079606848</v>
      </c>
      <c r="H33" s="20" t="n">
        <f aca="false">Datos!K34</f>
        <v>-0.0420035680408851</v>
      </c>
      <c r="I33" s="20" t="n">
        <f aca="false">Datos!F40</f>
        <v>-0.000510205754616022</v>
      </c>
      <c r="J33" s="18" t="n">
        <v>1</v>
      </c>
      <c r="K33" s="18" t="n">
        <f aca="false">B33-($B$88+$B$89*C33+$B$90*D33+$B$91*E33+$B$92*F33+$B$93*G33+$B$94*H33+$B$95*I33)</f>
        <v>-0.00650465910079276</v>
      </c>
      <c r="L33" s="18" t="n">
        <f aca="false">K33^2</f>
        <v>4.2310590017526E-005</v>
      </c>
    </row>
    <row r="34" customFormat="false" ht="15" hidden="false" customHeight="false" outlineLevel="0" collapsed="false">
      <c r="A34" s="19" t="str">
        <f aca="false">Datos!A42</f>
        <v>2014Q2</v>
      </c>
      <c r="B34" s="20" t="n">
        <f aca="false">Datos!F42</f>
        <v>-0.0204893869308982</v>
      </c>
      <c r="C34" s="20" t="n">
        <f aca="false">Datos!I42</f>
        <v>-0.0333671304691989</v>
      </c>
      <c r="D34" s="20" t="n">
        <f aca="false">Datos!H42</f>
        <v>-143.202551652355</v>
      </c>
      <c r="E34" s="20" t="n">
        <f aca="false">Datos!H40</f>
        <v>-236.474292776639</v>
      </c>
      <c r="F34" s="20" t="n">
        <f aca="false">Datos!H36</f>
        <v>16.4557341269839</v>
      </c>
      <c r="G34" s="20" t="n">
        <f aca="false">Datos!J36</f>
        <v>0.0542645345476518</v>
      </c>
      <c r="H34" s="20" t="n">
        <f aca="false">Datos!K35</f>
        <v>0.079458812069766</v>
      </c>
      <c r="I34" s="20" t="n">
        <f aca="false">Datos!F41</f>
        <v>-0.00889028383967849</v>
      </c>
      <c r="J34" s="18" t="n">
        <v>1</v>
      </c>
      <c r="K34" s="18" t="n">
        <f aca="false">B34-($B$88+$B$89*C34+$B$90*D34+$B$91*E34+$B$92*F34+$B$93*G34+$B$94*H34+$B$95*I34)</f>
        <v>-0.0466814271799084</v>
      </c>
      <c r="L34" s="18" t="n">
        <f aca="false">K34^2</f>
        <v>0.00217915564355309</v>
      </c>
    </row>
    <row r="35" customFormat="false" ht="15" hidden="false" customHeight="false" outlineLevel="0" collapsed="false">
      <c r="A35" s="19" t="str">
        <f aca="false">Datos!A43</f>
        <v>2014Q3</v>
      </c>
      <c r="B35" s="20" t="n">
        <f aca="false">Datos!F43</f>
        <v>-0.0423851505475772</v>
      </c>
      <c r="C35" s="20" t="n">
        <f aca="false">Datos!I43</f>
        <v>-0.00270570265133011</v>
      </c>
      <c r="D35" s="20" t="n">
        <f aca="false">Datos!H43</f>
        <v>-73.5206691468252</v>
      </c>
      <c r="E35" s="20" t="n">
        <f aca="false">Datos!H41</f>
        <v>71.9946229508196</v>
      </c>
      <c r="F35" s="20" t="n">
        <f aca="false">Datos!H37</f>
        <v>88.9247333333331</v>
      </c>
      <c r="G35" s="20" t="n">
        <f aca="false">Datos!J37</f>
        <v>-0.0125683284799909</v>
      </c>
      <c r="H35" s="20" t="n">
        <f aca="false">Datos!K36</f>
        <v>-0.0215673319846723</v>
      </c>
      <c r="I35" s="20" t="n">
        <f aca="false">Datos!F42</f>
        <v>-0.0204893869308982</v>
      </c>
      <c r="J35" s="18" t="n">
        <v>1</v>
      </c>
      <c r="K35" s="18" t="n">
        <f aca="false">B35-($B$88+$B$89*C35+$B$90*D35+$B$91*E35+$B$92*F35+$B$93*G35+$B$94*H35+$B$95*I35)</f>
        <v>-0.0280825563337122</v>
      </c>
      <c r="L35" s="18" t="n">
        <f aca="false">K35^2</f>
        <v>0.000788629970236118</v>
      </c>
    </row>
    <row r="36" customFormat="false" ht="15" hidden="false" customHeight="false" outlineLevel="0" collapsed="false">
      <c r="A36" s="19" t="str">
        <f aca="false">Datos!A44</f>
        <v>2014Q4</v>
      </c>
      <c r="B36" s="20" t="n">
        <f aca="false">Datos!F44</f>
        <v>-0.0281573013880524</v>
      </c>
      <c r="C36" s="20" t="n">
        <f aca="false">Datos!I44</f>
        <v>0.0206592277311123</v>
      </c>
      <c r="D36" s="20" t="n">
        <f aca="false">Datos!H44</f>
        <v>21.0197781762296</v>
      </c>
      <c r="E36" s="20" t="n">
        <f aca="false">Datos!H42</f>
        <v>-143.202551652355</v>
      </c>
      <c r="F36" s="20" t="n">
        <f aca="false">Datos!H38</f>
        <v>74.8855166666669</v>
      </c>
      <c r="G36" s="20" t="n">
        <f aca="false">Datos!J38</f>
        <v>0.0292871541298152</v>
      </c>
      <c r="H36" s="20" t="n">
        <f aca="false">Datos!K37</f>
        <v>-0.0867445085368881</v>
      </c>
      <c r="I36" s="20" t="n">
        <f aca="false">Datos!F43</f>
        <v>-0.0423851505475772</v>
      </c>
      <c r="J36" s="18" t="n">
        <v>1</v>
      </c>
      <c r="K36" s="18" t="n">
        <f aca="false">B36-($B$88+$B$89*C36+$B$90*D36+$B$91*E36+$B$92*F36+$B$93*G36+$B$94*H36+$B$95*I36)</f>
        <v>0.0101316843261984</v>
      </c>
      <c r="L36" s="18" t="n">
        <f aca="false">K36^2</f>
        <v>0.000102651027285734</v>
      </c>
    </row>
    <row r="37" customFormat="false" ht="15" hidden="false" customHeight="false" outlineLevel="0" collapsed="false">
      <c r="A37" s="19" t="str">
        <f aca="false">Datos!A45</f>
        <v>2015Q1</v>
      </c>
      <c r="B37" s="20" t="n">
        <f aca="false">Datos!F45</f>
        <v>0.00250908947797246</v>
      </c>
      <c r="C37" s="20" t="n">
        <f aca="false">Datos!I45</f>
        <v>0.12737234338906</v>
      </c>
      <c r="D37" s="20" t="n">
        <f aca="false">Datos!H45</f>
        <v>-63.2494918032786</v>
      </c>
      <c r="E37" s="20" t="n">
        <f aca="false">Datos!H43</f>
        <v>-73.5206691468252</v>
      </c>
      <c r="F37" s="20" t="n">
        <f aca="false">Datos!H39</f>
        <v>-109.725953125</v>
      </c>
      <c r="G37" s="20" t="n">
        <f aca="false">Datos!J39</f>
        <v>0.0770487894176897</v>
      </c>
      <c r="H37" s="20" t="n">
        <f aca="false">Datos!K38</f>
        <v>0.0123174371873954</v>
      </c>
      <c r="I37" s="20" t="n">
        <f aca="false">Datos!F44</f>
        <v>-0.0281573013880524</v>
      </c>
      <c r="J37" s="18" t="n">
        <v>1</v>
      </c>
      <c r="K37" s="18" t="n">
        <f aca="false">B37-($B$88+$B$89*C37+$B$90*D37+$B$91*E37+$B$92*F37+$B$93*G37+$B$94*H37+$B$95*I37)</f>
        <v>0.0136779986274695</v>
      </c>
      <c r="L37" s="18" t="n">
        <f aca="false">K37^2</f>
        <v>0.000187087646453057</v>
      </c>
    </row>
    <row r="38" customFormat="false" ht="15" hidden="false" customHeight="false" outlineLevel="0" collapsed="false">
      <c r="A38" s="19" t="str">
        <f aca="false">Datos!A46</f>
        <v>2015Q2</v>
      </c>
      <c r="B38" s="20" t="n">
        <f aca="false">Datos!F46</f>
        <v>0.0403103203233863</v>
      </c>
      <c r="C38" s="20" t="n">
        <f aca="false">Datos!I46</f>
        <v>0.079305358514979</v>
      </c>
      <c r="D38" s="20" t="n">
        <f aca="false">Datos!H46</f>
        <v>-69.448288776797</v>
      </c>
      <c r="E38" s="20" t="n">
        <f aca="false">Datos!H44</f>
        <v>21.0197781762296</v>
      </c>
      <c r="F38" s="20" t="n">
        <f aca="false">Datos!H40</f>
        <v>-236.474292776639</v>
      </c>
      <c r="G38" s="20" t="n">
        <f aca="false">Datos!J40</f>
        <v>-0.031577165647831</v>
      </c>
      <c r="H38" s="20" t="n">
        <f aca="false">Datos!K39</f>
        <v>-0.0661301293821577</v>
      </c>
      <c r="I38" s="20" t="n">
        <f aca="false">Datos!F45</f>
        <v>0.00250908947797246</v>
      </c>
      <c r="J38" s="18" t="n">
        <v>1</v>
      </c>
      <c r="K38" s="18" t="n">
        <f aca="false">B38-($B$88+$B$89*C38+$B$90*D38+$B$91*E38+$B$92*F38+$B$93*G38+$B$94*H38+$B$95*I38)</f>
        <v>0.0422825076736788</v>
      </c>
      <c r="L38" s="18" t="n">
        <f aca="false">K38^2</f>
        <v>0.00178781045517471</v>
      </c>
    </row>
    <row r="39" customFormat="false" ht="15" hidden="false" customHeight="false" outlineLevel="0" collapsed="false">
      <c r="A39" s="19" t="str">
        <f aca="false">Datos!A47</f>
        <v>2015Q3</v>
      </c>
      <c r="B39" s="20" t="n">
        <f aca="false">Datos!F47</f>
        <v>0.0396616998607275</v>
      </c>
      <c r="C39" s="20" t="n">
        <f aca="false">Datos!I47</f>
        <v>-0.0219317664243788</v>
      </c>
      <c r="D39" s="20" t="n">
        <f aca="false">Datos!H47</f>
        <v>-12.3885780885781</v>
      </c>
      <c r="E39" s="20" t="n">
        <f aca="false">Datos!H45</f>
        <v>-63.2494918032786</v>
      </c>
      <c r="F39" s="20" t="n">
        <f aca="false">Datos!H41</f>
        <v>71.9946229508196</v>
      </c>
      <c r="G39" s="20" t="n">
        <f aca="false">Datos!J41</f>
        <v>0.0530334992950312</v>
      </c>
      <c r="H39" s="20" t="n">
        <f aca="false">Datos!K40</f>
        <v>-0.0319000966767005</v>
      </c>
      <c r="I39" s="20" t="n">
        <f aca="false">Datos!F46</f>
        <v>0.0403103203233863</v>
      </c>
      <c r="J39" s="18" t="n">
        <v>1</v>
      </c>
      <c r="K39" s="18" t="n">
        <f aca="false">B39-($B$88+$B$89*C39+$B$90*D39+$B$91*E39+$B$92*F39+$B$93*G39+$B$94*H39+$B$95*I39)</f>
        <v>0.00821192293381092</v>
      </c>
      <c r="L39" s="18" t="n">
        <f aca="false">K39^2</f>
        <v>6.74356782708498E-005</v>
      </c>
    </row>
    <row r="40" customFormat="false" ht="15" hidden="false" customHeight="false" outlineLevel="0" collapsed="false">
      <c r="A40" s="19" t="str">
        <f aca="false">Datos!A48</f>
        <v>2015Q4</v>
      </c>
      <c r="B40" s="20" t="n">
        <f aca="false">Datos!F48</f>
        <v>0.0247270091543546</v>
      </c>
      <c r="C40" s="20" t="n">
        <f aca="false">Datos!I48</f>
        <v>0.00284689976009123</v>
      </c>
      <c r="D40" s="20" t="n">
        <f aca="false">Datos!H48</f>
        <v>-78.2729603729604</v>
      </c>
      <c r="E40" s="20" t="n">
        <f aca="false">Datos!H46</f>
        <v>-69.448288776797</v>
      </c>
      <c r="F40" s="20" t="n">
        <f aca="false">Datos!H42</f>
        <v>-143.202551652355</v>
      </c>
      <c r="G40" s="20" t="n">
        <f aca="false">Datos!J42</f>
        <v>0.067920751391922</v>
      </c>
      <c r="H40" s="20" t="n">
        <f aca="false">Datos!K41</f>
        <v>0.0671200742533991</v>
      </c>
      <c r="I40" s="20" t="n">
        <f aca="false">Datos!F47</f>
        <v>0.0396616998607275</v>
      </c>
      <c r="J40" s="18" t="n">
        <v>1</v>
      </c>
      <c r="K40" s="18" t="n">
        <f aca="false">B40-($B$88+$B$89*C40+$B$90*D40+$B$91*E40+$B$92*F40+$B$93*G40+$B$94*H40+$B$95*I40)</f>
        <v>-0.0219487794413254</v>
      </c>
      <c r="L40" s="18" t="n">
        <f aca="false">K40^2</f>
        <v>0.00048174891896395</v>
      </c>
    </row>
    <row r="41" customFormat="false" ht="15" hidden="false" customHeight="false" outlineLevel="0" collapsed="false">
      <c r="A41" s="19" t="str">
        <f aca="false">Datos!A49</f>
        <v>2016Q1</v>
      </c>
      <c r="B41" s="20" t="n">
        <f aca="false">Datos!F49</f>
        <v>0.00728692545281007</v>
      </c>
      <c r="C41" s="20" t="n">
        <f aca="false">Datos!I49</f>
        <v>-0.114795786877596</v>
      </c>
      <c r="D41" s="20" t="n">
        <f aca="false">Datos!H49</f>
        <v>-38.2862026862027</v>
      </c>
      <c r="E41" s="20" t="n">
        <f aca="false">Datos!H47</f>
        <v>-12.3885780885781</v>
      </c>
      <c r="F41" s="20" t="n">
        <f aca="false">Datos!H43</f>
        <v>-73.5206691468252</v>
      </c>
      <c r="G41" s="20" t="n">
        <f aca="false">Datos!J43</f>
        <v>-0.0382165552288544</v>
      </c>
      <c r="H41" s="20" t="n">
        <f aca="false">Datos!K42</f>
        <v>0.0831122793228319</v>
      </c>
      <c r="I41" s="20" t="n">
        <f aca="false">Datos!F48</f>
        <v>0.0247270091543546</v>
      </c>
      <c r="J41" s="18" t="n">
        <v>1</v>
      </c>
      <c r="K41" s="18" t="n">
        <f aca="false">B41-($B$88+$B$89*C41+$B$90*D41+$B$91*E41+$B$92*F41+$B$93*G41+$B$94*H41+$B$95*I41)</f>
        <v>-0.0283478426993079</v>
      </c>
      <c r="L41" s="18" t="n">
        <f aca="false">K41^2</f>
        <v>0.000803600185704702</v>
      </c>
    </row>
    <row r="42" customFormat="false" ht="15" hidden="false" customHeight="false" outlineLevel="0" collapsed="false">
      <c r="A42" s="19" t="str">
        <f aca="false">Datos!A50</f>
        <v>2016Q2</v>
      </c>
      <c r="B42" s="20" t="n">
        <f aca="false">Datos!F50</f>
        <v>-0.0385885964740134</v>
      </c>
      <c r="C42" s="20" t="n">
        <f aca="false">Datos!I50</f>
        <v>-0.0963649166129051</v>
      </c>
      <c r="D42" s="20" t="n">
        <f aca="false">Datos!H50</f>
        <v>-20.156746031746</v>
      </c>
      <c r="E42" s="20" t="n">
        <f aca="false">Datos!H48</f>
        <v>-78.2729603729604</v>
      </c>
      <c r="F42" s="20" t="n">
        <f aca="false">Datos!H44</f>
        <v>21.0197781762296</v>
      </c>
      <c r="G42" s="20" t="n">
        <f aca="false">Datos!J44</f>
        <v>-0.0169003162690849</v>
      </c>
      <c r="H42" s="20" t="n">
        <f aca="false">Datos!K43</f>
        <v>-0.0497386703925971</v>
      </c>
      <c r="I42" s="20" t="n">
        <f aca="false">Datos!F49</f>
        <v>0.00728692545281007</v>
      </c>
      <c r="J42" s="18" t="n">
        <v>1</v>
      </c>
      <c r="K42" s="18" t="n">
        <f aca="false">B42-($B$88+$B$89*C42+$B$90*D42+$B$91*E42+$B$92*F42+$B$93*G42+$B$94*H42+$B$95*I42)</f>
        <v>-0.0409234903823766</v>
      </c>
      <c r="L42" s="18" t="n">
        <f aca="false">K42^2</f>
        <v>0.00167473206507647</v>
      </c>
    </row>
    <row r="43" customFormat="false" ht="15" hidden="false" customHeight="false" outlineLevel="0" collapsed="false">
      <c r="A43" s="19" t="str">
        <f aca="false">Datos!A51</f>
        <v>2016Q3</v>
      </c>
      <c r="B43" s="20" t="n">
        <f aca="false">Datos!F51</f>
        <v>-0.0332721885187776</v>
      </c>
      <c r="C43" s="20" t="n">
        <f aca="false">Datos!I51</f>
        <v>0.0125883030332315</v>
      </c>
      <c r="D43" s="20" t="n">
        <f aca="false">Datos!H51</f>
        <v>51.5281007751937</v>
      </c>
      <c r="E43" s="20" t="n">
        <f aca="false">Datos!H49</f>
        <v>-38.2862026862027</v>
      </c>
      <c r="F43" s="20" t="n">
        <f aca="false">Datos!H45</f>
        <v>-63.2494918032786</v>
      </c>
      <c r="G43" s="20" t="n">
        <f aca="false">Datos!J45</f>
        <v>-0.0227808354678118</v>
      </c>
      <c r="H43" s="20" t="n">
        <f aca="false">Datos!K44</f>
        <v>-0.0545195466572687</v>
      </c>
      <c r="I43" s="20" t="n">
        <f aca="false">Datos!F50</f>
        <v>-0.0385885964740134</v>
      </c>
      <c r="J43" s="18" t="n">
        <v>1</v>
      </c>
      <c r="K43" s="18" t="n">
        <f aca="false">B43-($B$88+$B$89*C43+$B$90*D43+$B$91*E43+$B$92*F43+$B$93*G43+$B$94*H43+$B$95*I43)</f>
        <v>0.00380891372221392</v>
      </c>
      <c r="L43" s="18" t="n">
        <f aca="false">K43^2</f>
        <v>1.45078237432695E-005</v>
      </c>
    </row>
    <row r="44" customFormat="false" ht="15" hidden="false" customHeight="false" outlineLevel="0" collapsed="false">
      <c r="A44" s="19" t="str">
        <f aca="false">Datos!A52</f>
        <v>2016Q4</v>
      </c>
      <c r="B44" s="20" t="n">
        <f aca="false">Datos!F52</f>
        <v>-0.0149328839288507</v>
      </c>
      <c r="C44" s="20" t="n">
        <f aca="false">Datos!I52</f>
        <v>0.0215081148240396</v>
      </c>
      <c r="D44" s="20" t="n">
        <f aca="false">Datos!H52</f>
        <v>-26.5005366726296</v>
      </c>
      <c r="E44" s="20" t="n">
        <f aca="false">Datos!H50</f>
        <v>-20.156746031746</v>
      </c>
      <c r="F44" s="20" t="n">
        <f aca="false">Datos!H46</f>
        <v>-69.448288776797</v>
      </c>
      <c r="G44" s="20" t="n">
        <f aca="false">Datos!J46</f>
        <v>-0.00580415466024192</v>
      </c>
      <c r="H44" s="20" t="n">
        <f aca="false">Datos!K45</f>
        <v>0.0452568848055677</v>
      </c>
      <c r="I44" s="20" t="n">
        <f aca="false">Datos!F51</f>
        <v>-0.0332721885187776</v>
      </c>
      <c r="J44" s="18" t="n">
        <v>1</v>
      </c>
      <c r="K44" s="18" t="n">
        <f aca="false">B44-($B$88+$B$89*C44+$B$90*D44+$B$91*E44+$B$92*F44+$B$93*G44+$B$94*H44+$B$95*I44)</f>
        <v>-0.00201481512918944</v>
      </c>
      <c r="L44" s="18" t="n">
        <f aca="false">K44^2</f>
        <v>4.05948000481065E-006</v>
      </c>
    </row>
    <row r="45" customFormat="false" ht="15" hidden="false" customHeight="false" outlineLevel="0" collapsed="false">
      <c r="A45" s="19" t="str">
        <f aca="false">Datos!A53</f>
        <v>2017Q1</v>
      </c>
      <c r="B45" s="20" t="n">
        <f aca="false">Datos!F53</f>
        <v>0.00559679082443165</v>
      </c>
      <c r="C45" s="20" t="n">
        <f aca="false">Datos!I53</f>
        <v>0.0929246843768103</v>
      </c>
      <c r="D45" s="20" t="n">
        <f aca="false">Datos!H53</f>
        <v>-15.9076923076924</v>
      </c>
      <c r="E45" s="20" t="n">
        <f aca="false">Datos!H51</f>
        <v>51.5281007751937</v>
      </c>
      <c r="F45" s="20" t="n">
        <f aca="false">Datos!H47</f>
        <v>-12.3885780885781</v>
      </c>
      <c r="G45" s="20" t="n">
        <f aca="false">Datos!J47</f>
        <v>-0.0725670071793785</v>
      </c>
      <c r="H45" s="20" t="n">
        <f aca="false">Datos!K46</f>
        <v>-0.0840598834733707</v>
      </c>
      <c r="I45" s="20" t="n">
        <f aca="false">Datos!F52</f>
        <v>-0.0149328839288507</v>
      </c>
      <c r="J45" s="18" t="n">
        <v>1</v>
      </c>
      <c r="K45" s="18" t="n">
        <f aca="false">B45-($B$88+$B$89*C45+$B$90*D45+$B$91*E45+$B$92*F45+$B$93*G45+$B$94*H45+$B$95*I45)</f>
        <v>0.0184541782423253</v>
      </c>
      <c r="L45" s="18" t="n">
        <f aca="false">K45^2</f>
        <v>0.000340556694599513</v>
      </c>
    </row>
    <row r="46" customFormat="false" ht="15" hidden="false" customHeight="false" outlineLevel="0" collapsed="false">
      <c r="A46" s="19" t="str">
        <f aca="false">Datos!A54</f>
        <v>2017Q2</v>
      </c>
      <c r="B46" s="20" t="n">
        <f aca="false">Datos!F54</f>
        <v>0.0232658340767662</v>
      </c>
      <c r="C46" s="20" t="n">
        <f aca="false">Datos!I54</f>
        <v>0.0763750387701306</v>
      </c>
      <c r="D46" s="20" t="n">
        <f aca="false">Datos!H54</f>
        <v>-40.3959134615384</v>
      </c>
      <c r="E46" s="20" t="n">
        <f aca="false">Datos!H52</f>
        <v>-26.5005366726296</v>
      </c>
      <c r="F46" s="20" t="n">
        <f aca="false">Datos!H48</f>
        <v>-78.2729603729604</v>
      </c>
      <c r="G46" s="20" t="n">
        <f aca="false">Datos!J48</f>
        <v>-0.0214726951640203</v>
      </c>
      <c r="H46" s="20" t="n">
        <f aca="false">Datos!K47</f>
        <v>0.0549125616583312</v>
      </c>
      <c r="I46" s="20" t="n">
        <f aca="false">Datos!F53</f>
        <v>0.00559679082443165</v>
      </c>
      <c r="J46" s="18" t="n">
        <v>1</v>
      </c>
      <c r="K46" s="18" t="n">
        <f aca="false">B46-($B$88+$B$89*C46+$B$90*D46+$B$91*E46+$B$92*F46+$B$93*G46+$B$94*H46+$B$95*I46)</f>
        <v>-0.00421203832218841</v>
      </c>
      <c r="L46" s="18" t="n">
        <f aca="false">K46^2</f>
        <v>1.77412668275837E-005</v>
      </c>
    </row>
    <row r="47" customFormat="false" ht="15" hidden="false" customHeight="false" outlineLevel="0" collapsed="false">
      <c r="A47" s="19" t="str">
        <f aca="false">Datos!A55</f>
        <v>2017Q3</v>
      </c>
      <c r="B47" s="20" t="n">
        <f aca="false">Datos!F55</f>
        <v>0.0385060856362685</v>
      </c>
      <c r="C47" s="20" t="n">
        <f aca="false">Datos!I55</f>
        <v>-0.0381479768126187</v>
      </c>
      <c r="D47" s="20" t="n">
        <f aca="false">Datos!H55</f>
        <v>0.498765624999805</v>
      </c>
      <c r="E47" s="20" t="n">
        <f aca="false">Datos!H53</f>
        <v>-15.9076923076924</v>
      </c>
      <c r="F47" s="20" t="n">
        <f aca="false">Datos!H49</f>
        <v>-38.2862026862027</v>
      </c>
      <c r="G47" s="20" t="n">
        <f aca="false">Datos!J49</f>
        <v>-0.013556503122827</v>
      </c>
      <c r="H47" s="20" t="n">
        <f aca="false">Datos!K48</f>
        <v>0.0929604971038175</v>
      </c>
      <c r="I47" s="20" t="n">
        <f aca="false">Datos!F54</f>
        <v>0.0232658340767662</v>
      </c>
      <c r="J47" s="18" t="n">
        <v>1</v>
      </c>
      <c r="K47" s="18" t="n">
        <f aca="false">B47-($B$88+$B$89*C47+$B$90*D47+$B$91*E47+$B$92*F47+$B$93*G47+$B$94*H47+$B$95*I47)</f>
        <v>6.53307137331721E-005</v>
      </c>
      <c r="L47" s="18" t="n">
        <f aca="false">K47^2</f>
        <v>4.26810215688568E-009</v>
      </c>
    </row>
    <row r="48" customFormat="false" ht="15" hidden="false" customHeight="false" outlineLevel="0" collapsed="false">
      <c r="A48" s="19" t="str">
        <f aca="false">Datos!A56</f>
        <v>2017Q4</v>
      </c>
      <c r="B48" s="20" t="n">
        <f aca="false">Datos!F56</f>
        <v>0.0453268482640472</v>
      </c>
      <c r="C48" s="20" t="n">
        <f aca="false">Datos!I56</f>
        <v>-0.00847913753638218</v>
      </c>
      <c r="D48" s="20" t="n">
        <f aca="false">Datos!H56</f>
        <v>-54.5718281249997</v>
      </c>
      <c r="E48" s="20" t="n">
        <f aca="false">Datos!H54</f>
        <v>-40.3959134615384</v>
      </c>
      <c r="F48" s="20" t="n">
        <f aca="false">Datos!H50</f>
        <v>-20.156746031746</v>
      </c>
      <c r="G48" s="20" t="n">
        <f aca="false">Datos!J50</f>
        <v>-0.0260787645308853</v>
      </c>
      <c r="H48" s="20" t="n">
        <f aca="false">Datos!K49</f>
        <v>-0.0501806657673727</v>
      </c>
      <c r="I48" s="20" t="n">
        <f aca="false">Datos!F55</f>
        <v>0.0385060856362685</v>
      </c>
      <c r="J48" s="18" t="n">
        <v>1</v>
      </c>
      <c r="K48" s="18" t="n">
        <f aca="false">B48-($B$88+$B$89*C48+$B$90*D48+$B$91*E48+$B$92*F48+$B$93*G48+$B$94*H48+$B$95*I48)</f>
        <v>0.0117987664109709</v>
      </c>
      <c r="L48" s="18" t="n">
        <f aca="false">K48^2</f>
        <v>0.000139210888820656</v>
      </c>
    </row>
    <row r="49" customFormat="false" ht="15" hidden="false" customHeight="false" outlineLevel="0" collapsed="false">
      <c r="A49" s="19" t="str">
        <f aca="false">Datos!A57</f>
        <v>2018Q1</v>
      </c>
      <c r="B49" s="20" t="n">
        <f aca="false">Datos!F57</f>
        <v>0.0379774021814201</v>
      </c>
      <c r="C49" s="20" t="n">
        <f aca="false">Datos!I57</f>
        <v>0.015677961339587</v>
      </c>
      <c r="D49" s="20" t="n">
        <f aca="false">Datos!H57</f>
        <v>28.5320987903223</v>
      </c>
      <c r="E49" s="20" t="n">
        <f aca="false">Datos!H55</f>
        <v>0.498765624999805</v>
      </c>
      <c r="F49" s="20" t="n">
        <f aca="false">Datos!H51</f>
        <v>51.5281007751937</v>
      </c>
      <c r="G49" s="20" t="n">
        <f aca="false">Datos!J51</f>
        <v>0.0942185203778218</v>
      </c>
      <c r="H49" s="20" t="n">
        <f aca="false">Datos!K50</f>
        <v>0.114909941997091</v>
      </c>
      <c r="I49" s="20" t="n">
        <f aca="false">Datos!F56</f>
        <v>0.0453268482640472</v>
      </c>
      <c r="J49" s="18" t="n">
        <v>1</v>
      </c>
      <c r="K49" s="18" t="n">
        <f aca="false">B49-($B$88+$B$89*C49+$B$90*D49+$B$91*E49+$B$92*F49+$B$93*G49+$B$94*H49+$B$95*I49)</f>
        <v>-0.0159574026456395</v>
      </c>
      <c r="L49" s="18" t="n">
        <f aca="false">K49^2</f>
        <v>0.000254638699195063</v>
      </c>
    </row>
    <row r="50" customFormat="false" ht="15" hidden="false" customHeight="false" outlineLevel="0" collapsed="false">
      <c r="A50" s="19" t="str">
        <f aca="false">Datos!A58</f>
        <v>2018Q2</v>
      </c>
      <c r="B50" s="20" t="n">
        <f aca="false">Datos!F58</f>
        <v>-0.039790994073943</v>
      </c>
      <c r="C50" s="20" t="n">
        <f aca="false">Datos!I58</f>
        <v>-0.0742810049049096</v>
      </c>
      <c r="D50" s="20" t="n">
        <f aca="false">Datos!H58</f>
        <v>77.2218156327545</v>
      </c>
      <c r="E50" s="20" t="n">
        <f aca="false">Datos!H56</f>
        <v>-54.5718281249997</v>
      </c>
      <c r="F50" s="20" t="n">
        <f aca="false">Datos!H52</f>
        <v>-26.5005366726296</v>
      </c>
      <c r="G50" s="20" t="n">
        <f aca="false">Datos!J52</f>
        <v>0.241810567395166</v>
      </c>
      <c r="H50" s="20" t="n">
        <f aca="false">Datos!K51</f>
        <v>0.0078308829818691</v>
      </c>
      <c r="I50" s="20" t="n">
        <f aca="false">Datos!F57</f>
        <v>0.0379774021814201</v>
      </c>
      <c r="J50" s="18" t="n">
        <v>1</v>
      </c>
      <c r="K50" s="18" t="n">
        <f aca="false">B50-($B$88+$B$89*C50+$B$90*D50+$B$91*E50+$B$92*F50+$B$93*G50+$B$94*H50+$B$95*I50)</f>
        <v>-0.0458000716568099</v>
      </c>
      <c r="L50" s="18" t="n">
        <f aca="false">K50^2</f>
        <v>0.00209764656376892</v>
      </c>
    </row>
    <row r="51" customFormat="false" ht="15" hidden="false" customHeight="false" outlineLevel="0" collapsed="false">
      <c r="A51" s="19" t="str">
        <f aca="false">Datos!A59</f>
        <v>2018Q3</v>
      </c>
      <c r="B51" s="20" t="n">
        <f aca="false">Datos!F59</f>
        <v>-0.0346944038739507</v>
      </c>
      <c r="C51" s="20" t="n">
        <f aca="false">Datos!I59</f>
        <v>0.0297586266112664</v>
      </c>
      <c r="D51" s="20" t="n">
        <f aca="false">Datos!H59</f>
        <v>166.169284270953</v>
      </c>
      <c r="E51" s="20" t="n">
        <f aca="false">Datos!H57</f>
        <v>28.5320987903223</v>
      </c>
      <c r="F51" s="20" t="n">
        <f aca="false">Datos!H53</f>
        <v>-15.9076923076924</v>
      </c>
      <c r="G51" s="20" t="n">
        <f aca="false">Datos!J53</f>
        <v>-0.24283692228193</v>
      </c>
      <c r="H51" s="20" t="n">
        <f aca="false">Datos!K52</f>
        <v>-0.0600242033998368</v>
      </c>
      <c r="I51" s="20" t="n">
        <f aca="false">Datos!F58</f>
        <v>-0.039790994073943</v>
      </c>
      <c r="J51" s="18" t="n">
        <v>1</v>
      </c>
      <c r="K51" s="18" t="n">
        <f aca="false">B51-($B$88+$B$89*C51+$B$90*D51+$B$91*E51+$B$92*F51+$B$93*G51+$B$94*H51+$B$95*I51)</f>
        <v>-0.00988279611515996</v>
      </c>
      <c r="L51" s="18" t="n">
        <f aca="false">K51^2</f>
        <v>9.76696590538207E-005</v>
      </c>
    </row>
    <row r="52" customFormat="false" ht="15" hidden="false" customHeight="false" outlineLevel="0" collapsed="false">
      <c r="A52" s="19" t="str">
        <f aca="false">Datos!A60</f>
        <v>2018Q4</v>
      </c>
      <c r="B52" s="20" t="n">
        <f aca="false">Datos!F60</f>
        <v>-0.0633973916700751</v>
      </c>
      <c r="C52" s="20" t="n">
        <f aca="false">Datos!I60</f>
        <v>-0.0501462610157425</v>
      </c>
      <c r="D52" s="20" t="n">
        <f aca="false">Datos!H60</f>
        <v>56.51817630597</v>
      </c>
      <c r="E52" s="20" t="n">
        <f aca="false">Datos!H58</f>
        <v>77.2218156327545</v>
      </c>
      <c r="F52" s="20" t="n">
        <f aca="false">Datos!H54</f>
        <v>-40.3959134615384</v>
      </c>
      <c r="G52" s="20" t="n">
        <f aca="false">Datos!J54</f>
        <v>-0.0647458372468179</v>
      </c>
      <c r="H52" s="20" t="n">
        <f aca="false">Datos!K53</f>
        <v>-0.035749043779608</v>
      </c>
      <c r="I52" s="20" t="n">
        <f aca="false">Datos!F59</f>
        <v>-0.0346944038739507</v>
      </c>
      <c r="J52" s="18" t="n">
        <v>1</v>
      </c>
      <c r="K52" s="18" t="n">
        <f aca="false">B52-($B$88+$B$89*C52+$B$90*D52+$B$91*E52+$B$92*F52+$B$93*G52+$B$94*H52+$B$95*I52)</f>
        <v>-0.0256248714839197</v>
      </c>
      <c r="L52" s="18" t="n">
        <f aca="false">K52^2</f>
        <v>0.0006566340385674</v>
      </c>
    </row>
    <row r="53" customFormat="false" ht="15" hidden="false" customHeight="false" outlineLevel="0" collapsed="false">
      <c r="A53" s="19" t="str">
        <f aca="false">Datos!A61</f>
        <v>2019Q1</v>
      </c>
      <c r="B53" s="20" t="n">
        <f aca="false">Datos!F61</f>
        <v>-0.0586372539873753</v>
      </c>
      <c r="C53" s="20" t="n">
        <f aca="false">Datos!I61</f>
        <v>-0.0500271266876492</v>
      </c>
      <c r="D53" s="20" t="n">
        <f aca="false">Datos!H61</f>
        <v>19.2017013888889</v>
      </c>
      <c r="E53" s="20" t="n">
        <f aca="false">Datos!H59</f>
        <v>166.169284270953</v>
      </c>
      <c r="F53" s="20" t="n">
        <f aca="false">Datos!H55</f>
        <v>0.498765624999805</v>
      </c>
      <c r="G53" s="20" t="n">
        <f aca="false">Datos!J55</f>
        <v>-0.0931139816863711</v>
      </c>
      <c r="H53" s="20" t="n">
        <f aca="false">Datos!K54</f>
        <v>-0.0598239352005628</v>
      </c>
      <c r="I53" s="20" t="n">
        <f aca="false">Datos!F60</f>
        <v>-0.0633973916700751</v>
      </c>
      <c r="J53" s="18" t="n">
        <v>1</v>
      </c>
      <c r="K53" s="18" t="n">
        <f aca="false">B53-($B$88+$B$89*C53+$B$90*D53+$B$91*E53+$B$92*F53+$B$93*G53+$B$94*H53+$B$95*I53)</f>
        <v>0.00709095926075445</v>
      </c>
      <c r="L53" s="18" t="n">
        <f aca="false">K53^2</f>
        <v>5.02817032376794E-005</v>
      </c>
    </row>
    <row r="54" customFormat="false" ht="15" hidden="false" customHeight="false" outlineLevel="0" collapsed="false">
      <c r="A54" s="19" t="str">
        <f aca="false">Datos!A62</f>
        <v>2019Q2</v>
      </c>
      <c r="B54" s="20" t="n">
        <f aca="false">Datos!F62</f>
        <v>0.00582819893603537</v>
      </c>
      <c r="C54" s="20" t="n">
        <f aca="false">Datos!I62</f>
        <v>0.000114296886335796</v>
      </c>
      <c r="D54" s="20" t="n">
        <f aca="false">Datos!H62</f>
        <v>162.790259661836</v>
      </c>
      <c r="E54" s="20" t="n">
        <f aca="false">Datos!H60</f>
        <v>56.51817630597</v>
      </c>
      <c r="F54" s="20" t="n">
        <f aca="false">Datos!H56</f>
        <v>-54.5718281249997</v>
      </c>
      <c r="G54" s="20" t="n">
        <f aca="false">Datos!J56</f>
        <v>-0.0800850350667679</v>
      </c>
      <c r="H54" s="20" t="n">
        <f aca="false">Datos!K55</f>
        <v>-0.0336017376367385</v>
      </c>
      <c r="I54" s="20" t="n">
        <f aca="false">Datos!F61</f>
        <v>-0.0586372539873753</v>
      </c>
      <c r="J54" s="18" t="n">
        <v>1</v>
      </c>
      <c r="K54" s="18" t="n">
        <f aca="false">B54-($B$88+$B$89*C54+$B$90*D54+$B$91*E54+$B$92*F54+$B$93*G54+$B$94*H54+$B$95*I54)</f>
        <v>0.0626255528510363</v>
      </c>
      <c r="L54" s="18" t="n">
        <f aca="false">K54^2</f>
        <v>0.00392195986989794</v>
      </c>
    </row>
    <row r="55" customFormat="false" ht="15" hidden="false" customHeight="false" outlineLevel="0" collapsed="false">
      <c r="A55" s="19" t="str">
        <f aca="false">Datos!A63</f>
        <v>2019Q3</v>
      </c>
      <c r="B55" s="20" t="n">
        <f aca="false">Datos!F63</f>
        <v>-0.0175271616356651</v>
      </c>
      <c r="C55" s="20" t="n">
        <f aca="false">Datos!I63</f>
        <v>-0.0239132057868301</v>
      </c>
      <c r="D55" s="20" t="n">
        <f aca="false">Datos!H63</f>
        <v>679.618686815129</v>
      </c>
      <c r="E55" s="20" t="n">
        <f aca="false">Datos!H61</f>
        <v>19.2017013888889</v>
      </c>
      <c r="F55" s="20" t="n">
        <f aca="false">Datos!H57</f>
        <v>28.5320987903223</v>
      </c>
      <c r="G55" s="20" t="n">
        <f aca="false">Datos!J57</f>
        <v>0.072575912604689</v>
      </c>
      <c r="H55" s="20" t="n">
        <f aca="false">Datos!K56</f>
        <v>0.0834781752199751</v>
      </c>
      <c r="I55" s="20" t="n">
        <f aca="false">Datos!F62</f>
        <v>0.00582819893603537</v>
      </c>
      <c r="J55" s="18" t="n">
        <v>1</v>
      </c>
      <c r="K55" s="18" t="n">
        <f aca="false">B55-($B$88+$B$89*C55+$B$90*D55+$B$91*E55+$B$92*F55+$B$93*G55+$B$94*H55+$B$95*I55)</f>
        <v>0.00363774294075226</v>
      </c>
      <c r="L55" s="18" t="n">
        <f aca="false">K55^2</f>
        <v>1.32331737029929E-005</v>
      </c>
    </row>
    <row r="56" customFormat="false" ht="15" hidden="false" customHeight="false" outlineLevel="0" collapsed="false">
      <c r="A56" s="19" t="str">
        <f aca="false">Datos!A64</f>
        <v>2019Q4</v>
      </c>
      <c r="B56" s="20" t="n">
        <f aca="false">Datos!F64</f>
        <v>-0.0107484273951806</v>
      </c>
      <c r="C56" s="20" t="n">
        <f aca="false">Datos!I64</f>
        <v>-0.0444370543348369</v>
      </c>
      <c r="D56" s="20" t="n">
        <f aca="false">Datos!H64</f>
        <v>598.881251590669</v>
      </c>
      <c r="E56" s="20" t="n">
        <f aca="false">Datos!H62</f>
        <v>162.790259661836</v>
      </c>
      <c r="F56" s="20" t="n">
        <f aca="false">Datos!H58</f>
        <v>77.2218156327545</v>
      </c>
      <c r="G56" s="20" t="n">
        <f aca="false">Datos!J58</f>
        <v>0.016146963656916</v>
      </c>
      <c r="H56" s="20" t="n">
        <f aca="false">Datos!K57</f>
        <v>0.0156446596022237</v>
      </c>
      <c r="I56" s="20" t="n">
        <f aca="false">Datos!F63</f>
        <v>-0.0175271616356651</v>
      </c>
      <c r="J56" s="18" t="n">
        <v>1</v>
      </c>
      <c r="K56" s="18" t="n">
        <f aca="false">B56-($B$88+$B$89*C56+$B$90*D56+$B$91*E56+$B$92*F56+$B$93*G56+$B$94*H56+$B$95*I56)</f>
        <v>0.0415528232133876</v>
      </c>
      <c r="L56" s="18" t="n">
        <f aca="false">K56^2</f>
        <v>0.00172663711700304</v>
      </c>
    </row>
    <row r="57" customFormat="false" ht="15" hidden="false" customHeight="false" outlineLevel="0" collapsed="false">
      <c r="A57" s="19" t="str">
        <f aca="false">Datos!A65</f>
        <v>2020Q1</v>
      </c>
      <c r="B57" s="20" t="n">
        <f aca="false">Datos!F65</f>
        <v>-0.0502506965865937</v>
      </c>
      <c r="C57" s="20" t="n">
        <f aca="false">Datos!I65</f>
        <v>0.114946009672505</v>
      </c>
      <c r="D57" s="20" t="n">
        <f aca="false">Datos!H65</f>
        <v>187.118199188056</v>
      </c>
      <c r="E57" s="20" t="n">
        <f aca="false">Datos!H63</f>
        <v>679.618686815129</v>
      </c>
      <c r="F57" s="20" t="n">
        <f aca="false">Datos!H59</f>
        <v>166.169284270953</v>
      </c>
      <c r="G57" s="20" t="n">
        <f aca="false">Datos!J59</f>
        <v>0.0202539754709583</v>
      </c>
      <c r="H57" s="20" t="n">
        <f aca="false">Datos!K58</f>
        <v>0.0616247472334126</v>
      </c>
      <c r="I57" s="20" t="n">
        <f aca="false">Datos!F64</f>
        <v>-0.0107484273951806</v>
      </c>
      <c r="J57" s="18" t="n">
        <v>1</v>
      </c>
      <c r="K57" s="18" t="n">
        <f aca="false">B57-($B$88+$B$89*C57+$B$90*D57+$B$91*E57+$B$92*F57+$B$93*G57+$B$94*H57+$B$95*I57)</f>
        <v>-0.0136775386827014</v>
      </c>
      <c r="L57" s="18" t="n">
        <f aca="false">K57^2</f>
        <v>0.000187075064416794</v>
      </c>
    </row>
    <row r="58" customFormat="false" ht="15" hidden="false" customHeight="false" outlineLevel="0" collapsed="false">
      <c r="A58" s="19" t="str">
        <f aca="false">Datos!A66</f>
        <v>2020Q2</v>
      </c>
      <c r="B58" s="20" t="n">
        <f aca="false">Datos!F66</f>
        <v>-0.189421940385846</v>
      </c>
      <c r="C58" s="20" t="n">
        <f aca="false">Datos!I66</f>
        <v>0.262181063646304</v>
      </c>
      <c r="D58" s="20" t="n">
        <f aca="false">Datos!H66</f>
        <v>756.86685274431</v>
      </c>
      <c r="E58" s="20" t="n">
        <f aca="false">Datos!H64</f>
        <v>598.881251590669</v>
      </c>
      <c r="F58" s="20" t="n">
        <f aca="false">Datos!H60</f>
        <v>56.51817630597</v>
      </c>
      <c r="G58" s="20" t="n">
        <f aca="false">Datos!J60</f>
        <v>0.0511719688039525</v>
      </c>
      <c r="H58" s="20" t="n">
        <f aca="false">Datos!K59</f>
        <v>-0.0680385631508205</v>
      </c>
      <c r="I58" s="20" t="n">
        <f aca="false">Datos!F65</f>
        <v>-0.0502506965865937</v>
      </c>
      <c r="J58" s="18" t="n">
        <v>1</v>
      </c>
      <c r="K58" s="18" t="n">
        <f aca="false">B58-($B$88+$B$89*C58+$B$90*D58+$B$91*E58+$B$92*F58+$B$93*G58+$B$94*H58+$B$95*I58)</f>
        <v>-0.0761606898163227</v>
      </c>
      <c r="L58" s="18" t="n">
        <f aca="false">K58^2</f>
        <v>0.00580045067329812</v>
      </c>
    </row>
    <row r="59" customFormat="false" ht="15" hidden="false" customHeight="false" outlineLevel="0" collapsed="false">
      <c r="A59" s="19" t="str">
        <f aca="false">Datos!A67</f>
        <v>2020Q3</v>
      </c>
      <c r="B59" s="20" t="n">
        <f aca="false">Datos!F67</f>
        <v>-0.101927662759163</v>
      </c>
      <c r="C59" s="20" t="n">
        <f aca="false">Datos!I67</f>
        <v>0.119661051181248</v>
      </c>
      <c r="D59" s="20" t="n">
        <f aca="false">Datos!H67</f>
        <v>-1097.40393434344</v>
      </c>
      <c r="E59" s="20" t="n">
        <f aca="false">Datos!H65</f>
        <v>187.118199188056</v>
      </c>
      <c r="F59" s="20" t="n">
        <f aca="false">Datos!H61</f>
        <v>19.2017013888889</v>
      </c>
      <c r="G59" s="20" t="n">
        <f aca="false">Datos!J61</f>
        <v>0.0364106470243743</v>
      </c>
      <c r="H59" s="20" t="n">
        <f aca="false">Datos!K60</f>
        <v>-0.0795880772476278</v>
      </c>
      <c r="I59" s="20" t="n">
        <f aca="false">Datos!F66</f>
        <v>-0.189421940385846</v>
      </c>
      <c r="J59" s="18" t="n">
        <v>1</v>
      </c>
      <c r="K59" s="18" t="n">
        <f aca="false">B59-($B$88+$B$89*C59+$B$90*D59+$B$91*E59+$B$92*F59+$B$93*G59+$B$94*H59+$B$95*I59)</f>
        <v>0.0153190800016827</v>
      </c>
      <c r="L59" s="18" t="n">
        <f aca="false">K59^2</f>
        <v>0.000234674212097954</v>
      </c>
    </row>
    <row r="60" customFormat="false" ht="15" hidden="false" customHeight="false" outlineLevel="0" collapsed="false">
      <c r="A60" s="19" t="str">
        <f aca="false">Datos!A68</f>
        <v>2020Q4</v>
      </c>
      <c r="B60" s="20" t="n">
        <f aca="false">Datos!F68</f>
        <v>-0.0431329947641036</v>
      </c>
      <c r="C60" s="20" t="n">
        <f aca="false">Datos!I68</f>
        <v>0.0642375050953509</v>
      </c>
      <c r="D60" s="20" t="n">
        <f aca="false">Datos!H68</f>
        <v>-606.890139160839</v>
      </c>
      <c r="E60" s="20" t="n">
        <f aca="false">Datos!H66</f>
        <v>756.86685274431</v>
      </c>
      <c r="F60" s="20" t="n">
        <f aca="false">Datos!H62</f>
        <v>162.790259661836</v>
      </c>
      <c r="G60" s="20" t="n">
        <f aca="false">Datos!J62</f>
        <v>0.0549585965392439</v>
      </c>
      <c r="H60" s="20" t="n">
        <f aca="false">Datos!K61</f>
        <v>0.0351944925910753</v>
      </c>
      <c r="I60" s="20" t="n">
        <f aca="false">Datos!F67</f>
        <v>-0.101927662759163</v>
      </c>
      <c r="J60" s="18" t="n">
        <v>1</v>
      </c>
      <c r="K60" s="18" t="n">
        <f aca="false">B60-($B$88+$B$89*C60+$B$90*D60+$B$91*E60+$B$92*F60+$B$93*G60+$B$94*H60+$B$95*I60)</f>
        <v>0.0446196500822415</v>
      </c>
      <c r="L60" s="18" t="n">
        <f aca="false">K60^2</f>
        <v>0.00199091317346167</v>
      </c>
    </row>
    <row r="61" customFormat="false" ht="15" hidden="false" customHeight="false" outlineLevel="0" collapsed="false">
      <c r="A61" s="19" t="str">
        <f aca="false">Datos!A69</f>
        <v>2021Q1</v>
      </c>
      <c r="B61" s="20" t="n">
        <f aca="false">Datos!F69</f>
        <v>0.0323260077948051</v>
      </c>
      <c r="C61" s="20" t="n">
        <f aca="false">Datos!I69</f>
        <v>-0.193638860735541</v>
      </c>
      <c r="D61" s="20" t="n">
        <f aca="false">Datos!H69</f>
        <v>100.224470329671</v>
      </c>
      <c r="E61" s="20" t="n">
        <f aca="false">Datos!H67</f>
        <v>-1097.40393434344</v>
      </c>
      <c r="F61" s="20" t="n">
        <f aca="false">Datos!H63</f>
        <v>679.618686815129</v>
      </c>
      <c r="G61" s="20" t="n">
        <f aca="false">Datos!J63</f>
        <v>0.088789332367494</v>
      </c>
      <c r="H61" s="20" t="n">
        <f aca="false">Datos!K62</f>
        <v>-0.0270236391269938</v>
      </c>
      <c r="I61" s="20" t="n">
        <f aca="false">Datos!F68</f>
        <v>-0.0431329947641036</v>
      </c>
      <c r="J61" s="18" t="n">
        <v>1</v>
      </c>
      <c r="K61" s="18" t="n">
        <f aca="false">B61-($B$88+$B$89*C61+$B$90*D61+$B$91*E61+$B$92*F61+$B$93*G61+$B$94*H61+$B$95*I61)</f>
        <v>0.0065518965516029</v>
      </c>
      <c r="L61" s="18" t="n">
        <f aca="false">K61^2</f>
        <v>4.29273484229059E-005</v>
      </c>
    </row>
    <row r="62" customFormat="false" ht="15" hidden="false" customHeight="false" outlineLevel="0" collapsed="false">
      <c r="A62" s="19" t="str">
        <f aca="false">Datos!A70</f>
        <v>2021Q2</v>
      </c>
      <c r="B62" s="20" t="n">
        <f aca="false">Datos!F70</f>
        <v>0.187299607796633</v>
      </c>
      <c r="C62" s="20" t="n">
        <f aca="false">Datos!I70</f>
        <v>-0.244749418467121</v>
      </c>
      <c r="D62" s="20" t="n">
        <f aca="false">Datos!H70</f>
        <v>51.4231142857141</v>
      </c>
      <c r="E62" s="20" t="n">
        <f aca="false">Datos!H68</f>
        <v>-606.890139160839</v>
      </c>
      <c r="F62" s="20" t="n">
        <f aca="false">Datos!H64</f>
        <v>598.881251590669</v>
      </c>
      <c r="G62" s="20" t="n">
        <f aca="false">Datos!J64</f>
        <v>-0.0976170322305177</v>
      </c>
      <c r="H62" s="20" t="n">
        <f aca="false">Datos!K63</f>
        <v>0.0668497563295599</v>
      </c>
      <c r="I62" s="20" t="n">
        <f aca="false">Datos!F69</f>
        <v>0.0323260077948051</v>
      </c>
      <c r="J62" s="18" t="n">
        <v>1</v>
      </c>
      <c r="K62" s="18" t="n">
        <f aca="false">B62-($B$88+$B$89*C62+$B$90*D62+$B$91*E62+$B$92*F62+$B$93*G62+$B$94*H62+$B$95*I62)</f>
        <v>0.0983134819515742</v>
      </c>
      <c r="L62" s="18" t="n">
        <f aca="false">K62^2</f>
        <v>0.0096655407334425</v>
      </c>
    </row>
    <row r="63" customFormat="false" ht="15" hidden="false" customHeight="false" outlineLevel="0" collapsed="false">
      <c r="A63" s="19" t="str">
        <f aca="false">Datos!A71</f>
        <v>2021Q3</v>
      </c>
      <c r="B63" s="20" t="n">
        <f aca="false">Datos!F71</f>
        <v>0.118145356665691</v>
      </c>
      <c r="C63" s="20" t="n">
        <f aca="false">Datos!I71</f>
        <v>0.0155375869236292</v>
      </c>
      <c r="D63" s="20" t="n">
        <f aca="false">Datos!H71</f>
        <v>24.6869913043479</v>
      </c>
      <c r="E63" s="20" t="n">
        <f aca="false">Datos!H69</f>
        <v>100.224470329671</v>
      </c>
      <c r="F63" s="20" t="n">
        <f aca="false">Datos!H65</f>
        <v>187.118199188056</v>
      </c>
      <c r="G63" s="20" t="n">
        <f aca="false">Datos!J65</f>
        <v>0.221076901929335</v>
      </c>
      <c r="H63" s="20" t="n">
        <f aca="false">Datos!K64</f>
        <v>0.0445321255864519</v>
      </c>
      <c r="I63" s="20" t="n">
        <f aca="false">Datos!F70</f>
        <v>0.187299607796633</v>
      </c>
      <c r="J63" s="18" t="n">
        <v>1</v>
      </c>
      <c r="K63" s="18" t="n">
        <f aca="false">B63-($B$88+$B$89*C63+$B$90*D63+$B$91*E63+$B$92*F63+$B$93*G63+$B$94*H63+$B$95*I63)</f>
        <v>-0.0260637543575506</v>
      </c>
      <c r="L63" s="18" t="n">
        <f aca="false">K63^2</f>
        <v>0.000679319291210737</v>
      </c>
    </row>
    <row r="64" customFormat="false" ht="15" hidden="false" customHeight="false" outlineLevel="0" collapsed="false">
      <c r="A64" s="19" t="str">
        <f aca="false">Datos!A72</f>
        <v>2021Q4</v>
      </c>
      <c r="B64" s="20" t="n">
        <f aca="false">Datos!F72</f>
        <v>0.08364113941174</v>
      </c>
      <c r="C64" s="20" t="n">
        <f aca="false">Datos!I72</f>
        <v>0.0372511420898235</v>
      </c>
      <c r="D64" s="20" t="n">
        <f aca="false">Datos!H72</f>
        <v>144.162478260869</v>
      </c>
      <c r="E64" s="20" t="n">
        <f aca="false">Datos!H70</f>
        <v>51.4231142857141</v>
      </c>
      <c r="F64" s="20" t="n">
        <f aca="false">Datos!H66</f>
        <v>756.86685274431</v>
      </c>
      <c r="G64" s="20" t="n">
        <f aca="false">Datos!J66</f>
        <v>0.295953407381194</v>
      </c>
      <c r="H64" s="20" t="n">
        <f aca="false">Datos!K65</f>
        <v>-0.0349380110691591</v>
      </c>
      <c r="I64" s="20" t="n">
        <f aca="false">Datos!F71</f>
        <v>0.118145356665691</v>
      </c>
      <c r="J64" s="18" t="n">
        <v>1</v>
      </c>
      <c r="K64" s="18" t="n">
        <f aca="false">B64-($B$88+$B$89*C64+$B$90*D64+$B$91*E64+$B$92*F64+$B$93*G64+$B$94*H64+$B$95*I64)</f>
        <v>0.0036289482916541</v>
      </c>
      <c r="L64" s="18" t="n">
        <f aca="false">K64^2</f>
        <v>1.31692657034992E-005</v>
      </c>
    </row>
    <row r="65" customFormat="false" ht="15" hidden="false" customHeight="false" outlineLevel="0" collapsed="false">
      <c r="A65" s="19" t="str">
        <f aca="false">Datos!A73</f>
        <v>2022Q1</v>
      </c>
      <c r="B65" s="20" t="n">
        <f aca="false">Datos!F73</f>
        <v>0.0686138387185451</v>
      </c>
      <c r="C65" s="20" t="n">
        <f aca="false">Datos!I73</f>
        <v>0.0355016157142883</v>
      </c>
      <c r="D65" s="20" t="n">
        <f aca="false">Datos!H73</f>
        <v>94.729852657005</v>
      </c>
      <c r="E65" s="20" t="n">
        <f aca="false">Datos!H71</f>
        <v>24.6869913043479</v>
      </c>
      <c r="F65" s="20" t="n">
        <f aca="false">Datos!H67</f>
        <v>-1097.40393434344</v>
      </c>
      <c r="G65" s="20" t="n">
        <f aca="false">Datos!J67</f>
        <v>-0.245003429458452</v>
      </c>
      <c r="H65" s="20" t="n">
        <f aca="false">Datos!K66</f>
        <v>-0.0474907628165441</v>
      </c>
      <c r="I65" s="20" t="n">
        <f aca="false">Datos!F72</f>
        <v>0.08364113941174</v>
      </c>
      <c r="J65" s="18" t="n">
        <v>1</v>
      </c>
      <c r="K65" s="18" t="n">
        <f aca="false">B65-($B$88+$B$89*C65+$B$90*D65+$B$91*E65+$B$92*F65+$B$93*G65+$B$94*H65+$B$95*I65)</f>
        <v>0.0156527471106153</v>
      </c>
      <c r="L65" s="18" t="n">
        <f aca="false">K65^2</f>
        <v>0.000245008492108875</v>
      </c>
    </row>
    <row r="66" customFormat="false" ht="15" hidden="false" customHeight="false" outlineLevel="0" collapsed="false">
      <c r="A66" s="19" t="str">
        <f aca="false">Datos!A74</f>
        <v>2022Q2</v>
      </c>
      <c r="B66" s="20" t="n">
        <f aca="false">Datos!F74</f>
        <v>0.0813001446194395</v>
      </c>
      <c r="C66" s="20" t="n">
        <f aca="false">Datos!I74</f>
        <v>-0.00674178026505711</v>
      </c>
      <c r="D66" s="20" t="n">
        <f aca="false">Datos!H74</f>
        <v>111.567003052503</v>
      </c>
      <c r="E66" s="20" t="n">
        <f aca="false">Datos!H72</f>
        <v>144.162478260869</v>
      </c>
      <c r="F66" s="20" t="n">
        <f aca="false">Datos!H68</f>
        <v>-606.890139160839</v>
      </c>
      <c r="G66" s="20" t="n">
        <f aca="false">Datos!J68</f>
        <v>-0.131027789991017</v>
      </c>
      <c r="H66" s="20" t="n">
        <f aca="false">Datos!K67</f>
        <v>0.0306557066678773</v>
      </c>
      <c r="I66" s="20" t="n">
        <f aca="false">Datos!F73</f>
        <v>0.0686138387185451</v>
      </c>
      <c r="J66" s="18" t="n">
        <v>1</v>
      </c>
      <c r="K66" s="18" t="n">
        <f aca="false">B66-($B$88+$B$89*C66+$B$90*D66+$B$91*E66+$B$92*F66+$B$93*G66+$B$94*H66+$B$95*I66)</f>
        <v>0.0352810006447664</v>
      </c>
      <c r="L66" s="18" t="n">
        <f aca="false">K66^2</f>
        <v>0.001244749006496</v>
      </c>
    </row>
    <row r="67" customFormat="false" ht="15" hidden="false" customHeight="false" outlineLevel="0" collapsed="false">
      <c r="A67" s="19" t="str">
        <f aca="false">Datos!A75</f>
        <v>2022Q3</v>
      </c>
      <c r="B67" s="20" t="n">
        <f aca="false">Datos!F75</f>
        <v>0.066844213632383</v>
      </c>
      <c r="C67" s="20" t="n">
        <f aca="false">Datos!I75</f>
        <v>-0.0371795981009521</v>
      </c>
      <c r="D67" s="20" t="n">
        <f aca="false">Datos!H75</f>
        <v>613.427821391941</v>
      </c>
      <c r="E67" s="20" t="n">
        <f aca="false">Datos!H73</f>
        <v>94.729852657005</v>
      </c>
      <c r="F67" s="20" t="n">
        <f aca="false">Datos!H69</f>
        <v>100.224470329671</v>
      </c>
      <c r="G67" s="20" t="n">
        <f aca="false">Datos!J69</f>
        <v>-0.0811045233564329</v>
      </c>
      <c r="H67" s="20" t="n">
        <f aca="false">Datos!K68</f>
        <v>0.0276558919383922</v>
      </c>
      <c r="I67" s="20" t="n">
        <f aca="false">Datos!F74</f>
        <v>0.0813001446194395</v>
      </c>
      <c r="J67" s="18" t="n">
        <v>1</v>
      </c>
      <c r="K67" s="18" t="n">
        <f aca="false">B67-($B$88+$B$89*C67+$B$90*D67+$B$91*E67+$B$92*F67+$B$93*G67+$B$94*H67+$B$95*I67)</f>
        <v>0.0203395678441586</v>
      </c>
      <c r="L67" s="18" t="n">
        <f aca="false">K67^2</f>
        <v>0.000413698020087129</v>
      </c>
    </row>
    <row r="68" customFormat="false" ht="15" hidden="false" customHeight="false" outlineLevel="0" collapsed="false">
      <c r="A68" s="19" t="str">
        <f aca="false">Datos!A76</f>
        <v>2022Q4</v>
      </c>
      <c r="B68" s="20" t="n">
        <f aca="false">Datos!F76</f>
        <v>0.023854276267842</v>
      </c>
      <c r="C68" s="20" t="n">
        <f aca="false">Datos!I76</f>
        <v>-0.0252636786491897</v>
      </c>
      <c r="D68" s="20" t="n">
        <f aca="false">Datos!H76</f>
        <v>-69.2846118840562</v>
      </c>
      <c r="E68" s="20" t="n">
        <f aca="false">Datos!H74</f>
        <v>111.567003052503</v>
      </c>
      <c r="F68" s="20" t="n">
        <f aca="false">Datos!H70</f>
        <v>51.4231142857141</v>
      </c>
      <c r="G68" s="20" t="n">
        <f aca="false">Datos!J70</f>
        <v>-0.164266961512105</v>
      </c>
      <c r="H68" s="20" t="n">
        <f aca="false">Datos!K69</f>
        <v>0.0884101043961178</v>
      </c>
      <c r="I68" s="20" t="n">
        <f aca="false">Datos!F75</f>
        <v>0.066844213632383</v>
      </c>
      <c r="J68" s="18" t="n">
        <v>1</v>
      </c>
      <c r="K68" s="18" t="n">
        <f aca="false">B68-($B$88+$B$89*C68+$B$90*D68+$B$91*E68+$B$92*F68+$B$93*G68+$B$94*H68+$B$95*I68)</f>
        <v>-0.0639805856801867</v>
      </c>
      <c r="L68" s="18" t="n">
        <f aca="false">K68^2</f>
        <v>0.00409351534397971</v>
      </c>
    </row>
    <row r="69" customFormat="false" ht="15" hidden="false" customHeight="false" outlineLevel="0" collapsed="false">
      <c r="A69" s="19" t="str">
        <f aca="false">Datos!A77</f>
        <v>2023Q1</v>
      </c>
      <c r="B69" s="20" t="n">
        <f aca="false">Datos!F77</f>
        <v>0.00911982377224452</v>
      </c>
      <c r="C69" s="20" t="n">
        <f aca="false">Datos!I77</f>
        <v>-0.00518521666359616</v>
      </c>
      <c r="D69" s="20" t="n">
        <f aca="false">Datos!H77</f>
        <v>-376.758957004832</v>
      </c>
      <c r="E69" s="20" t="n">
        <f aca="false">Datos!H75</f>
        <v>613.427821391941</v>
      </c>
      <c r="F69" s="20" t="n">
        <f aca="false">Datos!H71</f>
        <v>24.6869913043479</v>
      </c>
      <c r="G69" s="20" t="n">
        <f aca="false">Datos!J71</f>
        <v>0.249643026411689</v>
      </c>
      <c r="H69" s="20" t="n">
        <f aca="false">Datos!K70</f>
        <v>0.025645645716768</v>
      </c>
      <c r="I69" s="20" t="n">
        <f aca="false">Datos!F76</f>
        <v>0.023854276267842</v>
      </c>
      <c r="J69" s="18" t="n">
        <v>1</v>
      </c>
      <c r="K69" s="18" t="n">
        <f aca="false">B69-($B$88+$B$89*C69+$B$90*D69+$B$91*E69+$B$92*F69+$B$93*G69+$B$94*H69+$B$95*I69)</f>
        <v>0.0253067700192283</v>
      </c>
      <c r="L69" s="18" t="n">
        <f aca="false">K69^2</f>
        <v>0.000640432608806113</v>
      </c>
    </row>
    <row r="70" customFormat="false" ht="15" hidden="false" customHeight="false" outlineLevel="0" collapsed="false">
      <c r="A70" s="19" t="str">
        <f aca="false">Datos!A78</f>
        <v>2023Q2</v>
      </c>
      <c r="B70" s="20" t="n">
        <f aca="false">Datos!F78</f>
        <v>-0.0567487243252599</v>
      </c>
      <c r="C70" s="20" t="n">
        <f aca="false">Datos!I78</f>
        <v>-0.0211814413429257</v>
      </c>
      <c r="D70" s="20" t="n">
        <f aca="false">Datos!H78</f>
        <v>396.345972839506</v>
      </c>
      <c r="E70" s="20" t="n">
        <f aca="false">Datos!H76</f>
        <v>-69.2846118840562</v>
      </c>
      <c r="F70" s="20" t="n">
        <f aca="false">Datos!H72</f>
        <v>144.162478260869</v>
      </c>
      <c r="G70" s="20" t="n">
        <f aca="false">Datos!J72</f>
        <v>0.284553859686216</v>
      </c>
      <c r="H70" s="20" t="n">
        <f aca="false">Datos!K71</f>
        <v>-0.065948233834193</v>
      </c>
      <c r="I70" s="20" t="n">
        <f aca="false">Datos!F77</f>
        <v>0.00911982377224452</v>
      </c>
      <c r="J70" s="18" t="n">
        <v>1</v>
      </c>
      <c r="K70" s="18" t="n">
        <f aca="false">B70-($B$88+$B$89*C70+$B$90*D70+$B$91*E70+$B$92*F70+$B$93*G70+$B$94*H70+$B$95*I70)</f>
        <v>-0.014196035433722</v>
      </c>
      <c r="L70" s="18" t="n">
        <f aca="false">K70^2</f>
        <v>0.000201527422035489</v>
      </c>
    </row>
    <row r="71" customFormat="false" ht="15" hidden="false" customHeight="false" outlineLevel="0" collapsed="false">
      <c r="A71" s="19" t="str">
        <f aca="false">Datos!A79</f>
        <v>2023Q3</v>
      </c>
      <c r="B71" s="20" t="n">
        <f aca="false">Datos!F79</f>
        <v>-0.00549172525238073</v>
      </c>
      <c r="C71" s="20" t="n">
        <f aca="false">Datos!I79</f>
        <v>-0.0552380565995734</v>
      </c>
      <c r="D71" s="20" t="n">
        <f aca="false">Datos!H79</f>
        <v>-393.961216440069</v>
      </c>
      <c r="E71" s="20" t="n">
        <f aca="false">Datos!H77</f>
        <v>-376.758957004832</v>
      </c>
      <c r="F71" s="20" t="n">
        <f aca="false">Datos!H73</f>
        <v>94.729852657005</v>
      </c>
      <c r="G71" s="20" t="n">
        <f aca="false">Datos!J73</f>
        <v>-0.167076079806291</v>
      </c>
      <c r="H71" s="20" t="n">
        <f aca="false">Datos!K72</f>
        <v>-0.0279737231897952</v>
      </c>
      <c r="I71" s="20" t="n">
        <f aca="false">Datos!F78</f>
        <v>-0.0567487243252599</v>
      </c>
      <c r="J71" s="18" t="n">
        <v>1</v>
      </c>
      <c r="K71" s="18" t="n">
        <f aca="false">B71-($B$88+$B$89*C71+$B$90*D71+$B$91*E71+$B$92*F71+$B$93*G71+$B$94*H71+$B$95*I71)</f>
        <v>-0.0174382178502916</v>
      </c>
      <c r="L71" s="18" t="n">
        <f aca="false">K71^2</f>
        <v>0.00030409144179423</v>
      </c>
    </row>
    <row r="72" customFormat="false" ht="15" hidden="false" customHeight="false" outlineLevel="0" collapsed="false">
      <c r="A72" s="19" t="str">
        <f aca="false">Datos!A80</f>
        <v>2023Q4</v>
      </c>
      <c r="B72" s="20" t="n">
        <f aca="false">Datos!F80</f>
        <v>-0.0171598554874708</v>
      </c>
      <c r="C72" s="20" t="n">
        <f aca="false">Datos!I80</f>
        <v>-0.104830369197381</v>
      </c>
      <c r="D72" s="20" t="n">
        <f aca="false">Datos!H80</f>
        <v>122.080899625603</v>
      </c>
      <c r="E72" s="20" t="n">
        <f aca="false">Datos!H78</f>
        <v>396.345972839506</v>
      </c>
      <c r="F72" s="20" t="n">
        <f aca="false">Datos!H74</f>
        <v>111.567003052503</v>
      </c>
      <c r="G72" s="20" t="n">
        <f aca="false">Datos!J74</f>
        <v>0.169220698210594</v>
      </c>
      <c r="H72" s="20" t="n">
        <f aca="false">Datos!K73</f>
        <v>-0.0135796367455427</v>
      </c>
      <c r="I72" s="20" t="n">
        <f aca="false">Datos!F79</f>
        <v>-0.00549172525238073</v>
      </c>
      <c r="J72" s="18" t="n">
        <v>1</v>
      </c>
      <c r="K72" s="18" t="n">
        <f aca="false">B72-($B$88+$B$89*C72+$B$90*D72+$B$91*E72+$B$92*F72+$B$93*G72+$B$94*H72+$B$95*I72)</f>
        <v>0.0391399915958361</v>
      </c>
      <c r="L72" s="18" t="n">
        <f aca="false">K72^2</f>
        <v>0.00153193894212212</v>
      </c>
    </row>
    <row r="73" customFormat="false" ht="15" hidden="false" customHeight="false" outlineLevel="0" collapsed="false">
      <c r="A73" s="19" t="str">
        <f aca="false">Datos!A81</f>
        <v>2024Q1</v>
      </c>
      <c r="B73" s="20" t="n">
        <f aca="false">Datos!F81</f>
        <v>-0.0496170325779741</v>
      </c>
      <c r="C73" s="20" t="n">
        <f aca="false">Datos!I81</f>
        <v>-0.0995297912662513</v>
      </c>
      <c r="D73" s="20" t="n">
        <f aca="false">Datos!H81</f>
        <v>-454.938553802817</v>
      </c>
      <c r="E73" s="20" t="n">
        <f aca="false">Datos!H79</f>
        <v>-393.961216440069</v>
      </c>
      <c r="F73" s="20" t="n">
        <f aca="false">Datos!H75</f>
        <v>613.427821391941</v>
      </c>
      <c r="G73" s="20" t="n">
        <f aca="false">Datos!J75</f>
        <v>-0.0735093011783898</v>
      </c>
      <c r="H73" s="20" t="n">
        <f aca="false">Datos!K74</f>
        <v>-0.0666502884026636</v>
      </c>
      <c r="I73" s="20" t="n">
        <f aca="false">Datos!F80</f>
        <v>-0.0171598554874708</v>
      </c>
      <c r="J73" s="18" t="n">
        <v>1</v>
      </c>
      <c r="K73" s="18" t="n">
        <f aca="false">B73-($B$88+$B$89*C73+$B$90*D73+$B$91*E73+$B$92*F73+$B$93*G73+$B$94*H73+$B$95*I73)</f>
        <v>-0.0944329718381012</v>
      </c>
      <c r="L73" s="18" t="n">
        <f aca="false">K73^2</f>
        <v>0.0089175861701756</v>
      </c>
    </row>
    <row r="74" customFormat="false" ht="15" hidden="false" customHeight="false" outlineLevel="0" collapsed="false">
      <c r="A74" s="19" t="str">
        <f aca="false">Datos!A82</f>
        <v>2024Q2</v>
      </c>
      <c r="B74" s="20" t="n">
        <f aca="false">Datos!F82</f>
        <v>-0.0108329991805178</v>
      </c>
      <c r="C74" s="20" t="n">
        <f aca="false">Datos!I82</f>
        <v>0.0839810999883668</v>
      </c>
      <c r="D74" s="20" t="n">
        <f aca="false">Datos!H82</f>
        <v>-411.750199402986</v>
      </c>
      <c r="E74" s="20" t="n">
        <f aca="false">Datos!H80</f>
        <v>122.080899625603</v>
      </c>
      <c r="F74" s="20" t="n">
        <f aca="false">Datos!H76</f>
        <v>-69.2846118840562</v>
      </c>
      <c r="G74" s="20" t="n">
        <f aca="false">Datos!J76</f>
        <v>-0.0738502184948509</v>
      </c>
      <c r="H74" s="20" t="n">
        <f aca="false">Datos!K75</f>
        <v>-0.0294452458384041</v>
      </c>
      <c r="I74" s="20" t="n">
        <f aca="false">Datos!F81</f>
        <v>-0.0496170325779741</v>
      </c>
      <c r="J74" s="18" t="n">
        <v>1</v>
      </c>
      <c r="K74" s="18" t="n">
        <f aca="false">B74-($B$88+$B$89*C74+$B$90*D74+$B$91*E74+$B$92*F74+$B$93*G74+$B$94*H74+$B$95*I74)</f>
        <v>0.00697211353567077</v>
      </c>
      <c r="L74" s="18" t="n">
        <f aca="false">K74^2</f>
        <v>4.86103671542836E-005</v>
      </c>
    </row>
    <row r="75" customFormat="false" ht="15" hidden="false" customHeight="false" outlineLevel="0" collapsed="false">
      <c r="A75" s="19" t="str">
        <f aca="false">Datos!A83</f>
        <v>2024Q3</v>
      </c>
      <c r="B75" s="20" t="n">
        <f aca="false">Datos!F83</f>
        <v>-0.0193706719869603</v>
      </c>
      <c r="C75" s="20" t="n">
        <f aca="false">Datos!I83</f>
        <v>0.0583938784085901</v>
      </c>
      <c r="D75" s="20" t="n">
        <f aca="false">Datos!H83</f>
        <v>140.77357394844</v>
      </c>
      <c r="E75" s="20" t="n">
        <f aca="false">Datos!H81</f>
        <v>-454.938553802817</v>
      </c>
      <c r="F75" s="20" t="n">
        <f aca="false">Datos!H77</f>
        <v>-376.758957004832</v>
      </c>
      <c r="G75" s="20" t="n">
        <f aca="false">Datos!J77</f>
        <v>0.367099592287782</v>
      </c>
      <c r="H75" s="20" t="n">
        <f aca="false">Datos!K76</f>
        <v>0.11290837336386</v>
      </c>
      <c r="I75" s="20" t="n">
        <f aca="false">Datos!F82</f>
        <v>-0.0108329991805178</v>
      </c>
      <c r="J75" s="18" t="n">
        <v>1</v>
      </c>
      <c r="K75" s="18" t="n">
        <f aca="false">B75-($B$88+$B$89*C75+$B$90*D75+$B$91*E75+$B$92*F75+$B$93*G75+$B$94*H75+$B$95*I75)</f>
        <v>-0.0130632739446687</v>
      </c>
      <c r="L75" s="18" t="n">
        <f aca="false">K75^2</f>
        <v>0.000170649126153459</v>
      </c>
    </row>
    <row r="76" customFormat="false" ht="15" hidden="false" customHeight="false" outlineLevel="0" collapsed="false">
      <c r="A76" s="19" t="str">
        <f aca="false">Datos!A84</f>
        <v>2024Q4</v>
      </c>
      <c r="B76" s="20" t="n">
        <f aca="false">Datos!F84</f>
        <v>0.0263829611146622</v>
      </c>
      <c r="C76" s="20" t="n">
        <f aca="false">Datos!I84</f>
        <v>0.209850652496816</v>
      </c>
      <c r="D76" s="20" t="n">
        <f aca="false">Datos!H84</f>
        <v>-564.145454545455</v>
      </c>
      <c r="E76" s="20" t="n">
        <f aca="false">Datos!H82</f>
        <v>-411.750199402986</v>
      </c>
      <c r="F76" s="20" t="n">
        <f aca="false">Datos!H78</f>
        <v>396.345972839506</v>
      </c>
      <c r="G76" s="20" t="n">
        <f aca="false">Datos!J78</f>
        <v>-0.00797161018467474</v>
      </c>
      <c r="H76" s="20" t="n">
        <f aca="false">Datos!K77</f>
        <v>-0.11679097674453</v>
      </c>
      <c r="I76" s="20" t="n">
        <f aca="false">Datos!F83</f>
        <v>-0.0193706719869603</v>
      </c>
      <c r="J76" s="18" t="n">
        <v>1</v>
      </c>
      <c r="K76" s="18" t="n">
        <f aca="false">B76-($B$88+$B$89*C76+$B$90*D76+$B$91*E76+$B$92*F76+$B$93*G76+$B$94*H76+$B$95*I76)</f>
        <v>-0.0235427730418905</v>
      </c>
      <c r="L76" s="18" t="n">
        <f aca="false">K76^2</f>
        <v>0.000554262162501965</v>
      </c>
    </row>
    <row r="77" customFormat="false" ht="15" hidden="false" customHeight="false" outlineLevel="0" collapsed="false">
      <c r="A77" s="19" t="str">
        <f aca="false">Datos!A85</f>
        <v>2025Q1</v>
      </c>
      <c r="B77" s="20" t="n">
        <f aca="false">Datos!F85</f>
        <v>0.0583747415748432</v>
      </c>
      <c r="C77" s="20" t="n">
        <f aca="false">Datos!I85</f>
        <v>0.248983047054301</v>
      </c>
      <c r="D77" s="20" t="n">
        <f aca="false">Datos!H85</f>
        <v>-235.861538461538</v>
      </c>
      <c r="E77" s="20" t="n">
        <f aca="false">Datos!H83</f>
        <v>140.77357394844</v>
      </c>
      <c r="F77" s="20" t="n">
        <f aca="false">Datos!H79</f>
        <v>-393.961216440069</v>
      </c>
      <c r="G77" s="20" t="n">
        <f aca="false">Datos!J79</f>
        <v>0.183376294592147</v>
      </c>
      <c r="H77" s="20" t="n">
        <f aca="false">Datos!K78</f>
        <v>0.0155541344453244</v>
      </c>
      <c r="I77" s="20" t="n">
        <f aca="false">Datos!F84</f>
        <v>0.0263829611146622</v>
      </c>
      <c r="J77" s="18" t="n">
        <v>1</v>
      </c>
      <c r="K77" s="18" t="n">
        <f aca="false">B77-($B$88+$B$89*C77+$B$90*D77+$B$91*E77+$B$92*F77+$B$93*G77+$B$94*H77+$B$95*I77)</f>
        <v>0.0386928469564801</v>
      </c>
      <c r="L77" s="18" t="n">
        <f aca="false">K77^2</f>
        <v>0.00149713640559759</v>
      </c>
    </row>
    <row r="78" customFormat="false" ht="15" hidden="false" customHeight="false" outlineLevel="0" collapsed="false">
      <c r="A78" s="19" t="str">
        <f aca="false">Datos!A86</f>
        <v>2025Q2</v>
      </c>
      <c r="B78" s="20" t="n">
        <f aca="false">Datos!F86</f>
        <v>0.0638141408959982</v>
      </c>
      <c r="C78" s="20" t="n">
        <f aca="false">Datos!I86</f>
        <v>-0.0247458039655413</v>
      </c>
      <c r="D78" s="20" t="n">
        <f aca="false">Datos!H86</f>
        <v>39.3076923076923</v>
      </c>
      <c r="E78" s="20" t="n">
        <f aca="false">Datos!H84</f>
        <v>-564.145454545455</v>
      </c>
      <c r="F78" s="20" t="n">
        <f aca="false">Datos!H80</f>
        <v>122.080899625603</v>
      </c>
      <c r="G78" s="20" t="n">
        <f aca="false">Datos!J80</f>
        <v>0.44451895067595</v>
      </c>
      <c r="H78" s="20" t="n">
        <f aca="false">Datos!K79</f>
        <v>0.0783071254305534</v>
      </c>
      <c r="I78" s="20" t="n">
        <f aca="false">Datos!F85</f>
        <v>0.0583747415748432</v>
      </c>
      <c r="J78" s="18" t="n">
        <v>1</v>
      </c>
      <c r="K78" s="18" t="n">
        <f aca="false">B78-($B$88+$B$89*C78+$B$90*D78+$B$91*E78+$B$92*F78+$B$93*G78+$B$94*H78+$B$95*I78)</f>
        <v>0.00559695464667166</v>
      </c>
      <c r="L78" s="18" t="n">
        <f aca="false">K78^2</f>
        <v>3.13259013168995E-005</v>
      </c>
    </row>
    <row r="79" customFormat="false" ht="15" hidden="false" customHeight="false" outlineLevel="0" collapsed="false">
      <c r="A79" s="19" t="str">
        <f aca="false">Datos!A87</f>
        <v>2025Q3</v>
      </c>
      <c r="B79" s="20" t="n">
        <f aca="false">Datos!F87</f>
        <v>0.0325690447876617</v>
      </c>
      <c r="C79" s="20" t="n">
        <f aca="false">Datos!I87</f>
        <v>-0.0607636894755312</v>
      </c>
      <c r="D79" s="20" t="n">
        <f aca="false">Datos!H87</f>
        <v>142.307692307692</v>
      </c>
      <c r="E79" s="20" t="n">
        <f aca="false">Datos!H85</f>
        <v>-235.861538461538</v>
      </c>
      <c r="F79" s="20" t="n">
        <f aca="false">Datos!H81</f>
        <v>-454.938553802817</v>
      </c>
      <c r="G79" s="20" t="n">
        <f aca="false">Datos!J81</f>
        <v>-0.185892833904252</v>
      </c>
      <c r="H79" s="20" t="n">
        <f aca="false">Datos!K80</f>
        <v>-0.105805285831385</v>
      </c>
      <c r="I79" s="20" t="n">
        <f aca="false">Datos!F86</f>
        <v>0.0638141408959982</v>
      </c>
      <c r="J79" s="18" t="n">
        <v>1</v>
      </c>
      <c r="K79" s="18" t="n">
        <f aca="false">B79-($B$88+$B$89*C79+$B$90*D79+$B$91*E79+$B$92*F79+$B$93*G79+$B$94*H79+$B$95*I79)</f>
        <v>-0.0137098224615869</v>
      </c>
      <c r="L79" s="18" t="n">
        <f aca="false">K79^2</f>
        <v>0.000187959231928234</v>
      </c>
    </row>
    <row r="80" customFormat="false" ht="15" hidden="false" customHeight="false" outlineLevel="0" collapsed="false">
      <c r="A80" s="19" t="str">
        <f aca="false">Datos!A88</f>
        <v>2025Q4</v>
      </c>
      <c r="B80" s="20" t="n">
        <f aca="false">Datos!F88</f>
        <v>0.0205805070747371</v>
      </c>
      <c r="C80" s="20" t="n">
        <f aca="false">Datos!I88</f>
        <v>-0.0750355248434347</v>
      </c>
      <c r="D80" s="20" t="n">
        <f aca="false">Datos!H88</f>
        <v>-113.153846153846</v>
      </c>
      <c r="E80" s="20" t="n">
        <f aca="false">Datos!H86</f>
        <v>39.3076923076923</v>
      </c>
      <c r="F80" s="20" t="n">
        <f aca="false">Datos!H82</f>
        <v>-411.750199402986</v>
      </c>
      <c r="G80" s="20" t="n">
        <f aca="false">Datos!J82</f>
        <v>0.211724770440168</v>
      </c>
      <c r="H80" s="20" t="n">
        <f aca="false">Datos!K81</f>
        <v>0.0467744313554986</v>
      </c>
      <c r="I80" s="20" t="n">
        <f aca="false">Datos!F87</f>
        <v>0.0325690447876617</v>
      </c>
      <c r="J80" s="18" t="n">
        <v>1</v>
      </c>
      <c r="K80" s="18" t="n">
        <f aca="false">B80-($B$88+$B$89*C80+$B$90*D80+$B$91*E80+$B$92*F80+$B$93*G80+$B$94*H80+$B$95*I80)</f>
        <v>0.0164366734297359</v>
      </c>
      <c r="L80" s="18" t="n">
        <f aca="false">K80^2</f>
        <v>0.000270164233435785</v>
      </c>
    </row>
    <row r="81" customFormat="false" ht="15" hidden="false" customHeight="false" outlineLevel="0" collapsed="false">
      <c r="A81" s="19" t="str">
        <f aca="false">Datos!A89</f>
        <v>2026Q1</v>
      </c>
      <c r="B81" s="20" t="n">
        <f aca="false">Datos!F89</f>
        <v>0.024694045208276</v>
      </c>
      <c r="C81" s="20" t="n">
        <f aca="false">Datos!I89</f>
        <v>-0.0996496025806773</v>
      </c>
      <c r="D81" s="20" t="n">
        <f aca="false">Datos!H89</f>
        <v>-216.777777777778</v>
      </c>
      <c r="E81" s="20" t="n">
        <f aca="false">Datos!H87</f>
        <v>142.307692307692</v>
      </c>
      <c r="F81" s="20" t="n">
        <f aca="false">Datos!H83</f>
        <v>140.77357394844</v>
      </c>
      <c r="G81" s="20" t="n">
        <f aca="false">Datos!J83</f>
        <v>-0.11430199205953</v>
      </c>
      <c r="H81" s="20" t="n">
        <f aca="false">Datos!K82</f>
        <v>0.0075734886805694</v>
      </c>
      <c r="I81" s="20" t="n">
        <f aca="false">Datos!F88</f>
        <v>0.0205805070747371</v>
      </c>
      <c r="J81" s="18" t="n">
        <v>1</v>
      </c>
      <c r="K81" s="18" t="n">
        <f aca="false">B81-($B$88+$B$89*C81+$B$90*D81+$B$91*E81+$B$92*F81+$B$93*G81+$B$94*H81+$B$95*I81)</f>
        <v>-0.00811589339058653</v>
      </c>
      <c r="L81" s="18" t="n">
        <f aca="false">K81^2</f>
        <v>6.58677255273661E-005</v>
      </c>
    </row>
    <row r="86" customFormat="false" ht="15" hidden="false" customHeight="false" outlineLevel="0" collapsed="false">
      <c r="A86" s="21" t="s">
        <v>151</v>
      </c>
      <c r="B86" s="22"/>
      <c r="C86" s="22"/>
      <c r="D86" s="22"/>
      <c r="E86" s="22"/>
      <c r="F86" s="22"/>
      <c r="G86" s="22"/>
      <c r="H86" s="22"/>
      <c r="I86" s="22"/>
      <c r="J86" s="22"/>
    </row>
    <row r="87" customFormat="false" ht="15" hidden="false" customHeight="false" outlineLevel="0" collapsed="false">
      <c r="A87" s="14" t="s">
        <v>22</v>
      </c>
      <c r="B87" s="14" t="s">
        <v>23</v>
      </c>
      <c r="C87" s="14" t="s">
        <v>152</v>
      </c>
      <c r="D87" s="14" t="s">
        <v>153</v>
      </c>
      <c r="E87" s="14" t="s">
        <v>20</v>
      </c>
      <c r="G87" s="11" t="s">
        <v>154</v>
      </c>
      <c r="H87" s="23" t="n">
        <f aca="false">INDEX(LINEST($B$6:$B$81,$C$6:$I$81,TRUE(),TRUE()),4,2)</f>
        <v>68</v>
      </c>
    </row>
    <row r="88" customFormat="false" ht="15" hidden="false" customHeight="false" outlineLevel="0" collapsed="false">
      <c r="A88" s="24" t="s">
        <v>155</v>
      </c>
      <c r="B88" s="25" t="n">
        <f aca="false">INDEX(LINEST($B$6:$B$81,$C$6:$I$81,TRUE(),TRUE()),1,8)</f>
        <v>0.00376078398735757</v>
      </c>
      <c r="C88" s="8" t="n">
        <f aca="false">INDEX(LINEST($B$6:$B$81,$C$6:$I$81,TRUE(),TRUE()),2,8)</f>
        <v>0.00387172725484959</v>
      </c>
      <c r="D88" s="5" t="n">
        <f aca="false">B88/C88</f>
        <v>0.971345278169308</v>
      </c>
      <c r="E88" s="7" t="n">
        <f aca="false">TDIST(ABS(D88),$H$87,2)</f>
        <v>0.334818907484124</v>
      </c>
    </row>
    <row r="89" customFormat="false" ht="15" hidden="false" customHeight="false" outlineLevel="0" collapsed="false">
      <c r="A89" s="24" t="s">
        <v>135</v>
      </c>
      <c r="B89" s="25" t="n">
        <f aca="false">INDEX(LINEST($B$6:$B$81,$C$6:$I$81,TRUE(),TRUE()),1,7)</f>
        <v>0.0713215512218651</v>
      </c>
      <c r="C89" s="8" t="n">
        <f aca="false">INDEX(LINEST($B$6:$B$81,$C$6:$I$81,TRUE(),TRUE()),2,7)</f>
        <v>0.0502456086855784</v>
      </c>
      <c r="D89" s="5" t="n">
        <f aca="false">B89/C89</f>
        <v>1.41945839820895</v>
      </c>
      <c r="E89" s="7" t="n">
        <f aca="false">TDIST(ABS(D89),$H$87,2)</f>
        <v>0.16033346786668</v>
      </c>
    </row>
    <row r="90" customFormat="false" ht="15" hidden="false" customHeight="false" outlineLevel="0" collapsed="false">
      <c r="A90" s="24" t="s">
        <v>136</v>
      </c>
      <c r="B90" s="25" t="n">
        <f aca="false">INDEX(LINEST($B$6:$B$81,$C$6:$I$81,TRUE(),TRUE()),1,6)</f>
        <v>-5.22924348622558E-005</v>
      </c>
      <c r="C90" s="8" t="n">
        <f aca="false">INDEX(LINEST($B$6:$B$81,$C$6:$I$81,TRUE(),TRUE()),2,6)</f>
        <v>1.36929839951106E-005</v>
      </c>
      <c r="D90" s="5" t="n">
        <f aca="false">B90/C90</f>
        <v>-3.81892178366147</v>
      </c>
      <c r="E90" s="7" t="n">
        <f aca="false">TDIST(ABS(D90),$H$87,2)</f>
        <v>0.000292491953009594</v>
      </c>
    </row>
    <row r="91" customFormat="false" ht="15" hidden="false" customHeight="false" outlineLevel="0" collapsed="false">
      <c r="A91" s="24" t="s">
        <v>137</v>
      </c>
      <c r="B91" s="25" t="n">
        <f aca="false">INDEX(LINEST($B$6:$B$81,$C$6:$I$81,TRUE(),TRUE()),1,5)</f>
        <v>-6.44819870331057E-005</v>
      </c>
      <c r="C91" s="8" t="n">
        <f aca="false">INDEX(LINEST($B$6:$B$81,$C$6:$I$81,TRUE(),TRUE()),2,5)</f>
        <v>1.357980414986E-005</v>
      </c>
      <c r="D91" s="5" t="n">
        <f aca="false">B91/C91</f>
        <v>-4.7483738588211</v>
      </c>
      <c r="E91" s="7" t="n">
        <f aca="false">TDIST(ABS(D91),$H$87,2)</f>
        <v>1.09770796924366E-005</v>
      </c>
    </row>
    <row r="92" customFormat="false" ht="15" hidden="false" customHeight="false" outlineLevel="0" collapsed="false">
      <c r="A92" s="24" t="s">
        <v>138</v>
      </c>
      <c r="B92" s="25" t="n">
        <f aca="false">INDEX(LINEST($B$6:$B$81,$C$6:$I$81,TRUE(),TRUE()),1,4)</f>
        <v>2.92704492662508E-005</v>
      </c>
      <c r="C92" s="8" t="n">
        <f aca="false">INDEX(LINEST($B$6:$B$81,$C$6:$I$81,TRUE(),TRUE()),2,4)</f>
        <v>1.40260949535617E-005</v>
      </c>
      <c r="D92" s="5" t="n">
        <f aca="false">B92/C92</f>
        <v>2.0868566313832</v>
      </c>
      <c r="E92" s="7" t="n">
        <f aca="false">TDIST(ABS(D92),$H$87,2)</f>
        <v>0.0406526481785712</v>
      </c>
    </row>
    <row r="93" customFormat="false" ht="15" hidden="false" customHeight="false" outlineLevel="0" collapsed="false">
      <c r="A93" s="24" t="s">
        <v>139</v>
      </c>
      <c r="B93" s="25" t="n">
        <f aca="false">INDEX(LINEST($B$6:$B$81,$C$6:$I$81,TRUE(),TRUE()),1,3)</f>
        <v>-0.0997869301949002</v>
      </c>
      <c r="C93" s="8" t="n">
        <f aca="false">INDEX(LINEST($B$6:$B$81,$C$6:$I$81,TRUE(),TRUE()),2,3)</f>
        <v>0.0315399742832869</v>
      </c>
      <c r="D93" s="5" t="n">
        <f aca="false">B93/C93</f>
        <v>-3.16382408237338</v>
      </c>
      <c r="E93" s="7" t="n">
        <f aca="false">TDIST(ABS(D93),$H$87,2)</f>
        <v>0.00232863844690825</v>
      </c>
    </row>
    <row r="94" customFormat="false" ht="15" hidden="false" customHeight="false" outlineLevel="0" collapsed="false">
      <c r="A94" s="24" t="s">
        <v>140</v>
      </c>
      <c r="B94" s="25" t="n">
        <f aca="false">INDEX(LINEST($B$6:$B$81,$C$6:$I$81,TRUE(),TRUE()),1,2)</f>
        <v>0.181146376423816</v>
      </c>
      <c r="C94" s="8" t="n">
        <f aca="false">INDEX(LINEST($B$6:$B$81,$C$6:$I$81,TRUE(),TRUE()),2,2)</f>
        <v>0.057676602898171</v>
      </c>
      <c r="D94" s="5" t="n">
        <f aca="false">B94/C94</f>
        <v>3.14072548176308</v>
      </c>
      <c r="E94" s="7" t="n">
        <f aca="false">TDIST(ABS(D94),$H$87,2)</f>
        <v>0.00249476145354365</v>
      </c>
    </row>
    <row r="95" customFormat="false" ht="15" hidden="false" customHeight="false" outlineLevel="0" collapsed="false">
      <c r="A95" s="24" t="s">
        <v>172</v>
      </c>
      <c r="B95" s="25" t="n">
        <f aca="false">INDEX(LINEST($B$6:$B$81,$C$6:$I$81,TRUE(),TRUE()),1,1)</f>
        <v>0.830810584099545</v>
      </c>
      <c r="C95" s="8" t="n">
        <f aca="false">INDEX(LINEST($B$6:$B$81,$C$6:$I$81,TRUE(),TRUE()),2,1)</f>
        <v>0.0683349851531613</v>
      </c>
      <c r="D95" s="5" t="n">
        <f aca="false">B95/C95</f>
        <v>12.1579097769235</v>
      </c>
      <c r="E95" s="7" t="n">
        <f aca="false">TDIST(ABS(D95),$H$87,2)</f>
        <v>1.02330233069355E-018</v>
      </c>
    </row>
    <row r="97" customFormat="false" ht="15" hidden="false" customHeight="false" outlineLevel="0" collapsed="false">
      <c r="A97" s="21" t="s">
        <v>156</v>
      </c>
      <c r="B97" s="22"/>
      <c r="C97" s="22"/>
      <c r="D97" s="22"/>
      <c r="E97" s="22"/>
      <c r="F97" s="22"/>
      <c r="G97" s="22"/>
      <c r="H97" s="22"/>
      <c r="I97" s="22"/>
      <c r="J97" s="22"/>
    </row>
    <row r="98" customFormat="false" ht="15" hidden="false" customHeight="false" outlineLevel="0" collapsed="false">
      <c r="A98" s="24" t="s">
        <v>157</v>
      </c>
      <c r="B98" s="5" t="n">
        <f aca="false">COUNT($B$6:$B$81)</f>
        <v>76</v>
      </c>
    </row>
    <row r="99" customFormat="false" ht="15" hidden="false" customHeight="false" outlineLevel="0" collapsed="false">
      <c r="A99" s="24" t="s">
        <v>7</v>
      </c>
      <c r="B99" s="5" t="n">
        <v>8</v>
      </c>
    </row>
    <row r="100" customFormat="false" ht="15" hidden="false" customHeight="false" outlineLevel="0" collapsed="false">
      <c r="A100" s="24" t="s">
        <v>8</v>
      </c>
      <c r="B100" s="6" t="n">
        <f aca="false">INDEX(LINEST($B$6:$B$81,$C$6:$I$81,TRUE(),TRUE()),3,1)</f>
        <v>0.743314935531447</v>
      </c>
    </row>
    <row r="101" customFormat="false" ht="15" hidden="false" customHeight="false" outlineLevel="0" collapsed="false">
      <c r="A101" s="24" t="s">
        <v>9</v>
      </c>
      <c r="B101" s="26" t="n">
        <f aca="false">1-(1-B100)*(B98-1)/(B98-B99)</f>
        <v>0.716891473012626</v>
      </c>
    </row>
    <row r="102" customFormat="false" ht="15" hidden="false" customHeight="false" outlineLevel="0" collapsed="false">
      <c r="A102" s="24" t="s">
        <v>10</v>
      </c>
      <c r="B102" s="8" t="n">
        <f aca="false">INDEX(LINEST($B$6:$B$81,$C$6:$I$81,TRUE(),TRUE()),5,2)</f>
        <v>0.0708742906755407</v>
      </c>
    </row>
    <row r="103" customFormat="false" ht="15" hidden="false" customHeight="false" outlineLevel="0" collapsed="false">
      <c r="A103" s="24" t="s">
        <v>158</v>
      </c>
      <c r="B103" s="6" t="n">
        <f aca="false">-B98/2*(LN(2*PI())+LN(B102/B98)+1)</f>
        <v>157.308744360728</v>
      </c>
    </row>
    <row r="104" customFormat="false" ht="15" hidden="false" customHeight="false" outlineLevel="0" collapsed="false">
      <c r="A104" s="24" t="s">
        <v>11</v>
      </c>
      <c r="B104" s="27" t="n">
        <f aca="false">-2*B103+2*B99</f>
        <v>-298.617488721457</v>
      </c>
    </row>
    <row r="105" customFormat="false" ht="15" hidden="false" customHeight="false" outlineLevel="0" collapsed="false">
      <c r="A105" s="24" t="s">
        <v>12</v>
      </c>
      <c r="B105" s="27" t="n">
        <f aca="false">-2*B103+LN(B98)*B99</f>
        <v>-279.971621999166</v>
      </c>
    </row>
    <row r="107" customFormat="false" ht="15" hidden="false" customHeight="false" outlineLevel="0" collapsed="false">
      <c r="A107" s="10" t="s">
        <v>13</v>
      </c>
      <c r="B107" s="28" t="n">
        <f aca="false">SUMXMY2(K7:K81,K6:K80)/SUMSQ(K6:K81)</f>
        <v>2.11601335990161</v>
      </c>
    </row>
    <row r="109" customFormat="false" ht="15" hidden="false" customHeight="false" outlineLevel="0" collapsed="false">
      <c r="A109" s="21" t="s">
        <v>173</v>
      </c>
      <c r="B109" s="22"/>
      <c r="C109" s="22"/>
      <c r="D109" s="22"/>
      <c r="E109" s="22"/>
      <c r="F109" s="22"/>
      <c r="G109" s="22"/>
      <c r="H109" s="22"/>
      <c r="I109" s="22"/>
    </row>
    <row r="110" customFormat="false" ht="15" hidden="false" customHeight="false" outlineLevel="0" collapsed="false">
      <c r="A110" s="2" t="s">
        <v>174</v>
      </c>
    </row>
    <row r="111" customFormat="false" ht="15" hidden="false" customHeight="false" outlineLevel="0" collapsed="false">
      <c r="A111" s="24" t="s">
        <v>175</v>
      </c>
      <c r="B111" s="8" t="n">
        <f aca="false">B102</f>
        <v>0.0708742906755407</v>
      </c>
    </row>
    <row r="112" customFormat="false" ht="15" hidden="false" customHeight="false" outlineLevel="0" collapsed="false">
      <c r="A112" s="24" t="s">
        <v>176</v>
      </c>
      <c r="B112" s="8" t="n">
        <f aca="false">Modelo_Actual!B101</f>
        <v>0.0772633950960716</v>
      </c>
    </row>
    <row r="113" customFormat="false" ht="15" hidden="false" customHeight="false" outlineLevel="0" collapsed="false">
      <c r="A113" s="24" t="s">
        <v>177</v>
      </c>
      <c r="B113" s="5" t="n">
        <v>1</v>
      </c>
    </row>
    <row r="114" customFormat="false" ht="15" hidden="false" customHeight="false" outlineLevel="0" collapsed="false">
      <c r="A114" s="24" t="s">
        <v>154</v>
      </c>
      <c r="B114" s="5" t="n">
        <f aca="false">$H$87</f>
        <v>68</v>
      </c>
    </row>
    <row r="115" customFormat="false" ht="15" hidden="false" customHeight="false" outlineLevel="0" collapsed="false">
      <c r="A115" s="24" t="s">
        <v>19</v>
      </c>
      <c r="B115" s="30" t="n">
        <f aca="false">((B112-B111)/B113)/(B111/B114)</f>
        <v>6.12999574958758</v>
      </c>
    </row>
    <row r="116" customFormat="false" ht="15" hidden="false" customHeight="false" outlineLevel="0" collapsed="false">
      <c r="A116" s="24" t="s">
        <v>20</v>
      </c>
      <c r="B116" s="26" t="n">
        <f aca="false">FDIST(B115,B113,B114)</f>
        <v>0.0157858997098416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9" min="2" style="0" width="13"/>
  </cols>
  <sheetData>
    <row r="1" customFormat="false" ht="17.35" hidden="false" customHeight="false" outlineLevel="0" collapsed="false">
      <c r="A1" s="1" t="s">
        <v>178</v>
      </c>
    </row>
    <row r="2" customFormat="false" ht="15" hidden="false" customHeight="false" outlineLevel="0" collapsed="false">
      <c r="A2" s="2" t="s">
        <v>179</v>
      </c>
    </row>
    <row r="5" customFormat="false" ht="15" hidden="false" customHeight="false" outlineLevel="0" collapsed="false">
      <c r="A5" s="3" t="s">
        <v>36</v>
      </c>
      <c r="B5" s="3" t="s">
        <v>134</v>
      </c>
      <c r="C5" s="3" t="s">
        <v>180</v>
      </c>
      <c r="D5" s="3" t="s">
        <v>136</v>
      </c>
      <c r="E5" s="3" t="s">
        <v>137</v>
      </c>
      <c r="F5" s="3" t="s">
        <v>138</v>
      </c>
      <c r="G5" s="3" t="s">
        <v>139</v>
      </c>
      <c r="H5" s="3" t="s">
        <v>181</v>
      </c>
      <c r="I5" s="3" t="s">
        <v>141</v>
      </c>
      <c r="J5" s="3" t="s">
        <v>142</v>
      </c>
      <c r="K5" s="3" t="s">
        <v>143</v>
      </c>
    </row>
    <row r="6" customFormat="false" ht="15" hidden="false" customHeight="false" outlineLevel="0" collapsed="false">
      <c r="A6" s="19" t="str">
        <f aca="false">Datos!A14</f>
        <v>2007Q2</v>
      </c>
      <c r="B6" s="20" t="n">
        <f aca="false">Datos!L14</f>
        <v>0.0150044625048817</v>
      </c>
      <c r="C6" s="20" t="n">
        <f aca="false">Datos!I9</f>
        <v>-0.0419198094643447</v>
      </c>
      <c r="D6" s="20" t="n">
        <f aca="false">Datos!H14</f>
        <v>58.1062311827956</v>
      </c>
      <c r="E6" s="20" t="n">
        <f aca="false">Datos!H12</f>
        <v>-57.3400276497695</v>
      </c>
      <c r="F6" s="20" t="n">
        <f aca="false">Datos!H8</f>
        <v>9.68690215163929</v>
      </c>
      <c r="G6" s="20" t="n">
        <f aca="false">Datos!J8</f>
        <v>-0.0652841179146</v>
      </c>
      <c r="H6" s="20" t="n">
        <f aca="false">Datos!K13</f>
        <v>0.0394713580665338</v>
      </c>
      <c r="I6" s="18" t="n">
        <v>1</v>
      </c>
      <c r="J6" s="18" t="n">
        <f aca="false">B6-($B$88+$B$89*C6+$B$90*D6+$B$91*E6+$B$92*F6+$B$93*G6+$B$94*H6)</f>
        <v>-0.00535460913062409</v>
      </c>
      <c r="K6" s="18" t="n">
        <f aca="false">J6^2</f>
        <v>2.86718389417629E-005</v>
      </c>
    </row>
    <row r="7" customFormat="false" ht="15" hidden="false" customHeight="false" outlineLevel="0" collapsed="false">
      <c r="A7" s="19" t="str">
        <f aca="false">Datos!A15</f>
        <v>2007Q3</v>
      </c>
      <c r="B7" s="20" t="n">
        <f aca="false">Datos!L15</f>
        <v>-0.0143158967408283</v>
      </c>
      <c r="C7" s="20" t="n">
        <f aca="false">Datos!I10</f>
        <v>0.023609732064594</v>
      </c>
      <c r="D7" s="20" t="n">
        <f aca="false">Datos!H15</f>
        <v>146.742396825397</v>
      </c>
      <c r="E7" s="20" t="n">
        <f aca="false">Datos!H13</f>
        <v>-71.4258225806452</v>
      </c>
      <c r="F7" s="20" t="n">
        <f aca="false">Datos!H9</f>
        <v>-29.0010684822845</v>
      </c>
      <c r="G7" s="20" t="n">
        <f aca="false">Datos!J9</f>
        <v>0.104633678332462</v>
      </c>
      <c r="H7" s="20" t="n">
        <f aca="false">Datos!K14</f>
        <v>-0.0416510073677663</v>
      </c>
      <c r="I7" s="18" t="n">
        <v>1</v>
      </c>
      <c r="J7" s="18" t="n">
        <f aca="false">B7-($B$88+$B$89*C7+$B$90*D7+$B$91*E7+$B$92*F7+$B$93*G7+$B$94*H7)</f>
        <v>0.0129174354063893</v>
      </c>
      <c r="K7" s="18" t="n">
        <f aca="false">J7^2</f>
        <v>0.000166860137478239</v>
      </c>
    </row>
    <row r="8" customFormat="false" ht="15" hidden="false" customHeight="false" outlineLevel="0" collapsed="false">
      <c r="A8" s="19" t="str">
        <f aca="false">Datos!A16</f>
        <v>2007Q4</v>
      </c>
      <c r="B8" s="20" t="n">
        <f aca="false">Datos!L16</f>
        <v>0.00839550917295817</v>
      </c>
      <c r="C8" s="20" t="n">
        <f aca="false">Datos!I11</f>
        <v>0.0162246735540563</v>
      </c>
      <c r="D8" s="20" t="n">
        <f aca="false">Datos!H16</f>
        <v>-28.2266763952893</v>
      </c>
      <c r="E8" s="20" t="n">
        <f aca="false">Datos!H14</f>
        <v>58.1062311827956</v>
      </c>
      <c r="F8" s="20" t="n">
        <f aca="false">Datos!H10</f>
        <v>-40.7013678955453</v>
      </c>
      <c r="G8" s="20" t="n">
        <f aca="false">Datos!J10</f>
        <v>-0.0328640375646361</v>
      </c>
      <c r="H8" s="20" t="n">
        <f aca="false">Datos!K15</f>
        <v>-0.0183885313531229</v>
      </c>
      <c r="I8" s="18" t="n">
        <v>1</v>
      </c>
      <c r="J8" s="18" t="n">
        <f aca="false">B8-($B$88+$B$89*C8+$B$90*D8+$B$91*E8+$B$92*F8+$B$93*G8+$B$94*H8)</f>
        <v>0.0130577011666621</v>
      </c>
      <c r="K8" s="18" t="n">
        <f aca="false">J8^2</f>
        <v>0.000170503559757848</v>
      </c>
    </row>
    <row r="9" customFormat="false" ht="15" hidden="false" customHeight="false" outlineLevel="0" collapsed="false">
      <c r="A9" s="19" t="str">
        <f aca="false">Datos!A17</f>
        <v>2008Q1</v>
      </c>
      <c r="B9" s="20" t="n">
        <f aca="false">Datos!L17</f>
        <v>-0.0235503405334447</v>
      </c>
      <c r="C9" s="20" t="n">
        <f aca="false">Datos!I12</f>
        <v>0.0277019388743396</v>
      </c>
      <c r="D9" s="20" t="n">
        <f aca="false">Datos!H17</f>
        <v>95.3370391327341</v>
      </c>
      <c r="E9" s="20" t="n">
        <f aca="false">Datos!H15</f>
        <v>146.742396825397</v>
      </c>
      <c r="F9" s="20" t="n">
        <f aca="false">Datos!H11</f>
        <v>-14.6685238095238</v>
      </c>
      <c r="G9" s="20" t="n">
        <f aca="false">Datos!J11</f>
        <v>0.0272371314829849</v>
      </c>
      <c r="H9" s="20" t="n">
        <f aca="false">Datos!K16</f>
        <v>0.126406856244862</v>
      </c>
      <c r="I9" s="18" t="n">
        <v>1</v>
      </c>
      <c r="J9" s="18" t="n">
        <f aca="false">B9-($B$88+$B$89*C9+$B$90*D9+$B$91*E9+$B$92*F9+$B$93*G9+$B$94*H9)</f>
        <v>-0.0291323655824438</v>
      </c>
      <c r="K9" s="18" t="n">
        <f aca="false">J9^2</f>
        <v>0.000848694724429159</v>
      </c>
    </row>
    <row r="10" customFormat="false" ht="15" hidden="false" customHeight="false" outlineLevel="0" collapsed="false">
      <c r="A10" s="19" t="str">
        <f aca="false">Datos!A18</f>
        <v>2008Q2</v>
      </c>
      <c r="B10" s="20" t="n">
        <f aca="false">Datos!L18</f>
        <v>-0.0145962910187984</v>
      </c>
      <c r="C10" s="20" t="n">
        <f aca="false">Datos!I13</f>
        <v>0.0341545485767323</v>
      </c>
      <c r="D10" s="20" t="n">
        <f aca="false">Datos!H18</f>
        <v>74.4147768954915</v>
      </c>
      <c r="E10" s="20" t="n">
        <f aca="false">Datos!H16</f>
        <v>-28.2266763952893</v>
      </c>
      <c r="F10" s="20" t="n">
        <f aca="false">Datos!H12</f>
        <v>-57.3400276497695</v>
      </c>
      <c r="G10" s="20" t="n">
        <f aca="false">Datos!J12</f>
        <v>0.0188405816005308</v>
      </c>
      <c r="H10" s="20" t="n">
        <f aca="false">Datos!K17</f>
        <v>0.0947144557948736</v>
      </c>
      <c r="I10" s="18" t="n">
        <v>1</v>
      </c>
      <c r="J10" s="18" t="n">
        <f aca="false">B10-($B$88+$B$89*C10+$B$90*D10+$B$91*E10+$B$92*F10+$B$93*G10+$B$94*H10)</f>
        <v>-0.0223642195457387</v>
      </c>
      <c r="K10" s="18" t="n">
        <f aca="false">J10^2</f>
        <v>0.000500158315890002</v>
      </c>
    </row>
    <row r="11" customFormat="false" ht="15" hidden="false" customHeight="false" outlineLevel="0" collapsed="false">
      <c r="A11" s="19" t="str">
        <f aca="false">Datos!A19</f>
        <v>2008Q3</v>
      </c>
      <c r="B11" s="20" t="n">
        <f aca="false">Datos!L19</f>
        <v>0.00553330668917318</v>
      </c>
      <c r="C11" s="20" t="n">
        <f aca="false">Datos!I14</f>
        <v>-0.012635858101546</v>
      </c>
      <c r="D11" s="20" t="n">
        <f aca="false">Datos!H19</f>
        <v>140.17396875</v>
      </c>
      <c r="E11" s="20" t="n">
        <f aca="false">Datos!H17</f>
        <v>95.3370391327341</v>
      </c>
      <c r="F11" s="20" t="n">
        <f aca="false">Datos!H13</f>
        <v>-71.4258225806452</v>
      </c>
      <c r="G11" s="20" t="n">
        <f aca="false">Datos!J13</f>
        <v>0.0352994903857049</v>
      </c>
      <c r="H11" s="20" t="n">
        <f aca="false">Datos!K18</f>
        <v>-0.088947266354809</v>
      </c>
      <c r="I11" s="18" t="n">
        <v>1</v>
      </c>
      <c r="J11" s="18" t="n">
        <f aca="false">B11-($B$88+$B$89*C11+$B$90*D11+$B$91*E11+$B$92*F11+$B$93*G11+$B$94*H11)</f>
        <v>0.0401439594260094</v>
      </c>
      <c r="K11" s="18" t="n">
        <f aca="false">J11^2</f>
        <v>0.00161153747839709</v>
      </c>
    </row>
    <row r="12" customFormat="false" ht="15" hidden="false" customHeight="false" outlineLevel="0" collapsed="false">
      <c r="A12" s="19" t="str">
        <f aca="false">Datos!A20</f>
        <v>2008Q4</v>
      </c>
      <c r="B12" s="20" t="n">
        <f aca="false">Datos!L20</f>
        <v>-0.079850070278089</v>
      </c>
      <c r="C12" s="20" t="n">
        <f aca="false">Datos!I15</f>
        <v>-0.0246226187787558</v>
      </c>
      <c r="D12" s="20" t="n">
        <f aca="false">Datos!H20</f>
        <v>999.763070060484</v>
      </c>
      <c r="E12" s="20" t="n">
        <f aca="false">Datos!H18</f>
        <v>74.4147768954915</v>
      </c>
      <c r="F12" s="20" t="n">
        <f aca="false">Datos!H14</f>
        <v>58.1062311827956</v>
      </c>
      <c r="G12" s="20" t="n">
        <f aca="false">Datos!J14</f>
        <v>0.00539921963636064</v>
      </c>
      <c r="H12" s="20" t="n">
        <f aca="false">Datos!K19</f>
        <v>0.0223520724544983</v>
      </c>
      <c r="I12" s="18" t="n">
        <v>1</v>
      </c>
      <c r="J12" s="18" t="n">
        <f aca="false">B12-($B$88+$B$89*C12+$B$90*D12+$B$91*E12+$B$92*F12+$B$93*G12+$B$94*H12)</f>
        <v>-0.0225956896212761</v>
      </c>
      <c r="K12" s="18" t="n">
        <f aca="false">J12^2</f>
        <v>0.000510565189461043</v>
      </c>
    </row>
    <row r="13" customFormat="false" ht="15" hidden="false" customHeight="false" outlineLevel="0" collapsed="false">
      <c r="A13" s="19" t="str">
        <f aca="false">Datos!A21</f>
        <v>2009Q1</v>
      </c>
      <c r="B13" s="20" t="n">
        <f aca="false">Datos!L21</f>
        <v>-0.0420976425988534</v>
      </c>
      <c r="C13" s="20" t="n">
        <f aca="false">Datos!I16</f>
        <v>-0.0513696334944869</v>
      </c>
      <c r="D13" s="20" t="n">
        <f aca="false">Datos!H21</f>
        <v>3.47016790058183</v>
      </c>
      <c r="E13" s="20" t="n">
        <f aca="false">Datos!H19</f>
        <v>140.17396875</v>
      </c>
      <c r="F13" s="20" t="n">
        <f aca="false">Datos!H15</f>
        <v>146.742396825397</v>
      </c>
      <c r="G13" s="20" t="n">
        <f aca="false">Datos!J15</f>
        <v>0.100083014779252</v>
      </c>
      <c r="H13" s="20" t="n">
        <f aca="false">Datos!K20</f>
        <v>-0.181715050328396</v>
      </c>
      <c r="I13" s="18" t="n">
        <v>1</v>
      </c>
      <c r="J13" s="18" t="n">
        <f aca="false">B13-($B$88+$B$89*C13+$B$90*D13+$B$91*E13+$B$92*F13+$B$93*G13+$B$94*H13)</f>
        <v>-0.00289809556966403</v>
      </c>
      <c r="K13" s="18" t="n">
        <f aca="false">J13^2</f>
        <v>8.39895793090626E-006</v>
      </c>
    </row>
    <row r="14" customFormat="false" ht="15" hidden="false" customHeight="false" outlineLevel="0" collapsed="false">
      <c r="A14" s="19" t="str">
        <f aca="false">Datos!A22</f>
        <v>2009Q2</v>
      </c>
      <c r="B14" s="20" t="n">
        <f aca="false">Datos!L22</f>
        <v>-0.0508579200859648</v>
      </c>
      <c r="C14" s="20" t="n">
        <f aca="false">Datos!I17</f>
        <v>-0.0322053955184198</v>
      </c>
      <c r="D14" s="20" t="n">
        <f aca="false">Datos!H22</f>
        <v>-244.401219359875</v>
      </c>
      <c r="E14" s="20" t="n">
        <f aca="false">Datos!H20</f>
        <v>999.763070060484</v>
      </c>
      <c r="F14" s="20" t="n">
        <f aca="false">Datos!H16</f>
        <v>-28.2266763952893</v>
      </c>
      <c r="G14" s="20" t="n">
        <f aca="false">Datos!J16</f>
        <v>-0.0807503897728054</v>
      </c>
      <c r="H14" s="20" t="n">
        <f aca="false">Datos!K21</f>
        <v>-0.10171645872716</v>
      </c>
      <c r="I14" s="18" t="n">
        <v>1</v>
      </c>
      <c r="J14" s="18" t="n">
        <f aca="false">B14-($B$88+$B$89*C14+$B$90*D14+$B$91*E14+$B$92*F14+$B$93*G14+$B$94*H14)</f>
        <v>-0.007580101578737</v>
      </c>
      <c r="K14" s="18" t="n">
        <f aca="false">J14^2</f>
        <v>5.74579399439711E-005</v>
      </c>
    </row>
    <row r="15" customFormat="false" ht="15" hidden="false" customHeight="false" outlineLevel="0" collapsed="false">
      <c r="A15" s="19" t="str">
        <f aca="false">Datos!A23</f>
        <v>2009Q3</v>
      </c>
      <c r="B15" s="20" t="n">
        <f aca="false">Datos!L23</f>
        <v>0.0562336718856797</v>
      </c>
      <c r="C15" s="20" t="n">
        <f aca="false">Datos!I18</f>
        <v>-0.0472126174388314</v>
      </c>
      <c r="D15" s="20" t="n">
        <f aca="false">Datos!H23</f>
        <v>-533.989581101191</v>
      </c>
      <c r="E15" s="20" t="n">
        <f aca="false">Datos!H21</f>
        <v>3.47016790058183</v>
      </c>
      <c r="F15" s="20" t="n">
        <f aca="false">Datos!H17</f>
        <v>95.3370391327341</v>
      </c>
      <c r="G15" s="20" t="n">
        <f aca="false">Datos!J17</f>
        <v>-0.0136163320117733</v>
      </c>
      <c r="H15" s="20" t="n">
        <f aca="false">Datos!K22</f>
        <v>0.129643513362584</v>
      </c>
      <c r="I15" s="18" t="n">
        <v>1</v>
      </c>
      <c r="J15" s="18" t="n">
        <f aca="false">B15-($B$88+$B$89*C15+$B$90*D15+$B$91*E15+$B$92*F15+$B$93*G15+$B$94*H15)</f>
        <v>-0.0160150832458222</v>
      </c>
      <c r="K15" s="18" t="n">
        <f aca="false">J15^2</f>
        <v>0.000256482891370614</v>
      </c>
    </row>
    <row r="16" customFormat="false" ht="15" hidden="false" customHeight="false" outlineLevel="0" collapsed="false">
      <c r="A16" s="19" t="str">
        <f aca="false">Datos!A24</f>
        <v>2009Q4</v>
      </c>
      <c r="B16" s="20" t="n">
        <f aca="false">Datos!L24</f>
        <v>0.0593317819018042</v>
      </c>
      <c r="C16" s="20" t="n">
        <f aca="false">Datos!I19</f>
        <v>0.0103881918110503</v>
      </c>
      <c r="D16" s="20" t="n">
        <f aca="false">Datos!H24</f>
        <v>-203.745835181452</v>
      </c>
      <c r="E16" s="20" t="n">
        <f aca="false">Datos!H22</f>
        <v>-244.401219359875</v>
      </c>
      <c r="F16" s="20" t="n">
        <f aca="false">Datos!H18</f>
        <v>74.4147768954915</v>
      </c>
      <c r="G16" s="20" t="n">
        <f aca="false">Datos!J18</f>
        <v>0.051677262796743</v>
      </c>
      <c r="H16" s="20" t="n">
        <f aca="false">Datos!K23</f>
        <v>0.0271664532119418</v>
      </c>
      <c r="I16" s="18" t="n">
        <v>1</v>
      </c>
      <c r="J16" s="18" t="n">
        <f aca="false">B16-($B$88+$B$89*C16+$B$90*D16+$B$91*E16+$B$92*F16+$B$93*G16+$B$94*H16)</f>
        <v>0.0311714203349729</v>
      </c>
      <c r="K16" s="18" t="n">
        <f aca="false">J16^2</f>
        <v>0.000971657445699559</v>
      </c>
    </row>
    <row r="17" customFormat="false" ht="15" hidden="false" customHeight="false" outlineLevel="0" collapsed="false">
      <c r="A17" s="19" t="str">
        <f aca="false">Datos!A25</f>
        <v>2010Q1</v>
      </c>
      <c r="B17" s="20" t="n">
        <f aca="false">Datos!L25</f>
        <v>0.0543127088139386</v>
      </c>
      <c r="C17" s="20" t="n">
        <f aca="false">Datos!I20</f>
        <v>-0.012294190622106</v>
      </c>
      <c r="D17" s="20" t="n">
        <f aca="false">Datos!H25</f>
        <v>15.4416356425168</v>
      </c>
      <c r="E17" s="20" t="n">
        <f aca="false">Datos!H23</f>
        <v>-533.989581101191</v>
      </c>
      <c r="F17" s="20" t="n">
        <f aca="false">Datos!H19</f>
        <v>140.17396875</v>
      </c>
      <c r="G17" s="20" t="n">
        <f aca="false">Datos!J19</f>
        <v>-0.0922660919721236</v>
      </c>
      <c r="H17" s="20" t="n">
        <f aca="false">Datos!K24</f>
        <v>0.081172316441758</v>
      </c>
      <c r="I17" s="18" t="n">
        <v>1</v>
      </c>
      <c r="J17" s="18" t="n">
        <f aca="false">B17-($B$88+$B$89*C17+$B$90*D17+$B$91*E17+$B$92*F17+$B$93*G17+$B$94*H17)</f>
        <v>-0.00410402810637971</v>
      </c>
      <c r="K17" s="18" t="n">
        <f aca="false">J17^2</f>
        <v>1.68430466979547E-005</v>
      </c>
    </row>
    <row r="18" customFormat="false" ht="15" hidden="false" customHeight="false" outlineLevel="0" collapsed="false">
      <c r="A18" s="19" t="str">
        <f aca="false">Datos!A26</f>
        <v>2010Q2</v>
      </c>
      <c r="B18" s="20" t="n">
        <f aca="false">Datos!L26</f>
        <v>0.105309304015361</v>
      </c>
      <c r="C18" s="20" t="n">
        <f aca="false">Datos!I21</f>
        <v>-0.0506409298873551</v>
      </c>
      <c r="D18" s="20" t="n">
        <f aca="false">Datos!H26</f>
        <v>0.464510798855258</v>
      </c>
      <c r="E18" s="20" t="n">
        <f aca="false">Datos!H24</f>
        <v>-203.745835181452</v>
      </c>
      <c r="F18" s="20" t="n">
        <f aca="false">Datos!H20</f>
        <v>999.763070060484</v>
      </c>
      <c r="G18" s="20" t="n">
        <f aca="false">Datos!J20</f>
        <v>0.044032264635168</v>
      </c>
      <c r="H18" s="20" t="n">
        <f aca="false">Datos!K25</f>
        <v>0.00367116102547781</v>
      </c>
      <c r="I18" s="18" t="n">
        <v>1</v>
      </c>
      <c r="J18" s="18" t="n">
        <f aca="false">B18-($B$88+$B$89*C18+$B$90*D18+$B$91*E18+$B$92*F18+$B$93*G18+$B$94*H18)</f>
        <v>0.0543330429317793</v>
      </c>
      <c r="K18" s="18" t="n">
        <f aca="false">J18^2</f>
        <v>0.00295207955422657</v>
      </c>
    </row>
    <row r="19" customFormat="false" ht="15" hidden="false" customHeight="false" outlineLevel="0" collapsed="false">
      <c r="A19" s="19" t="str">
        <f aca="false">Datos!A27</f>
        <v>2010Q3</v>
      </c>
      <c r="B19" s="20" t="n">
        <f aca="false">Datos!L27</f>
        <v>-0.0673645714182929</v>
      </c>
      <c r="C19" s="20" t="n">
        <f aca="false">Datos!I22</f>
        <v>-0.0270336828188397</v>
      </c>
      <c r="D19" s="20" t="n">
        <f aca="false">Datos!H27</f>
        <v>-22.7225300099209</v>
      </c>
      <c r="E19" s="20" t="n">
        <f aca="false">Datos!H25</f>
        <v>15.4416356425168</v>
      </c>
      <c r="F19" s="20" t="n">
        <f aca="false">Datos!H21</f>
        <v>3.47016790058183</v>
      </c>
      <c r="G19" s="20" t="n">
        <f aca="false">Datos!J21</f>
        <v>-0.0701582840739423</v>
      </c>
      <c r="H19" s="20" t="n">
        <f aca="false">Datos!K26</f>
        <v>-0.134873174066432</v>
      </c>
      <c r="I19" s="18" t="n">
        <v>1</v>
      </c>
      <c r="J19" s="18" t="n">
        <f aca="false">B19-($B$88+$B$89*C19+$B$90*D19+$B$91*E19+$B$92*F19+$B$93*G19+$B$94*H19)</f>
        <v>-0.0525139538546553</v>
      </c>
      <c r="K19" s="18" t="n">
        <f aca="false">J19^2</f>
        <v>0.00275771534944887</v>
      </c>
    </row>
    <row r="20" customFormat="false" ht="15" hidden="false" customHeight="false" outlineLevel="0" collapsed="false">
      <c r="A20" s="19" t="str">
        <f aca="false">Datos!A28</f>
        <v>2010Q4</v>
      </c>
      <c r="B20" s="20" t="n">
        <f aca="false">Datos!L28</f>
        <v>-0.00897949256805108</v>
      </c>
      <c r="C20" s="20" t="n">
        <f aca="false">Datos!I23</f>
        <v>0.0188952503887881</v>
      </c>
      <c r="D20" s="20" t="n">
        <f aca="false">Datos!H28</f>
        <v>-165.748584173387</v>
      </c>
      <c r="E20" s="20" t="n">
        <f aca="false">Datos!H26</f>
        <v>0.464510798855258</v>
      </c>
      <c r="F20" s="20" t="n">
        <f aca="false">Datos!H22</f>
        <v>-244.401219359875</v>
      </c>
      <c r="G20" s="20" t="n">
        <f aca="false">Datos!J22</f>
        <v>0.054123533141051</v>
      </c>
      <c r="H20" s="20" t="n">
        <f aca="false">Datos!K27</f>
        <v>0.00395895744112517</v>
      </c>
      <c r="I20" s="18" t="n">
        <v>1</v>
      </c>
      <c r="J20" s="18" t="n">
        <f aca="false">B20-($B$88+$B$89*C20+$B$90*D20+$B$91*E20+$B$92*F20+$B$93*G20+$B$94*H20)</f>
        <v>-0.00481849453114664</v>
      </c>
      <c r="K20" s="18" t="n">
        <f aca="false">J20^2</f>
        <v>2.32178895466901E-005</v>
      </c>
    </row>
    <row r="21" customFormat="false" ht="15" hidden="false" customHeight="false" outlineLevel="0" collapsed="false">
      <c r="A21" s="19" t="str">
        <f aca="false">Datos!A29</f>
        <v>2011Q1</v>
      </c>
      <c r="B21" s="20" t="n">
        <f aca="false">Datos!L29</f>
        <v>-0.0031717685997612</v>
      </c>
      <c r="C21" s="20" t="n">
        <f aca="false">Datos!I24</f>
        <v>0.0202660816321944</v>
      </c>
      <c r="D21" s="20" t="n">
        <f aca="false">Datos!H29</f>
        <v>-12.9487096774192</v>
      </c>
      <c r="E21" s="20" t="n">
        <f aca="false">Datos!H27</f>
        <v>-22.7225300099209</v>
      </c>
      <c r="F21" s="20" t="n">
        <f aca="false">Datos!H23</f>
        <v>-533.989581101191</v>
      </c>
      <c r="G21" s="20" t="n">
        <f aca="false">Datos!J23</f>
        <v>-0.0490698977401611</v>
      </c>
      <c r="H21" s="20" t="n">
        <f aca="false">Datos!K28</f>
        <v>0.05803748575736</v>
      </c>
      <c r="I21" s="18" t="n">
        <v>1</v>
      </c>
      <c r="J21" s="18" t="n">
        <f aca="false">B21-($B$88+$B$89*C21+$B$90*D21+$B$91*E21+$B$92*F21+$B$93*G21+$B$94*H21)</f>
        <v>-0.00011214257515748</v>
      </c>
      <c r="K21" s="18" t="n">
        <f aca="false">J21^2</f>
        <v>1.2575957162951E-008</v>
      </c>
    </row>
    <row r="22" customFormat="false" ht="15" hidden="false" customHeight="false" outlineLevel="0" collapsed="false">
      <c r="A22" s="19" t="str">
        <f aca="false">Datos!A30</f>
        <v>2011Q2</v>
      </c>
      <c r="B22" s="20" t="n">
        <f aca="false">Datos!L30</f>
        <v>-0.0384927248467331</v>
      </c>
      <c r="C22" s="20" t="n">
        <f aca="false">Datos!I25</f>
        <v>0.0364851445863187</v>
      </c>
      <c r="D22" s="20" t="n">
        <f aca="false">Datos!H30</f>
        <v>41.5229032258063</v>
      </c>
      <c r="E22" s="20" t="n">
        <f aca="false">Datos!H28</f>
        <v>-165.748584173387</v>
      </c>
      <c r="F22" s="20" t="n">
        <f aca="false">Datos!H24</f>
        <v>-203.745835181452</v>
      </c>
      <c r="G22" s="20" t="n">
        <f aca="false">Datos!J24</f>
        <v>0.0211877049597919</v>
      </c>
      <c r="H22" s="20" t="n">
        <f aca="false">Datos!K29</f>
        <v>0.0369403748928518</v>
      </c>
      <c r="I22" s="18" t="n">
        <v>1</v>
      </c>
      <c r="J22" s="18" t="n">
        <f aca="false">B22-($B$88+$B$89*C22+$B$90*D22+$B$91*E22+$B$92*F22+$B$93*G22+$B$94*H22)</f>
        <v>-0.0380058212614643</v>
      </c>
      <c r="K22" s="18" t="n">
        <f aca="false">J22^2</f>
        <v>0.00144444244975837</v>
      </c>
    </row>
    <row r="23" customFormat="false" ht="15" hidden="false" customHeight="false" outlineLevel="0" collapsed="false">
      <c r="A23" s="19" t="str">
        <f aca="false">Datos!A31</f>
        <v>2011Q3</v>
      </c>
      <c r="B23" s="20" t="n">
        <f aca="false">Datos!L31</f>
        <v>0.0196602341504317</v>
      </c>
      <c r="C23" s="20" t="n">
        <f aca="false">Datos!I26</f>
        <v>0.115499149243793</v>
      </c>
      <c r="D23" s="20" t="n">
        <f aca="false">Datos!H31</f>
        <v>158.444625</v>
      </c>
      <c r="E23" s="20" t="n">
        <f aca="false">Datos!H29</f>
        <v>-12.9487096774192</v>
      </c>
      <c r="F23" s="20" t="n">
        <f aca="false">Datos!H25</f>
        <v>15.4416356425168</v>
      </c>
      <c r="G23" s="20" t="n">
        <f aca="false">Datos!J25</f>
        <v>0.0221868916706847</v>
      </c>
      <c r="H23" s="20" t="n">
        <f aca="false">Datos!K30</f>
        <v>0.0675225331288068</v>
      </c>
      <c r="I23" s="18" t="n">
        <v>1</v>
      </c>
      <c r="J23" s="18" t="n">
        <f aca="false">B23-($B$88+$B$89*C23+$B$90*D23+$B$91*E23+$B$92*F23+$B$93*G23+$B$94*H23)</f>
        <v>0.0328894886750168</v>
      </c>
      <c r="K23" s="18" t="n">
        <f aca="false">J23^2</f>
        <v>0.00108171846530406</v>
      </c>
    </row>
    <row r="24" customFormat="false" ht="15" hidden="false" customHeight="false" outlineLevel="0" collapsed="false">
      <c r="A24" s="19" t="str">
        <f aca="false">Datos!A32</f>
        <v>2011Q4</v>
      </c>
      <c r="B24" s="20" t="n">
        <f aca="false">Datos!L32</f>
        <v>-0.0119223528865138</v>
      </c>
      <c r="C24" s="20" t="n">
        <f aca="false">Datos!I27</f>
        <v>0.0131107735865699</v>
      </c>
      <c r="D24" s="20" t="n">
        <f aca="false">Datos!H32</f>
        <v>174.585041666667</v>
      </c>
      <c r="E24" s="20" t="n">
        <f aca="false">Datos!H30</f>
        <v>41.5229032258063</v>
      </c>
      <c r="F24" s="20" t="n">
        <f aca="false">Datos!H26</f>
        <v>0.464510798855258</v>
      </c>
      <c r="G24" s="20" t="n">
        <f aca="false">Datos!J26</f>
        <v>-0.0447960728624985</v>
      </c>
      <c r="H24" s="20" t="n">
        <f aca="false">Datos!K31</f>
        <v>-0.0288618479552661</v>
      </c>
      <c r="I24" s="18" t="n">
        <v>1</v>
      </c>
      <c r="J24" s="18" t="n">
        <f aca="false">B24-($B$88+$B$89*C24+$B$90*D24+$B$91*E24+$B$92*F24+$B$93*G24+$B$94*H24)</f>
        <v>0.00395177999294926</v>
      </c>
      <c r="K24" s="18" t="n">
        <f aca="false">J24^2</f>
        <v>1.56165651126741E-005</v>
      </c>
    </row>
    <row r="25" customFormat="false" ht="15" hidden="false" customHeight="false" outlineLevel="0" collapsed="false">
      <c r="A25" s="19" t="str">
        <f aca="false">Datos!A33</f>
        <v>2012Q1</v>
      </c>
      <c r="B25" s="20" t="n">
        <f aca="false">Datos!L33</f>
        <v>-0.0365288496025893</v>
      </c>
      <c r="C25" s="20" t="n">
        <f aca="false">Datos!I28</f>
        <v>0.0312470107223477</v>
      </c>
      <c r="D25" s="20" t="n">
        <f aca="false">Datos!H33</f>
        <v>-75.1010327956988</v>
      </c>
      <c r="E25" s="20" t="n">
        <f aca="false">Datos!H31</f>
        <v>158.444625</v>
      </c>
      <c r="F25" s="20" t="n">
        <f aca="false">Datos!H27</f>
        <v>-22.7225300099209</v>
      </c>
      <c r="G25" s="20" t="n">
        <f aca="false">Datos!J27</f>
        <v>0.0629084391155807</v>
      </c>
      <c r="H25" s="20" t="n">
        <f aca="false">Datos!K32</f>
        <v>-0.0632996042190603</v>
      </c>
      <c r="I25" s="18" t="n">
        <v>1</v>
      </c>
      <c r="J25" s="18" t="n">
        <f aca="false">B25-($B$88+$B$89*C25+$B$90*D25+$B$91*E25+$B$92*F25+$B$93*G25+$B$94*H25)</f>
        <v>-0.0105038284117157</v>
      </c>
      <c r="K25" s="18" t="n">
        <f aca="false">J25^2</f>
        <v>0.000110330411302766</v>
      </c>
    </row>
    <row r="26" customFormat="false" ht="15" hidden="false" customHeight="false" outlineLevel="0" collapsed="false">
      <c r="A26" s="19" t="str">
        <f aca="false">Datos!A34</f>
        <v>2012Q2</v>
      </c>
      <c r="B26" s="20" t="n">
        <f aca="false">Datos!L34</f>
        <v>-0.0619600415532879</v>
      </c>
      <c r="C26" s="20" t="n">
        <f aca="false">Datos!I29</f>
        <v>0.0422766191537938</v>
      </c>
      <c r="D26" s="20" t="n">
        <f aca="false">Datos!H34</f>
        <v>231.838685176651</v>
      </c>
      <c r="E26" s="20" t="n">
        <f aca="false">Datos!H32</f>
        <v>174.585041666667</v>
      </c>
      <c r="F26" s="20" t="n">
        <f aca="false">Datos!H28</f>
        <v>-165.748584173387</v>
      </c>
      <c r="G26" s="20" t="n">
        <f aca="false">Datos!J28</f>
        <v>0.0406890191956908</v>
      </c>
      <c r="H26" s="20" t="n">
        <f aca="false">Datos!K33</f>
        <v>-0.0212380852307825</v>
      </c>
      <c r="I26" s="18" t="n">
        <v>1</v>
      </c>
      <c r="J26" s="18" t="n">
        <f aca="false">B26-($B$88+$B$89*C26+$B$90*D26+$B$91*E26+$B$92*F26+$B$93*G26+$B$94*H26)</f>
        <v>-0.0191946989231257</v>
      </c>
      <c r="K26" s="18" t="n">
        <f aca="false">J26^2</f>
        <v>0.000368436466749442</v>
      </c>
    </row>
    <row r="27" customFormat="false" ht="15" hidden="false" customHeight="false" outlineLevel="0" collapsed="false">
      <c r="A27" s="19" t="str">
        <f aca="false">Datos!A35</f>
        <v>2012Q3</v>
      </c>
      <c r="B27" s="20" t="n">
        <f aca="false">Datos!L35</f>
        <v>0.0351346302789751</v>
      </c>
      <c r="C27" s="20" t="n">
        <f aca="false">Datos!I30</f>
        <v>-0.0386592979395697</v>
      </c>
      <c r="D27" s="20" t="n">
        <f aca="false">Datos!H35</f>
        <v>-43.7133031746029</v>
      </c>
      <c r="E27" s="20" t="n">
        <f aca="false">Datos!H33</f>
        <v>-75.1010327956988</v>
      </c>
      <c r="F27" s="20" t="n">
        <f aca="false">Datos!H29</f>
        <v>-12.9487096774192</v>
      </c>
      <c r="G27" s="20" t="n">
        <f aca="false">Datos!J29</f>
        <v>-0.0741697784354101</v>
      </c>
      <c r="H27" s="20" t="n">
        <f aca="false">Datos!K34</f>
        <v>-0.0420035680408851</v>
      </c>
      <c r="I27" s="18" t="n">
        <v>1</v>
      </c>
      <c r="J27" s="18" t="n">
        <f aca="false">B27-($B$88+$B$89*C27+$B$90*D27+$B$91*E27+$B$92*F27+$B$93*G27+$B$94*H27)</f>
        <v>0.0240766540929561</v>
      </c>
      <c r="K27" s="18" t="n">
        <f aca="false">J27^2</f>
        <v>0.000579685272311858</v>
      </c>
    </row>
    <row r="28" customFormat="false" ht="15" hidden="false" customHeight="false" outlineLevel="0" collapsed="false">
      <c r="A28" s="19" t="str">
        <f aca="false">Datos!A36</f>
        <v>2012Q4</v>
      </c>
      <c r="B28" s="20" t="n">
        <f aca="false">Datos!L36</f>
        <v>0.0167409821196641</v>
      </c>
      <c r="C28" s="20" t="n">
        <f aca="false">Datos!I31</f>
        <v>0.0068203401084819</v>
      </c>
      <c r="D28" s="20" t="n">
        <f aca="false">Datos!H36</f>
        <v>16.4557341269839</v>
      </c>
      <c r="E28" s="20" t="n">
        <f aca="false">Datos!H34</f>
        <v>231.838685176651</v>
      </c>
      <c r="F28" s="20" t="n">
        <f aca="false">Datos!H30</f>
        <v>41.5229032258063</v>
      </c>
      <c r="G28" s="20" t="n">
        <f aca="false">Datos!J30</f>
        <v>0.0370188748562493</v>
      </c>
      <c r="H28" s="20" t="n">
        <f aca="false">Datos!K35</f>
        <v>0.079458812069766</v>
      </c>
      <c r="I28" s="18" t="n">
        <v>1</v>
      </c>
      <c r="J28" s="18" t="n">
        <f aca="false">B28-($B$88+$B$89*C28+$B$90*D28+$B$91*E28+$B$92*F28+$B$93*G28+$B$94*H28)</f>
        <v>0.0156611069140834</v>
      </c>
      <c r="K28" s="18" t="n">
        <f aca="false">J28^2</f>
        <v>0.000245270269774351</v>
      </c>
    </row>
    <row r="29" customFormat="false" ht="15" hidden="false" customHeight="false" outlineLevel="0" collapsed="false">
      <c r="A29" s="19" t="str">
        <f aca="false">Datos!A37</f>
        <v>2013Q1</v>
      </c>
      <c r="B29" s="20" t="n">
        <f aca="false">Datos!L37</f>
        <v>0.000982211281734369</v>
      </c>
      <c r="C29" s="20" t="n">
        <f aca="false">Datos!I32</f>
        <v>-0.0270244482852387</v>
      </c>
      <c r="D29" s="20" t="n">
        <f aca="false">Datos!H37</f>
        <v>88.9247333333331</v>
      </c>
      <c r="E29" s="20" t="n">
        <f aca="false">Datos!H35</f>
        <v>-43.7133031746029</v>
      </c>
      <c r="F29" s="20" t="n">
        <f aca="false">Datos!H31</f>
        <v>158.444625</v>
      </c>
      <c r="G29" s="20" t="n">
        <f aca="false">Datos!J31</f>
        <v>0.0367630898891084</v>
      </c>
      <c r="H29" s="20" t="n">
        <f aca="false">Datos!K36</f>
        <v>-0.0215673319846723</v>
      </c>
      <c r="I29" s="18" t="n">
        <v>1</v>
      </c>
      <c r="J29" s="18" t="n">
        <f aca="false">B29-($B$88+$B$89*C29+$B$90*D29+$B$91*E29+$B$92*F29+$B$93*G29+$B$94*H29)</f>
        <v>0.00166344553105495</v>
      </c>
      <c r="K29" s="18" t="n">
        <f aca="false">J29^2</f>
        <v>2.76705103478668E-006</v>
      </c>
    </row>
    <row r="30" customFormat="false" ht="15" hidden="false" customHeight="false" outlineLevel="0" collapsed="false">
      <c r="A30" s="19" t="str">
        <f aca="false">Datos!A38</f>
        <v>2013Q2</v>
      </c>
      <c r="B30" s="20" t="n">
        <f aca="false">Datos!L38</f>
        <v>0.0559199834902318</v>
      </c>
      <c r="C30" s="20" t="n">
        <f aca="false">Datos!I33</f>
        <v>-0.0290398188694472</v>
      </c>
      <c r="D30" s="20" t="n">
        <f aca="false">Datos!H38</f>
        <v>74.8855166666669</v>
      </c>
      <c r="E30" s="20" t="n">
        <f aca="false">Datos!H36</f>
        <v>16.4557341269839</v>
      </c>
      <c r="F30" s="20" t="n">
        <f aca="false">Datos!H32</f>
        <v>174.585041666667</v>
      </c>
      <c r="G30" s="20" t="n">
        <f aca="false">Datos!J32</f>
        <v>-0.135501479583027</v>
      </c>
      <c r="H30" s="20" t="n">
        <f aca="false">Datos!K37</f>
        <v>-0.0867445085368881</v>
      </c>
      <c r="I30" s="18" t="n">
        <v>1</v>
      </c>
      <c r="J30" s="18" t="n">
        <f aca="false">B30-($B$88+$B$89*C30+$B$90*D30+$B$91*E30+$B$92*F30+$B$93*G30+$B$94*H30)</f>
        <v>0.0550440457702399</v>
      </c>
      <c r="K30" s="18" t="n">
        <f aca="false">J30^2</f>
        <v>0.00302984697475626</v>
      </c>
    </row>
    <row r="31" customFormat="false" ht="15" hidden="false" customHeight="false" outlineLevel="0" collapsed="false">
      <c r="A31" s="19" t="str">
        <f aca="false">Datos!A39</f>
        <v>2013Q3</v>
      </c>
      <c r="B31" s="20" t="n">
        <f aca="false">Datos!L39</f>
        <v>-0.0368763361961251</v>
      </c>
      <c r="C31" s="20" t="n">
        <f aca="false">Datos!I34</f>
        <v>-0.026110493572689</v>
      </c>
      <c r="D31" s="20" t="n">
        <f aca="false">Datos!H39</f>
        <v>-109.725953125</v>
      </c>
      <c r="E31" s="20" t="n">
        <f aca="false">Datos!H37</f>
        <v>88.9247333333331</v>
      </c>
      <c r="F31" s="20" t="n">
        <f aca="false">Datos!H33</f>
        <v>-75.1010327956988</v>
      </c>
      <c r="G31" s="20" t="n">
        <f aca="false">Datos!J33</f>
        <v>0.0927807464043467</v>
      </c>
      <c r="H31" s="20" t="n">
        <f aca="false">Datos!K38</f>
        <v>0.0123174371873954</v>
      </c>
      <c r="I31" s="18" t="n">
        <v>1</v>
      </c>
      <c r="J31" s="18" t="n">
        <f aca="false">B31-($B$88+$B$89*C31+$B$90*D31+$B$91*E31+$B$92*F31+$B$93*G31+$B$94*H31)</f>
        <v>-0.0353125634679694</v>
      </c>
      <c r="K31" s="18" t="n">
        <f aca="false">J31^2</f>
        <v>0.00124697713867937</v>
      </c>
    </row>
    <row r="32" customFormat="false" ht="15" hidden="false" customHeight="false" outlineLevel="0" collapsed="false">
      <c r="A32" s="19" t="str">
        <f aca="false">Datos!A40</f>
        <v>2013Q4</v>
      </c>
      <c r="B32" s="20" t="n">
        <f aca="false">Datos!L40</f>
        <v>-0.0260941044948726</v>
      </c>
      <c r="C32" s="20" t="n">
        <f aca="false">Datos!I35</f>
        <v>0.0386172859864582</v>
      </c>
      <c r="D32" s="20" t="n">
        <f aca="false">Datos!H40</f>
        <v>-236.474292776639</v>
      </c>
      <c r="E32" s="20" t="n">
        <f aca="false">Datos!H38</f>
        <v>74.8855166666669</v>
      </c>
      <c r="F32" s="20" t="n">
        <f aca="false">Datos!H34</f>
        <v>231.838685176651</v>
      </c>
      <c r="G32" s="20" t="n">
        <f aca="false">Datos!J34</f>
        <v>-0.0400600353414598</v>
      </c>
      <c r="H32" s="20" t="n">
        <f aca="false">Datos!K39</f>
        <v>-0.0661301293821577</v>
      </c>
      <c r="I32" s="18" t="n">
        <v>1</v>
      </c>
      <c r="J32" s="18" t="n">
        <f aca="false">B32-($B$88+$B$89*C32+$B$90*D32+$B$91*E32+$B$92*F32+$B$93*G32+$B$94*H32)</f>
        <v>-0.0315830784545605</v>
      </c>
      <c r="K32" s="18" t="n">
        <f aca="false">J32^2</f>
        <v>0.000997490844666925</v>
      </c>
    </row>
    <row r="33" customFormat="false" ht="15" hidden="false" customHeight="false" outlineLevel="0" collapsed="false">
      <c r="A33" s="19" t="str">
        <f aca="false">Datos!A41</f>
        <v>2014Q1</v>
      </c>
      <c r="B33" s="20" t="n">
        <f aca="false">Datos!L41</f>
        <v>-0.00838007808506247</v>
      </c>
      <c r="C33" s="20" t="n">
        <f aca="false">Datos!I36</f>
        <v>0.0395024208900321</v>
      </c>
      <c r="D33" s="20" t="n">
        <f aca="false">Datos!H41</f>
        <v>71.9946229508196</v>
      </c>
      <c r="E33" s="20" t="n">
        <f aca="false">Datos!H39</f>
        <v>-109.725953125</v>
      </c>
      <c r="F33" s="20" t="n">
        <f aca="false">Datos!H35</f>
        <v>-43.7133031746029</v>
      </c>
      <c r="G33" s="20" t="n">
        <f aca="false">Datos!J35</f>
        <v>-0.067078079606848</v>
      </c>
      <c r="H33" s="20" t="n">
        <f aca="false">Datos!K40</f>
        <v>-0.0319000966767005</v>
      </c>
      <c r="I33" s="18" t="n">
        <v>1</v>
      </c>
      <c r="J33" s="18" t="n">
        <f aca="false">B33-($B$88+$B$89*C33+$B$90*D33+$B$91*E33+$B$92*F33+$B$93*G33+$B$94*H33)</f>
        <v>-0.00278523400917735</v>
      </c>
      <c r="K33" s="18" t="n">
        <f aca="false">J33^2</f>
        <v>7.75752848587813E-006</v>
      </c>
    </row>
    <row r="34" customFormat="false" ht="15" hidden="false" customHeight="false" outlineLevel="0" collapsed="false">
      <c r="A34" s="19" t="str">
        <f aca="false">Datos!A42</f>
        <v>2014Q2</v>
      </c>
      <c r="B34" s="20" t="n">
        <f aca="false">Datos!L42</f>
        <v>-0.0115991030912197</v>
      </c>
      <c r="C34" s="20" t="n">
        <f aca="false">Datos!I37</f>
        <v>-0.0136126649327899</v>
      </c>
      <c r="D34" s="20" t="n">
        <f aca="false">Datos!H42</f>
        <v>-143.202551652355</v>
      </c>
      <c r="E34" s="20" t="n">
        <f aca="false">Datos!H40</f>
        <v>-236.474292776639</v>
      </c>
      <c r="F34" s="20" t="n">
        <f aca="false">Datos!H36</f>
        <v>16.4557341269839</v>
      </c>
      <c r="G34" s="20" t="n">
        <f aca="false">Datos!J36</f>
        <v>0.0542645345476518</v>
      </c>
      <c r="H34" s="20" t="n">
        <f aca="false">Datos!K41</f>
        <v>0.0671200742533991</v>
      </c>
      <c r="I34" s="18" t="n">
        <v>1</v>
      </c>
      <c r="J34" s="18" t="n">
        <f aca="false">B34-($B$88+$B$89*C34+$B$90*D34+$B$91*E34+$B$92*F34+$B$93*G34+$B$94*H34)</f>
        <v>-0.0445980456068127</v>
      </c>
      <c r="K34" s="18" t="n">
        <f aca="false">J34^2</f>
        <v>0.00198898567194734</v>
      </c>
    </row>
    <row r="35" customFormat="false" ht="15" hidden="false" customHeight="false" outlineLevel="0" collapsed="false">
      <c r="A35" s="19" t="str">
        <f aca="false">Datos!A43</f>
        <v>2014Q3</v>
      </c>
      <c r="B35" s="20" t="n">
        <f aca="false">Datos!L43</f>
        <v>-0.021895763616679</v>
      </c>
      <c r="C35" s="20" t="n">
        <f aca="false">Datos!I38</f>
        <v>0.000905918240426698</v>
      </c>
      <c r="D35" s="20" t="n">
        <f aca="false">Datos!H43</f>
        <v>-73.5206691468252</v>
      </c>
      <c r="E35" s="20" t="n">
        <f aca="false">Datos!H41</f>
        <v>71.9946229508196</v>
      </c>
      <c r="F35" s="20" t="n">
        <f aca="false">Datos!H37</f>
        <v>88.9247333333331</v>
      </c>
      <c r="G35" s="20" t="n">
        <f aca="false">Datos!J37</f>
        <v>-0.0125683284799909</v>
      </c>
      <c r="H35" s="20" t="n">
        <f aca="false">Datos!K42</f>
        <v>0.0831122793228319</v>
      </c>
      <c r="I35" s="18" t="n">
        <v>1</v>
      </c>
      <c r="J35" s="18" t="n">
        <f aca="false">B35-($B$88+$B$89*C35+$B$90*D35+$B$91*E35+$B$92*F35+$B$93*G35+$B$94*H35)</f>
        <v>-0.0446616739017686</v>
      </c>
      <c r="K35" s="18" t="n">
        <f aca="false">J35^2</f>
        <v>0.00199466511570791</v>
      </c>
    </row>
    <row r="36" customFormat="false" ht="15" hidden="false" customHeight="false" outlineLevel="0" collapsed="false">
      <c r="A36" s="19" t="str">
        <f aca="false">Datos!A44</f>
        <v>2014Q4</v>
      </c>
      <c r="B36" s="20" t="n">
        <f aca="false">Datos!L44</f>
        <v>0.0142278491595248</v>
      </c>
      <c r="C36" s="20" t="n">
        <f aca="false">Datos!I39</f>
        <v>-0.0669208551958795</v>
      </c>
      <c r="D36" s="20" t="n">
        <f aca="false">Datos!H44</f>
        <v>21.0197781762296</v>
      </c>
      <c r="E36" s="20" t="n">
        <f aca="false">Datos!H42</f>
        <v>-143.202551652355</v>
      </c>
      <c r="F36" s="20" t="n">
        <f aca="false">Datos!H38</f>
        <v>74.8855166666669</v>
      </c>
      <c r="G36" s="20" t="n">
        <f aca="false">Datos!J38</f>
        <v>0.0292871541298152</v>
      </c>
      <c r="H36" s="20" t="n">
        <f aca="false">Datos!K43</f>
        <v>-0.0497386703925971</v>
      </c>
      <c r="I36" s="18" t="n">
        <v>1</v>
      </c>
      <c r="J36" s="18" t="n">
        <f aca="false">B36-($B$88+$B$89*C36+$B$90*D36+$B$91*E36+$B$92*F36+$B$93*G36+$B$94*H36)</f>
        <v>0.00770465814061051</v>
      </c>
      <c r="K36" s="18" t="n">
        <f aca="false">J36^2</f>
        <v>5.93617570636759E-005</v>
      </c>
    </row>
    <row r="37" customFormat="false" ht="15" hidden="false" customHeight="false" outlineLevel="0" collapsed="false">
      <c r="A37" s="19" t="str">
        <f aca="false">Datos!A45</f>
        <v>2015Q1</v>
      </c>
      <c r="B37" s="20" t="n">
        <f aca="false">Datos!L45</f>
        <v>0.0306663908660249</v>
      </c>
      <c r="C37" s="20" t="n">
        <f aca="false">Datos!I40</f>
        <v>-0.0573108864708702</v>
      </c>
      <c r="D37" s="20" t="n">
        <f aca="false">Datos!H45</f>
        <v>-63.2494918032786</v>
      </c>
      <c r="E37" s="20" t="n">
        <f aca="false">Datos!H43</f>
        <v>-73.5206691468252</v>
      </c>
      <c r="F37" s="20" t="n">
        <f aca="false">Datos!H39</f>
        <v>-109.725953125</v>
      </c>
      <c r="G37" s="20" t="n">
        <f aca="false">Datos!J39</f>
        <v>0.0770487894176897</v>
      </c>
      <c r="H37" s="20" t="n">
        <f aca="false">Datos!K44</f>
        <v>-0.0545195466572687</v>
      </c>
      <c r="I37" s="18" t="n">
        <v>1</v>
      </c>
      <c r="J37" s="18" t="n">
        <f aca="false">B37-($B$88+$B$89*C37+$B$90*D37+$B$91*E37+$B$92*F37+$B$93*G37+$B$94*H37)</f>
        <v>0.0356160520260576</v>
      </c>
      <c r="K37" s="18" t="n">
        <f aca="false">J37^2</f>
        <v>0.00126850316192284</v>
      </c>
    </row>
    <row r="38" customFormat="false" ht="15" hidden="false" customHeight="false" outlineLevel="0" collapsed="false">
      <c r="A38" s="19" t="str">
        <f aca="false">Datos!A46</f>
        <v>2015Q2</v>
      </c>
      <c r="B38" s="20" t="n">
        <f aca="false">Datos!L46</f>
        <v>0.0378012308454139</v>
      </c>
      <c r="C38" s="20" t="n">
        <f aca="false">Datos!I41</f>
        <v>-0.0958800124314026</v>
      </c>
      <c r="D38" s="20" t="n">
        <f aca="false">Datos!H46</f>
        <v>-69.448288776797</v>
      </c>
      <c r="E38" s="20" t="n">
        <f aca="false">Datos!H44</f>
        <v>21.0197781762296</v>
      </c>
      <c r="F38" s="20" t="n">
        <f aca="false">Datos!H40</f>
        <v>-236.474292776639</v>
      </c>
      <c r="G38" s="20" t="n">
        <f aca="false">Datos!J40</f>
        <v>-0.031577165647831</v>
      </c>
      <c r="H38" s="20" t="n">
        <f aca="false">Datos!K45</f>
        <v>0.0452568848055677</v>
      </c>
      <c r="I38" s="18" t="n">
        <v>1</v>
      </c>
      <c r="J38" s="18" t="n">
        <f aca="false">B38-($B$88+$B$89*C38+$B$90*D38+$B$91*E38+$B$92*F38+$B$93*G38+$B$94*H38)</f>
        <v>0.0162289382484115</v>
      </c>
      <c r="K38" s="18" t="n">
        <f aca="false">J38^2</f>
        <v>0.000263378436670755</v>
      </c>
    </row>
    <row r="39" customFormat="false" ht="15" hidden="false" customHeight="false" outlineLevel="0" collapsed="false">
      <c r="A39" s="19" t="str">
        <f aca="false">Datos!A47</f>
        <v>2015Q3</v>
      </c>
      <c r="B39" s="20" t="n">
        <f aca="false">Datos!L47</f>
        <v>-0.000648620462658789</v>
      </c>
      <c r="C39" s="20" t="n">
        <f aca="false">Datos!I42</f>
        <v>-0.0333671304691989</v>
      </c>
      <c r="D39" s="20" t="n">
        <f aca="false">Datos!H47</f>
        <v>-12.3885780885781</v>
      </c>
      <c r="E39" s="20" t="n">
        <f aca="false">Datos!H45</f>
        <v>-63.2494918032786</v>
      </c>
      <c r="F39" s="20" t="n">
        <f aca="false">Datos!H41</f>
        <v>71.9946229508196</v>
      </c>
      <c r="G39" s="20" t="n">
        <f aca="false">Datos!J41</f>
        <v>0.0530334992950312</v>
      </c>
      <c r="H39" s="20" t="n">
        <f aca="false">Datos!K46</f>
        <v>-0.0840598834733707</v>
      </c>
      <c r="I39" s="18" t="n">
        <v>1</v>
      </c>
      <c r="J39" s="18" t="n">
        <f aca="false">B39-($B$88+$B$89*C39+$B$90*D39+$B$91*E39+$B$92*F39+$B$93*G39+$B$94*H39)</f>
        <v>0.00870382867862396</v>
      </c>
      <c r="K39" s="18" t="n">
        <f aca="false">J39^2</f>
        <v>7.57566336668369E-005</v>
      </c>
    </row>
    <row r="40" customFormat="false" ht="15" hidden="false" customHeight="false" outlineLevel="0" collapsed="false">
      <c r="A40" s="19" t="str">
        <f aca="false">Datos!A48</f>
        <v>2015Q4</v>
      </c>
      <c r="B40" s="20" t="n">
        <f aca="false">Datos!L48</f>
        <v>-0.014934690706373</v>
      </c>
      <c r="C40" s="20" t="n">
        <f aca="false">Datos!I43</f>
        <v>-0.00270570265133011</v>
      </c>
      <c r="D40" s="20" t="n">
        <f aca="false">Datos!H48</f>
        <v>-78.2729603729604</v>
      </c>
      <c r="E40" s="20" t="n">
        <f aca="false">Datos!H46</f>
        <v>-69.448288776797</v>
      </c>
      <c r="F40" s="20" t="n">
        <f aca="false">Datos!H42</f>
        <v>-143.202551652355</v>
      </c>
      <c r="G40" s="20" t="n">
        <f aca="false">Datos!J42</f>
        <v>0.067920751391922</v>
      </c>
      <c r="H40" s="20" t="n">
        <f aca="false">Datos!K47</f>
        <v>0.0549125616583312</v>
      </c>
      <c r="I40" s="18" t="n">
        <v>1</v>
      </c>
      <c r="J40" s="18" t="n">
        <f aca="false">B40-($B$88+$B$89*C40+$B$90*D40+$B$91*E40+$B$92*F40+$B$93*G40+$B$94*H40)</f>
        <v>-0.0243451562321132</v>
      </c>
      <c r="K40" s="18" t="n">
        <f aca="false">J40^2</f>
        <v>0.000592686631966001</v>
      </c>
    </row>
    <row r="41" customFormat="false" ht="15" hidden="false" customHeight="false" outlineLevel="0" collapsed="false">
      <c r="A41" s="19" t="str">
        <f aca="false">Datos!A49</f>
        <v>2016Q1</v>
      </c>
      <c r="B41" s="20" t="n">
        <f aca="false">Datos!L49</f>
        <v>-0.0174400837015445</v>
      </c>
      <c r="C41" s="20" t="n">
        <f aca="false">Datos!I44</f>
        <v>0.0206592277311123</v>
      </c>
      <c r="D41" s="20" t="n">
        <f aca="false">Datos!H49</f>
        <v>-38.2862026862027</v>
      </c>
      <c r="E41" s="20" t="n">
        <f aca="false">Datos!H47</f>
        <v>-12.3885780885781</v>
      </c>
      <c r="F41" s="20" t="n">
        <f aca="false">Datos!H43</f>
        <v>-73.5206691468252</v>
      </c>
      <c r="G41" s="20" t="n">
        <f aca="false">Datos!J43</f>
        <v>-0.0382165552288544</v>
      </c>
      <c r="H41" s="20" t="n">
        <f aca="false">Datos!K48</f>
        <v>0.0929604971038175</v>
      </c>
      <c r="I41" s="18" t="n">
        <v>1</v>
      </c>
      <c r="J41" s="18" t="n">
        <f aca="false">B41-($B$88+$B$89*C41+$B$90*D41+$B$91*E41+$B$92*F41+$B$93*G41+$B$94*H41)</f>
        <v>-0.0378809620834687</v>
      </c>
      <c r="K41" s="18" t="n">
        <f aca="false">J41^2</f>
        <v>0.00143496728836919</v>
      </c>
    </row>
    <row r="42" customFormat="false" ht="15" hidden="false" customHeight="false" outlineLevel="0" collapsed="false">
      <c r="A42" s="19" t="str">
        <f aca="false">Datos!A50</f>
        <v>2016Q2</v>
      </c>
      <c r="B42" s="20" t="n">
        <f aca="false">Datos!L50</f>
        <v>-0.0458755219268234</v>
      </c>
      <c r="C42" s="20" t="n">
        <f aca="false">Datos!I45</f>
        <v>0.12737234338906</v>
      </c>
      <c r="D42" s="20" t="n">
        <f aca="false">Datos!H50</f>
        <v>-20.156746031746</v>
      </c>
      <c r="E42" s="20" t="n">
        <f aca="false">Datos!H48</f>
        <v>-78.2729603729604</v>
      </c>
      <c r="F42" s="20" t="n">
        <f aca="false">Datos!H44</f>
        <v>21.0197781762296</v>
      </c>
      <c r="G42" s="20" t="n">
        <f aca="false">Datos!J44</f>
        <v>-0.0169003162690849</v>
      </c>
      <c r="H42" s="20" t="n">
        <f aca="false">Datos!K49</f>
        <v>-0.0501806657673727</v>
      </c>
      <c r="I42" s="18" t="n">
        <v>1</v>
      </c>
      <c r="J42" s="18" t="n">
        <f aca="false">B42-($B$88+$B$89*C42+$B$90*D42+$B$91*E42+$B$92*F42+$B$93*G42+$B$94*H42)</f>
        <v>-0.0259857485742806</v>
      </c>
      <c r="K42" s="18" t="n">
        <f aca="false">J42^2</f>
        <v>0.000675259128965725</v>
      </c>
    </row>
    <row r="43" customFormat="false" ht="15" hidden="false" customHeight="false" outlineLevel="0" collapsed="false">
      <c r="A43" s="19" t="str">
        <f aca="false">Datos!A51</f>
        <v>2016Q3</v>
      </c>
      <c r="B43" s="20" t="n">
        <f aca="false">Datos!L51</f>
        <v>0.0053164079552358</v>
      </c>
      <c r="C43" s="20" t="n">
        <f aca="false">Datos!I46</f>
        <v>0.079305358514979</v>
      </c>
      <c r="D43" s="20" t="n">
        <f aca="false">Datos!H51</f>
        <v>51.5281007751937</v>
      </c>
      <c r="E43" s="20" t="n">
        <f aca="false">Datos!H49</f>
        <v>-38.2862026862027</v>
      </c>
      <c r="F43" s="20" t="n">
        <f aca="false">Datos!H45</f>
        <v>-63.2494918032786</v>
      </c>
      <c r="G43" s="20" t="n">
        <f aca="false">Datos!J45</f>
        <v>-0.0227808354678118</v>
      </c>
      <c r="H43" s="20" t="n">
        <f aca="false">Datos!K50</f>
        <v>0.114909941997091</v>
      </c>
      <c r="I43" s="18" t="n">
        <v>1</v>
      </c>
      <c r="J43" s="18" t="n">
        <f aca="false">B43-($B$88+$B$89*C43+$B$90*D43+$B$91*E43+$B$92*F43+$B$93*G43+$B$94*H43)</f>
        <v>-0.00556454919718674</v>
      </c>
      <c r="K43" s="18" t="n">
        <f aca="false">J43^2</f>
        <v>3.09642077679116E-005</v>
      </c>
    </row>
    <row r="44" customFormat="false" ht="15" hidden="false" customHeight="false" outlineLevel="0" collapsed="false">
      <c r="A44" s="19" t="str">
        <f aca="false">Datos!A52</f>
        <v>2016Q4</v>
      </c>
      <c r="B44" s="20" t="n">
        <f aca="false">Datos!L52</f>
        <v>0.0183393045899268</v>
      </c>
      <c r="C44" s="20" t="n">
        <f aca="false">Datos!I47</f>
        <v>-0.0219317664243788</v>
      </c>
      <c r="D44" s="20" t="n">
        <f aca="false">Datos!H52</f>
        <v>-26.5005366726296</v>
      </c>
      <c r="E44" s="20" t="n">
        <f aca="false">Datos!H50</f>
        <v>-20.156746031746</v>
      </c>
      <c r="F44" s="20" t="n">
        <f aca="false">Datos!H46</f>
        <v>-69.448288776797</v>
      </c>
      <c r="G44" s="20" t="n">
        <f aca="false">Datos!J46</f>
        <v>-0.00580415466024192</v>
      </c>
      <c r="H44" s="20" t="n">
        <f aca="false">Datos!K51</f>
        <v>0.0078308829818691</v>
      </c>
      <c r="I44" s="18" t="n">
        <v>1</v>
      </c>
      <c r="J44" s="18" t="n">
        <f aca="false">B44-($B$88+$B$89*C44+$B$90*D44+$B$91*E44+$B$92*F44+$B$93*G44+$B$94*H44)</f>
        <v>0.011940622367104</v>
      </c>
      <c r="K44" s="18" t="n">
        <f aca="false">J44^2</f>
        <v>0.000142578462513784</v>
      </c>
    </row>
    <row r="45" customFormat="false" ht="15" hidden="false" customHeight="false" outlineLevel="0" collapsed="false">
      <c r="A45" s="19" t="str">
        <f aca="false">Datos!A53</f>
        <v>2017Q1</v>
      </c>
      <c r="B45" s="20" t="n">
        <f aca="false">Datos!L53</f>
        <v>0.0205296747532824</v>
      </c>
      <c r="C45" s="20" t="n">
        <f aca="false">Datos!I48</f>
        <v>0.00284689976009123</v>
      </c>
      <c r="D45" s="20" t="n">
        <f aca="false">Datos!H53</f>
        <v>-15.9076923076924</v>
      </c>
      <c r="E45" s="20" t="n">
        <f aca="false">Datos!H51</f>
        <v>51.5281007751937</v>
      </c>
      <c r="F45" s="20" t="n">
        <f aca="false">Datos!H47</f>
        <v>-12.3885780885781</v>
      </c>
      <c r="G45" s="20" t="n">
        <f aca="false">Datos!J47</f>
        <v>-0.0725670071793785</v>
      </c>
      <c r="H45" s="20" t="n">
        <f aca="false">Datos!K52</f>
        <v>-0.0600242033998368</v>
      </c>
      <c r="I45" s="18" t="n">
        <v>1</v>
      </c>
      <c r="J45" s="18" t="n">
        <f aca="false">B45-($B$88+$B$89*C45+$B$90*D45+$B$91*E45+$B$92*F45+$B$93*G45+$B$94*H45)</f>
        <v>0.0273621283388287</v>
      </c>
      <c r="K45" s="18" t="n">
        <f aca="false">J45^2</f>
        <v>0.000748686067230531</v>
      </c>
    </row>
    <row r="46" customFormat="false" ht="15" hidden="false" customHeight="false" outlineLevel="0" collapsed="false">
      <c r="A46" s="19" t="str">
        <f aca="false">Datos!A54</f>
        <v>2017Q2</v>
      </c>
      <c r="B46" s="20" t="n">
        <f aca="false">Datos!L54</f>
        <v>0.0176690432523345</v>
      </c>
      <c r="C46" s="20" t="n">
        <f aca="false">Datos!I49</f>
        <v>-0.114795786877596</v>
      </c>
      <c r="D46" s="20" t="n">
        <f aca="false">Datos!H54</f>
        <v>-40.3959134615384</v>
      </c>
      <c r="E46" s="20" t="n">
        <f aca="false">Datos!H52</f>
        <v>-26.5005366726296</v>
      </c>
      <c r="F46" s="20" t="n">
        <f aca="false">Datos!H48</f>
        <v>-78.2729603729604</v>
      </c>
      <c r="G46" s="20" t="n">
        <f aca="false">Datos!J48</f>
        <v>-0.0214726951640203</v>
      </c>
      <c r="H46" s="20" t="n">
        <f aca="false">Datos!K53</f>
        <v>-0.035749043779608</v>
      </c>
      <c r="I46" s="18" t="n">
        <v>1</v>
      </c>
      <c r="J46" s="18" t="n">
        <f aca="false">B46-($B$88+$B$89*C46+$B$90*D46+$B$91*E46+$B$92*F46+$B$93*G46+$B$94*H46)</f>
        <v>0.00425035721440247</v>
      </c>
      <c r="K46" s="18" t="n">
        <f aca="false">J46^2</f>
        <v>1.80655364500231E-005</v>
      </c>
    </row>
    <row r="47" customFormat="false" ht="15" hidden="false" customHeight="false" outlineLevel="0" collapsed="false">
      <c r="A47" s="19" t="str">
        <f aca="false">Datos!A55</f>
        <v>2017Q3</v>
      </c>
      <c r="B47" s="20" t="n">
        <f aca="false">Datos!L55</f>
        <v>0.0152402515595023</v>
      </c>
      <c r="C47" s="20" t="n">
        <f aca="false">Datos!I50</f>
        <v>-0.0963649166129051</v>
      </c>
      <c r="D47" s="20" t="n">
        <f aca="false">Datos!H55</f>
        <v>0.498765624999805</v>
      </c>
      <c r="E47" s="20" t="n">
        <f aca="false">Datos!H53</f>
        <v>-15.9076923076924</v>
      </c>
      <c r="F47" s="20" t="n">
        <f aca="false">Datos!H49</f>
        <v>-38.2862026862027</v>
      </c>
      <c r="G47" s="20" t="n">
        <f aca="false">Datos!J49</f>
        <v>-0.013556503122827</v>
      </c>
      <c r="H47" s="20" t="n">
        <f aca="false">Datos!K54</f>
        <v>-0.0598239352005628</v>
      </c>
      <c r="I47" s="18" t="n">
        <v>1</v>
      </c>
      <c r="J47" s="18" t="n">
        <f aca="false">B47-($B$88+$B$89*C47+$B$90*D47+$B$91*E47+$B$92*F47+$B$93*G47+$B$94*H47)</f>
        <v>0.0117293084464942</v>
      </c>
      <c r="K47" s="18" t="n">
        <f aca="false">J47^2</f>
        <v>0.000137576676633</v>
      </c>
    </row>
    <row r="48" customFormat="false" ht="15" hidden="false" customHeight="false" outlineLevel="0" collapsed="false">
      <c r="A48" s="19" t="str">
        <f aca="false">Datos!A56</f>
        <v>2017Q4</v>
      </c>
      <c r="B48" s="20" t="n">
        <f aca="false">Datos!L56</f>
        <v>0.00682076262777875</v>
      </c>
      <c r="C48" s="20" t="n">
        <f aca="false">Datos!I51</f>
        <v>0.0125883030332315</v>
      </c>
      <c r="D48" s="20" t="n">
        <f aca="false">Datos!H56</f>
        <v>-54.5718281249997</v>
      </c>
      <c r="E48" s="20" t="n">
        <f aca="false">Datos!H54</f>
        <v>-40.3959134615384</v>
      </c>
      <c r="F48" s="20" t="n">
        <f aca="false">Datos!H50</f>
        <v>-20.156746031746</v>
      </c>
      <c r="G48" s="20" t="n">
        <f aca="false">Datos!J50</f>
        <v>-0.0260787645308853</v>
      </c>
      <c r="H48" s="20" t="n">
        <f aca="false">Datos!K55</f>
        <v>-0.0336017376367385</v>
      </c>
      <c r="I48" s="18" t="n">
        <v>1</v>
      </c>
      <c r="J48" s="18" t="n">
        <f aca="false">B48-($B$88+$B$89*C48+$B$90*D48+$B$91*E48+$B$92*F48+$B$93*G48+$B$94*H48)</f>
        <v>0.00721081975101912</v>
      </c>
      <c r="K48" s="18" t="n">
        <f aca="false">J48^2</f>
        <v>5.19959214816874E-005</v>
      </c>
    </row>
    <row r="49" customFormat="false" ht="15" hidden="false" customHeight="false" outlineLevel="0" collapsed="false">
      <c r="A49" s="19" t="str">
        <f aca="false">Datos!A57</f>
        <v>2018Q1</v>
      </c>
      <c r="B49" s="20" t="n">
        <f aca="false">Datos!L57</f>
        <v>-0.00734944608262711</v>
      </c>
      <c r="C49" s="20" t="n">
        <f aca="false">Datos!I52</f>
        <v>0.0215081148240396</v>
      </c>
      <c r="D49" s="20" t="n">
        <f aca="false">Datos!H57</f>
        <v>28.5320987903223</v>
      </c>
      <c r="E49" s="20" t="n">
        <f aca="false">Datos!H55</f>
        <v>0.498765624999805</v>
      </c>
      <c r="F49" s="20" t="n">
        <f aca="false">Datos!H51</f>
        <v>51.5281007751937</v>
      </c>
      <c r="G49" s="20" t="n">
        <f aca="false">Datos!J51</f>
        <v>0.0942185203778218</v>
      </c>
      <c r="H49" s="20" t="n">
        <f aca="false">Datos!K56</f>
        <v>0.0834781752199751</v>
      </c>
      <c r="I49" s="18" t="n">
        <v>1</v>
      </c>
      <c r="J49" s="18" t="n">
        <f aca="false">B49-($B$88+$B$89*C49+$B$90*D49+$B$91*E49+$B$92*F49+$B$93*G49+$B$94*H49)</f>
        <v>-0.013149254017552</v>
      </c>
      <c r="K49" s="18" t="n">
        <f aca="false">J49^2</f>
        <v>0.000172902881218107</v>
      </c>
    </row>
    <row r="50" customFormat="false" ht="15" hidden="false" customHeight="false" outlineLevel="0" collapsed="false">
      <c r="A50" s="19" t="str">
        <f aca="false">Datos!A58</f>
        <v>2018Q2</v>
      </c>
      <c r="B50" s="20" t="n">
        <f aca="false">Datos!L58</f>
        <v>-0.0777683962553631</v>
      </c>
      <c r="C50" s="20" t="n">
        <f aca="false">Datos!I53</f>
        <v>0.0929246843768103</v>
      </c>
      <c r="D50" s="20" t="n">
        <f aca="false">Datos!H58</f>
        <v>77.2218156327545</v>
      </c>
      <c r="E50" s="20" t="n">
        <f aca="false">Datos!H56</f>
        <v>-54.5718281249997</v>
      </c>
      <c r="F50" s="20" t="n">
        <f aca="false">Datos!H52</f>
        <v>-26.5005366726296</v>
      </c>
      <c r="G50" s="20" t="n">
        <f aca="false">Datos!J52</f>
        <v>0.241810567395166</v>
      </c>
      <c r="H50" s="20" t="n">
        <f aca="false">Datos!K57</f>
        <v>0.0156446596022237</v>
      </c>
      <c r="I50" s="18" t="n">
        <v>1</v>
      </c>
      <c r="J50" s="18" t="n">
        <f aca="false">B50-($B$88+$B$89*C50+$B$90*D50+$B$91*E50+$B$92*F50+$B$93*G50+$B$94*H50)</f>
        <v>-0.0430536116103051</v>
      </c>
      <c r="K50" s="18" t="n">
        <f aca="false">J50^2</f>
        <v>0.001853613472691</v>
      </c>
    </row>
    <row r="51" customFormat="false" ht="15" hidden="false" customHeight="false" outlineLevel="0" collapsed="false">
      <c r="A51" s="19" t="str">
        <f aca="false">Datos!A59</f>
        <v>2018Q3</v>
      </c>
      <c r="B51" s="20" t="n">
        <f aca="false">Datos!L59</f>
        <v>0.00509659019999231</v>
      </c>
      <c r="C51" s="20" t="n">
        <f aca="false">Datos!I54</f>
        <v>0.0763750387701306</v>
      </c>
      <c r="D51" s="20" t="n">
        <f aca="false">Datos!H59</f>
        <v>166.169284270953</v>
      </c>
      <c r="E51" s="20" t="n">
        <f aca="false">Datos!H57</f>
        <v>28.5320987903223</v>
      </c>
      <c r="F51" s="20" t="n">
        <f aca="false">Datos!H53</f>
        <v>-15.9076923076924</v>
      </c>
      <c r="G51" s="20" t="n">
        <f aca="false">Datos!J53</f>
        <v>-0.24283692228193</v>
      </c>
      <c r="H51" s="20" t="n">
        <f aca="false">Datos!K58</f>
        <v>0.0616247472334126</v>
      </c>
      <c r="I51" s="18" t="n">
        <v>1</v>
      </c>
      <c r="J51" s="18" t="n">
        <f aca="false">B51-($B$88+$B$89*C51+$B$90*D51+$B$91*E51+$B$92*F51+$B$93*G51+$B$94*H51)</f>
        <v>-0.00678385411106932</v>
      </c>
      <c r="K51" s="18" t="n">
        <f aca="false">J51^2</f>
        <v>4.60206766002721E-005</v>
      </c>
    </row>
    <row r="52" customFormat="false" ht="15" hidden="false" customHeight="false" outlineLevel="0" collapsed="false">
      <c r="A52" s="19" t="str">
        <f aca="false">Datos!A60</f>
        <v>2018Q4</v>
      </c>
      <c r="B52" s="20" t="n">
        <f aca="false">Datos!L60</f>
        <v>-0.0287029877961243</v>
      </c>
      <c r="C52" s="20" t="n">
        <f aca="false">Datos!I55</f>
        <v>-0.0381479768126187</v>
      </c>
      <c r="D52" s="20" t="n">
        <f aca="false">Datos!H60</f>
        <v>56.51817630597</v>
      </c>
      <c r="E52" s="20" t="n">
        <f aca="false">Datos!H58</f>
        <v>77.2218156327545</v>
      </c>
      <c r="F52" s="20" t="n">
        <f aca="false">Datos!H54</f>
        <v>-40.3959134615384</v>
      </c>
      <c r="G52" s="20" t="n">
        <f aca="false">Datos!J54</f>
        <v>-0.0647458372468179</v>
      </c>
      <c r="H52" s="20" t="n">
        <f aca="false">Datos!K59</f>
        <v>-0.0680385631508205</v>
      </c>
      <c r="I52" s="18" t="n">
        <v>1</v>
      </c>
      <c r="J52" s="18" t="n">
        <f aca="false">B52-($B$88+$B$89*C52+$B$90*D52+$B$91*E52+$B$92*F52+$B$93*G52+$B$94*H52)</f>
        <v>-0.0185197089788954</v>
      </c>
      <c r="K52" s="18" t="n">
        <f aca="false">J52^2</f>
        <v>0.000342979620662977</v>
      </c>
    </row>
    <row r="53" customFormat="false" ht="15" hidden="false" customHeight="false" outlineLevel="0" collapsed="false">
      <c r="A53" s="19" t="str">
        <f aca="false">Datos!A61</f>
        <v>2019Q1</v>
      </c>
      <c r="B53" s="20" t="n">
        <f aca="false">Datos!L61</f>
        <v>0.00476013768269978</v>
      </c>
      <c r="C53" s="20" t="n">
        <f aca="false">Datos!I56</f>
        <v>-0.00847913753638218</v>
      </c>
      <c r="D53" s="20" t="n">
        <f aca="false">Datos!H61</f>
        <v>19.2017013888889</v>
      </c>
      <c r="E53" s="20" t="n">
        <f aca="false">Datos!H59</f>
        <v>166.169284270953</v>
      </c>
      <c r="F53" s="20" t="n">
        <f aca="false">Datos!H55</f>
        <v>0.498765624999805</v>
      </c>
      <c r="G53" s="20" t="n">
        <f aca="false">Datos!J55</f>
        <v>-0.0931139816863711</v>
      </c>
      <c r="H53" s="20" t="n">
        <f aca="false">Datos!K60</f>
        <v>-0.0795880772476278</v>
      </c>
      <c r="I53" s="18" t="n">
        <v>1</v>
      </c>
      <c r="J53" s="18" t="n">
        <f aca="false">B53-($B$88+$B$89*C53+$B$90*D53+$B$91*E53+$B$92*F53+$B$93*G53+$B$94*H53)</f>
        <v>0.019562272580323</v>
      </c>
      <c r="K53" s="18" t="n">
        <f aca="false">J53^2</f>
        <v>0.000382682508506856</v>
      </c>
    </row>
    <row r="54" customFormat="false" ht="15" hidden="false" customHeight="false" outlineLevel="0" collapsed="false">
      <c r="A54" s="19" t="str">
        <f aca="false">Datos!A62</f>
        <v>2019Q2</v>
      </c>
      <c r="B54" s="20" t="n">
        <f aca="false">Datos!L62</f>
        <v>0.0644654529234107</v>
      </c>
      <c r="C54" s="20" t="n">
        <f aca="false">Datos!I57</f>
        <v>0.015677961339587</v>
      </c>
      <c r="D54" s="20" t="n">
        <f aca="false">Datos!H62</f>
        <v>162.790259661836</v>
      </c>
      <c r="E54" s="20" t="n">
        <f aca="false">Datos!H60</f>
        <v>56.51817630597</v>
      </c>
      <c r="F54" s="20" t="n">
        <f aca="false">Datos!H56</f>
        <v>-54.5718281249997</v>
      </c>
      <c r="G54" s="20" t="n">
        <f aca="false">Datos!J56</f>
        <v>-0.0800850350667679</v>
      </c>
      <c r="H54" s="20" t="n">
        <f aca="false">Datos!K61</f>
        <v>0.0351944925910753</v>
      </c>
      <c r="I54" s="18" t="n">
        <v>1</v>
      </c>
      <c r="J54" s="18" t="n">
        <f aca="false">B54-($B$88+$B$89*C54+$B$90*D54+$B$91*E54+$B$92*F54+$B$93*G54+$B$94*H54)</f>
        <v>0.0666608468310113</v>
      </c>
      <c r="K54" s="18" t="n">
        <f aca="false">J54^2</f>
        <v>0.00444366850022755</v>
      </c>
    </row>
    <row r="55" customFormat="false" ht="15" hidden="false" customHeight="false" outlineLevel="0" collapsed="false">
      <c r="A55" s="19" t="str">
        <f aca="false">Datos!A63</f>
        <v>2019Q3</v>
      </c>
      <c r="B55" s="20" t="n">
        <f aca="false">Datos!L63</f>
        <v>-0.0233553605717005</v>
      </c>
      <c r="C55" s="20" t="n">
        <f aca="false">Datos!I58</f>
        <v>-0.0742810049049096</v>
      </c>
      <c r="D55" s="20" t="n">
        <f aca="false">Datos!H63</f>
        <v>679.618686815129</v>
      </c>
      <c r="E55" s="20" t="n">
        <f aca="false">Datos!H61</f>
        <v>19.2017013888889</v>
      </c>
      <c r="F55" s="20" t="n">
        <f aca="false">Datos!H57</f>
        <v>28.5320987903223</v>
      </c>
      <c r="G55" s="20" t="n">
        <f aca="false">Datos!J57</f>
        <v>0.072575912604689</v>
      </c>
      <c r="H55" s="20" t="n">
        <f aca="false">Datos!K62</f>
        <v>-0.0270236391269938</v>
      </c>
      <c r="I55" s="18" t="n">
        <v>1</v>
      </c>
      <c r="J55" s="18" t="n">
        <f aca="false">B55-($B$88+$B$89*C55+$B$90*D55+$B$91*E55+$B$92*F55+$B$93*G55+$B$94*H55)</f>
        <v>0.020544018843058</v>
      </c>
      <c r="K55" s="18" t="n">
        <f aca="false">J55^2</f>
        <v>0.000422056710223921</v>
      </c>
    </row>
    <row r="56" customFormat="false" ht="15" hidden="false" customHeight="false" outlineLevel="0" collapsed="false">
      <c r="A56" s="19" t="str">
        <f aca="false">Datos!A64</f>
        <v>2019Q4</v>
      </c>
      <c r="B56" s="20" t="n">
        <f aca="false">Datos!L64</f>
        <v>0.00677873424048458</v>
      </c>
      <c r="C56" s="20" t="n">
        <f aca="false">Datos!I59</f>
        <v>0.0297586266112664</v>
      </c>
      <c r="D56" s="20" t="n">
        <f aca="false">Datos!H64</f>
        <v>598.881251590669</v>
      </c>
      <c r="E56" s="20" t="n">
        <f aca="false">Datos!H62</f>
        <v>162.790259661836</v>
      </c>
      <c r="F56" s="20" t="n">
        <f aca="false">Datos!H58</f>
        <v>77.2218156327545</v>
      </c>
      <c r="G56" s="20" t="n">
        <f aca="false">Datos!J58</f>
        <v>0.016146963656916</v>
      </c>
      <c r="H56" s="20" t="n">
        <f aca="false">Datos!K63</f>
        <v>0.0668497563295599</v>
      </c>
      <c r="I56" s="18" t="n">
        <v>1</v>
      </c>
      <c r="J56" s="18" t="n">
        <f aca="false">B56-($B$88+$B$89*C56+$B$90*D56+$B$91*E56+$B$92*F56+$B$93*G56+$B$94*H56)</f>
        <v>0.042107257614542</v>
      </c>
      <c r="K56" s="18" t="n">
        <f aca="false">J56^2</f>
        <v>0.0017730211438174</v>
      </c>
    </row>
    <row r="57" customFormat="false" ht="15" hidden="false" customHeight="false" outlineLevel="0" collapsed="false">
      <c r="A57" s="19" t="str">
        <f aca="false">Datos!A65</f>
        <v>2020Q1</v>
      </c>
      <c r="B57" s="20" t="n">
        <f aca="false">Datos!L65</f>
        <v>-0.0395022691914131</v>
      </c>
      <c r="C57" s="20" t="n">
        <f aca="false">Datos!I60</f>
        <v>-0.0501462610157425</v>
      </c>
      <c r="D57" s="20" t="n">
        <f aca="false">Datos!H65</f>
        <v>187.118199188056</v>
      </c>
      <c r="E57" s="20" t="n">
        <f aca="false">Datos!H63</f>
        <v>679.618686815129</v>
      </c>
      <c r="F57" s="20" t="n">
        <f aca="false">Datos!H59</f>
        <v>166.169284270953</v>
      </c>
      <c r="G57" s="20" t="n">
        <f aca="false">Datos!J59</f>
        <v>0.0202539754709583</v>
      </c>
      <c r="H57" s="20" t="n">
        <f aca="false">Datos!K64</f>
        <v>0.0445321255864519</v>
      </c>
      <c r="I57" s="18" t="n">
        <v>1</v>
      </c>
      <c r="J57" s="18" t="n">
        <f aca="false">B57-($B$88+$B$89*C57+$B$90*D57+$B$91*E57+$B$92*F57+$B$93*G57+$B$94*H57)</f>
        <v>-0.0142413430793081</v>
      </c>
      <c r="K57" s="18" t="n">
        <f aca="false">J57^2</f>
        <v>0.000202815852702555</v>
      </c>
    </row>
    <row r="58" customFormat="false" ht="15" hidden="false" customHeight="false" outlineLevel="0" collapsed="false">
      <c r="A58" s="19" t="str">
        <f aca="false">Datos!A66</f>
        <v>2020Q2</v>
      </c>
      <c r="B58" s="20" t="n">
        <f aca="false">Datos!L66</f>
        <v>-0.139171243799252</v>
      </c>
      <c r="C58" s="20" t="n">
        <f aca="false">Datos!I61</f>
        <v>-0.0500271266876492</v>
      </c>
      <c r="D58" s="20" t="n">
        <f aca="false">Datos!H66</f>
        <v>756.86685274431</v>
      </c>
      <c r="E58" s="20" t="n">
        <f aca="false">Datos!H64</f>
        <v>598.881251590669</v>
      </c>
      <c r="F58" s="20" t="n">
        <f aca="false">Datos!H60</f>
        <v>56.51817630597</v>
      </c>
      <c r="G58" s="20" t="n">
        <f aca="false">Datos!J60</f>
        <v>0.0511719688039525</v>
      </c>
      <c r="H58" s="20" t="n">
        <f aca="false">Datos!K65</f>
        <v>-0.0349380110691591</v>
      </c>
      <c r="I58" s="18" t="n">
        <v>1</v>
      </c>
      <c r="J58" s="18" t="n">
        <f aca="false">B58-($B$88+$B$89*C58+$B$90*D58+$B$91*E58+$B$92*F58+$B$93*G58+$B$94*H58)</f>
        <v>-0.0588875928094423</v>
      </c>
      <c r="K58" s="18" t="n">
        <f aca="false">J58^2</f>
        <v>0.00346774858689067</v>
      </c>
    </row>
    <row r="59" customFormat="false" ht="15" hidden="false" customHeight="false" outlineLevel="0" collapsed="false">
      <c r="A59" s="19" t="str">
        <f aca="false">Datos!A67</f>
        <v>2020Q3</v>
      </c>
      <c r="B59" s="20" t="n">
        <f aca="false">Datos!L67</f>
        <v>0.0874942776266831</v>
      </c>
      <c r="C59" s="20" t="n">
        <f aca="false">Datos!I62</f>
        <v>0.000114296886335796</v>
      </c>
      <c r="D59" s="20" t="n">
        <f aca="false">Datos!H67</f>
        <v>-1097.40393434344</v>
      </c>
      <c r="E59" s="20" t="n">
        <f aca="false">Datos!H65</f>
        <v>187.118199188056</v>
      </c>
      <c r="F59" s="20" t="n">
        <f aca="false">Datos!H61</f>
        <v>19.2017013888889</v>
      </c>
      <c r="G59" s="20" t="n">
        <f aca="false">Datos!J61</f>
        <v>0.0364106470243743</v>
      </c>
      <c r="H59" s="20" t="n">
        <f aca="false">Datos!K66</f>
        <v>-0.0474907628165441</v>
      </c>
      <c r="I59" s="18" t="n">
        <v>1</v>
      </c>
      <c r="J59" s="18" t="n">
        <f aca="false">B59-($B$88+$B$89*C59+$B$90*D59+$B$91*E59+$B$92*F59+$B$93*G59+$B$94*H59)</f>
        <v>0.0379581977617698</v>
      </c>
      <c r="K59" s="18" t="n">
        <f aca="false">J59^2</f>
        <v>0.00144082477732162</v>
      </c>
    </row>
    <row r="60" customFormat="false" ht="15" hidden="false" customHeight="false" outlineLevel="0" collapsed="false">
      <c r="A60" s="19" t="str">
        <f aca="false">Datos!A68</f>
        <v>2020Q4</v>
      </c>
      <c r="B60" s="20" t="n">
        <f aca="false">Datos!L68</f>
        <v>0.0587946679950591</v>
      </c>
      <c r="C60" s="20" t="n">
        <f aca="false">Datos!I63</f>
        <v>-0.0239132057868301</v>
      </c>
      <c r="D60" s="20" t="n">
        <f aca="false">Datos!H68</f>
        <v>-606.890139160839</v>
      </c>
      <c r="E60" s="20" t="n">
        <f aca="false">Datos!H66</f>
        <v>756.86685274431</v>
      </c>
      <c r="F60" s="20" t="n">
        <f aca="false">Datos!H62</f>
        <v>162.790259661836</v>
      </c>
      <c r="G60" s="20" t="n">
        <f aca="false">Datos!J62</f>
        <v>0.0549585965392439</v>
      </c>
      <c r="H60" s="20" t="n">
        <f aca="false">Datos!K67</f>
        <v>0.0306557066678773</v>
      </c>
      <c r="I60" s="18" t="n">
        <v>1</v>
      </c>
      <c r="J60" s="18" t="n">
        <f aca="false">B60-($B$88+$B$89*C60+$B$90*D60+$B$91*E60+$B$92*F60+$B$93*G60+$B$94*H60)</f>
        <v>0.0470014272082883</v>
      </c>
      <c r="K60" s="18" t="n">
        <f aca="false">J60^2</f>
        <v>0.00220913415961602</v>
      </c>
    </row>
    <row r="61" customFormat="false" ht="15" hidden="false" customHeight="false" outlineLevel="0" collapsed="false">
      <c r="A61" s="19" t="str">
        <f aca="false">Datos!A69</f>
        <v>2021Q1</v>
      </c>
      <c r="B61" s="20" t="n">
        <f aca="false">Datos!L69</f>
        <v>0.0754590025589087</v>
      </c>
      <c r="C61" s="20" t="n">
        <f aca="false">Datos!I64</f>
        <v>-0.0444370543348369</v>
      </c>
      <c r="D61" s="20" t="n">
        <f aca="false">Datos!H69</f>
        <v>100.224470329671</v>
      </c>
      <c r="E61" s="20" t="n">
        <f aca="false">Datos!H67</f>
        <v>-1097.40393434344</v>
      </c>
      <c r="F61" s="20" t="n">
        <f aca="false">Datos!H63</f>
        <v>679.618686815129</v>
      </c>
      <c r="G61" s="20" t="n">
        <f aca="false">Datos!J63</f>
        <v>0.088789332367494</v>
      </c>
      <c r="H61" s="20" t="n">
        <f aca="false">Datos!K68</f>
        <v>0.0276558919383922</v>
      </c>
      <c r="I61" s="18" t="n">
        <v>1</v>
      </c>
      <c r="J61" s="18" t="n">
        <f aca="false">B61-($B$88+$B$89*C61+$B$90*D61+$B$91*E61+$B$92*F61+$B$93*G61+$B$94*H61)</f>
        <v>-0.00267028279888637</v>
      </c>
      <c r="K61" s="18" t="n">
        <f aca="false">J61^2</f>
        <v>7.13041022602843E-006</v>
      </c>
    </row>
    <row r="62" customFormat="false" ht="15" hidden="false" customHeight="false" outlineLevel="0" collapsed="false">
      <c r="A62" s="19" t="str">
        <f aca="false">Datos!A70</f>
        <v>2021Q2</v>
      </c>
      <c r="B62" s="20" t="n">
        <f aca="false">Datos!L70</f>
        <v>0.154973600001828</v>
      </c>
      <c r="C62" s="20" t="n">
        <f aca="false">Datos!I65</f>
        <v>0.114946009672505</v>
      </c>
      <c r="D62" s="20" t="n">
        <f aca="false">Datos!H70</f>
        <v>51.4231142857141</v>
      </c>
      <c r="E62" s="20" t="n">
        <f aca="false">Datos!H68</f>
        <v>-606.890139160839</v>
      </c>
      <c r="F62" s="20" t="n">
        <f aca="false">Datos!H64</f>
        <v>598.881251590669</v>
      </c>
      <c r="G62" s="20" t="n">
        <f aca="false">Datos!J64</f>
        <v>-0.0976170322305177</v>
      </c>
      <c r="H62" s="20" t="n">
        <f aca="false">Datos!K69</f>
        <v>0.0884101043961178</v>
      </c>
      <c r="I62" s="18" t="n">
        <v>1</v>
      </c>
      <c r="J62" s="18" t="n">
        <f aca="false">B62-($B$88+$B$89*C62+$B$90*D62+$B$91*E62+$B$92*F62+$B$93*G62+$B$94*H62)</f>
        <v>0.0951401922157285</v>
      </c>
      <c r="K62" s="18" t="n">
        <f aca="false">J62^2</f>
        <v>0.00905165617484576</v>
      </c>
    </row>
    <row r="63" customFormat="false" ht="15" hidden="false" customHeight="false" outlineLevel="0" collapsed="false">
      <c r="A63" s="19" t="str">
        <f aca="false">Datos!A71</f>
        <v>2021Q3</v>
      </c>
      <c r="B63" s="20" t="n">
        <f aca="false">Datos!L71</f>
        <v>-0.0691542511309424</v>
      </c>
      <c r="C63" s="20" t="n">
        <f aca="false">Datos!I66</f>
        <v>0.262181063646304</v>
      </c>
      <c r="D63" s="20" t="n">
        <f aca="false">Datos!H71</f>
        <v>24.6869913043479</v>
      </c>
      <c r="E63" s="20" t="n">
        <f aca="false">Datos!H69</f>
        <v>100.224470329671</v>
      </c>
      <c r="F63" s="20" t="n">
        <f aca="false">Datos!H65</f>
        <v>187.118199188056</v>
      </c>
      <c r="G63" s="20" t="n">
        <f aca="false">Datos!J65</f>
        <v>0.221076901929335</v>
      </c>
      <c r="H63" s="20" t="n">
        <f aca="false">Datos!K70</f>
        <v>0.025645645716768</v>
      </c>
      <c r="I63" s="18" t="n">
        <v>1</v>
      </c>
      <c r="J63" s="18" t="n">
        <f aca="false">B63-($B$88+$B$89*C63+$B$90*D63+$B$91*E63+$B$92*F63+$B$93*G63+$B$94*H63)</f>
        <v>-0.0171342279437657</v>
      </c>
      <c r="K63" s="18" t="n">
        <f aca="false">J63^2</f>
        <v>0.000293581767228921</v>
      </c>
    </row>
    <row r="64" customFormat="false" ht="15" hidden="false" customHeight="false" outlineLevel="0" collapsed="false">
      <c r="A64" s="19" t="str">
        <f aca="false">Datos!A72</f>
        <v>2021Q4</v>
      </c>
      <c r="B64" s="20" t="n">
        <f aca="false">Datos!L72</f>
        <v>-0.0345042172539505</v>
      </c>
      <c r="C64" s="20" t="n">
        <f aca="false">Datos!I67</f>
        <v>0.119661051181248</v>
      </c>
      <c r="D64" s="20" t="n">
        <f aca="false">Datos!H72</f>
        <v>144.162478260869</v>
      </c>
      <c r="E64" s="20" t="n">
        <f aca="false">Datos!H70</f>
        <v>51.4231142857141</v>
      </c>
      <c r="F64" s="20" t="n">
        <f aca="false">Datos!H66</f>
        <v>756.86685274431</v>
      </c>
      <c r="G64" s="20" t="n">
        <f aca="false">Datos!J66</f>
        <v>0.295953407381194</v>
      </c>
      <c r="H64" s="20" t="n">
        <f aca="false">Datos!K71</f>
        <v>-0.065948233834193</v>
      </c>
      <c r="I64" s="18" t="n">
        <v>1</v>
      </c>
      <c r="J64" s="18" t="n">
        <f aca="false">B64-($B$88+$B$89*C64+$B$90*D64+$B$91*E64+$B$92*F64+$B$93*G64+$B$94*H64)</f>
        <v>0.006914616782489</v>
      </c>
      <c r="K64" s="18" t="n">
        <f aca="false">J64^2</f>
        <v>4.78119252486786E-005</v>
      </c>
    </row>
    <row r="65" customFormat="false" ht="15" hidden="false" customHeight="false" outlineLevel="0" collapsed="false">
      <c r="A65" s="19" t="str">
        <f aca="false">Datos!A73</f>
        <v>2022Q1</v>
      </c>
      <c r="B65" s="20" t="n">
        <f aca="false">Datos!L73</f>
        <v>-0.0150273006931949</v>
      </c>
      <c r="C65" s="20" t="n">
        <f aca="false">Datos!I68</f>
        <v>0.0642375050953509</v>
      </c>
      <c r="D65" s="20" t="n">
        <f aca="false">Datos!H73</f>
        <v>94.729852657005</v>
      </c>
      <c r="E65" s="20" t="n">
        <f aca="false">Datos!H71</f>
        <v>24.6869913043479</v>
      </c>
      <c r="F65" s="20" t="n">
        <f aca="false">Datos!H67</f>
        <v>-1097.40393434344</v>
      </c>
      <c r="G65" s="20" t="n">
        <f aca="false">Datos!J67</f>
        <v>-0.245003429458452</v>
      </c>
      <c r="H65" s="20" t="n">
        <f aca="false">Datos!K72</f>
        <v>-0.0279737231897952</v>
      </c>
      <c r="I65" s="18" t="n">
        <v>1</v>
      </c>
      <c r="J65" s="18" t="n">
        <f aca="false">B65-($B$88+$B$89*C65+$B$90*D65+$B$91*E65+$B$92*F65+$B$93*G65+$B$94*H65)</f>
        <v>0.0229794915846678</v>
      </c>
      <c r="K65" s="18" t="n">
        <f aca="false">J65^2</f>
        <v>0.00052805703348982</v>
      </c>
    </row>
    <row r="66" customFormat="false" ht="15" hidden="false" customHeight="false" outlineLevel="0" collapsed="false">
      <c r="A66" s="19" t="str">
        <f aca="false">Datos!A74</f>
        <v>2022Q2</v>
      </c>
      <c r="B66" s="20" t="n">
        <f aca="false">Datos!L74</f>
        <v>0.0126863059008944</v>
      </c>
      <c r="C66" s="20" t="n">
        <f aca="false">Datos!I69</f>
        <v>-0.193638860735541</v>
      </c>
      <c r="D66" s="20" t="n">
        <f aca="false">Datos!H74</f>
        <v>111.567003052503</v>
      </c>
      <c r="E66" s="20" t="n">
        <f aca="false">Datos!H72</f>
        <v>144.162478260869</v>
      </c>
      <c r="F66" s="20" t="n">
        <f aca="false">Datos!H68</f>
        <v>-606.890139160839</v>
      </c>
      <c r="G66" s="20" t="n">
        <f aca="false">Datos!J68</f>
        <v>-0.131027789991017</v>
      </c>
      <c r="H66" s="20" t="n">
        <f aca="false">Datos!K73</f>
        <v>-0.0135796367455427</v>
      </c>
      <c r="I66" s="18" t="n">
        <v>1</v>
      </c>
      <c r="J66" s="18" t="n">
        <f aca="false">B66-($B$88+$B$89*C66+$B$90*D66+$B$91*E66+$B$92*F66+$B$93*G66+$B$94*H66)</f>
        <v>0.0107069913750139</v>
      </c>
      <c r="K66" s="18" t="n">
        <f aca="false">J66^2</f>
        <v>0.000114639664304622</v>
      </c>
    </row>
    <row r="67" customFormat="false" ht="15" hidden="false" customHeight="false" outlineLevel="0" collapsed="false">
      <c r="A67" s="19" t="str">
        <f aca="false">Datos!A75</f>
        <v>2022Q3</v>
      </c>
      <c r="B67" s="20" t="n">
        <f aca="false">Datos!L75</f>
        <v>-0.0144559309870564</v>
      </c>
      <c r="C67" s="20" t="n">
        <f aca="false">Datos!I70</f>
        <v>-0.244749418467121</v>
      </c>
      <c r="D67" s="20" t="n">
        <f aca="false">Datos!H75</f>
        <v>613.427821391941</v>
      </c>
      <c r="E67" s="20" t="n">
        <f aca="false">Datos!H73</f>
        <v>94.729852657005</v>
      </c>
      <c r="F67" s="20" t="n">
        <f aca="false">Datos!H69</f>
        <v>100.224470329671</v>
      </c>
      <c r="G67" s="20" t="n">
        <f aca="false">Datos!J69</f>
        <v>-0.0811045233564329</v>
      </c>
      <c r="H67" s="20" t="n">
        <f aca="false">Datos!K74</f>
        <v>-0.0666502884026636</v>
      </c>
      <c r="I67" s="18" t="n">
        <v>1</v>
      </c>
      <c r="J67" s="18" t="n">
        <f aca="false">B67-($B$88+$B$89*C67+$B$90*D67+$B$91*E67+$B$92*F67+$B$93*G67+$B$94*H67)</f>
        <v>-0.00432158639592506</v>
      </c>
      <c r="K67" s="18" t="n">
        <f aca="false">J67^2</f>
        <v>1.86761089774445E-005</v>
      </c>
    </row>
    <row r="68" customFormat="false" ht="15" hidden="false" customHeight="false" outlineLevel="0" collapsed="false">
      <c r="A68" s="19" t="str">
        <f aca="false">Datos!A76</f>
        <v>2022Q4</v>
      </c>
      <c r="B68" s="20" t="n">
        <f aca="false">Datos!L76</f>
        <v>-0.042989937364541</v>
      </c>
      <c r="C68" s="20" t="n">
        <f aca="false">Datos!I71</f>
        <v>0.0155375869236292</v>
      </c>
      <c r="D68" s="20" t="n">
        <f aca="false">Datos!H76</f>
        <v>-69.2846118840562</v>
      </c>
      <c r="E68" s="20" t="n">
        <f aca="false">Datos!H74</f>
        <v>111.567003052503</v>
      </c>
      <c r="F68" s="20" t="n">
        <f aca="false">Datos!H70</f>
        <v>51.4231142857141</v>
      </c>
      <c r="G68" s="20" t="n">
        <f aca="false">Datos!J70</f>
        <v>-0.164266961512105</v>
      </c>
      <c r="H68" s="20" t="n">
        <f aca="false">Datos!K75</f>
        <v>-0.0294452458384041</v>
      </c>
      <c r="I68" s="18" t="n">
        <v>1</v>
      </c>
      <c r="J68" s="18" t="n">
        <f aca="false">B68-($B$88+$B$89*C68+$B$90*D68+$B$91*E68+$B$92*F68+$B$93*G68+$B$94*H68)</f>
        <v>-0.0515234153420907</v>
      </c>
      <c r="K68" s="18" t="n">
        <f aca="false">J68^2</f>
        <v>0.00265466232851359</v>
      </c>
    </row>
    <row r="69" customFormat="false" ht="15" hidden="false" customHeight="false" outlineLevel="0" collapsed="false">
      <c r="A69" s="19" t="str">
        <f aca="false">Datos!A77</f>
        <v>2023Q1</v>
      </c>
      <c r="B69" s="20" t="n">
        <f aca="false">Datos!L77</f>
        <v>-0.0147344524955975</v>
      </c>
      <c r="C69" s="20" t="n">
        <f aca="false">Datos!I72</f>
        <v>0.0372511420898235</v>
      </c>
      <c r="D69" s="20" t="n">
        <f aca="false">Datos!H77</f>
        <v>-376.758957004832</v>
      </c>
      <c r="E69" s="20" t="n">
        <f aca="false">Datos!H75</f>
        <v>613.427821391941</v>
      </c>
      <c r="F69" s="20" t="n">
        <f aca="false">Datos!H71</f>
        <v>24.6869913043479</v>
      </c>
      <c r="G69" s="20" t="n">
        <f aca="false">Datos!J71</f>
        <v>0.249643026411689</v>
      </c>
      <c r="H69" s="20" t="n">
        <f aca="false">Datos!K76</f>
        <v>0.11290837336386</v>
      </c>
      <c r="I69" s="18" t="n">
        <v>1</v>
      </c>
      <c r="J69" s="18" t="n">
        <f aca="false">B69-($B$88+$B$89*C69+$B$90*D69+$B$91*E69+$B$92*F69+$B$93*G69+$B$94*H69)</f>
        <v>-0.0038091951032359</v>
      </c>
      <c r="K69" s="18" t="n">
        <f aca="false">J69^2</f>
        <v>1.45099673345163E-005</v>
      </c>
    </row>
    <row r="70" customFormat="false" ht="15" hidden="false" customHeight="false" outlineLevel="0" collapsed="false">
      <c r="A70" s="19" t="str">
        <f aca="false">Datos!A78</f>
        <v>2023Q2</v>
      </c>
      <c r="B70" s="20" t="n">
        <f aca="false">Datos!L78</f>
        <v>-0.0658685480975044</v>
      </c>
      <c r="C70" s="20" t="n">
        <f aca="false">Datos!I73</f>
        <v>0.0355016157142883</v>
      </c>
      <c r="D70" s="20" t="n">
        <f aca="false">Datos!H78</f>
        <v>396.345972839506</v>
      </c>
      <c r="E70" s="20" t="n">
        <f aca="false">Datos!H76</f>
        <v>-69.2846118840562</v>
      </c>
      <c r="F70" s="20" t="n">
        <f aca="false">Datos!H72</f>
        <v>144.162478260869</v>
      </c>
      <c r="G70" s="20" t="n">
        <f aca="false">Datos!J72</f>
        <v>0.284553859686216</v>
      </c>
      <c r="H70" s="20" t="n">
        <f aca="false">Datos!K77</f>
        <v>-0.11679097674453</v>
      </c>
      <c r="I70" s="18" t="n">
        <v>1</v>
      </c>
      <c r="J70" s="18" t="n">
        <f aca="false">B70-($B$88+$B$89*C70+$B$90*D70+$B$91*E70+$B$92*F70+$B$93*G70+$B$94*H70)</f>
        <v>0.00449384936590686</v>
      </c>
      <c r="K70" s="18" t="n">
        <f aca="false">J70^2</f>
        <v>2.01946821234614E-005</v>
      </c>
    </row>
    <row r="71" customFormat="false" ht="15" hidden="false" customHeight="false" outlineLevel="0" collapsed="false">
      <c r="A71" s="19" t="str">
        <f aca="false">Datos!A79</f>
        <v>2023Q3</v>
      </c>
      <c r="B71" s="20" t="n">
        <f aca="false">Datos!L79</f>
        <v>0.0512569990728792</v>
      </c>
      <c r="C71" s="20" t="n">
        <f aca="false">Datos!I74</f>
        <v>-0.00674178026505711</v>
      </c>
      <c r="D71" s="20" t="n">
        <f aca="false">Datos!H79</f>
        <v>-393.961216440069</v>
      </c>
      <c r="E71" s="20" t="n">
        <f aca="false">Datos!H77</f>
        <v>-376.758957004832</v>
      </c>
      <c r="F71" s="20" t="n">
        <f aca="false">Datos!H73</f>
        <v>94.729852657005</v>
      </c>
      <c r="G71" s="20" t="n">
        <f aca="false">Datos!J73</f>
        <v>-0.167076079806291</v>
      </c>
      <c r="H71" s="20" t="n">
        <f aca="false">Datos!K78</f>
        <v>0.0155541344453244</v>
      </c>
      <c r="I71" s="18" t="n">
        <v>1</v>
      </c>
      <c r="J71" s="18" t="n">
        <f aca="false">B71-($B$88+$B$89*C71+$B$90*D71+$B$91*E71+$B$92*F71+$B$93*G71+$B$94*H71)</f>
        <v>-0.0167678106674491</v>
      </c>
      <c r="K71" s="18" t="n">
        <f aca="false">J71^2</f>
        <v>0.000281159474579419</v>
      </c>
    </row>
    <row r="72" customFormat="false" ht="15" hidden="false" customHeight="false" outlineLevel="0" collapsed="false">
      <c r="A72" s="19" t="str">
        <f aca="false">Datos!A80</f>
        <v>2023Q4</v>
      </c>
      <c r="B72" s="20" t="n">
        <f aca="false">Datos!L80</f>
        <v>-0.0116681302350901</v>
      </c>
      <c r="C72" s="20" t="n">
        <f aca="false">Datos!I75</f>
        <v>-0.0371795981009521</v>
      </c>
      <c r="D72" s="20" t="n">
        <f aca="false">Datos!H80</f>
        <v>122.080899625603</v>
      </c>
      <c r="E72" s="20" t="n">
        <f aca="false">Datos!H78</f>
        <v>396.345972839506</v>
      </c>
      <c r="F72" s="20" t="n">
        <f aca="false">Datos!H74</f>
        <v>111.567003052503</v>
      </c>
      <c r="G72" s="20" t="n">
        <f aca="false">Datos!J74</f>
        <v>0.169220698210594</v>
      </c>
      <c r="H72" s="20" t="n">
        <f aca="false">Datos!K79</f>
        <v>0.0783071254305534</v>
      </c>
      <c r="I72" s="18" t="n">
        <v>1</v>
      </c>
      <c r="J72" s="18" t="n">
        <f aca="false">B72-($B$88+$B$89*C72+$B$90*D72+$B$91*E72+$B$92*F72+$B$93*G72+$B$94*H72)</f>
        <v>0.00587518512038084</v>
      </c>
      <c r="K72" s="18" t="n">
        <f aca="false">J72^2</f>
        <v>3.45178001987445E-005</v>
      </c>
    </row>
    <row r="73" customFormat="false" ht="15" hidden="false" customHeight="false" outlineLevel="0" collapsed="false">
      <c r="A73" s="19" t="str">
        <f aca="false">Datos!A81</f>
        <v>2024Q1</v>
      </c>
      <c r="B73" s="20" t="n">
        <f aca="false">Datos!L81</f>
        <v>-0.0324571770905033</v>
      </c>
      <c r="C73" s="20" t="n">
        <f aca="false">Datos!I76</f>
        <v>-0.0252636786491897</v>
      </c>
      <c r="D73" s="20" t="n">
        <f aca="false">Datos!H81</f>
        <v>-454.938553802817</v>
      </c>
      <c r="E73" s="20" t="n">
        <f aca="false">Datos!H79</f>
        <v>-393.961216440069</v>
      </c>
      <c r="F73" s="20" t="n">
        <f aca="false">Datos!H75</f>
        <v>613.427821391941</v>
      </c>
      <c r="G73" s="20" t="n">
        <f aca="false">Datos!J75</f>
        <v>-0.0735093011783898</v>
      </c>
      <c r="H73" s="20" t="n">
        <f aca="false">Datos!K80</f>
        <v>-0.105805285831385</v>
      </c>
      <c r="I73" s="18" t="n">
        <v>1</v>
      </c>
      <c r="J73" s="18" t="n">
        <f aca="false">B73-($B$88+$B$89*C73+$B$90*D73+$B$91*E73+$B$92*F73+$B$93*G73+$B$94*H73)</f>
        <v>-0.0936854062199635</v>
      </c>
      <c r="K73" s="18" t="n">
        <f aca="false">J73^2</f>
        <v>0.00877695533859958</v>
      </c>
    </row>
    <row r="74" customFormat="false" ht="15" hidden="false" customHeight="false" outlineLevel="0" collapsed="false">
      <c r="A74" s="19" t="str">
        <f aca="false">Datos!A82</f>
        <v>2024Q2</v>
      </c>
      <c r="B74" s="20" t="n">
        <f aca="false">Datos!L82</f>
        <v>0.0387840333974563</v>
      </c>
      <c r="C74" s="20" t="n">
        <f aca="false">Datos!I77</f>
        <v>-0.00518521666359616</v>
      </c>
      <c r="D74" s="20" t="n">
        <f aca="false">Datos!H82</f>
        <v>-411.750199402986</v>
      </c>
      <c r="E74" s="20" t="n">
        <f aca="false">Datos!H80</f>
        <v>122.080899625603</v>
      </c>
      <c r="F74" s="20" t="n">
        <f aca="false">Datos!H76</f>
        <v>-69.2846118840562</v>
      </c>
      <c r="G74" s="20" t="n">
        <f aca="false">Datos!J76</f>
        <v>-0.0738502184948509</v>
      </c>
      <c r="H74" s="20" t="n">
        <f aca="false">Datos!K81</f>
        <v>0.0467744313554986</v>
      </c>
      <c r="I74" s="18" t="n">
        <v>1</v>
      </c>
      <c r="J74" s="18" t="n">
        <f aca="false">B74-($B$88+$B$89*C74+$B$90*D74+$B$91*E74+$B$92*F74+$B$93*G74+$B$94*H74)</f>
        <v>0.00330637558735953</v>
      </c>
      <c r="K74" s="18" t="n">
        <f aca="false">J74^2</f>
        <v>1.09321195246871E-005</v>
      </c>
    </row>
    <row r="75" customFormat="false" ht="15" hidden="false" customHeight="false" outlineLevel="0" collapsed="false">
      <c r="A75" s="19" t="str">
        <f aca="false">Datos!A83</f>
        <v>2024Q3</v>
      </c>
      <c r="B75" s="20" t="n">
        <f aca="false">Datos!L83</f>
        <v>-0.00853767280644247</v>
      </c>
      <c r="C75" s="20" t="n">
        <f aca="false">Datos!I78</f>
        <v>-0.0211814413429257</v>
      </c>
      <c r="D75" s="20" t="n">
        <f aca="false">Datos!H83</f>
        <v>140.77357394844</v>
      </c>
      <c r="E75" s="20" t="n">
        <f aca="false">Datos!H81</f>
        <v>-454.938553802817</v>
      </c>
      <c r="F75" s="20" t="n">
        <f aca="false">Datos!H77</f>
        <v>-376.758957004832</v>
      </c>
      <c r="G75" s="20" t="n">
        <f aca="false">Datos!J77</f>
        <v>0.367099592287782</v>
      </c>
      <c r="H75" s="20" t="n">
        <f aca="false">Datos!K82</f>
        <v>0.0075734886805694</v>
      </c>
      <c r="I75" s="18" t="n">
        <v>1</v>
      </c>
      <c r="J75" s="18" t="n">
        <f aca="false">B75-($B$88+$B$89*C75+$B$90*D75+$B$91*E75+$B$92*F75+$B$93*G75+$B$94*H75)</f>
        <v>0.0192153743402387</v>
      </c>
      <c r="K75" s="18" t="n">
        <f aca="false">J75^2</f>
        <v>0.000369230611035502</v>
      </c>
    </row>
    <row r="76" customFormat="false" ht="15" hidden="false" customHeight="false" outlineLevel="0" collapsed="false">
      <c r="A76" s="19" t="str">
        <f aca="false">Datos!A84</f>
        <v>2024Q4</v>
      </c>
      <c r="B76" s="20" t="n">
        <f aca="false">Datos!L84</f>
        <v>0.0457536331016225</v>
      </c>
      <c r="C76" s="20" t="n">
        <f aca="false">Datos!I79</f>
        <v>-0.0552380565995734</v>
      </c>
      <c r="D76" s="20" t="n">
        <f aca="false">Datos!H84</f>
        <v>-564.145454545455</v>
      </c>
      <c r="E76" s="20" t="n">
        <f aca="false">Datos!H82</f>
        <v>-411.750199402986</v>
      </c>
      <c r="F76" s="20" t="n">
        <f aca="false">Datos!H78</f>
        <v>396.345972839506</v>
      </c>
      <c r="G76" s="20" t="n">
        <f aca="false">Datos!J78</f>
        <v>-0.00797161018467474</v>
      </c>
      <c r="H76" s="20" t="n">
        <f aca="false">Datos!K83</f>
        <v>-0.018971590647632</v>
      </c>
      <c r="I76" s="18" t="n">
        <v>1</v>
      </c>
      <c r="J76" s="18" t="n">
        <f aca="false">B76-($B$88+$B$89*C76+$B$90*D76+$B$91*E76+$B$92*F76+$B$93*G76+$B$94*H76)</f>
        <v>-0.0312072509090715</v>
      </c>
      <c r="K76" s="18" t="n">
        <f aca="false">J76^2</f>
        <v>0.000973892509301746</v>
      </c>
    </row>
    <row r="77" customFormat="false" ht="15" hidden="false" customHeight="false" outlineLevel="0" collapsed="false">
      <c r="A77" s="19" t="str">
        <f aca="false">Datos!A85</f>
        <v>2025Q1</v>
      </c>
      <c r="B77" s="20" t="n">
        <f aca="false">Datos!L85</f>
        <v>0.031991780460181</v>
      </c>
      <c r="C77" s="20" t="n">
        <f aca="false">Datos!I80</f>
        <v>-0.104830369197381</v>
      </c>
      <c r="D77" s="20" t="n">
        <f aca="false">Datos!H85</f>
        <v>-235.861538461538</v>
      </c>
      <c r="E77" s="20" t="n">
        <f aca="false">Datos!H83</f>
        <v>140.77357394844</v>
      </c>
      <c r="F77" s="20" t="n">
        <f aca="false">Datos!H79</f>
        <v>-393.961216440069</v>
      </c>
      <c r="G77" s="20" t="n">
        <f aca="false">Datos!J79</f>
        <v>0.183376294592147</v>
      </c>
      <c r="H77" s="20" t="n">
        <f aca="false">Datos!K84</f>
        <v>0.0531537879619577</v>
      </c>
      <c r="I77" s="18" t="n">
        <v>1</v>
      </c>
      <c r="J77" s="18" t="n">
        <f aca="false">B77-($B$88+$B$89*C77+$B$90*D77+$B$91*E77+$B$92*F77+$B$93*G77+$B$94*H77)</f>
        <v>0.0283654580262984</v>
      </c>
      <c r="K77" s="18" t="n">
        <f aca="false">J77^2</f>
        <v>0.000804599209041695</v>
      </c>
    </row>
    <row r="78" customFormat="false" ht="15" hidden="false" customHeight="false" outlineLevel="0" collapsed="false">
      <c r="A78" s="19" t="str">
        <f aca="false">Datos!A86</f>
        <v>2025Q2</v>
      </c>
      <c r="B78" s="20" t="n">
        <f aca="false">Datos!L86</f>
        <v>0.005439399321155</v>
      </c>
      <c r="C78" s="20" t="n">
        <f aca="false">Datos!I81</f>
        <v>-0.0995297912662513</v>
      </c>
      <c r="D78" s="20" t="n">
        <f aca="false">Datos!H86</f>
        <v>39.3076923076923</v>
      </c>
      <c r="E78" s="20" t="n">
        <f aca="false">Datos!H84</f>
        <v>-564.145454545455</v>
      </c>
      <c r="F78" s="20" t="n">
        <f aca="false">Datos!H80</f>
        <v>122.080899625603</v>
      </c>
      <c r="G78" s="20" t="n">
        <f aca="false">Datos!J80</f>
        <v>0.44451895067595</v>
      </c>
      <c r="H78" s="20" t="n">
        <f aca="false">Datos!K85</f>
        <v>0.0590611299941486</v>
      </c>
      <c r="I78" s="18" t="n">
        <v>1</v>
      </c>
      <c r="J78" s="18" t="n">
        <f aca="false">B78-($B$88+$B$89*C78+$B$90*D78+$B$91*E78+$B$92*F78+$B$93*G78+$B$94*H78)</f>
        <v>-0.0111336092147051</v>
      </c>
      <c r="K78" s="18" t="n">
        <f aca="false">J78^2</f>
        <v>0.000123957254145765</v>
      </c>
    </row>
    <row r="79" customFormat="false" ht="15" hidden="false" customHeight="false" outlineLevel="0" collapsed="false">
      <c r="A79" s="19" t="str">
        <f aca="false">Datos!A87</f>
        <v>2025Q3</v>
      </c>
      <c r="B79" s="20" t="n">
        <f aca="false">Datos!L87</f>
        <v>-0.0312450961083366</v>
      </c>
      <c r="C79" s="20" t="n">
        <f aca="false">Datos!I82</f>
        <v>0.0839810999883668</v>
      </c>
      <c r="D79" s="20" t="n">
        <f aca="false">Datos!H87</f>
        <v>142.307692307692</v>
      </c>
      <c r="E79" s="20" t="n">
        <f aca="false">Datos!H85</f>
        <v>-235.861538461538</v>
      </c>
      <c r="F79" s="20" t="n">
        <f aca="false">Datos!H81</f>
        <v>-454.938553802817</v>
      </c>
      <c r="G79" s="20" t="n">
        <f aca="false">Datos!J81</f>
        <v>-0.185892833904252</v>
      </c>
      <c r="H79" s="20" t="n">
        <f aca="false">Datos!K86</f>
        <v>-0.00492374961477249</v>
      </c>
      <c r="I79" s="18" t="n">
        <v>1</v>
      </c>
      <c r="J79" s="18" t="n">
        <f aca="false">B79-($B$88+$B$89*C79+$B$90*D79+$B$91*E79+$B$92*F79+$B$93*G79+$B$94*H79)</f>
        <v>-0.0227046167452161</v>
      </c>
      <c r="K79" s="18" t="n">
        <f aca="false">J79^2</f>
        <v>0.000515499621547148</v>
      </c>
    </row>
    <row r="80" customFormat="false" ht="15" hidden="false" customHeight="false" outlineLevel="0" collapsed="false">
      <c r="A80" s="19" t="str">
        <f aca="false">Datos!A88</f>
        <v>2025Q4</v>
      </c>
      <c r="B80" s="20" t="n">
        <f aca="false">Datos!L88</f>
        <v>-0.0119885377129245</v>
      </c>
      <c r="C80" s="20" t="n">
        <f aca="false">Datos!I83</f>
        <v>0.0583938784085901</v>
      </c>
      <c r="D80" s="20" t="n">
        <f aca="false">Datos!H88</f>
        <v>-113.153846153846</v>
      </c>
      <c r="E80" s="20" t="n">
        <f aca="false">Datos!H86</f>
        <v>39.3076923076923</v>
      </c>
      <c r="F80" s="20" t="n">
        <f aca="false">Datos!H82</f>
        <v>-411.750199402986</v>
      </c>
      <c r="G80" s="20" t="n">
        <f aca="false">Datos!J82</f>
        <v>0.211724770440168</v>
      </c>
      <c r="H80" s="20" t="n">
        <f aca="false">Datos!K87</f>
        <v>-0.0217974862356229</v>
      </c>
      <c r="I80" s="18" t="n">
        <v>1</v>
      </c>
      <c r="J80" s="18" t="n">
        <f aca="false">B80-($B$88+$B$89*C80+$B$90*D80+$B$91*E80+$B$92*F80+$B$93*G80+$B$94*H80)</f>
        <v>0.0288159780376943</v>
      </c>
      <c r="K80" s="18" t="n">
        <f aca="false">J80^2</f>
        <v>0.000830360590268878</v>
      </c>
    </row>
    <row r="81" customFormat="false" ht="15" hidden="false" customHeight="false" outlineLevel="0" collapsed="false">
      <c r="A81" s="19" t="str">
        <f aca="false">Datos!A89</f>
        <v>2026Q1</v>
      </c>
      <c r="B81" s="20" t="n">
        <f aca="false">Datos!L89</f>
        <v>0.00411353813353888</v>
      </c>
      <c r="C81" s="20" t="n">
        <f aca="false">Datos!I84</f>
        <v>0.209850652496816</v>
      </c>
      <c r="D81" s="20" t="n">
        <f aca="false">Datos!H89</f>
        <v>-216.777777777778</v>
      </c>
      <c r="E81" s="20" t="n">
        <f aca="false">Datos!H87</f>
        <v>142.307692307692</v>
      </c>
      <c r="F81" s="20" t="n">
        <f aca="false">Datos!H83</f>
        <v>140.77357394844</v>
      </c>
      <c r="G81" s="20" t="n">
        <f aca="false">Datos!J83</f>
        <v>-0.11430199205953</v>
      </c>
      <c r="H81" s="20" t="n">
        <f aca="false">Datos!K88</f>
        <v>-0.055083056060383</v>
      </c>
      <c r="I81" s="18" t="n">
        <v>1</v>
      </c>
      <c r="J81" s="18" t="n">
        <f aca="false">B81-($B$88+$B$89*C81+$B$90*D81+$B$91*E81+$B$92*F81+$B$93*G81+$B$94*H81)</f>
        <v>0.0221985826837342</v>
      </c>
      <c r="K81" s="18" t="n">
        <f aca="false">J81^2</f>
        <v>0.000492777073166586</v>
      </c>
    </row>
    <row r="86" customFormat="false" ht="15" hidden="false" customHeight="false" outlineLevel="0" collapsed="false">
      <c r="A86" s="21" t="s">
        <v>151</v>
      </c>
      <c r="B86" s="22"/>
      <c r="C86" s="22"/>
      <c r="D86" s="22"/>
      <c r="E86" s="22"/>
      <c r="F86" s="22"/>
      <c r="G86" s="22"/>
      <c r="H86" s="22"/>
      <c r="I86" s="22"/>
    </row>
    <row r="87" customFormat="false" ht="15" hidden="false" customHeight="false" outlineLevel="0" collapsed="false">
      <c r="A87" s="14" t="s">
        <v>22</v>
      </c>
      <c r="B87" s="14" t="s">
        <v>23</v>
      </c>
      <c r="C87" s="14" t="s">
        <v>152</v>
      </c>
      <c r="D87" s="14" t="s">
        <v>153</v>
      </c>
      <c r="E87" s="14" t="s">
        <v>20</v>
      </c>
      <c r="G87" s="11" t="s">
        <v>154</v>
      </c>
      <c r="H87" s="23" t="n">
        <f aca="false">INDEX(LINEST($B$6:$B$81,$C$6:$H$81,TRUE(),TRUE()),4,2)</f>
        <v>69</v>
      </c>
    </row>
    <row r="88" customFormat="false" ht="15" hidden="false" customHeight="false" outlineLevel="0" collapsed="false">
      <c r="A88" s="24" t="s">
        <v>155</v>
      </c>
      <c r="B88" s="25" t="n">
        <f aca="false">INDEX(LINEST($B$6:$B$81,$C$6:$H$81,TRUE(),TRUE()),1,7)</f>
        <v>0.000913674031001879</v>
      </c>
      <c r="C88" s="8" t="n">
        <f aca="false">INDEX(LINEST($B$6:$B$81,$C$6:$H$81,TRUE(),TRUE()),2,7)</f>
        <v>0.00374906824666652</v>
      </c>
      <c r="D88" s="5" t="n">
        <f aca="false">B88/C88</f>
        <v>0.243706961540183</v>
      </c>
      <c r="E88" s="7" t="n">
        <f aca="false">TDIST(ABS(D88),$H$87,2)</f>
        <v>0.80818092163422</v>
      </c>
    </row>
    <row r="89" customFormat="false" ht="15" hidden="false" customHeight="false" outlineLevel="0" collapsed="false">
      <c r="A89" s="24" t="s">
        <v>180</v>
      </c>
      <c r="B89" s="25" t="n">
        <f aca="false">INDEX(LINEST($B$6:$B$81,$C$6:$H$81,TRUE(),TRUE()),1,6)</f>
        <v>-0.144070656933977</v>
      </c>
      <c r="C89" s="8" t="n">
        <f aca="false">INDEX(LINEST($B$6:$B$81,$C$6:$H$81,TRUE(),TRUE()),2,6)</f>
        <v>0.0508905488863541</v>
      </c>
      <c r="D89" s="5" t="n">
        <f aca="false">B89/C89</f>
        <v>-2.83099043116449</v>
      </c>
      <c r="E89" s="7" t="n">
        <f aca="false">TDIST(ABS(D89),$H$87,2)</f>
        <v>0.00607478646333885</v>
      </c>
    </row>
    <row r="90" customFormat="false" ht="15" hidden="false" customHeight="false" outlineLevel="0" collapsed="false">
      <c r="A90" s="24" t="s">
        <v>136</v>
      </c>
      <c r="B90" s="25" t="n">
        <f aca="false">INDEX(LINEST($B$6:$B$81,$C$6:$H$81,TRUE(),TRUE()),1,5)</f>
        <v>-6.400809724505E-005</v>
      </c>
      <c r="C90" s="8" t="n">
        <f aca="false">INDEX(LINEST($B$6:$B$81,$C$6:$H$81,TRUE(),TRUE()),2,5)</f>
        <v>1.2727429334444E-005</v>
      </c>
      <c r="D90" s="5" t="n">
        <f aca="false">B90/C90</f>
        <v>-5.02914575780247</v>
      </c>
      <c r="E90" s="7" t="n">
        <f aca="false">TDIST(ABS(D90),$H$87,2)</f>
        <v>3.73412139972309E-006</v>
      </c>
    </row>
    <row r="91" customFormat="false" ht="15" hidden="false" customHeight="false" outlineLevel="0" collapsed="false">
      <c r="A91" s="24" t="s">
        <v>137</v>
      </c>
      <c r="B91" s="25" t="n">
        <f aca="false">INDEX(LINEST($B$6:$B$81,$C$6:$H$81,TRUE(),TRUE()),1,4)</f>
        <v>-5.06083665782316E-005</v>
      </c>
      <c r="C91" s="8" t="n">
        <f aca="false">INDEX(LINEST($B$6:$B$81,$C$6:$H$81,TRUE(),TRUE()),2,4)</f>
        <v>1.3084167473526E-005</v>
      </c>
      <c r="D91" s="5" t="n">
        <f aca="false">B91/C91</f>
        <v>-3.86790880509828</v>
      </c>
      <c r="E91" s="7" t="n">
        <f aca="false">TDIST(ABS(D91),$H$87,2)</f>
        <v>0.00024571550727895</v>
      </c>
    </row>
    <row r="92" customFormat="false" ht="15" hidden="false" customHeight="false" outlineLevel="0" collapsed="false">
      <c r="A92" s="24" t="s">
        <v>138</v>
      </c>
      <c r="B92" s="25" t="n">
        <f aca="false">INDEX(LINEST($B$6:$B$81,$C$6:$H$81,TRUE(),TRUE()),1,3)</f>
        <v>3.58095818429607E-005</v>
      </c>
      <c r="C92" s="8" t="n">
        <f aca="false">INDEX(LINEST($B$6:$B$81,$C$6:$H$81,TRUE(),TRUE()),2,3)</f>
        <v>1.37578497296121E-005</v>
      </c>
      <c r="D92" s="5" t="n">
        <f aca="false">B92/C92</f>
        <v>2.60284728694812</v>
      </c>
      <c r="E92" s="7" t="n">
        <f aca="false">TDIST(ABS(D92),$H$87,2)</f>
        <v>0.0113083274724457</v>
      </c>
    </row>
    <row r="93" customFormat="false" ht="15" hidden="false" customHeight="false" outlineLevel="0" collapsed="false">
      <c r="A93" s="24" t="s">
        <v>139</v>
      </c>
      <c r="B93" s="25" t="n">
        <f aca="false">INDEX(LINEST($B$6:$B$81,$C$6:$H$81,TRUE(),TRUE()),1,2)</f>
        <v>-0.0919387750115076</v>
      </c>
      <c r="C93" s="8" t="n">
        <f aca="false">INDEX(LINEST($B$6:$B$81,$C$6:$H$81,TRUE(),TRUE()),2,2)</f>
        <v>0.0301334296201674</v>
      </c>
      <c r="D93" s="5" t="n">
        <f aca="false">B93/C93</f>
        <v>-3.05105579319706</v>
      </c>
      <c r="E93" s="7" t="n">
        <f aca="false">TDIST(ABS(D93),$H$87,2)</f>
        <v>0.00323502700020524</v>
      </c>
    </row>
    <row r="94" customFormat="false" ht="15" hidden="false" customHeight="false" outlineLevel="0" collapsed="false">
      <c r="A94" s="24" t="s">
        <v>181</v>
      </c>
      <c r="B94" s="25" t="n">
        <f aca="false">INDEX(LINEST($B$6:$B$81,$C$6:$H$81,TRUE(),TRUE()),1,1)</f>
        <v>0.19949507478721</v>
      </c>
      <c r="C94" s="8" t="n">
        <f aca="false">INDEX(LINEST($B$6:$B$81,$C$6:$H$81,TRUE(),TRUE()),2,1)</f>
        <v>0.0574960870778519</v>
      </c>
      <c r="D94" s="5" t="n">
        <f aca="false">B94/C94</f>
        <v>3.46971567851368</v>
      </c>
      <c r="E94" s="7" t="n">
        <f aca="false">TDIST(ABS(D94),$H$87,2)</f>
        <v>0.000902433536062667</v>
      </c>
    </row>
    <row r="96" customFormat="false" ht="15" hidden="false" customHeight="false" outlineLevel="0" collapsed="false">
      <c r="A96" s="21" t="s">
        <v>156</v>
      </c>
      <c r="B96" s="22"/>
      <c r="C96" s="22"/>
      <c r="D96" s="22"/>
      <c r="E96" s="22"/>
      <c r="F96" s="22"/>
      <c r="G96" s="22"/>
      <c r="H96" s="22"/>
      <c r="I96" s="22"/>
    </row>
    <row r="97" customFormat="false" ht="15" hidden="false" customHeight="false" outlineLevel="0" collapsed="false">
      <c r="A97" s="24" t="s">
        <v>157</v>
      </c>
      <c r="B97" s="5" t="n">
        <f aca="false">COUNT($B$6:$B$81)</f>
        <v>76</v>
      </c>
    </row>
    <row r="98" customFormat="false" ht="15" hidden="false" customHeight="false" outlineLevel="0" collapsed="false">
      <c r="A98" s="24" t="s">
        <v>7</v>
      </c>
      <c r="B98" s="5" t="n">
        <v>7</v>
      </c>
    </row>
    <row r="99" customFormat="false" ht="15" hidden="false" customHeight="false" outlineLevel="0" collapsed="false">
      <c r="A99" s="24" t="s">
        <v>8</v>
      </c>
      <c r="B99" s="6" t="n">
        <f aca="false">INDEX(LINEST($B$6:$B$81,$C$6:$H$81,TRUE(),TRUE()),3,1)</f>
        <v>0.532863984979241</v>
      </c>
    </row>
    <row r="100" customFormat="false" ht="15" hidden="false" customHeight="false" outlineLevel="0" collapsed="false">
      <c r="A100" s="24" t="s">
        <v>9</v>
      </c>
      <c r="B100" s="26" t="n">
        <f aca="false">1-(1-B99)*(B97-1)/(B97-B98)</f>
        <v>0.492243461933958</v>
      </c>
    </row>
    <row r="101" customFormat="false" ht="15" hidden="false" customHeight="false" outlineLevel="0" collapsed="false">
      <c r="A101" s="24" t="s">
        <v>10</v>
      </c>
      <c r="B101" s="8" t="n">
        <f aca="false">INDEX(LINEST($B$6:$B$81,$C$6:$H$81,TRUE(),TRUE()),5,2)</f>
        <v>0.072216897585653</v>
      </c>
    </row>
    <row r="102" customFormat="false" ht="15" hidden="false" customHeight="false" outlineLevel="0" collapsed="false">
      <c r="A102" s="24" t="s">
        <v>158</v>
      </c>
      <c r="B102" s="6" t="n">
        <f aca="false">-B97/2*(LN(2*PI())+LN(B101/B97)+1)</f>
        <v>156.595624838905</v>
      </c>
    </row>
    <row r="103" customFormat="false" ht="15" hidden="false" customHeight="false" outlineLevel="0" collapsed="false">
      <c r="A103" s="24" t="s">
        <v>11</v>
      </c>
      <c r="B103" s="27" t="n">
        <f aca="false">-2*B102+2*B98</f>
        <v>-299.191249677809</v>
      </c>
    </row>
    <row r="104" customFormat="false" ht="15" hidden="false" customHeight="false" outlineLevel="0" collapsed="false">
      <c r="A104" s="24" t="s">
        <v>12</v>
      </c>
      <c r="B104" s="27" t="n">
        <f aca="false">-2*B102+LN(B97)*B98</f>
        <v>-282.876116295805</v>
      </c>
    </row>
    <row r="106" customFormat="false" ht="15" hidden="false" customHeight="false" outlineLevel="0" collapsed="false">
      <c r="A106" s="10" t="s">
        <v>13</v>
      </c>
      <c r="B106" s="28" t="n">
        <f aca="false">SUMXMY2(J7:J81,J6:J80)/SUMSQ(J6:J81)</f>
        <v>2.0279652045438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5"/>
    <col collapsed="false" customWidth="true" hidden="false" outlineLevel="0" max="10" min="6" style="0" width="13"/>
  </cols>
  <sheetData>
    <row r="1" customFormat="false" ht="17.35" hidden="false" customHeight="false" outlineLevel="0" collapsed="false">
      <c r="A1" s="1" t="s">
        <v>182</v>
      </c>
    </row>
    <row r="2" customFormat="false" ht="15" hidden="false" customHeight="false" outlineLevel="0" collapsed="false">
      <c r="A2" s="2" t="s">
        <v>183</v>
      </c>
    </row>
    <row r="4" customFormat="false" ht="15" hidden="false" customHeight="false" outlineLevel="0" collapsed="false">
      <c r="A4" s="21" t="s">
        <v>184</v>
      </c>
      <c r="B4" s="22"/>
      <c r="C4" s="22"/>
      <c r="D4" s="22"/>
      <c r="E4" s="22"/>
    </row>
    <row r="5" customFormat="false" ht="15" hidden="false" customHeight="false" outlineLevel="0" collapsed="false">
      <c r="A5" s="31" t="s">
        <v>185</v>
      </c>
      <c r="B5" s="31" t="s">
        <v>186</v>
      </c>
      <c r="C5" s="31" t="s">
        <v>187</v>
      </c>
      <c r="D5" s="31" t="s">
        <v>188</v>
      </c>
    </row>
    <row r="6" customFormat="false" ht="15" hidden="false" customHeight="true" outlineLevel="0" collapsed="false">
      <c r="A6" s="11" t="n">
        <v>1</v>
      </c>
      <c r="B6" s="12" t="n">
        <f aca="false">SUMPRODUCT(Modelo_Actual!$J$7:$J$81,Modelo_Actual!$J$6:$J$80)/SUMSQ(Modelo_Actual!$J$6:$J$81)</f>
        <v>-0.0766046053494911</v>
      </c>
      <c r="C6" s="12" t="n">
        <f aca="false">SUMPRODUCT(Modelo_ADL!$K$7:$K$81,Modelo_ADL!$K$6:$K$80)/SUMSQ(Modelo_ADL!$K$6:$K$81)</f>
        <v>-0.0585007805087309</v>
      </c>
      <c r="D6" s="12" t="n">
        <f aca="false">SUMPRODUCT(Rezagos_BIC!$J$7:$J$81,Rezagos_BIC!$J$6:$J$80)/SUMSQ(Rezagos_BIC!$J$6:$J$81)</f>
        <v>-0.0175928993736943</v>
      </c>
      <c r="F6" s="32" t="s">
        <v>189</v>
      </c>
      <c r="G6" s="32"/>
      <c r="H6" s="32"/>
      <c r="I6" s="32"/>
      <c r="J6" s="32"/>
    </row>
    <row r="7" customFormat="false" ht="15" hidden="false" customHeight="false" outlineLevel="0" collapsed="false">
      <c r="A7" s="11" t="n">
        <v>2</v>
      </c>
      <c r="B7" s="12" t="n">
        <f aca="false">SUMPRODUCT(Modelo_Actual!$J$8:$J$81,Modelo_Actual!$J$6:$J$79)/SUMSQ(Modelo_Actual!$J$6:$J$81)</f>
        <v>-0.034831145885063</v>
      </c>
      <c r="C7" s="12" t="n">
        <f aca="false">SUMPRODUCT(Modelo_ADL!$K$8:$K$81,Modelo_ADL!$K$6:$K$79)/SUMSQ(Modelo_ADL!$K$6:$K$81)</f>
        <v>0.00592880407189425</v>
      </c>
      <c r="D7" s="12" t="n">
        <f aca="false">SUMPRODUCT(Rezagos_BIC!$J$8:$J$81,Rezagos_BIC!$J$6:$J$79)/SUMSQ(Rezagos_BIC!$J$6:$J$81)</f>
        <v>-0.0304175220375577</v>
      </c>
      <c r="F7" s="32"/>
      <c r="G7" s="32"/>
      <c r="H7" s="32"/>
      <c r="I7" s="32"/>
      <c r="J7" s="32"/>
    </row>
    <row r="8" customFormat="false" ht="15" hidden="false" customHeight="false" outlineLevel="0" collapsed="false">
      <c r="A8" s="11" t="n">
        <v>3</v>
      </c>
      <c r="B8" s="12" t="n">
        <f aca="false">SUMPRODUCT(Modelo_Actual!$J$9:$J$81,Modelo_Actual!$J$6:$J$78)/SUMSQ(Modelo_Actual!$J$6:$J$81)</f>
        <v>0.00346930475741985</v>
      </c>
      <c r="C8" s="12" t="n">
        <f aca="false">SUMPRODUCT(Modelo_ADL!$K$9:$K$81,Modelo_ADL!$K$6:$K$78)/SUMSQ(Modelo_ADL!$K$6:$K$81)</f>
        <v>0.00810717213771694</v>
      </c>
      <c r="D8" s="12" t="n">
        <f aca="false">SUMPRODUCT(Rezagos_BIC!$J$9:$J$81,Rezagos_BIC!$J$6:$J$78)/SUMSQ(Rezagos_BIC!$J$6:$J$81)</f>
        <v>0.0660655648108128</v>
      </c>
      <c r="F8" s="32"/>
      <c r="G8" s="32"/>
      <c r="H8" s="32"/>
      <c r="I8" s="32"/>
      <c r="J8" s="32"/>
    </row>
    <row r="9" customFormat="false" ht="15" hidden="false" customHeight="false" outlineLevel="0" collapsed="false">
      <c r="A9" s="11" t="n">
        <v>4</v>
      </c>
      <c r="B9" s="12" t="n">
        <f aca="false">SUMPRODUCT(Modelo_Actual!$J$10:$J$81,Modelo_Actual!$J$6:$J$77)/SUMSQ(Modelo_Actual!$J$6:$J$81)</f>
        <v>-0.467960554338262</v>
      </c>
      <c r="C9" s="12" t="n">
        <f aca="false">SUMPRODUCT(Modelo_ADL!$K$10:$K$81,Modelo_ADL!$K$6:$K$77)/SUMSQ(Modelo_ADL!$K$6:$K$81)</f>
        <v>-0.502571753560539</v>
      </c>
      <c r="D9" s="12" t="n">
        <f aca="false">SUMPRODUCT(Rezagos_BIC!$J$10:$J$81,Rezagos_BIC!$J$6:$J$77)/SUMSQ(Rezagos_BIC!$J$6:$J$81)</f>
        <v>-0.361845376608536</v>
      </c>
      <c r="F9" s="32"/>
      <c r="G9" s="32"/>
      <c r="H9" s="32"/>
      <c r="I9" s="32"/>
      <c r="J9" s="32"/>
    </row>
    <row r="10" customFormat="false" ht="15" hidden="false" customHeight="false" outlineLevel="0" collapsed="false">
      <c r="A10" s="11" t="n">
        <v>5</v>
      </c>
      <c r="B10" s="12" t="n">
        <f aca="false">SUMPRODUCT(Modelo_Actual!$J$11:$J$81,Modelo_Actual!$J$6:$J$76)/SUMSQ(Modelo_Actual!$J$6:$J$81)</f>
        <v>0.197398184531149</v>
      </c>
      <c r="C10" s="12" t="n">
        <f aca="false">SUMPRODUCT(Modelo_ADL!$K$11:$K$81,Modelo_ADL!$K$6:$K$76)/SUMSQ(Modelo_ADL!$K$6:$K$81)</f>
        <v>0.119457436578927</v>
      </c>
      <c r="D10" s="12" t="n">
        <f aca="false">SUMPRODUCT(Rezagos_BIC!$J$11:$J$81,Rezagos_BIC!$J$6:$J$76)/SUMSQ(Rezagos_BIC!$J$6:$J$81)</f>
        <v>0.0480708777644808</v>
      </c>
      <c r="F10" s="32"/>
      <c r="G10" s="32"/>
      <c r="H10" s="32"/>
      <c r="I10" s="32"/>
      <c r="J10" s="32"/>
    </row>
    <row r="11" customFormat="false" ht="15" hidden="false" customHeight="false" outlineLevel="0" collapsed="false">
      <c r="A11" s="11" t="n">
        <v>6</v>
      </c>
      <c r="B11" s="12" t="n">
        <f aca="false">SUMPRODUCT(Modelo_Actual!$J$12:$J$81,Modelo_Actual!$J$6:$J$75)/SUMSQ(Modelo_Actual!$J$6:$J$81)</f>
        <v>0.0541630007673251</v>
      </c>
      <c r="C11" s="12" t="n">
        <f aca="false">SUMPRODUCT(Modelo_ADL!$K$12:$K$81,Modelo_ADL!$K$6:$K$75)/SUMSQ(Modelo_ADL!$K$6:$K$81)</f>
        <v>0.0111319891349566</v>
      </c>
      <c r="D11" s="12" t="n">
        <f aca="false">SUMPRODUCT(Rezagos_BIC!$J$12:$J$81,Rezagos_BIC!$J$6:$J$75)/SUMSQ(Rezagos_BIC!$J$6:$J$81)</f>
        <v>0.0521929991090221</v>
      </c>
      <c r="F11" s="32"/>
      <c r="G11" s="32"/>
      <c r="H11" s="32"/>
      <c r="I11" s="32"/>
      <c r="J11" s="32"/>
    </row>
    <row r="12" customFormat="false" ht="15" hidden="false" customHeight="false" outlineLevel="0" collapsed="false">
      <c r="A12" s="11" t="n">
        <v>7</v>
      </c>
      <c r="B12" s="12" t="n">
        <f aca="false">SUMPRODUCT(Modelo_Actual!$J$13:$J$81,Modelo_Actual!$J$6:$J$74)/SUMSQ(Modelo_Actual!$J$6:$J$81)</f>
        <v>0.0435438923320472</v>
      </c>
      <c r="C12" s="12" t="n">
        <f aca="false">SUMPRODUCT(Modelo_ADL!$K$13:$K$81,Modelo_ADL!$K$6:$K$74)/SUMSQ(Modelo_ADL!$K$6:$K$81)</f>
        <v>0.0657137469027075</v>
      </c>
      <c r="D12" s="12" t="n">
        <f aca="false">SUMPRODUCT(Rezagos_BIC!$J$13:$J$81,Rezagos_BIC!$J$6:$J$74)/SUMSQ(Rezagos_BIC!$J$6:$J$81)</f>
        <v>0.0782552500594856</v>
      </c>
      <c r="F12" s="32"/>
      <c r="G12" s="32"/>
      <c r="H12" s="32"/>
      <c r="I12" s="32"/>
      <c r="J12" s="32"/>
    </row>
    <row r="13" customFormat="false" ht="15" hidden="false" customHeight="false" outlineLevel="0" collapsed="false">
      <c r="A13" s="11" t="n">
        <v>8</v>
      </c>
      <c r="B13" s="12" t="n">
        <f aca="false">SUMPRODUCT(Modelo_Actual!$J$14:$J$81,Modelo_Actual!$J$6:$J$73)/SUMSQ(Modelo_Actual!$J$6:$J$81)</f>
        <v>0.166693494816407</v>
      </c>
      <c r="C13" s="12" t="n">
        <f aca="false">SUMPRODUCT(Modelo_ADL!$K$14:$K$81,Modelo_ADL!$K$6:$K$73)/SUMSQ(Modelo_ADL!$K$6:$K$81)</f>
        <v>0.157242536829161</v>
      </c>
      <c r="D13" s="12" t="n">
        <f aca="false">SUMPRODUCT(Rezagos_BIC!$J$14:$J$81,Rezagos_BIC!$J$6:$J$73)/SUMSQ(Rezagos_BIC!$J$6:$J$81)</f>
        <v>0.0110046582038703</v>
      </c>
    </row>
    <row r="15" customFormat="false" ht="15" hidden="false" customHeight="false" outlineLevel="0" collapsed="false">
      <c r="A15" s="10" t="s">
        <v>13</v>
      </c>
      <c r="B15" s="28" t="n">
        <f aca="false">Modelo_Actual!B106</f>
        <v>2.14847309305388</v>
      </c>
      <c r="C15" s="28" t="n">
        <f aca="false">Modelo_ADL!B107</f>
        <v>2.11601335990161</v>
      </c>
      <c r="D15" s="28" t="n">
        <f aca="false">Rezagos_BIC!B106</f>
        <v>2.0279652045438</v>
      </c>
    </row>
    <row r="17" customFormat="false" ht="15" hidden="false" customHeight="false" outlineLevel="0" collapsed="false">
      <c r="A17" s="21" t="s">
        <v>190</v>
      </c>
      <c r="B17" s="22"/>
      <c r="C17" s="22"/>
      <c r="D17" s="22"/>
      <c r="E17" s="22"/>
    </row>
    <row r="18" customFormat="false" ht="15" hidden="false" customHeight="false" outlineLevel="0" collapsed="false">
      <c r="A18" s="31" t="s">
        <v>191</v>
      </c>
      <c r="B18" s="31" t="s">
        <v>192</v>
      </c>
      <c r="C18" s="31" t="s">
        <v>193</v>
      </c>
      <c r="D18" s="31" t="s">
        <v>194</v>
      </c>
      <c r="E18" s="31" t="s">
        <v>20</v>
      </c>
    </row>
    <row r="19" customFormat="false" ht="15" hidden="false" customHeight="false" outlineLevel="0" collapsed="false">
      <c r="A19" s="11" t="s">
        <v>186</v>
      </c>
      <c r="B19" s="12" t="n">
        <f aca="false">INDEX(LINEST(Modelo_Actual!$K$6:$K$81,Modelo_Actual!$C$6:$H$81,TRUE(),TRUE()),3,1)</f>
        <v>0.170932768628978</v>
      </c>
      <c r="C19" s="12" t="n">
        <f aca="false">76*B19</f>
        <v>12.9908904158023</v>
      </c>
      <c r="D19" s="11" t="n">
        <v>6</v>
      </c>
      <c r="E19" s="28" t="n">
        <f aca="false">CHIDIST(C19,D19)</f>
        <v>0.0431808360897611</v>
      </c>
    </row>
    <row r="20" customFormat="false" ht="15" hidden="false" customHeight="false" outlineLevel="0" collapsed="false">
      <c r="A20" s="11" t="s">
        <v>187</v>
      </c>
      <c r="B20" s="12" t="n">
        <f aca="false">INDEX(LINEST(Modelo_ADL!$L$6:$L$81,Modelo_ADL!$C$6:$I$81,TRUE(),TRUE()),3,1)</f>
        <v>0.174198910739842</v>
      </c>
      <c r="C20" s="12" t="n">
        <f aca="false">76*B20</f>
        <v>13.239117216228</v>
      </c>
      <c r="D20" s="11" t="n">
        <v>7</v>
      </c>
      <c r="E20" s="28" t="n">
        <f aca="false">CHIDIST(C20,D20)</f>
        <v>0.0664922785767362</v>
      </c>
    </row>
    <row r="21" customFormat="false" ht="15" hidden="false" customHeight="false" outlineLevel="0" collapsed="false">
      <c r="A21" s="11" t="s">
        <v>188</v>
      </c>
      <c r="B21" s="12" t="n">
        <f aca="false">INDEX(LINEST(Rezagos_BIC!$K$6:$K$81,Rezagos_BIC!$C$6:$H$81,TRUE(),TRUE()),3,1)</f>
        <v>0.199213693857101</v>
      </c>
      <c r="C21" s="12" t="n">
        <f aca="false">76*B21</f>
        <v>15.1402407331397</v>
      </c>
      <c r="D21" s="11" t="n">
        <v>6</v>
      </c>
      <c r="E21" s="28" t="n">
        <f aca="false">CHIDIST(C21,D21)</f>
        <v>0.0191935579439752</v>
      </c>
    </row>
    <row r="23" customFormat="false" ht="15" hidden="false" customHeight="false" outlineLevel="0" collapsed="false">
      <c r="A23" s="21" t="s">
        <v>195</v>
      </c>
      <c r="B23" s="22"/>
      <c r="C23" s="22"/>
      <c r="D23" s="22"/>
      <c r="E23" s="22"/>
    </row>
    <row r="24" customFormat="false" ht="15" hidden="false" customHeight="false" outlineLevel="0" collapsed="false">
      <c r="A24" s="31" t="s">
        <v>191</v>
      </c>
      <c r="B24" s="31" t="s">
        <v>196</v>
      </c>
      <c r="C24" s="31" t="s">
        <v>197</v>
      </c>
      <c r="D24" s="31" t="s">
        <v>198</v>
      </c>
      <c r="E24" s="31" t="s">
        <v>20</v>
      </c>
    </row>
    <row r="25" customFormat="false" ht="15" hidden="false" customHeight="false" outlineLevel="0" collapsed="false">
      <c r="A25" s="11" t="s">
        <v>186</v>
      </c>
      <c r="B25" s="12" t="n">
        <f aca="false">SKEW(Modelo_Actual!$J$6:$J$81)</f>
        <v>-0.0325921665938932</v>
      </c>
      <c r="C25" s="12" t="n">
        <f aca="false">KURT(Modelo_Actual!$J$6:$J$81)</f>
        <v>1.30539165309153</v>
      </c>
      <c r="D25" s="12" t="n">
        <f aca="false">76/6*(B25^2+C25^2/4)</f>
        <v>5.40960515663823</v>
      </c>
      <c r="E25" s="33" t="n">
        <f aca="false">CHIDIST(D25,2)</f>
        <v>0.0668835268015609</v>
      </c>
    </row>
    <row r="26" customFormat="false" ht="15" hidden="false" customHeight="false" outlineLevel="0" collapsed="false">
      <c r="A26" s="11" t="s">
        <v>187</v>
      </c>
      <c r="B26" s="12" t="n">
        <f aca="false">SKEW(Modelo_ADL!$K$6:$K$81)</f>
        <v>-0.0316413369126678</v>
      </c>
      <c r="C26" s="12" t="n">
        <f aca="false">KURT(Modelo_ADL!$K$6:$K$81)</f>
        <v>1.64040975090138</v>
      </c>
      <c r="D26" s="12" t="n">
        <f aca="false">76/6*(B26^2+C26^2/4)</f>
        <v>8.53400468425293</v>
      </c>
      <c r="E26" s="33" t="n">
        <f aca="false">CHIDIST(D26,2)</f>
        <v>0.014023758638333</v>
      </c>
    </row>
    <row r="27" customFormat="false" ht="15" hidden="false" customHeight="false" outlineLevel="0" collapsed="false">
      <c r="A27" s="11" t="s">
        <v>188</v>
      </c>
      <c r="B27" s="12" t="n">
        <f aca="false">SKEW(Rezagos_BIC!$J$6:$J$81)</f>
        <v>0.0604606186083971</v>
      </c>
      <c r="C27" s="12" t="n">
        <f aca="false">KURT(Rezagos_BIC!$J$6:$J$81)</f>
        <v>1.00590297753412</v>
      </c>
      <c r="D27" s="12" t="n">
        <f aca="false">76/6*(B27^2+C27^2/4)</f>
        <v>3.25046536176984</v>
      </c>
      <c r="E27" s="33" t="n">
        <f aca="false">CHIDIST(D27,2)</f>
        <v>0.196865862951381</v>
      </c>
    </row>
  </sheetData>
  <mergeCells count="1">
    <mergeCell ref="F6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2026-08-26T17:39:39Z</dcterms:created>
  <dc:creator>openpyxl</dc:creator>
  <dc:description/>
  <dc:language>en-US</dc:language>
  <cp:lastModifiedBy/>
  <dcterms:modified xsi:type="dcterms:W3CDTF">2026-08-26T17:39:39Z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