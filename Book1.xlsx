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mtl\Downloads\"/>
    </mc:Choice>
  </mc:AlternateContent>
  <xr:revisionPtr revIDLastSave="0" documentId="13_ncr:1_{4C0A9E99-EB17-4C90-AF3C-E8670CC6641E}" xr6:coauthVersionLast="47" xr6:coauthVersionMax="47" xr10:uidLastSave="{00000000-0000-0000-0000-000000000000}"/>
  <bookViews>
    <workbookView xWindow="-108" yWindow="-108" windowWidth="23256" windowHeight="12456" xr2:uid="{282ACEE1-FDBE-4246-9BC1-06AED7511F5A}"/>
  </bookViews>
  <sheets>
    <sheet name="Chart1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1" l="1"/>
  <c r="H11" i="1"/>
  <c r="G11" i="1"/>
  <c r="F11" i="1"/>
  <c r="E11" i="1"/>
  <c r="I10" i="1"/>
  <c r="H10" i="1"/>
  <c r="G10" i="1"/>
  <c r="G15" i="1" s="1"/>
  <c r="F10" i="1"/>
  <c r="F15" i="1" s="1"/>
  <c r="E10" i="1"/>
  <c r="E17" i="1" s="1"/>
  <c r="I19" i="1"/>
  <c r="H19" i="1"/>
  <c r="E19" i="1"/>
  <c r="I18" i="1"/>
  <c r="H18" i="1"/>
  <c r="I17" i="1"/>
  <c r="H17" i="1"/>
  <c r="I16" i="1"/>
  <c r="H16" i="1"/>
  <c r="E16" i="1"/>
  <c r="I15" i="1"/>
  <c r="H15" i="1"/>
  <c r="I14" i="1"/>
  <c r="H14" i="1"/>
  <c r="D19" i="1"/>
  <c r="D18" i="1"/>
  <c r="D17" i="1"/>
  <c r="D16" i="1"/>
  <c r="D15" i="1"/>
  <c r="D14" i="1"/>
  <c r="D11" i="1"/>
  <c r="D10" i="1"/>
  <c r="I13" i="1"/>
  <c r="D13" i="1"/>
  <c r="E13" i="1"/>
  <c r="F13" i="1"/>
  <c r="G13" i="1"/>
  <c r="H13" i="1"/>
  <c r="C14" i="1"/>
  <c r="C15" i="1"/>
  <c r="C16" i="1"/>
  <c r="C17" i="1"/>
  <c r="C18" i="1"/>
  <c r="C19" i="1"/>
  <c r="C13" i="1"/>
  <c r="I4" i="1" a="1"/>
  <c r="F16" i="1" l="1"/>
  <c r="F14" i="1"/>
  <c r="G17" i="1"/>
  <c r="G19" i="1"/>
  <c r="E14" i="1"/>
  <c r="G14" i="1"/>
  <c r="F17" i="1"/>
  <c r="G16" i="1"/>
  <c r="E18" i="1"/>
  <c r="F19" i="1"/>
  <c r="E15" i="1"/>
  <c r="F18" i="1"/>
  <c r="G18" i="1"/>
  <c r="I4" i="1"/>
  <c r="I3" i="1" a="1"/>
  <c r="I3" i="1" l="1"/>
  <c r="I8" i="1" a="1"/>
  <c r="I8" i="1" l="1"/>
  <c r="I7" i="1" a="1"/>
  <c r="I7" i="1" l="1"/>
  <c r="I6" i="1" a="1"/>
  <c r="I6" i="1" l="1"/>
  <c r="I5" i="1" a="1"/>
  <c r="I5" i="1" l="1"/>
  <c r="H5" i="1" a="1"/>
  <c r="H5" i="1" l="1"/>
  <c r="H3" i="1" a="1"/>
  <c r="H3" i="1" l="1"/>
  <c r="H6" i="1" a="1"/>
  <c r="H6" i="1" l="1"/>
  <c r="H4" i="1" a="1"/>
  <c r="H4" i="1" l="1"/>
  <c r="H7" i="1" a="1"/>
  <c r="H7" i="1" l="1"/>
  <c r="H8" i="1" a="1"/>
  <c r="H8" i="1" l="1"/>
  <c r="G8" i="1" a="1"/>
  <c r="G8" i="1" l="1"/>
  <c r="G4" i="1" a="1"/>
  <c r="G4" i="1" l="1"/>
  <c r="G6" i="1" a="1"/>
  <c r="G6" i="1" l="1"/>
  <c r="G3" i="1" a="1"/>
  <c r="G3" i="1" l="1"/>
  <c r="G7" i="1" a="1"/>
  <c r="G7" i="1" l="1"/>
  <c r="G5" i="1" a="1"/>
  <c r="G5" i="1" l="1"/>
  <c r="F5" i="1" a="1"/>
  <c r="F5" i="1" l="1"/>
  <c r="F8" i="1" a="1"/>
  <c r="F8" i="1" l="1"/>
  <c r="F6" i="1" a="1"/>
  <c r="F6" i="1" l="1"/>
  <c r="F3" i="1" a="1"/>
  <c r="F3" i="1" l="1"/>
  <c r="F7" i="1" a="1"/>
  <c r="F7" i="1" l="1"/>
  <c r="F4" i="1" a="1"/>
  <c r="F4" i="1" l="1"/>
  <c r="D5" i="1" a="1"/>
  <c r="D5" i="1" l="1"/>
  <c r="E7" i="1" a="1"/>
  <c r="E7" i="1" l="1"/>
  <c r="E4" i="1" a="1"/>
  <c r="E4" i="1" l="1"/>
  <c r="E8" i="1" a="1"/>
  <c r="E8" i="1" l="1"/>
  <c r="E6" i="1" a="1"/>
  <c r="E6" i="1" l="1"/>
  <c r="E5" i="1" a="1"/>
  <c r="E5" i="1" l="1"/>
  <c r="E3" i="1" a="1"/>
  <c r="E3" i="1" l="1"/>
  <c r="D8" i="1" a="1"/>
  <c r="D8" i="1" l="1"/>
  <c r="D4" i="1" a="1"/>
  <c r="D4" i="1" l="1"/>
  <c r="D7" i="1" a="1"/>
  <c r="D7" i="1" l="1"/>
  <c r="D6" i="1" a="1"/>
  <c r="D6" i="1" l="1"/>
  <c r="D3" i="1" a="1"/>
  <c r="D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<sst xmlns="http://schemas.openxmlformats.org/spreadsheetml/2006/main" count="14" uniqueCount="14">
  <si>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TGNO4 AR EQUITY</t>
  </si>
  <si>
    <t>TGSU2 AR EQUITY</t>
  </si>
  <si>
    <t>YPFD AR EQUITY</t>
  </si>
  <si>
    <t>PAMP AR EQUITY</t>
  </si>
  <si>
    <t>CEPU AR EQUITY</t>
  </si>
  <si>
    <t>TRAN AR EQUITY</t>
  </si>
  <si>
    <t>PE_RATIO</t>
  </si>
  <si>
    <t>PX_TO_BOOK_RATIO</t>
  </si>
  <si>
    <t>NET_DEBT_TO_EBITDA</t>
  </si>
  <si>
    <t>CURRENT_EV_TO_12M_SALES</t>
  </si>
  <si>
    <t>EV_TO_T12M_EBITDA</t>
  </si>
  <si>
    <t>EV_TO_INVESTED_CAPITAL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</si>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</sst>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9" formatCode="_(* #,##0.0000_);_(* \(#,##0.0000\);_(* &quot;-&quot;??_);_(@_)"/>
    <numFmt numFmtId="170" formatCode="_(* #,##0.0000_);_(* \(#,##0.0000\);_(* &quot;-&quot;??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9" fontId="0" fillId="0" borderId="0" xfId="1" applyNumberFormat="1" applyFont="1"/>
    <xf numFmtId="169" fontId="0" fillId="0" borderId="0" xfId="0" applyNumberFormat="1"/>
    <xf numFmtId="170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BDP|18130121732916628627</stp>
        <tr r="D3" s="1"/>
      </tp>
      <tp t="s">
        <v>#N/A N/A</v>
        <stp/>
        <stp>BDP|12906453629116487938</stp>
        <tr r="H4" s="1"/>
      </tp>
      <tp t="s">
        <v>#N/A N/A</v>
        <stp/>
        <stp>BDP|13644470213439671699</stp>
        <tr r="E8" s="1"/>
      </tp>
      <tp t="s">
        <v>#N/A N/A</v>
        <stp/>
        <stp>BDP|15411938425823789090</stp>
        <tr r="H6" s="1"/>
      </tp>
      <tp t="s">
        <v>#N/A N/A</v>
        <stp/>
        <stp>BDP|16207403267489419018</stp>
        <tr r="H3" s="1"/>
      </tp>
      <tp t="s">
        <v>#N/A N/A</v>
        <stp/>
        <stp>BDP|17564190312803145647</stp>
        <tr r="H5" s="1"/>
      </tp>
      <tp t="s">
        <v>#N/A N/A</v>
        <stp/>
        <stp>BDP|14290359310395985133</stp>
        <tr r="I4" s="1"/>
      </tp>
      <tp t="s">
        <v>#N/A N/A</v>
        <stp/>
        <stp>BDP|17758479718956084665</stp>
        <tr r="E7" s="1"/>
      </tp>
      <tp t="s">
        <v>#N/A N/A</v>
        <stp/>
        <stp>BDP|15859148640877626405</stp>
        <tr r="I3" s="1"/>
      </tp>
      <tp t="s">
        <v>#N/A N/A</v>
        <stp/>
        <stp>BDP|16810606116150418602</stp>
        <tr r="G6" s="1"/>
      </tp>
      <tp t="s">
        <v>#N/A N/A</v>
        <stp/>
        <stp>BDP|11007615142357811388</stp>
        <tr r="G4" s="1"/>
      </tp>
      <tp t="s">
        <v>#N/A N/A</v>
        <stp/>
        <stp>BDP|16404321204482185016</stp>
        <tr r="E4" s="1"/>
      </tp>
      <tp t="s">
        <v>#N/A N/A</v>
        <stp/>
        <stp>BDP|14885459251594464513</stp>
        <tr r="F8" s="1"/>
      </tp>
      <tp t="s">
        <v>#N/A N/A</v>
        <stp/>
        <stp>BDP|11806379011027054014</stp>
        <tr r="G8" s="1"/>
      </tp>
      <tp t="s">
        <v>#N/A N/A</v>
        <stp/>
        <stp>BDP|16230629306224258054</stp>
        <tr r="F5" s="1"/>
      </tp>
      <tp t="s">
        <v>#N/A N/A</v>
        <stp/>
        <stp>BDP|13295163985827974857</stp>
        <tr r="F3" s="1"/>
      </tp>
      <tp t="s">
        <v>#N/A N/A</v>
        <stp/>
        <stp>BDP|10980765522451177119</stp>
        <tr r="H7" s="1"/>
      </tp>
      <tp t="s">
        <v>#N/A N/A</v>
        <stp/>
        <stp>BDP|15808651474687386654</stp>
        <tr r="D8" s="1"/>
      </tp>
    </main>
    <main first="bofaddin.rtdserver">
      <tp t="s">
        <v>#N/A N/A</v>
        <stp/>
        <stp>BDP|2091835505901053768</stp>
        <tr r="I6" s="1"/>
      </tp>
      <tp t="s">
        <v>#N/A N/A</v>
        <stp/>
        <stp>BDP|1785567365227695863</stp>
        <tr r="D6" s="1"/>
      </tp>
      <tp t="s">
        <v>#N/A N/A</v>
        <stp/>
        <stp>BDP|3406946174972699198</stp>
        <tr r="I7" s="1"/>
      </tp>
      <tp t="s">
        <v>#N/A N/A</v>
        <stp/>
        <stp>BDP|1238239781421578491</stp>
        <tr r="E5" s="1"/>
      </tp>
      <tp t="s">
        <v>#N/A N/A</v>
        <stp/>
        <stp>BDP|1848744370086288861</stp>
        <tr r="I5" s="1"/>
      </tp>
      <tp t="s">
        <v>#N/A N/A</v>
        <stp/>
        <stp>BDP|4343537110809198029</stp>
        <tr r="D4" s="1"/>
      </tp>
      <tp t="s">
        <v>#N/A N/A</v>
        <stp/>
        <stp>BDP|5138550962114000853</stp>
        <tr r="G5" s="1"/>
      </tp>
      <tp t="s">
        <v>#N/A N/A</v>
        <stp/>
        <stp>BDP|9654575764494032541</stp>
        <tr r="F6" s="1"/>
      </tp>
      <tp t="s">
        <v>#N/A N/A</v>
        <stp/>
        <stp>BDP|7332362457893167960</stp>
        <tr r="G7" s="1"/>
      </tp>
      <tp t="s">
        <v>#N/A N/A</v>
        <stp/>
        <stp>BDP|6413979758948519606</stp>
        <tr r="F4" s="1"/>
      </tp>
      <tp t="s">
        <v>#N/A N/A</v>
        <stp/>
        <stp>BDP|7490217511883282358</stp>
        <tr r="F7" s="1"/>
      </tp>
      <tp t="s">
        <v>#N/A N/A</v>
        <stp/>
        <stp>BDP|7681436702175160208</stp>
        <tr r="G3" s="1"/>
      </tp>
      <tp t="s">
        <v>#N/A N/A</v>
        <stp/>
        <stp>BDP|7376458365415660525</stp>
        <tr r="I8" s="1"/>
      </tp>
      <tp t="s">
        <v>#N/A N/A</v>
        <stp/>
        <stp>BDP|8644385259270348899</stp>
        <tr r="E6" s="1"/>
      </tp>
      <tp t="s">
        <v>#N/A N/A</v>
        <stp/>
        <stp>BDP|2829696290349173257</stp>
        <tr r="E3" s="1"/>
      </tp>
      <tp t="s">
        <v>#N/A N/A</v>
        <stp/>
        <stp>BDP|2139194243791828138</stp>
        <tr r="H8" s="1"/>
      </tp>
      <tp t="s">
        <v>#N/A N/A</v>
        <stp/>
        <stp>BDP|5705148845058333916</stp>
        <tr r="D5" s="1"/>
      </tp>
      <tp t="s">
        <v>#N/A N/A</v>
        <stp/>
        <stp>BDP|3295179203391961171</stp>
        <tr r="D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Sheet1!$C$14</c:f>
              <c:strCache>
                <c:ptCount val="1"/>
                <c:pt idx="0">
                  <c:v>TGSU2 AR EQUITY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Sheet1!$D$2:$I$2</c:f>
              <c:strCache>
                <c:ptCount val="6"/>
                <c:pt idx="0">
                  <c:v>PE_RATIO</c:v>
                </c:pt>
                <c:pt idx="1">
                  <c:v>PX_TO_BOOK_RATIO</c:v>
                </c:pt>
                <c:pt idx="2">
                  <c:v>NET_DEBT_TO_EBITDA</c:v>
                </c:pt>
                <c:pt idx="3">
                  <c:v>EV_TO_T12M_EBITDA</c:v>
                </c:pt>
                <c:pt idx="4">
                  <c:v>CURRENT_EV_TO_12M_SALES</c:v>
                </c:pt>
                <c:pt idx="5">
                  <c:v>EV_TO_INVESTED_CAPITAL</c:v>
                </c:pt>
              </c:strCache>
            </c:strRef>
          </c:cat>
          <c:val>
            <c:numRef>
              <c:f>Sheet1!$D$14:$I$14</c:f>
              <c:numCache>
                <c:formatCode>_(* #,##0.0000_);_(* \(#,##0.0000\);_(* "-"????_);_(@_)</c:formatCode>
                <c:ptCount val="6"/>
                <c:pt idx="0">
                  <c:v>1</c:v>
                </c:pt>
                <c:pt idx="1">
                  <c:v>0.74367554334323482</c:v>
                </c:pt>
                <c:pt idx="2">
                  <c:v>0.45700588917801455</c:v>
                </c:pt>
                <c:pt idx="3">
                  <c:v>0.65534610785222791</c:v>
                </c:pt>
                <c:pt idx="4">
                  <c:v>1</c:v>
                </c:pt>
                <c:pt idx="5">
                  <c:v>0.4922009979295261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6-4859-96A0-C011F9AC5FC9}"/>
            </c:ext>
          </c:extLst>
        </c:ser>
        <c:ser>
          <c:idx val="1"/>
          <c:order val="1"/>
          <c:tx>
            <c:strRef>
              <c:f>Sheet1!$C$15</c:f>
              <c:strCache>
                <c:ptCount val="1"/>
                <c:pt idx="0">
                  <c:v>TGNO4 AR EQUITY</c:v>
                </c:pt>
              </c:strCache>
            </c:strRef>
          </c:tx>
          <c:spPr>
            <a:ln w="158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Sheet1!$D$2:$I$2</c:f>
              <c:strCache>
                <c:ptCount val="6"/>
                <c:pt idx="0">
                  <c:v>PE_RATIO</c:v>
                </c:pt>
                <c:pt idx="1">
                  <c:v>PX_TO_BOOK_RATIO</c:v>
                </c:pt>
                <c:pt idx="2">
                  <c:v>NET_DEBT_TO_EBITDA</c:v>
                </c:pt>
                <c:pt idx="3">
                  <c:v>EV_TO_T12M_EBITDA</c:v>
                </c:pt>
                <c:pt idx="4">
                  <c:v>CURRENT_EV_TO_12M_SALES</c:v>
                </c:pt>
                <c:pt idx="5">
                  <c:v>EV_TO_INVESTED_CAPITAL</c:v>
                </c:pt>
              </c:strCache>
            </c:strRef>
          </c:cat>
          <c:val>
            <c:numRef>
              <c:f>Sheet1!$D$15:$I$15</c:f>
              <c:numCache>
                <c:formatCode>_(* #,##0.0000_);_(* \(#,##0.0000\);_(* "-"????_);_(@_)</c:formatCode>
                <c:ptCount val="6"/>
                <c:pt idx="0">
                  <c:v>0.26257346077874888</c:v>
                </c:pt>
                <c:pt idx="1">
                  <c:v>0.36677930404691333</c:v>
                </c:pt>
                <c:pt idx="2">
                  <c:v>0</c:v>
                </c:pt>
                <c:pt idx="3">
                  <c:v>2.3759171414090931E-2</c:v>
                </c:pt>
                <c:pt idx="4">
                  <c:v>0.21738594690977128</c:v>
                </c:pt>
                <c:pt idx="5">
                  <c:v>4.9613095901280019E-2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6-4859-96A0-C011F9AC5FC9}"/>
            </c:ext>
          </c:extLst>
        </c:ser>
        <c:ser>
          <c:idx val="2"/>
          <c:order val="2"/>
          <c:tx>
            <c:strRef>
              <c:f>Sheet1!$C$16</c:f>
              <c:strCache>
                <c:ptCount val="1"/>
                <c:pt idx="0">
                  <c:v>YPFD AR EQUITY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Sheet1!$D$2:$I$2</c:f>
              <c:strCache>
                <c:ptCount val="6"/>
                <c:pt idx="0">
                  <c:v>PE_RATIO</c:v>
                </c:pt>
                <c:pt idx="1">
                  <c:v>PX_TO_BOOK_RATIO</c:v>
                </c:pt>
                <c:pt idx="2">
                  <c:v>NET_DEBT_TO_EBITDA</c:v>
                </c:pt>
                <c:pt idx="3">
                  <c:v>EV_TO_T12M_EBITDA</c:v>
                </c:pt>
                <c:pt idx="4">
                  <c:v>CURRENT_EV_TO_12M_SALES</c:v>
                </c:pt>
                <c:pt idx="5">
                  <c:v>EV_TO_INVESTED_CAPITAL</c:v>
                </c:pt>
              </c:strCache>
            </c:strRef>
          </c:cat>
          <c:val>
            <c:numRef>
              <c:f>Sheet1!$D$16:$I$16</c:f>
              <c:numCache>
                <c:formatCode>_(* #,##0.0000_);_(* \(#,##0.0000\);_(* "-"????_);_(@_)</c:formatCode>
                <c:ptCount val="6"/>
                <c:pt idx="0">
                  <c:v>9.6010622025909237E-2</c:v>
                </c:pt>
                <c:pt idx="1">
                  <c:v>0.57923000638236666</c:v>
                </c:pt>
                <c:pt idx="2">
                  <c:v>1</c:v>
                </c:pt>
                <c:pt idx="3">
                  <c:v>0.16361423252938301</c:v>
                </c:pt>
                <c:pt idx="4">
                  <c:v>0</c:v>
                </c:pt>
                <c:pt idx="5">
                  <c:v>0.41591614484779865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6-4859-96A0-C011F9AC5FC9}"/>
            </c:ext>
          </c:extLst>
        </c:ser>
        <c:ser>
          <c:idx val="3"/>
          <c:order val="3"/>
          <c:tx>
            <c:strRef>
              <c:f>Sheet1!$C$17</c:f>
              <c:strCache>
                <c:ptCount val="1"/>
                <c:pt idx="0">
                  <c:v>PAMP AR EQUITY</c:v>
                </c:pt>
              </c:strCache>
            </c:strRef>
          </c:tx>
          <c:spPr>
            <a:ln w="158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Sheet1!$D$2:$I$2</c:f>
              <c:strCache>
                <c:ptCount val="6"/>
                <c:pt idx="0">
                  <c:v>PE_RATIO</c:v>
                </c:pt>
                <c:pt idx="1">
                  <c:v>PX_TO_BOOK_RATIO</c:v>
                </c:pt>
                <c:pt idx="2">
                  <c:v>NET_DEBT_TO_EBITDA</c:v>
                </c:pt>
                <c:pt idx="3">
                  <c:v>EV_TO_T12M_EBITDA</c:v>
                </c:pt>
                <c:pt idx="4">
                  <c:v>CURRENT_EV_TO_12M_SALES</c:v>
                </c:pt>
                <c:pt idx="5">
                  <c:v>EV_TO_INVESTED_CAPITAL</c:v>
                </c:pt>
              </c:strCache>
            </c:strRef>
          </c:cat>
          <c:val>
            <c:numRef>
              <c:f>Sheet1!$D$17:$I$17</c:f>
              <c:numCache>
                <c:formatCode>_(* #,##0.0000_);_(* \(#,##0.0000\);_(* "-"????_);_(@_)</c:formatCode>
                <c:ptCount val="6"/>
                <c:pt idx="0">
                  <c:v>0.4304409524665001</c:v>
                </c:pt>
                <c:pt idx="1">
                  <c:v>4.7375012663132356E-2</c:v>
                </c:pt>
                <c:pt idx="2">
                  <c:v>0.94007500228593477</c:v>
                </c:pt>
                <c:pt idx="3">
                  <c:v>0.71698062970366183</c:v>
                </c:pt>
                <c:pt idx="4">
                  <c:v>0.51433777942183556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46-4859-96A0-C011F9AC5FC9}"/>
            </c:ext>
          </c:extLst>
        </c:ser>
        <c:ser>
          <c:idx val="4"/>
          <c:order val="4"/>
          <c:tx>
            <c:strRef>
              <c:f>Sheet1!$C$18</c:f>
              <c:strCache>
                <c:ptCount val="1"/>
                <c:pt idx="0">
                  <c:v>CEPU AR EQUITY</c:v>
                </c:pt>
              </c:strCache>
            </c:strRef>
          </c:tx>
          <c:spPr>
            <a:ln w="158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Sheet1!$D$2:$I$2</c:f>
              <c:strCache>
                <c:ptCount val="6"/>
                <c:pt idx="0">
                  <c:v>PE_RATIO</c:v>
                </c:pt>
                <c:pt idx="1">
                  <c:v>PX_TO_BOOK_RATIO</c:v>
                </c:pt>
                <c:pt idx="2">
                  <c:v>NET_DEBT_TO_EBITDA</c:v>
                </c:pt>
                <c:pt idx="3">
                  <c:v>EV_TO_T12M_EBITDA</c:v>
                </c:pt>
                <c:pt idx="4">
                  <c:v>CURRENT_EV_TO_12M_SALES</c:v>
                </c:pt>
                <c:pt idx="5">
                  <c:v>EV_TO_INVESTED_CAPITAL</c:v>
                </c:pt>
              </c:strCache>
            </c:strRef>
          </c:cat>
          <c:val>
            <c:numRef>
              <c:f>Sheet1!$D$18:$I$18</c:f>
              <c:numCache>
                <c:formatCode>_(* #,##0.0000_);_(* \(#,##0.0000\);_(* "-"????_);_(@_)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0.80977806370374372</c:v>
                </c:pt>
                <c:pt idx="3">
                  <c:v>1</c:v>
                </c:pt>
                <c:pt idx="4">
                  <c:v>0.71237033313052178</c:v>
                </c:pt>
                <c:pt idx="5">
                  <c:v>0.27067298055195549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46-4859-96A0-C011F9AC5FC9}"/>
            </c:ext>
          </c:extLst>
        </c:ser>
        <c:ser>
          <c:idx val="5"/>
          <c:order val="5"/>
          <c:tx>
            <c:strRef>
              <c:f>Sheet1!$C$19</c:f>
              <c:strCache>
                <c:ptCount val="1"/>
                <c:pt idx="0">
                  <c:v>TRAN AR EQUITY</c:v>
                </c:pt>
              </c:strCache>
            </c:strRef>
          </c:tx>
          <c:spPr>
            <a:ln w="158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Sheet1!$D$2:$I$2</c:f>
              <c:strCache>
                <c:ptCount val="6"/>
                <c:pt idx="0">
                  <c:v>PE_RATIO</c:v>
                </c:pt>
                <c:pt idx="1">
                  <c:v>PX_TO_BOOK_RATIO</c:v>
                </c:pt>
                <c:pt idx="2">
                  <c:v>NET_DEBT_TO_EBITDA</c:v>
                </c:pt>
                <c:pt idx="3">
                  <c:v>EV_TO_T12M_EBITDA</c:v>
                </c:pt>
                <c:pt idx="4">
                  <c:v>CURRENT_EV_TO_12M_SALES</c:v>
                </c:pt>
                <c:pt idx="5">
                  <c:v>EV_TO_INVESTED_CAPITAL</c:v>
                </c:pt>
              </c:strCache>
            </c:strRef>
          </c:cat>
          <c:val>
            <c:numRef>
              <c:f>Sheet1!$D$19:$I$19</c:f>
              <c:numCache>
                <c:formatCode>_(* #,##0.0000_);_(* \(#,##0.0000\);_(* "-"????_);_(@_)</c:formatCode>
                <c:ptCount val="6"/>
                <c:pt idx="0">
                  <c:v>2.984172487996303E-2</c:v>
                </c:pt>
                <c:pt idx="1">
                  <c:v>1</c:v>
                </c:pt>
                <c:pt idx="2">
                  <c:v>0.30299548267645632</c:v>
                </c:pt>
                <c:pt idx="3">
                  <c:v>0</c:v>
                </c:pt>
                <c:pt idx="4">
                  <c:v>0.50024441574730305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46-4859-96A0-C011F9AC5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100671"/>
        <c:axId val="1610102111"/>
      </c:radarChart>
      <c:catAx>
        <c:axId val="16101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10102111"/>
        <c:crosses val="autoZero"/>
        <c:auto val="1"/>
        <c:lblAlgn val="ctr"/>
        <c:lblOffset val="100"/>
        <c:noMultiLvlLbl val="0"/>
      </c:catAx>
      <c:valAx>
        <c:axId val="1610102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1010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D5411E7-4B84-479A-BC33-A248E67ECD63}">
  <sheetPr/>
  <sheetViews>
    <sheetView tabSelected="1"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77B24-EA76-A3A6-B9BF-E5C648D07F4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60317-4168-42F0-8DB1-6853E25DADEA}">
  <dimension ref="C2:J19"/>
  <sheetViews>
    <sheetView topLeftCell="B16" workbookViewId="0">
      <selection activeCell="D2" sqref="D2"/>
    </sheetView>
  </sheetViews>
  <sheetFormatPr defaultRowHeight="14.4" x14ac:dyDescent="0.3"/>
  <cols>
    <col min="3" max="3" width="15.77734375" bestFit="1" customWidth="1"/>
    <col min="5" max="5" width="17.5546875" bestFit="1" customWidth="1"/>
    <col min="6" max="6" width="19" bestFit="1" customWidth="1"/>
    <col min="7" max="7" width="26.88671875" bestFit="1" customWidth="1"/>
    <col min="8" max="8" width="25.109375" bestFit="1" customWidth="1"/>
    <col min="9" max="9" width="22.77734375" bestFit="1" customWidth="1"/>
  </cols>
  <sheetData>
    <row r="2" spans="3:10" x14ac:dyDescent="0.3">
      <c r="D2" t="s">
        <v>6</v>
      </c>
      <c r="E2" t="s">
        <v>7</v>
      </c>
      <c r="F2" t="s">
        <v>8</v>
      </c>
      <c r="G2" t="s">
        <v>10</v>
      </c>
      <c r="H2" t="s">
        <v>9</v>
      </c>
      <c r="I2" t="s">
        <v>11</v>
      </c>
    </row>
    <row r="3" spans="3:10" x14ac:dyDescent="0.3">
      <c r="C3" t="s">
        <v>1</v>
      </c>
      <c r="D3" s="1" cm="1">
        <f t="array" ref="D3">+_xll.BDP($C3,D$2)</f>
        <v>14.391030256749081</v>
      </c>
      <c r="E3" s="1" cm="1">
        <f t="array" ref="E3">+_xll.BDP($C3,E$2)</f>
        <v>1.7372919550660961</v>
      </c>
      <c r="F3" s="1" cm="1">
        <f t="array" ref="F3">+_xll.BDP($C3,F$2)</f>
        <v>7.4898717843137966E-2</v>
      </c>
      <c r="G3" s="1" cm="1">
        <f t="array" ref="G3">+_xll.BDP($C3,G$2)</f>
        <v>7.2474572847255425</v>
      </c>
      <c r="H3" s="1" cm="1">
        <f t="array" ref="H3">+_xll.BDP($C3,H$2)</f>
        <v>3.857418519808125</v>
      </c>
      <c r="I3" s="1" cm="1">
        <f t="array" ref="I3">+_xll.BDP($C3,I$2)</f>
        <v>1.4084655559797978</v>
      </c>
      <c r="J3" s="1"/>
    </row>
    <row r="4" spans="3:10" x14ac:dyDescent="0.3">
      <c r="C4" t="s">
        <v>0</v>
      </c>
      <c r="D4" s="1" cm="1">
        <f t="array" ref="D4">+_xll.BDP($C4,D$2)</f>
        <v>9.1640047199224188</v>
      </c>
      <c r="E4" s="1" cm="1">
        <f t="array" ref="E4">+_xll.BDP($C4,E$2)</f>
        <v>1.4594219334934175</v>
      </c>
      <c r="F4" s="1" cm="1">
        <f t="array" ref="F4">+_xll.BDP($C4,F$2)</f>
        <v>-1.2325452547515752</v>
      </c>
      <c r="G4" s="1" cm="1">
        <f t="array" ref="G4">+_xll.BDP($C4,G$2)</f>
        <v>4.5269563883187995</v>
      </c>
      <c r="H4" s="1" cm="1">
        <f t="array" ref="H4">+_xll.BDP($C4,H$2)</f>
        <v>2.0349757510235924</v>
      </c>
      <c r="I4" s="1" cm="1">
        <f t="array" ref="I4">+_xll.BDP($C4,I$2)</f>
        <v>1.079597373665883</v>
      </c>
      <c r="J4" s="1"/>
    </row>
    <row r="5" spans="3:10" x14ac:dyDescent="0.3">
      <c r="C5" t="s">
        <v>2</v>
      </c>
      <c r="D5" s="1" cm="1">
        <f t="array" ref="D5">+_xll.BDP($C5,"BEST_PE_RATIO")</f>
        <v>7.9833742905282596</v>
      </c>
      <c r="E5" s="1" cm="1">
        <f t="array" ref="E5">+_xll.BDP($C5,E$2)</f>
        <v>1.6160530565614033</v>
      </c>
      <c r="F5" s="1" cm="1">
        <f t="array" ref="F5">+_xll.BDP($C5,F$2)</f>
        <v>1.6283456080474223</v>
      </c>
      <c r="G5" s="1" cm="1">
        <f t="array" ref="G5">+_xll.BDP($C5,G$2)</f>
        <v>5.129368815144602</v>
      </c>
      <c r="H5" s="1" cm="1">
        <f t="array" ref="H5">+_xll.BDP($C5,H$2)</f>
        <v>1.5287575897003181</v>
      </c>
      <c r="I5" s="1" cm="1">
        <f t="array" ref="I5">+_xll.BDP($C5,I$2)</f>
        <v>1.3517815371530233</v>
      </c>
      <c r="J5" s="1"/>
    </row>
    <row r="6" spans="3:10" x14ac:dyDescent="0.3">
      <c r="C6" t="s">
        <v>3</v>
      </c>
      <c r="D6" s="1" cm="1">
        <f t="array" ref="D6">+_xll.BDP($C6,D$2)</f>
        <v>10.353882788023316</v>
      </c>
      <c r="E6" s="1" cm="1">
        <f t="array" ref="E6">+_xll.BDP($C6,E$2)</f>
        <v>1.2239383491973204</v>
      </c>
      <c r="F6" s="1" cm="1">
        <f t="array" ref="F6">+_xll.BDP($C6,F$2)</f>
        <v>1.4569067296340024</v>
      </c>
      <c r="G6" s="1" cm="1">
        <f t="array" ref="G6">+_xll.BDP($C6,G$2)</f>
        <v>7.5129421487603301</v>
      </c>
      <c r="H6" s="1" cm="1">
        <f t="array" ref="H6">+_xll.BDP($C6,H$2)</f>
        <v>2.7264758815183536</v>
      </c>
      <c r="I6" s="1" cm="1">
        <f t="array" ref="I6">+_xll.BDP($C6,I$2)</f>
        <v>1.0427319993679236</v>
      </c>
      <c r="J6" s="1"/>
    </row>
    <row r="7" spans="3:10" x14ac:dyDescent="0.3">
      <c r="C7" t="s">
        <v>4</v>
      </c>
      <c r="D7" s="1" cm="1">
        <f t="array" ref="D7">+_xll.BDP($C7,D$2)</f>
        <v>7.3028319633345413</v>
      </c>
      <c r="E7" s="1" cm="1">
        <f t="array" ref="E7">+_xll.BDP($C7,E$2)</f>
        <v>1.1890107101864129</v>
      </c>
      <c r="F7" s="1" cm="1">
        <f t="array" ref="F7">+_xll.BDP($C7,F$2)</f>
        <v>1.0841414085935295</v>
      </c>
      <c r="G7" s="1" cm="1">
        <f t="array" ref="G7">+_xll.BDP($C7,G$2)</f>
        <v>8.732021274959255</v>
      </c>
      <c r="H7" s="1" cm="1">
        <f t="array" ref="H7">+_xll.BDP($C7,H$2)</f>
        <v>3.1876265522292471</v>
      </c>
      <c r="I7" s="1" cm="1">
        <f t="array" ref="I7">+_xll.BDP($C7,I$2)</f>
        <v>1.2438575400970739</v>
      </c>
      <c r="J7" s="1"/>
    </row>
    <row r="8" spans="3:10" x14ac:dyDescent="0.3">
      <c r="C8" t="s">
        <v>5</v>
      </c>
      <c r="D8" s="1" cm="1">
        <f t="array" ref="D8">+_xll.BDP($C8,D$2)</f>
        <v>7.5143560267012415</v>
      </c>
      <c r="E8" s="1" cm="1">
        <f t="array" ref="E8">+_xll.BDP($C8,E$2)</f>
        <v>1.9262693840629994</v>
      </c>
      <c r="F8" s="1" cm="1">
        <f t="array" ref="F8">+_xll.BDP($C8,F$2)</f>
        <v>-0.36570824689312942</v>
      </c>
      <c r="G8" s="1" cm="1">
        <f t="array" ref="G8">+_xll.BDP($C8,G$2)</f>
        <v>4.4246160082367822</v>
      </c>
      <c r="H8" s="1" cm="1">
        <f t="array" ref="H8">+_xll.BDP($C8,H$2)</f>
        <v>2.6936572161556693</v>
      </c>
      <c r="I8" s="1" cm="1">
        <f t="array" ref="I8">+_xll.BDP($C8,I$2)</f>
        <v>1.7857893238153648</v>
      </c>
      <c r="J8" s="1"/>
    </row>
    <row r="10" spans="3:10" x14ac:dyDescent="0.3">
      <c r="C10" t="s">
        <v>12</v>
      </c>
      <c r="D10" s="2">
        <f>+MIN(D3:D8)</f>
        <v>7.3028319633345413</v>
      </c>
      <c r="E10" s="2">
        <f t="shared" ref="E10:I10" si="0">+MIN(E3:E8)</f>
        <v>1.1890107101864129</v>
      </c>
      <c r="F10" s="2">
        <f t="shared" si="0"/>
        <v>-1.2325452547515752</v>
      </c>
      <c r="G10" s="2">
        <f t="shared" si="0"/>
        <v>4.4246160082367822</v>
      </c>
      <c r="H10" s="2">
        <f t="shared" si="0"/>
        <v>1.5287575897003181</v>
      </c>
      <c r="I10" s="2">
        <f t="shared" si="0"/>
        <v>1.0427319993679236</v>
      </c>
    </row>
    <row r="11" spans="3:10" x14ac:dyDescent="0.3">
      <c r="C11" t="s">
        <v>13</v>
      </c>
      <c r="D11" s="2">
        <f>+MAX(D3:D8)</f>
        <v>14.391030256749081</v>
      </c>
      <c r="E11" s="2">
        <f t="shared" ref="E11:I11" si="1">+MAX(E3:E8)</f>
        <v>1.9262693840629994</v>
      </c>
      <c r="F11" s="2">
        <f t="shared" si="1"/>
        <v>1.6283456080474223</v>
      </c>
      <c r="G11" s="2">
        <f t="shared" si="1"/>
        <v>8.732021274959255</v>
      </c>
      <c r="H11" s="2">
        <f t="shared" si="1"/>
        <v>3.857418519808125</v>
      </c>
      <c r="I11" s="2">
        <f t="shared" si="1"/>
        <v>1.7857893238153648</v>
      </c>
    </row>
    <row r="13" spans="3:10" x14ac:dyDescent="0.3">
      <c r="C13">
        <f>+C2</f>
        <v>0</v>
      </c>
      <c r="D13" t="str">
        <f t="shared" ref="D13:H13" si="2">+D2</f>
        <v>PE_RATIO</v>
      </c>
      <c r="E13" t="str">
        <f t="shared" si="2"/>
        <v>PX_TO_BOOK_RATIO</v>
      </c>
      <c r="F13" t="str">
        <f t="shared" si="2"/>
        <v>NET_DEBT_TO_EBITDA</v>
      </c>
      <c r="G13" t="str">
        <f t="shared" si="2"/>
        <v>EV_TO_T12M_EBITDA</v>
      </c>
      <c r="H13" t="str">
        <f t="shared" si="2"/>
        <v>CURRENT_EV_TO_12M_SALES</v>
      </c>
      <c r="I13" t="str">
        <f t="shared" ref="I13" si="3">+I2</f>
        <v>EV_TO_INVESTED_CAPITAL</v>
      </c>
    </row>
    <row r="14" spans="3:10" x14ac:dyDescent="0.3">
      <c r="C14" t="str">
        <f t="shared" ref="C14:H19" si="4">+C3</f>
        <v>TGSU2 AR EQUITY</v>
      </c>
      <c r="D14" s="3">
        <f>+(D3-D$10)/(D$11-D$10)</f>
        <v>1</v>
      </c>
      <c r="E14" s="3">
        <f t="shared" ref="E14:I14" si="5">+(E3-E$10)/(E$11-E$10)</f>
        <v>0.74367554334323482</v>
      </c>
      <c r="F14" s="3">
        <f t="shared" si="5"/>
        <v>0.45700588917801455</v>
      </c>
      <c r="G14" s="3">
        <f t="shared" si="5"/>
        <v>0.65534610785222791</v>
      </c>
      <c r="H14" s="3">
        <f t="shared" si="5"/>
        <v>1</v>
      </c>
      <c r="I14" s="3">
        <f t="shared" si="5"/>
        <v>0.4922009979295261</v>
      </c>
    </row>
    <row r="15" spans="3:10" x14ac:dyDescent="0.3">
      <c r="C15" t="str">
        <f t="shared" si="4"/>
        <v>TGNO4 AR EQUITY</v>
      </c>
      <c r="D15" s="3">
        <f t="shared" ref="D15:I19" si="6">+(D4-D$10)/(D$11-D$10)</f>
        <v>0.26257346077874888</v>
      </c>
      <c r="E15" s="3">
        <f t="shared" si="6"/>
        <v>0.36677930404691333</v>
      </c>
      <c r="F15" s="3">
        <f t="shared" si="6"/>
        <v>0</v>
      </c>
      <c r="G15" s="3">
        <f t="shared" si="6"/>
        <v>2.3759171414090931E-2</v>
      </c>
      <c r="H15" s="3">
        <f t="shared" si="6"/>
        <v>0.21738594690977128</v>
      </c>
      <c r="I15" s="3">
        <f t="shared" si="6"/>
        <v>4.9613095901280019E-2</v>
      </c>
    </row>
    <row r="16" spans="3:10" x14ac:dyDescent="0.3">
      <c r="C16" t="str">
        <f t="shared" si="4"/>
        <v>YPFD AR EQUITY</v>
      </c>
      <c r="D16" s="3">
        <f t="shared" si="6"/>
        <v>9.6010622025909237E-2</v>
      </c>
      <c r="E16" s="3">
        <f t="shared" si="6"/>
        <v>0.57923000638236666</v>
      </c>
      <c r="F16" s="3">
        <f t="shared" si="6"/>
        <v>1</v>
      </c>
      <c r="G16" s="3">
        <f t="shared" si="6"/>
        <v>0.16361423252938301</v>
      </c>
      <c r="H16" s="3">
        <f t="shared" si="6"/>
        <v>0</v>
      </c>
      <c r="I16" s="3">
        <f t="shared" si="6"/>
        <v>0.41591614484779865</v>
      </c>
    </row>
    <row r="17" spans="3:9" x14ac:dyDescent="0.3">
      <c r="C17" t="str">
        <f t="shared" si="4"/>
        <v>PAMP AR EQUITY</v>
      </c>
      <c r="D17" s="3">
        <f t="shared" si="6"/>
        <v>0.4304409524665001</v>
      </c>
      <c r="E17" s="3">
        <f t="shared" si="6"/>
        <v>4.7375012663132356E-2</v>
      </c>
      <c r="F17" s="3">
        <f t="shared" si="6"/>
        <v>0.94007500228593477</v>
      </c>
      <c r="G17" s="3">
        <f t="shared" si="6"/>
        <v>0.71698062970366183</v>
      </c>
      <c r="H17" s="3">
        <f t="shared" si="6"/>
        <v>0.51433777942183556</v>
      </c>
      <c r="I17" s="3">
        <f t="shared" si="6"/>
        <v>0</v>
      </c>
    </row>
    <row r="18" spans="3:9" x14ac:dyDescent="0.3">
      <c r="C18" t="str">
        <f t="shared" si="4"/>
        <v>CEPU AR EQUITY</v>
      </c>
      <c r="D18" s="3">
        <f t="shared" si="6"/>
        <v>0</v>
      </c>
      <c r="E18" s="3">
        <f t="shared" si="6"/>
        <v>0</v>
      </c>
      <c r="F18" s="3">
        <f t="shared" si="6"/>
        <v>0.80977806370374372</v>
      </c>
      <c r="G18" s="3">
        <f t="shared" si="6"/>
        <v>1</v>
      </c>
      <c r="H18" s="3">
        <f t="shared" si="6"/>
        <v>0.71237033313052178</v>
      </c>
      <c r="I18" s="3">
        <f t="shared" si="6"/>
        <v>0.27067298055195549</v>
      </c>
    </row>
    <row r="19" spans="3:9" x14ac:dyDescent="0.3">
      <c r="C19" t="str">
        <f t="shared" si="4"/>
        <v>TRAN AR EQUITY</v>
      </c>
      <c r="D19" s="3">
        <f t="shared" si="6"/>
        <v>2.984172487996303E-2</v>
      </c>
      <c r="E19" s="3">
        <f t="shared" si="6"/>
        <v>1</v>
      </c>
      <c r="F19" s="3">
        <f t="shared" si="6"/>
        <v>0.30299548267645632</v>
      </c>
      <c r="G19" s="3">
        <f t="shared" si="6"/>
        <v>0</v>
      </c>
      <c r="H19" s="3">
        <f t="shared" si="6"/>
        <v>0.50024441574730305</v>
      </c>
      <c r="I19" s="3">
        <f t="shared" si="6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Llambi</dc:creator>
  <cp:lastModifiedBy>Ruben Llambi</cp:lastModifiedBy>
  <dcterms:created xsi:type="dcterms:W3CDTF">2026-05-13T21:08:28Z</dcterms:created>
  <dcterms:modified xsi:type="dcterms:W3CDTF">2026-05-13T21:45:07Z</dcterms:modified>
</cp:coreProperties>
</file>