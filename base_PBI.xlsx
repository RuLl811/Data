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r110574\PycharmProjects\Estrategias\Modelo de PBI\"/>
    </mc:Choice>
  </mc:AlternateContent>
  <xr:revisionPtr revIDLastSave="0" documentId="13_ncr:1_{0C63F4FA-62CD-4E86-BC4C-AE5A672794EC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base" sheetId="1" r:id="rId1"/>
    <sheet name="base_mensual" sheetId="6" r:id="rId2"/>
    <sheet name="base_desest" sheetId="10" r:id="rId3"/>
    <sheet name="Sheet1" sheetId="13" r:id="rId4"/>
    <sheet name="Sheet2" sheetId="12" r:id="rId5"/>
    <sheet name="NOTAS" sheetId="9" r:id="rId6"/>
    <sheet name="FUENTES" sheetId="7" r:id="rId7"/>
  </sheets>
  <externalReferences>
    <externalReference r:id="rId8"/>
    <externalReference r:id="rId9"/>
    <externalReference r:id="rId10"/>
  </externalReferences>
  <definedNames>
    <definedName name="SpreadsheetBuilder_1" hidden="1">#REF!</definedName>
    <definedName name="SpreadsheetBuilder_2" hidden="1">base_mensual!$BA$1:$BB$2</definedName>
    <definedName name="SpreadsheetBuilder_3" hidden="1">base_mensual!$BA$1:$BB$2</definedName>
    <definedName name="SpreadsheetBuilder_4" hidden="1">base_mensual!$BA$1:$BB$2</definedName>
    <definedName name="SpreadsheetBuilder_5" hidden="1">base_mensual!$AY$1:$BA$2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10" l="1"/>
  <c r="AZ4" i="10"/>
  <c r="AZ5" i="10"/>
  <c r="AZ6" i="10"/>
  <c r="AZ7" i="10"/>
  <c r="AZ8" i="10"/>
  <c r="AZ9" i="10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29" i="10"/>
  <c r="AZ30" i="10"/>
  <c r="AZ31" i="10"/>
  <c r="AZ32" i="10"/>
  <c r="AZ33" i="10"/>
  <c r="AZ34" i="10"/>
  <c r="AZ35" i="10"/>
  <c r="AZ36" i="10"/>
  <c r="AZ37" i="10"/>
  <c r="AZ38" i="10"/>
  <c r="AZ39" i="10"/>
  <c r="AZ40" i="10"/>
  <c r="AZ41" i="10"/>
  <c r="AZ42" i="10"/>
  <c r="AZ43" i="10"/>
  <c r="AZ44" i="10"/>
  <c r="AZ45" i="10"/>
  <c r="AZ46" i="10"/>
  <c r="AZ47" i="10"/>
  <c r="AZ48" i="10"/>
  <c r="AZ49" i="10"/>
  <c r="AZ50" i="10"/>
  <c r="AZ51" i="10"/>
  <c r="AZ52" i="10"/>
  <c r="AZ53" i="10"/>
  <c r="AZ54" i="10"/>
  <c r="AZ55" i="10"/>
  <c r="AZ56" i="10"/>
  <c r="AZ57" i="10"/>
  <c r="AZ58" i="10"/>
  <c r="AZ59" i="10"/>
  <c r="AZ60" i="10"/>
  <c r="AZ61" i="10"/>
  <c r="AZ62" i="10"/>
  <c r="AZ63" i="10"/>
  <c r="AZ64" i="10"/>
  <c r="AZ65" i="10"/>
  <c r="AZ66" i="10"/>
  <c r="AZ67" i="10"/>
  <c r="AZ68" i="10"/>
  <c r="AZ69" i="10"/>
  <c r="AZ70" i="10"/>
  <c r="AZ71" i="10"/>
  <c r="AZ72" i="10"/>
  <c r="AZ73" i="10"/>
  <c r="AZ74" i="10"/>
  <c r="AZ75" i="10"/>
  <c r="AZ76" i="10"/>
  <c r="AZ77" i="10"/>
  <c r="AZ78" i="10"/>
  <c r="AZ79" i="10"/>
  <c r="AZ80" i="10"/>
  <c r="AZ81" i="10"/>
  <c r="AZ82" i="10"/>
  <c r="AZ83" i="10"/>
  <c r="AZ84" i="10"/>
  <c r="AZ85" i="10"/>
  <c r="AZ86" i="10"/>
  <c r="AZ87" i="10"/>
  <c r="AZ88" i="10"/>
  <c r="AZ89" i="10"/>
  <c r="AZ90" i="10"/>
  <c r="AZ91" i="10"/>
  <c r="AZ92" i="10"/>
  <c r="AZ93" i="10"/>
  <c r="AZ94" i="10"/>
  <c r="AZ95" i="10"/>
  <c r="AZ96" i="10"/>
  <c r="AZ97" i="10"/>
  <c r="AZ98" i="10"/>
  <c r="AZ99" i="10"/>
  <c r="AZ100" i="10"/>
  <c r="AZ101" i="10"/>
  <c r="AZ102" i="10"/>
  <c r="AZ103" i="10"/>
  <c r="AZ104" i="10"/>
  <c r="AZ105" i="10"/>
  <c r="AZ106" i="10"/>
  <c r="AZ107" i="10"/>
  <c r="AZ108" i="10"/>
  <c r="AZ109" i="10"/>
  <c r="AZ110" i="10"/>
  <c r="AZ111" i="10"/>
  <c r="AZ112" i="10"/>
  <c r="AZ113" i="10"/>
  <c r="AZ114" i="10"/>
  <c r="AZ115" i="10"/>
  <c r="AZ116" i="10"/>
  <c r="AZ117" i="10"/>
  <c r="AZ118" i="10"/>
  <c r="AZ119" i="10"/>
  <c r="AZ120" i="10"/>
  <c r="AZ121" i="10"/>
  <c r="AZ122" i="10"/>
  <c r="AZ123" i="10"/>
  <c r="AZ124" i="10"/>
  <c r="AZ125" i="10"/>
  <c r="AZ126" i="10"/>
  <c r="AZ127" i="10"/>
  <c r="AZ128" i="10"/>
  <c r="AZ129" i="10"/>
  <c r="AZ130" i="10"/>
  <c r="AZ131" i="10"/>
  <c r="AZ132" i="10"/>
  <c r="AZ133" i="10"/>
  <c r="AZ134" i="10"/>
  <c r="AZ135" i="10"/>
  <c r="AZ136" i="10"/>
  <c r="AZ137" i="10"/>
  <c r="AZ138" i="10"/>
  <c r="AZ139" i="10"/>
  <c r="AZ140" i="10"/>
  <c r="AZ141" i="10"/>
  <c r="AZ142" i="10"/>
  <c r="AZ143" i="10"/>
  <c r="AZ144" i="10"/>
  <c r="AZ145" i="10"/>
  <c r="AZ146" i="10"/>
  <c r="AZ147" i="10"/>
  <c r="AZ148" i="10"/>
  <c r="AZ149" i="10"/>
  <c r="AZ150" i="10"/>
  <c r="AZ151" i="10"/>
  <c r="AZ152" i="10"/>
  <c r="AZ153" i="10"/>
  <c r="AZ2" i="10"/>
  <c r="AZ1" i="10" l="1"/>
  <c r="AY153" i="10" l="1"/>
  <c r="AY152" i="10"/>
  <c r="AY151" i="10"/>
  <c r="AY150" i="10"/>
  <c r="AY149" i="10"/>
  <c r="AY148" i="10"/>
  <c r="AY147" i="10"/>
  <c r="AY146" i="10"/>
  <c r="AY145" i="10"/>
  <c r="AY144" i="10"/>
  <c r="AY143" i="10"/>
  <c r="AY142" i="10"/>
  <c r="AY141" i="10"/>
  <c r="AY140" i="10"/>
  <c r="AY139" i="10"/>
  <c r="AY138" i="10"/>
  <c r="AY137" i="10"/>
  <c r="AY136" i="10"/>
  <c r="AY135" i="10"/>
  <c r="AY134" i="10"/>
  <c r="AY133" i="10"/>
  <c r="AY132" i="10"/>
  <c r="AY131" i="10"/>
  <c r="AY130" i="10"/>
  <c r="AY129" i="10"/>
  <c r="AY128" i="10"/>
  <c r="AY127" i="10"/>
  <c r="AY126" i="10"/>
  <c r="AY125" i="10"/>
  <c r="AY124" i="10"/>
  <c r="AY123" i="10"/>
  <c r="AY122" i="10"/>
  <c r="AY121" i="10"/>
  <c r="AY120" i="10"/>
  <c r="AY119" i="10"/>
  <c r="AY118" i="10"/>
  <c r="AY117" i="10"/>
  <c r="AY116" i="10"/>
  <c r="AY115" i="10"/>
  <c r="AY114" i="10"/>
  <c r="AY113" i="10"/>
  <c r="AY112" i="10"/>
  <c r="AY111" i="10"/>
  <c r="AY110" i="10"/>
  <c r="AY109" i="10"/>
  <c r="AY108" i="10"/>
  <c r="AY107" i="10"/>
  <c r="AY106" i="10"/>
  <c r="AY105" i="10"/>
  <c r="AY104" i="10"/>
  <c r="AY103" i="10"/>
  <c r="AY102" i="10"/>
  <c r="AY101" i="10"/>
  <c r="AY100" i="10"/>
  <c r="AY99" i="10"/>
  <c r="AY98" i="10"/>
  <c r="AY97" i="10"/>
  <c r="AY96" i="10"/>
  <c r="AY95" i="10"/>
  <c r="AY94" i="10"/>
  <c r="AY93" i="10"/>
  <c r="AY92" i="10"/>
  <c r="AY91" i="10"/>
  <c r="AY90" i="10"/>
  <c r="AY89" i="10"/>
  <c r="AY88" i="10"/>
  <c r="AY87" i="10"/>
  <c r="AY86" i="10"/>
  <c r="AY85" i="10"/>
  <c r="AY84" i="10"/>
  <c r="AY83" i="10"/>
  <c r="AY82" i="10"/>
  <c r="AY81" i="10"/>
  <c r="AY80" i="10"/>
  <c r="AY79" i="10"/>
  <c r="AY78" i="10"/>
  <c r="AY77" i="10"/>
  <c r="AY76" i="10"/>
  <c r="AY75" i="10"/>
  <c r="AY74" i="10"/>
  <c r="AY73" i="10"/>
  <c r="AY72" i="10"/>
  <c r="AY71" i="10"/>
  <c r="AY70" i="10"/>
  <c r="AY69" i="10"/>
  <c r="AY68" i="10"/>
  <c r="AY67" i="10"/>
  <c r="AY66" i="10"/>
  <c r="AY65" i="10"/>
  <c r="AY64" i="10"/>
  <c r="AY63" i="10"/>
  <c r="AY62" i="10"/>
  <c r="AY61" i="10"/>
  <c r="AY60" i="10"/>
  <c r="AY59" i="10"/>
  <c r="AY58" i="10"/>
  <c r="AY57" i="10"/>
  <c r="AY56" i="10"/>
  <c r="AY55" i="10"/>
  <c r="AY54" i="10"/>
  <c r="AY53" i="10"/>
  <c r="AY52" i="10"/>
  <c r="AY51" i="10"/>
  <c r="AY50" i="10"/>
  <c r="AY49" i="10"/>
  <c r="AY48" i="10"/>
  <c r="AY47" i="10"/>
  <c r="AY46" i="10"/>
  <c r="AY45" i="10"/>
  <c r="AY44" i="10"/>
  <c r="AY43" i="10"/>
  <c r="AY42" i="10"/>
  <c r="AY41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Y8" i="10"/>
  <c r="AY7" i="10"/>
  <c r="AY6" i="10"/>
  <c r="AY5" i="10"/>
  <c r="AY4" i="10"/>
  <c r="AY3" i="10"/>
  <c r="AY2" i="10"/>
  <c r="AY1" i="10"/>
  <c r="AV152" i="6" a="1"/>
  <c r="AV152" i="6"/>
  <c r="E153" i="6" a="1"/>
  <c r="E153" i="6"/>
  <c r="AW153" i="6" a="1"/>
  <c r="AW153" i="6"/>
  <c r="D153" i="6" a="1"/>
  <c r="D153" i="6"/>
  <c r="C153" i="6" a="1"/>
  <c r="C153" i="6"/>
  <c r="H153" i="6" a="1"/>
  <c r="H153" i="6"/>
  <c r="G153" i="6" a="1"/>
  <c r="G153" i="6"/>
  <c r="AU153" i="6" a="1"/>
  <c r="AU153" i="6"/>
  <c r="F153" i="6" a="1"/>
  <c r="F153" i="6"/>
  <c r="R153" i="6" a="1"/>
  <c r="R153" i="6"/>
  <c r="V153" i="6" a="1"/>
  <c r="V153" i="6"/>
  <c r="AB153" i="6" a="1"/>
  <c r="AB153" i="6"/>
  <c r="S153" i="6" a="1"/>
  <c r="S153" i="6"/>
  <c r="AX2" i="10" l="1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56" i="10"/>
  <c r="AX57" i="10"/>
  <c r="AX58" i="10"/>
  <c r="AX59" i="10"/>
  <c r="AX60" i="10"/>
  <c r="AX61" i="10"/>
  <c r="AX62" i="10"/>
  <c r="AX63" i="10"/>
  <c r="AX64" i="10"/>
  <c r="AX65" i="10"/>
  <c r="AX66" i="10"/>
  <c r="AX67" i="10"/>
  <c r="AX68" i="10"/>
  <c r="AX69" i="10"/>
  <c r="AX70" i="10"/>
  <c r="AX71" i="10"/>
  <c r="AX72" i="10"/>
  <c r="AX73" i="10"/>
  <c r="AX74" i="10"/>
  <c r="AX75" i="10"/>
  <c r="AX76" i="10"/>
  <c r="AX77" i="10"/>
  <c r="AX78" i="10"/>
  <c r="AX79" i="10"/>
  <c r="AX80" i="10"/>
  <c r="AX81" i="10"/>
  <c r="AX82" i="10"/>
  <c r="AX83" i="10"/>
  <c r="AX84" i="10"/>
  <c r="AX85" i="10"/>
  <c r="AX86" i="10"/>
  <c r="AX87" i="10"/>
  <c r="AX88" i="10"/>
  <c r="AX89" i="10"/>
  <c r="AX90" i="10"/>
  <c r="AX91" i="10"/>
  <c r="AX92" i="10"/>
  <c r="AX93" i="10"/>
  <c r="AX94" i="10"/>
  <c r="AX95" i="10"/>
  <c r="AX96" i="10"/>
  <c r="AX97" i="10"/>
  <c r="AX98" i="10"/>
  <c r="AX99" i="10"/>
  <c r="AX100" i="10"/>
  <c r="AX101" i="10"/>
  <c r="AX102" i="10"/>
  <c r="AX103" i="10"/>
  <c r="AX104" i="10"/>
  <c r="AX105" i="10"/>
  <c r="AX106" i="10"/>
  <c r="AX107" i="10"/>
  <c r="AX108" i="10"/>
  <c r="AX109" i="10"/>
  <c r="AX110" i="10"/>
  <c r="AX111" i="10"/>
  <c r="AX112" i="10"/>
  <c r="AX113" i="10"/>
  <c r="AX114" i="10"/>
  <c r="AX115" i="10"/>
  <c r="AX116" i="10"/>
  <c r="AX117" i="10"/>
  <c r="AX118" i="10"/>
  <c r="AX119" i="10"/>
  <c r="AX120" i="10"/>
  <c r="AX121" i="10"/>
  <c r="AX122" i="10"/>
  <c r="AX123" i="10"/>
  <c r="AX124" i="10"/>
  <c r="AX125" i="10"/>
  <c r="AX126" i="10"/>
  <c r="AX127" i="10"/>
  <c r="AX128" i="10"/>
  <c r="AX129" i="10"/>
  <c r="AX130" i="10"/>
  <c r="AX131" i="10"/>
  <c r="AX132" i="10"/>
  <c r="AX133" i="10"/>
  <c r="AX134" i="10"/>
  <c r="AX135" i="10"/>
  <c r="AX136" i="10"/>
  <c r="AX137" i="10"/>
  <c r="AX138" i="10"/>
  <c r="AX139" i="10"/>
  <c r="AX140" i="10"/>
  <c r="AX141" i="10"/>
  <c r="AX142" i="10"/>
  <c r="AX143" i="10"/>
  <c r="AX144" i="10"/>
  <c r="AX145" i="10"/>
  <c r="AX146" i="10"/>
  <c r="AX147" i="10"/>
  <c r="AX148" i="10"/>
  <c r="AX149" i="10"/>
  <c r="AX150" i="10"/>
  <c r="AX151" i="10"/>
  <c r="AX152" i="10"/>
  <c r="AX153" i="10"/>
  <c r="AX1" i="10"/>
  <c r="B1" i="10" l="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AW153" i="10" l="1"/>
  <c r="AV153" i="10"/>
  <c r="AU153" i="10"/>
  <c r="AT153" i="10"/>
  <c r="AS153" i="10"/>
  <c r="AR153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C153" i="10"/>
  <c r="A153" i="10"/>
  <c r="Z153" i="6" l="1"/>
  <c r="X153" i="6" l="1"/>
  <c r="AX153" i="6" l="1"/>
  <c r="Q153" i="6" l="1"/>
  <c r="AA153" i="6"/>
  <c r="O153" i="6"/>
  <c r="U153" i="6"/>
  <c r="Y153" i="6"/>
  <c r="W153" i="6"/>
  <c r="P153" i="6"/>
  <c r="D153" i="10" l="1"/>
  <c r="T153" i="6"/>
  <c r="AA152" i="6"/>
  <c r="X152" i="6"/>
  <c r="Y152" i="6" s="1"/>
  <c r="W152" i="6"/>
  <c r="U152" i="6"/>
  <c r="T152" i="6"/>
  <c r="Q152" i="6"/>
  <c r="P152" i="6"/>
  <c r="O152" i="6"/>
  <c r="AV151" i="6"/>
  <c r="AA151" i="6"/>
  <c r="X151" i="6"/>
  <c r="Y151" i="6" s="1"/>
  <c r="W151" i="6"/>
  <c r="U151" i="6"/>
  <c r="T151" i="6"/>
  <c r="Q151" i="6"/>
  <c r="P151" i="6"/>
  <c r="O151" i="6"/>
  <c r="AV150" i="6"/>
  <c r="AA150" i="6"/>
  <c r="X150" i="6"/>
  <c r="Y150" i="6" s="1"/>
  <c r="W150" i="6"/>
  <c r="U150" i="6"/>
  <c r="T150" i="6"/>
  <c r="Q150" i="6"/>
  <c r="P150" i="6"/>
  <c r="O150" i="6"/>
  <c r="AV149" i="6"/>
  <c r="AA149" i="6"/>
  <c r="X149" i="6"/>
  <c r="Y149" i="6" s="1"/>
  <c r="W149" i="6"/>
  <c r="U149" i="6"/>
  <c r="T149" i="6"/>
  <c r="Q149" i="6"/>
  <c r="P149" i="6"/>
  <c r="O149" i="6"/>
  <c r="AV148" i="6"/>
  <c r="AA148" i="6"/>
  <c r="X148" i="6"/>
  <c r="Y148" i="6" s="1"/>
  <c r="W148" i="6"/>
  <c r="U148" i="6"/>
  <c r="T148" i="6"/>
  <c r="Q148" i="6"/>
  <c r="P148" i="6"/>
  <c r="O148" i="6"/>
  <c r="AV147" i="6"/>
  <c r="AA147" i="6"/>
  <c r="X147" i="6"/>
  <c r="Y147" i="6" s="1"/>
  <c r="W147" i="6"/>
  <c r="U147" i="6"/>
  <c r="T147" i="6"/>
  <c r="Q147" i="6"/>
  <c r="P147" i="6"/>
  <c r="O147" i="6"/>
  <c r="AV146" i="6"/>
  <c r="AA146" i="6"/>
  <c r="X146" i="6"/>
  <c r="Y146" i="6" s="1"/>
  <c r="W146" i="6"/>
  <c r="U146" i="6"/>
  <c r="T146" i="6"/>
  <c r="Q146" i="6"/>
  <c r="P146" i="6"/>
  <c r="O146" i="6"/>
  <c r="AV145" i="6"/>
  <c r="AA145" i="6"/>
  <c r="X145" i="6"/>
  <c r="Y145" i="6" s="1"/>
  <c r="W145" i="6"/>
  <c r="U145" i="6"/>
  <c r="T145" i="6"/>
  <c r="Q145" i="6"/>
  <c r="P145" i="6"/>
  <c r="O145" i="6"/>
  <c r="AV144" i="6"/>
  <c r="AA144" i="6"/>
  <c r="X144" i="6"/>
  <c r="Y144" i="6" s="1"/>
  <c r="W144" i="6"/>
  <c r="U144" i="6"/>
  <c r="T144" i="6"/>
  <c r="Q144" i="6"/>
  <c r="P144" i="6"/>
  <c r="O144" i="6"/>
  <c r="AV143" i="6"/>
  <c r="AA143" i="6"/>
  <c r="X143" i="6"/>
  <c r="Y143" i="6" s="1"/>
  <c r="W143" i="6"/>
  <c r="U143" i="6"/>
  <c r="T143" i="6"/>
  <c r="Q143" i="6"/>
  <c r="P143" i="6"/>
  <c r="O143" i="6"/>
  <c r="AV142" i="6"/>
  <c r="AA142" i="6"/>
  <c r="X142" i="6"/>
  <c r="Y142" i="6" s="1"/>
  <c r="W142" i="6"/>
  <c r="U142" i="6"/>
  <c r="T142" i="6"/>
  <c r="Q142" i="6"/>
  <c r="P142" i="6"/>
  <c r="O142" i="6"/>
  <c r="AV141" i="6"/>
  <c r="AA141" i="6"/>
  <c r="X141" i="6"/>
  <c r="Y141" i="6" s="1"/>
  <c r="W141" i="6"/>
  <c r="U141" i="6"/>
  <c r="T141" i="6"/>
  <c r="Q141" i="6"/>
  <c r="P141" i="6"/>
  <c r="O141" i="6"/>
  <c r="AV140" i="6"/>
  <c r="AA140" i="6"/>
  <c r="X140" i="6"/>
  <c r="Y140" i="6" s="1"/>
  <c r="W140" i="6"/>
  <c r="U140" i="6"/>
  <c r="T140" i="6"/>
  <c r="Q140" i="6"/>
  <c r="P140" i="6"/>
  <c r="O140" i="6"/>
  <c r="AV139" i="6"/>
  <c r="AA139" i="6"/>
  <c r="X139" i="6"/>
  <c r="Y139" i="6" s="1"/>
  <c r="W139" i="6"/>
  <c r="U139" i="6"/>
  <c r="T139" i="6"/>
  <c r="Q139" i="6"/>
  <c r="P139" i="6"/>
  <c r="O139" i="6"/>
  <c r="AV138" i="6"/>
  <c r="AA138" i="6"/>
  <c r="X138" i="6"/>
  <c r="Y138" i="6" s="1"/>
  <c r="W138" i="6"/>
  <c r="U138" i="6"/>
  <c r="T138" i="6"/>
  <c r="Q138" i="6"/>
  <c r="P138" i="6"/>
  <c r="O138" i="6"/>
  <c r="AV137" i="6"/>
  <c r="AA137" i="6"/>
  <c r="X137" i="6"/>
  <c r="Y137" i="6" s="1"/>
  <c r="W137" i="6"/>
  <c r="U137" i="6"/>
  <c r="T137" i="6"/>
  <c r="Q137" i="6"/>
  <c r="P137" i="6"/>
  <c r="O137" i="6"/>
  <c r="AV136" i="6"/>
  <c r="AA136" i="6"/>
  <c r="X136" i="6"/>
  <c r="Y136" i="6" s="1"/>
  <c r="W136" i="6"/>
  <c r="U136" i="6"/>
  <c r="T136" i="6"/>
  <c r="Q136" i="6"/>
  <c r="P136" i="6"/>
  <c r="O136" i="6"/>
  <c r="AV135" i="6"/>
  <c r="AA135" i="6"/>
  <c r="X135" i="6"/>
  <c r="Y135" i="6" s="1"/>
  <c r="W135" i="6"/>
  <c r="U135" i="6"/>
  <c r="T135" i="6"/>
  <c r="Q135" i="6"/>
  <c r="P135" i="6"/>
  <c r="O135" i="6"/>
  <c r="AV134" i="6"/>
  <c r="AA134" i="6"/>
  <c r="X134" i="6"/>
  <c r="Y134" i="6" s="1"/>
  <c r="W134" i="6"/>
  <c r="U134" i="6"/>
  <c r="T134" i="6"/>
  <c r="Q134" i="6"/>
  <c r="P134" i="6"/>
  <c r="O134" i="6"/>
  <c r="AV133" i="6"/>
  <c r="AA133" i="6"/>
  <c r="X133" i="6"/>
  <c r="Y133" i="6" s="1"/>
  <c r="W133" i="6"/>
  <c r="U133" i="6"/>
  <c r="T133" i="6"/>
  <c r="Q133" i="6"/>
  <c r="P133" i="6"/>
  <c r="O133" i="6"/>
  <c r="AV132" i="6"/>
  <c r="AA132" i="6"/>
  <c r="X132" i="6"/>
  <c r="Y132" i="6" s="1"/>
  <c r="W132" i="6"/>
  <c r="U132" i="6"/>
  <c r="T132" i="6"/>
  <c r="Q132" i="6"/>
  <c r="P132" i="6"/>
  <c r="O132" i="6"/>
  <c r="AV131" i="6"/>
  <c r="AA131" i="6"/>
  <c r="X131" i="6"/>
  <c r="Y131" i="6" s="1"/>
  <c r="W131" i="6"/>
  <c r="U131" i="6"/>
  <c r="T131" i="6"/>
  <c r="Q131" i="6"/>
  <c r="P131" i="6"/>
  <c r="O131" i="6"/>
  <c r="AV130" i="6"/>
  <c r="AA130" i="6"/>
  <c r="X130" i="6"/>
  <c r="Y130" i="6" s="1"/>
  <c r="W130" i="6"/>
  <c r="U130" i="6"/>
  <c r="T130" i="6"/>
  <c r="Q130" i="6"/>
  <c r="P130" i="6"/>
  <c r="O130" i="6"/>
  <c r="AV129" i="6"/>
  <c r="AA129" i="6"/>
  <c r="X129" i="6"/>
  <c r="Y129" i="6" s="1"/>
  <c r="W129" i="6"/>
  <c r="U129" i="6"/>
  <c r="T129" i="6"/>
  <c r="Q129" i="6"/>
  <c r="P129" i="6"/>
  <c r="O129" i="6"/>
  <c r="AV128" i="6"/>
  <c r="AA128" i="6"/>
  <c r="X128" i="6"/>
  <c r="Y128" i="6" s="1"/>
  <c r="W128" i="6"/>
  <c r="U128" i="6"/>
  <c r="T128" i="6"/>
  <c r="Q128" i="6"/>
  <c r="P128" i="6"/>
  <c r="O128" i="6"/>
  <c r="AV127" i="6"/>
  <c r="AA127" i="6"/>
  <c r="X127" i="6"/>
  <c r="Y127" i="6" s="1"/>
  <c r="W127" i="6"/>
  <c r="U127" i="6"/>
  <c r="T127" i="6"/>
  <c r="Q127" i="6"/>
  <c r="P127" i="6"/>
  <c r="O127" i="6"/>
  <c r="AV126" i="6"/>
  <c r="AA126" i="6"/>
  <c r="X126" i="6"/>
  <c r="Y126" i="6" s="1"/>
  <c r="W126" i="6"/>
  <c r="U126" i="6"/>
  <c r="T126" i="6"/>
  <c r="Q126" i="6"/>
  <c r="P126" i="6"/>
  <c r="O126" i="6"/>
  <c r="AV125" i="6"/>
  <c r="AA125" i="6"/>
  <c r="X125" i="6"/>
  <c r="Y125" i="6" s="1"/>
  <c r="W125" i="6"/>
  <c r="U125" i="6"/>
  <c r="T125" i="6"/>
  <c r="Q125" i="6"/>
  <c r="P125" i="6"/>
  <c r="O125" i="6"/>
  <c r="AV124" i="6"/>
  <c r="AA124" i="6"/>
  <c r="X124" i="6"/>
  <c r="Y124" i="6" s="1"/>
  <c r="W124" i="6"/>
  <c r="U124" i="6"/>
  <c r="T124" i="6"/>
  <c r="Q124" i="6"/>
  <c r="P124" i="6"/>
  <c r="O124" i="6"/>
  <c r="AV123" i="6"/>
  <c r="AA123" i="6"/>
  <c r="X123" i="6"/>
  <c r="Y123" i="6" s="1"/>
  <c r="W123" i="6"/>
  <c r="U123" i="6"/>
  <c r="T123" i="6"/>
  <c r="Q123" i="6"/>
  <c r="P123" i="6"/>
  <c r="O123" i="6"/>
  <c r="AV122" i="6"/>
  <c r="AA122" i="6"/>
  <c r="X122" i="6"/>
  <c r="Y122" i="6" s="1"/>
  <c r="W122" i="6"/>
  <c r="U122" i="6"/>
  <c r="T122" i="6"/>
  <c r="Q122" i="6"/>
  <c r="P122" i="6"/>
  <c r="O122" i="6"/>
  <c r="AV121" i="6"/>
  <c r="AA121" i="6"/>
  <c r="X121" i="6"/>
  <c r="Y121" i="6" s="1"/>
  <c r="W121" i="6"/>
  <c r="U121" i="6"/>
  <c r="T121" i="6"/>
  <c r="Q121" i="6"/>
  <c r="P121" i="6"/>
  <c r="O121" i="6"/>
  <c r="AV120" i="6"/>
  <c r="AA120" i="6"/>
  <c r="X120" i="6"/>
  <c r="Y120" i="6" s="1"/>
  <c r="W120" i="6"/>
  <c r="U120" i="6"/>
  <c r="T120" i="6"/>
  <c r="Q120" i="6"/>
  <c r="P120" i="6"/>
  <c r="O120" i="6"/>
  <c r="AV119" i="6"/>
  <c r="AA119" i="6"/>
  <c r="X119" i="6"/>
  <c r="Y119" i="6" s="1"/>
  <c r="W119" i="6"/>
  <c r="U119" i="6"/>
  <c r="T119" i="6"/>
  <c r="Q119" i="6"/>
  <c r="P119" i="6"/>
  <c r="O119" i="6"/>
  <c r="AV118" i="6"/>
  <c r="AA118" i="6"/>
  <c r="X118" i="6"/>
  <c r="Y118" i="6" s="1"/>
  <c r="W118" i="6"/>
  <c r="U118" i="6"/>
  <c r="T118" i="6"/>
  <c r="Q118" i="6"/>
  <c r="P118" i="6"/>
  <c r="O118" i="6"/>
  <c r="AV117" i="6"/>
  <c r="AA117" i="6"/>
  <c r="X117" i="6"/>
  <c r="Y117" i="6" s="1"/>
  <c r="W117" i="6"/>
  <c r="U117" i="6"/>
  <c r="T117" i="6"/>
  <c r="Q117" i="6"/>
  <c r="P117" i="6"/>
  <c r="O117" i="6"/>
  <c r="AV116" i="6"/>
  <c r="AA116" i="6"/>
  <c r="X116" i="6"/>
  <c r="Y116" i="6" s="1"/>
  <c r="W116" i="6"/>
  <c r="U116" i="6"/>
  <c r="T116" i="6"/>
  <c r="Q116" i="6"/>
  <c r="P116" i="6"/>
  <c r="O116" i="6"/>
  <c r="AV115" i="6"/>
  <c r="AA115" i="6"/>
  <c r="X115" i="6"/>
  <c r="Y115" i="6" s="1"/>
  <c r="W115" i="6"/>
  <c r="U115" i="6"/>
  <c r="T115" i="6"/>
  <c r="Q115" i="6"/>
  <c r="P115" i="6"/>
  <c r="O115" i="6"/>
  <c r="AV114" i="6"/>
  <c r="AA114" i="6"/>
  <c r="X114" i="6"/>
  <c r="Y114" i="6" s="1"/>
  <c r="W114" i="6"/>
  <c r="U114" i="6"/>
  <c r="T114" i="6"/>
  <c r="Q114" i="6"/>
  <c r="P114" i="6"/>
  <c r="O114" i="6"/>
  <c r="AV113" i="6"/>
  <c r="AA113" i="6"/>
  <c r="X113" i="6"/>
  <c r="Y113" i="6" s="1"/>
  <c r="W113" i="6"/>
  <c r="U113" i="6"/>
  <c r="T113" i="6"/>
  <c r="Q113" i="6"/>
  <c r="P113" i="6"/>
  <c r="O113" i="6"/>
  <c r="AV112" i="6"/>
  <c r="AA112" i="6"/>
  <c r="X112" i="6"/>
  <c r="Y112" i="6" s="1"/>
  <c r="W112" i="6"/>
  <c r="U112" i="6"/>
  <c r="T112" i="6"/>
  <c r="Q112" i="6"/>
  <c r="P112" i="6"/>
  <c r="O112" i="6"/>
  <c r="AV111" i="6"/>
  <c r="AA111" i="6"/>
  <c r="X111" i="6"/>
  <c r="Y111" i="6" s="1"/>
  <c r="W111" i="6"/>
  <c r="U111" i="6"/>
  <c r="T111" i="6"/>
  <c r="Q111" i="6"/>
  <c r="P111" i="6"/>
  <c r="O111" i="6"/>
  <c r="AV110" i="6"/>
  <c r="AA110" i="6"/>
  <c r="X110" i="6"/>
  <c r="Y110" i="6" s="1"/>
  <c r="W110" i="6"/>
  <c r="U110" i="6"/>
  <c r="T110" i="6"/>
  <c r="Q110" i="6"/>
  <c r="P110" i="6"/>
  <c r="O110" i="6"/>
  <c r="AV109" i="6"/>
  <c r="AA109" i="6"/>
  <c r="X109" i="6"/>
  <c r="Y109" i="6" s="1"/>
  <c r="W109" i="6"/>
  <c r="U109" i="6"/>
  <c r="T109" i="6"/>
  <c r="Q109" i="6"/>
  <c r="P109" i="6"/>
  <c r="O109" i="6"/>
  <c r="AV108" i="6"/>
  <c r="AA108" i="6"/>
  <c r="X108" i="6"/>
  <c r="Y108" i="6" s="1"/>
  <c r="W108" i="6"/>
  <c r="U108" i="6"/>
  <c r="T108" i="6"/>
  <c r="Q108" i="6"/>
  <c r="P108" i="6"/>
  <c r="O108" i="6"/>
  <c r="AV107" i="6"/>
  <c r="AA107" i="6"/>
  <c r="X107" i="6"/>
  <c r="Y107" i="6" s="1"/>
  <c r="W107" i="6"/>
  <c r="U107" i="6"/>
  <c r="T107" i="6"/>
  <c r="Q107" i="6"/>
  <c r="P107" i="6"/>
  <c r="O107" i="6"/>
  <c r="AV106" i="6"/>
  <c r="AA106" i="6"/>
  <c r="X106" i="6"/>
  <c r="Y106" i="6" s="1"/>
  <c r="W106" i="6"/>
  <c r="U106" i="6"/>
  <c r="T106" i="6"/>
  <c r="Q106" i="6"/>
  <c r="P106" i="6"/>
  <c r="O106" i="6"/>
  <c r="AV105" i="6"/>
  <c r="AA105" i="6"/>
  <c r="X105" i="6"/>
  <c r="Y105" i="6" s="1"/>
  <c r="W105" i="6"/>
  <c r="U105" i="6"/>
  <c r="T105" i="6"/>
  <c r="Q105" i="6"/>
  <c r="P105" i="6"/>
  <c r="O105" i="6"/>
  <c r="AV104" i="6"/>
  <c r="AA104" i="6"/>
  <c r="X104" i="6"/>
  <c r="Y104" i="6" s="1"/>
  <c r="W104" i="6"/>
  <c r="U104" i="6"/>
  <c r="T104" i="6"/>
  <c r="Q104" i="6"/>
  <c r="P104" i="6"/>
  <c r="O104" i="6"/>
  <c r="AV103" i="6"/>
  <c r="AA103" i="6"/>
  <c r="X103" i="6"/>
  <c r="Y103" i="6" s="1"/>
  <c r="W103" i="6"/>
  <c r="U103" i="6"/>
  <c r="T103" i="6"/>
  <c r="Q103" i="6"/>
  <c r="P103" i="6"/>
  <c r="O103" i="6"/>
  <c r="AV102" i="6"/>
  <c r="AA102" i="6"/>
  <c r="X102" i="6"/>
  <c r="Y102" i="6" s="1"/>
  <c r="W102" i="6"/>
  <c r="U102" i="6"/>
  <c r="T102" i="6"/>
  <c r="Q102" i="6"/>
  <c r="P102" i="6"/>
  <c r="O102" i="6"/>
  <c r="AV101" i="6"/>
  <c r="AA101" i="6"/>
  <c r="X101" i="6"/>
  <c r="Y101" i="6" s="1"/>
  <c r="W101" i="6"/>
  <c r="U101" i="6"/>
  <c r="T101" i="6"/>
  <c r="Q101" i="6"/>
  <c r="P101" i="6"/>
  <c r="O101" i="6"/>
  <c r="AV100" i="6"/>
  <c r="AA100" i="6"/>
  <c r="X100" i="6"/>
  <c r="Y100" i="6" s="1"/>
  <c r="W100" i="6"/>
  <c r="U100" i="6"/>
  <c r="T100" i="6"/>
  <c r="Q100" i="6"/>
  <c r="P100" i="6"/>
  <c r="O100" i="6"/>
  <c r="AV99" i="6"/>
  <c r="AA99" i="6"/>
  <c r="X99" i="6"/>
  <c r="Y99" i="6" s="1"/>
  <c r="W99" i="6"/>
  <c r="U99" i="6"/>
  <c r="T99" i="6"/>
  <c r="Q99" i="6"/>
  <c r="P99" i="6"/>
  <c r="O99" i="6"/>
  <c r="AV98" i="6"/>
  <c r="AA98" i="6"/>
  <c r="X98" i="6"/>
  <c r="Y98" i="6" s="1"/>
  <c r="W98" i="6"/>
  <c r="U98" i="6"/>
  <c r="T98" i="6"/>
  <c r="Q98" i="6"/>
  <c r="P98" i="6"/>
  <c r="O98" i="6"/>
  <c r="AV97" i="6"/>
  <c r="AA97" i="6"/>
  <c r="X97" i="6"/>
  <c r="Y97" i="6" s="1"/>
  <c r="W97" i="6"/>
  <c r="U97" i="6"/>
  <c r="T97" i="6"/>
  <c r="Q97" i="6"/>
  <c r="P97" i="6"/>
  <c r="O97" i="6"/>
  <c r="AV96" i="6"/>
  <c r="AA96" i="6"/>
  <c r="X96" i="6"/>
  <c r="Y96" i="6" s="1"/>
  <c r="W96" i="6"/>
  <c r="U96" i="6"/>
  <c r="T96" i="6"/>
  <c r="Q96" i="6"/>
  <c r="P96" i="6"/>
  <c r="O96" i="6"/>
  <c r="AV95" i="6"/>
  <c r="AA95" i="6"/>
  <c r="X95" i="6"/>
  <c r="Y95" i="6" s="1"/>
  <c r="W95" i="6"/>
  <c r="U95" i="6"/>
  <c r="T95" i="6"/>
  <c r="Q95" i="6"/>
  <c r="P95" i="6"/>
  <c r="O95" i="6"/>
  <c r="AV94" i="6"/>
  <c r="AA94" i="6"/>
  <c r="X94" i="6"/>
  <c r="Y94" i="6" s="1"/>
  <c r="W94" i="6"/>
  <c r="U94" i="6"/>
  <c r="T94" i="6"/>
  <c r="Q94" i="6"/>
  <c r="P94" i="6"/>
  <c r="O94" i="6"/>
  <c r="AV93" i="6"/>
  <c r="AA93" i="6"/>
  <c r="X93" i="6"/>
  <c r="Y93" i="6" s="1"/>
  <c r="W93" i="6"/>
  <c r="U93" i="6"/>
  <c r="T93" i="6"/>
  <c r="Q93" i="6"/>
  <c r="P93" i="6"/>
  <c r="O93" i="6"/>
  <c r="AV92" i="6"/>
  <c r="AA92" i="6"/>
  <c r="X92" i="6"/>
  <c r="Y92" i="6" s="1"/>
  <c r="W92" i="6"/>
  <c r="U92" i="6"/>
  <c r="T92" i="6"/>
  <c r="Q92" i="6"/>
  <c r="P92" i="6"/>
  <c r="O92" i="6"/>
  <c r="AV91" i="6"/>
  <c r="AA91" i="6"/>
  <c r="X91" i="6"/>
  <c r="Y91" i="6" s="1"/>
  <c r="W91" i="6"/>
  <c r="U91" i="6"/>
  <c r="T91" i="6"/>
  <c r="Q91" i="6"/>
  <c r="P91" i="6"/>
  <c r="O91" i="6"/>
  <c r="AV90" i="6"/>
  <c r="AA90" i="6"/>
  <c r="X90" i="6"/>
  <c r="Y90" i="6" s="1"/>
  <c r="W90" i="6"/>
  <c r="U90" i="6"/>
  <c r="T90" i="6"/>
  <c r="Q90" i="6"/>
  <c r="P90" i="6"/>
  <c r="O90" i="6"/>
  <c r="AV89" i="6"/>
  <c r="AA89" i="6"/>
  <c r="X89" i="6"/>
  <c r="Y89" i="6" s="1"/>
  <c r="W89" i="6"/>
  <c r="U89" i="6"/>
  <c r="T89" i="6"/>
  <c r="Q89" i="6"/>
  <c r="P89" i="6"/>
  <c r="O89" i="6"/>
  <c r="AV88" i="6"/>
  <c r="AA88" i="6"/>
  <c r="X88" i="6"/>
  <c r="Y88" i="6" s="1"/>
  <c r="W88" i="6"/>
  <c r="U88" i="6"/>
  <c r="T88" i="6"/>
  <c r="Q88" i="6"/>
  <c r="P88" i="6"/>
  <c r="O88" i="6"/>
  <c r="AV87" i="6"/>
  <c r="AA87" i="6"/>
  <c r="X87" i="6"/>
  <c r="Y87" i="6" s="1"/>
  <c r="W87" i="6"/>
  <c r="U87" i="6"/>
  <c r="T87" i="6"/>
  <c r="Q87" i="6"/>
  <c r="P87" i="6"/>
  <c r="O87" i="6"/>
  <c r="AV86" i="6"/>
  <c r="AA86" i="6"/>
  <c r="X86" i="6"/>
  <c r="Y86" i="6" s="1"/>
  <c r="W86" i="6"/>
  <c r="U86" i="6"/>
  <c r="T86" i="6"/>
  <c r="Q86" i="6"/>
  <c r="P86" i="6"/>
  <c r="O86" i="6"/>
  <c r="AV85" i="6"/>
  <c r="AA85" i="6"/>
  <c r="X85" i="6"/>
  <c r="Y85" i="6" s="1"/>
  <c r="W85" i="6"/>
  <c r="U85" i="6"/>
  <c r="T85" i="6"/>
  <c r="Q85" i="6"/>
  <c r="P85" i="6"/>
  <c r="O85" i="6"/>
  <c r="AV84" i="6"/>
  <c r="AA84" i="6"/>
  <c r="X84" i="6"/>
  <c r="Y84" i="6" s="1"/>
  <c r="W84" i="6"/>
  <c r="U84" i="6"/>
  <c r="T84" i="6"/>
  <c r="Q84" i="6"/>
  <c r="P84" i="6"/>
  <c r="O84" i="6"/>
  <c r="AV83" i="6"/>
  <c r="AA83" i="6"/>
  <c r="X83" i="6"/>
  <c r="Y83" i="6" s="1"/>
  <c r="W83" i="6"/>
  <c r="U83" i="6"/>
  <c r="T83" i="6"/>
  <c r="Q83" i="6"/>
  <c r="P83" i="6"/>
  <c r="O83" i="6"/>
  <c r="AV82" i="6"/>
  <c r="AA82" i="6"/>
  <c r="X82" i="6"/>
  <c r="Y82" i="6" s="1"/>
  <c r="W82" i="6"/>
  <c r="U82" i="6"/>
  <c r="T82" i="6"/>
  <c r="Q82" i="6"/>
  <c r="P82" i="6"/>
  <c r="O82" i="6"/>
  <c r="AV81" i="6"/>
  <c r="AA81" i="6"/>
  <c r="X81" i="6"/>
  <c r="Y81" i="6" s="1"/>
  <c r="W81" i="6"/>
  <c r="U81" i="6"/>
  <c r="T81" i="6"/>
  <c r="Q81" i="6"/>
  <c r="P81" i="6"/>
  <c r="O81" i="6"/>
  <c r="AV80" i="6"/>
  <c r="AA80" i="6"/>
  <c r="X80" i="6"/>
  <c r="Y80" i="6" s="1"/>
  <c r="W80" i="6"/>
  <c r="U80" i="6"/>
  <c r="T80" i="6"/>
  <c r="Q80" i="6"/>
  <c r="P80" i="6"/>
  <c r="O80" i="6"/>
  <c r="AV79" i="6"/>
  <c r="AA79" i="6"/>
  <c r="X79" i="6"/>
  <c r="Y79" i="6" s="1"/>
  <c r="W79" i="6"/>
  <c r="U79" i="6"/>
  <c r="T79" i="6"/>
  <c r="Q79" i="6"/>
  <c r="P79" i="6"/>
  <c r="O79" i="6"/>
  <c r="AV78" i="6"/>
  <c r="AA78" i="6"/>
  <c r="X78" i="6"/>
  <c r="Y78" i="6" s="1"/>
  <c r="W78" i="6"/>
  <c r="U78" i="6"/>
  <c r="T78" i="6"/>
  <c r="Q78" i="6"/>
  <c r="P78" i="6"/>
  <c r="O78" i="6"/>
  <c r="AV77" i="6"/>
  <c r="AA77" i="6"/>
  <c r="X77" i="6"/>
  <c r="Y77" i="6" s="1"/>
  <c r="W77" i="6"/>
  <c r="U77" i="6"/>
  <c r="T77" i="6"/>
  <c r="Q77" i="6"/>
  <c r="P77" i="6"/>
  <c r="O77" i="6"/>
  <c r="AV76" i="6"/>
  <c r="AA76" i="6"/>
  <c r="X76" i="6"/>
  <c r="Y76" i="6" s="1"/>
  <c r="W76" i="6"/>
  <c r="U76" i="6"/>
  <c r="T76" i="6"/>
  <c r="Q76" i="6"/>
  <c r="P76" i="6"/>
  <c r="O76" i="6"/>
  <c r="AV75" i="6"/>
  <c r="AA75" i="6"/>
  <c r="X75" i="6"/>
  <c r="Y75" i="6" s="1"/>
  <c r="W75" i="6"/>
  <c r="U75" i="6"/>
  <c r="T75" i="6"/>
  <c r="Q75" i="6"/>
  <c r="P75" i="6"/>
  <c r="O75" i="6"/>
  <c r="AV74" i="6"/>
  <c r="AA74" i="6"/>
  <c r="X74" i="6"/>
  <c r="Y74" i="6" s="1"/>
  <c r="W74" i="6"/>
  <c r="U74" i="6"/>
  <c r="T74" i="6"/>
  <c r="Q74" i="6"/>
  <c r="P74" i="6"/>
  <c r="O74" i="6"/>
  <c r="AV73" i="6"/>
  <c r="AA73" i="6"/>
  <c r="X73" i="6"/>
  <c r="Y73" i="6" s="1"/>
  <c r="W73" i="6"/>
  <c r="U73" i="6"/>
  <c r="T73" i="6"/>
  <c r="Q73" i="6"/>
  <c r="P73" i="6"/>
  <c r="O73" i="6"/>
  <c r="AV72" i="6"/>
  <c r="AA72" i="6"/>
  <c r="X72" i="6"/>
  <c r="Y72" i="6" s="1"/>
  <c r="W72" i="6"/>
  <c r="U72" i="6"/>
  <c r="T72" i="6"/>
  <c r="Q72" i="6"/>
  <c r="P72" i="6"/>
  <c r="O72" i="6"/>
  <c r="AV71" i="6"/>
  <c r="AA71" i="6"/>
  <c r="X71" i="6"/>
  <c r="Y71" i="6" s="1"/>
  <c r="W71" i="6"/>
  <c r="U71" i="6"/>
  <c r="T71" i="6"/>
  <c r="Q71" i="6"/>
  <c r="P71" i="6"/>
  <c r="O71" i="6"/>
  <c r="AV70" i="6"/>
  <c r="AA70" i="6"/>
  <c r="X70" i="6"/>
  <c r="Y70" i="6" s="1"/>
  <c r="W70" i="6"/>
  <c r="U70" i="6"/>
  <c r="T70" i="6"/>
  <c r="Q70" i="6"/>
  <c r="P70" i="6"/>
  <c r="O70" i="6"/>
  <c r="AV69" i="6"/>
  <c r="AA69" i="6"/>
  <c r="X69" i="6"/>
  <c r="Y69" i="6" s="1"/>
  <c r="W69" i="6"/>
  <c r="U69" i="6"/>
  <c r="T69" i="6"/>
  <c r="Q69" i="6"/>
  <c r="P69" i="6"/>
  <c r="O69" i="6"/>
  <c r="AV68" i="6"/>
  <c r="AA68" i="6"/>
  <c r="X68" i="6"/>
  <c r="Y68" i="6" s="1"/>
  <c r="W68" i="6"/>
  <c r="U68" i="6"/>
  <c r="T68" i="6"/>
  <c r="Q68" i="6"/>
  <c r="P68" i="6"/>
  <c r="O68" i="6"/>
  <c r="AV67" i="6"/>
  <c r="AA67" i="6"/>
  <c r="X67" i="6"/>
  <c r="Y67" i="6" s="1"/>
  <c r="W67" i="6"/>
  <c r="U67" i="6"/>
  <c r="T67" i="6"/>
  <c r="Q67" i="6"/>
  <c r="P67" i="6"/>
  <c r="O67" i="6"/>
  <c r="AV66" i="6"/>
  <c r="AA66" i="6"/>
  <c r="X66" i="6"/>
  <c r="Y66" i="6" s="1"/>
  <c r="W66" i="6"/>
  <c r="U66" i="6"/>
  <c r="T66" i="6"/>
  <c r="Q66" i="6"/>
  <c r="P66" i="6"/>
  <c r="O66" i="6"/>
  <c r="AV65" i="6"/>
  <c r="AA65" i="6"/>
  <c r="X65" i="6"/>
  <c r="Y65" i="6" s="1"/>
  <c r="W65" i="6"/>
  <c r="U65" i="6"/>
  <c r="T65" i="6"/>
  <c r="Q65" i="6"/>
  <c r="P65" i="6"/>
  <c r="O65" i="6"/>
  <c r="AV64" i="6"/>
  <c r="AA64" i="6"/>
  <c r="X64" i="6"/>
  <c r="Y64" i="6" s="1"/>
  <c r="W64" i="6"/>
  <c r="U64" i="6"/>
  <c r="T64" i="6"/>
  <c r="Q64" i="6"/>
  <c r="P64" i="6"/>
  <c r="O64" i="6"/>
  <c r="AV63" i="6"/>
  <c r="AA63" i="6"/>
  <c r="X63" i="6"/>
  <c r="Y63" i="6" s="1"/>
  <c r="W63" i="6"/>
  <c r="U63" i="6"/>
  <c r="T63" i="6"/>
  <c r="Q63" i="6"/>
  <c r="P63" i="6"/>
  <c r="O63" i="6"/>
  <c r="AV62" i="6"/>
  <c r="AA62" i="6"/>
  <c r="X62" i="6"/>
  <c r="Y62" i="6" s="1"/>
  <c r="W62" i="6"/>
  <c r="U62" i="6"/>
  <c r="T62" i="6"/>
  <c r="Q62" i="6"/>
  <c r="P62" i="6"/>
  <c r="O62" i="6"/>
  <c r="AV61" i="6"/>
  <c r="AA61" i="6"/>
  <c r="X61" i="6"/>
  <c r="Y61" i="6" s="1"/>
  <c r="W61" i="6"/>
  <c r="U61" i="6"/>
  <c r="T61" i="6"/>
  <c r="Q61" i="6"/>
  <c r="P61" i="6"/>
  <c r="O61" i="6"/>
  <c r="AV60" i="6"/>
  <c r="AA60" i="6"/>
  <c r="X60" i="6"/>
  <c r="Y60" i="6" s="1"/>
  <c r="W60" i="6"/>
  <c r="U60" i="6"/>
  <c r="T60" i="6"/>
  <c r="Q60" i="6"/>
  <c r="P60" i="6"/>
  <c r="O60" i="6"/>
  <c r="AV59" i="6"/>
  <c r="AA59" i="6"/>
  <c r="X59" i="6"/>
  <c r="Y59" i="6" s="1"/>
  <c r="W59" i="6"/>
  <c r="U59" i="6"/>
  <c r="T59" i="6"/>
  <c r="Q59" i="6"/>
  <c r="P59" i="6"/>
  <c r="O59" i="6"/>
  <c r="AV58" i="6"/>
  <c r="AA58" i="6"/>
  <c r="X58" i="6"/>
  <c r="Y58" i="6" s="1"/>
  <c r="W58" i="6"/>
  <c r="U58" i="6"/>
  <c r="T58" i="6"/>
  <c r="Q58" i="6"/>
  <c r="P58" i="6"/>
  <c r="O58" i="6"/>
  <c r="AV57" i="6"/>
  <c r="AA57" i="6"/>
  <c r="X57" i="6"/>
  <c r="Y57" i="6" s="1"/>
  <c r="W57" i="6"/>
  <c r="U57" i="6"/>
  <c r="T57" i="6"/>
  <c r="Q57" i="6"/>
  <c r="P57" i="6"/>
  <c r="O57" i="6"/>
  <c r="AV56" i="6"/>
  <c r="AA56" i="6"/>
  <c r="X56" i="6"/>
  <c r="Y56" i="6" s="1"/>
  <c r="W56" i="6"/>
  <c r="U56" i="6"/>
  <c r="T56" i="6"/>
  <c r="Q56" i="6"/>
  <c r="P56" i="6"/>
  <c r="O56" i="6"/>
  <c r="AV55" i="6"/>
  <c r="AA55" i="6"/>
  <c r="X55" i="6"/>
  <c r="Y55" i="6" s="1"/>
  <c r="W55" i="6"/>
  <c r="U55" i="6"/>
  <c r="T55" i="6"/>
  <c r="Q55" i="6"/>
  <c r="P55" i="6"/>
  <c r="O55" i="6"/>
  <c r="AV54" i="6"/>
  <c r="AA54" i="6"/>
  <c r="X54" i="6"/>
  <c r="Y54" i="6" s="1"/>
  <c r="W54" i="6"/>
  <c r="U54" i="6"/>
  <c r="T54" i="6"/>
  <c r="Q54" i="6"/>
  <c r="P54" i="6"/>
  <c r="O54" i="6"/>
  <c r="AV53" i="6"/>
  <c r="AA53" i="6"/>
  <c r="X53" i="6"/>
  <c r="Y53" i="6" s="1"/>
  <c r="W53" i="6"/>
  <c r="U53" i="6"/>
  <c r="T53" i="6"/>
  <c r="Q53" i="6"/>
  <c r="P53" i="6"/>
  <c r="O53" i="6"/>
  <c r="AV52" i="6"/>
  <c r="AA52" i="6"/>
  <c r="X52" i="6"/>
  <c r="Y52" i="6" s="1"/>
  <c r="W52" i="6"/>
  <c r="U52" i="6"/>
  <c r="T52" i="6"/>
  <c r="Q52" i="6"/>
  <c r="P52" i="6"/>
  <c r="O52" i="6"/>
  <c r="G52" i="6"/>
  <c r="AV51" i="6"/>
  <c r="AA51" i="6"/>
  <c r="X51" i="6"/>
  <c r="Y51" i="6" s="1"/>
  <c r="W51" i="6"/>
  <c r="U51" i="6"/>
  <c r="T51" i="6"/>
  <c r="Q51" i="6"/>
  <c r="P51" i="6"/>
  <c r="O51" i="6"/>
  <c r="AV50" i="6"/>
  <c r="AA50" i="6"/>
  <c r="X50" i="6"/>
  <c r="Y50" i="6" s="1"/>
  <c r="W50" i="6"/>
  <c r="U50" i="6"/>
  <c r="T50" i="6"/>
  <c r="Q50" i="6"/>
  <c r="P50" i="6"/>
  <c r="O50" i="6"/>
  <c r="AV49" i="6"/>
  <c r="AA49" i="6"/>
  <c r="X49" i="6"/>
  <c r="Y49" i="6" s="1"/>
  <c r="W49" i="6"/>
  <c r="U49" i="6"/>
  <c r="T49" i="6"/>
  <c r="Q49" i="6"/>
  <c r="P49" i="6"/>
  <c r="O49" i="6"/>
  <c r="AV48" i="6"/>
  <c r="AA48" i="6"/>
  <c r="X48" i="6"/>
  <c r="Y48" i="6" s="1"/>
  <c r="W48" i="6"/>
  <c r="U48" i="6"/>
  <c r="T48" i="6"/>
  <c r="Q48" i="6"/>
  <c r="P48" i="6"/>
  <c r="O48" i="6"/>
  <c r="AV47" i="6"/>
  <c r="AA47" i="6"/>
  <c r="X47" i="6"/>
  <c r="Y47" i="6" s="1"/>
  <c r="W47" i="6"/>
  <c r="U47" i="6"/>
  <c r="T47" i="6"/>
  <c r="Q47" i="6"/>
  <c r="P47" i="6"/>
  <c r="O47" i="6"/>
  <c r="AV46" i="6"/>
  <c r="AA46" i="6"/>
  <c r="X46" i="6"/>
  <c r="Y46" i="6" s="1"/>
  <c r="W46" i="6"/>
  <c r="U46" i="6"/>
  <c r="T46" i="6"/>
  <c r="Q46" i="6"/>
  <c r="P46" i="6"/>
  <c r="O46" i="6"/>
  <c r="AV45" i="6"/>
  <c r="AA45" i="6"/>
  <c r="X45" i="6"/>
  <c r="Y45" i="6" s="1"/>
  <c r="W45" i="6"/>
  <c r="U45" i="6"/>
  <c r="T45" i="6"/>
  <c r="Q45" i="6"/>
  <c r="P45" i="6"/>
  <c r="O45" i="6"/>
  <c r="AV44" i="6"/>
  <c r="AA44" i="6"/>
  <c r="X44" i="6"/>
  <c r="Y44" i="6" s="1"/>
  <c r="W44" i="6"/>
  <c r="U44" i="6"/>
  <c r="T44" i="6"/>
  <c r="Q44" i="6"/>
  <c r="P44" i="6"/>
  <c r="O44" i="6"/>
  <c r="AV43" i="6"/>
  <c r="AA43" i="6"/>
  <c r="X43" i="6"/>
  <c r="Y43" i="6" s="1"/>
  <c r="W43" i="6"/>
  <c r="U43" i="6"/>
  <c r="T43" i="6"/>
  <c r="Q43" i="6"/>
  <c r="P43" i="6"/>
  <c r="O43" i="6"/>
  <c r="AV42" i="6"/>
  <c r="AA42" i="6"/>
  <c r="X42" i="6"/>
  <c r="Y42" i="6" s="1"/>
  <c r="W42" i="6"/>
  <c r="U42" i="6"/>
  <c r="T42" i="6"/>
  <c r="Q42" i="6"/>
  <c r="P42" i="6"/>
  <c r="O42" i="6"/>
  <c r="AV41" i="6"/>
  <c r="AA41" i="6"/>
  <c r="X41" i="6"/>
  <c r="Y41" i="6" s="1"/>
  <c r="W41" i="6"/>
  <c r="U41" i="6"/>
  <c r="T41" i="6"/>
  <c r="Q41" i="6"/>
  <c r="P41" i="6"/>
  <c r="O41" i="6"/>
  <c r="AV40" i="6"/>
  <c r="AA40" i="6"/>
  <c r="X40" i="6"/>
  <c r="Y40" i="6" s="1"/>
  <c r="W40" i="6"/>
  <c r="U40" i="6"/>
  <c r="T40" i="6"/>
  <c r="Q40" i="6"/>
  <c r="P40" i="6"/>
  <c r="O40" i="6"/>
  <c r="AV39" i="6"/>
  <c r="AA39" i="6"/>
  <c r="X39" i="6"/>
  <c r="Y39" i="6" s="1"/>
  <c r="W39" i="6"/>
  <c r="U39" i="6"/>
  <c r="T39" i="6"/>
  <c r="Q39" i="6"/>
  <c r="P39" i="6"/>
  <c r="O39" i="6"/>
  <c r="AV38" i="6"/>
  <c r="AA38" i="6"/>
  <c r="X38" i="6"/>
  <c r="Y38" i="6" s="1"/>
  <c r="W38" i="6"/>
  <c r="U38" i="6"/>
  <c r="T38" i="6"/>
  <c r="Q38" i="6"/>
  <c r="P38" i="6"/>
  <c r="O38" i="6"/>
  <c r="AV37" i="6"/>
  <c r="AA37" i="6"/>
  <c r="X37" i="6"/>
  <c r="Y37" i="6" s="1"/>
  <c r="W37" i="6"/>
  <c r="U37" i="6"/>
  <c r="T37" i="6"/>
  <c r="Q37" i="6"/>
  <c r="P37" i="6"/>
  <c r="O37" i="6"/>
  <c r="AV36" i="6"/>
  <c r="AA36" i="6"/>
  <c r="X36" i="6"/>
  <c r="Y36" i="6" s="1"/>
  <c r="W36" i="6"/>
  <c r="U36" i="6"/>
  <c r="T36" i="6"/>
  <c r="Q36" i="6"/>
  <c r="P36" i="6"/>
  <c r="O36" i="6"/>
  <c r="AV35" i="6"/>
  <c r="AA35" i="6"/>
  <c r="X35" i="6"/>
  <c r="Y35" i="6" s="1"/>
  <c r="W35" i="6"/>
  <c r="U35" i="6"/>
  <c r="T35" i="6"/>
  <c r="Q35" i="6"/>
  <c r="P35" i="6"/>
  <c r="O35" i="6"/>
  <c r="AV34" i="6"/>
  <c r="AA34" i="6"/>
  <c r="X34" i="6"/>
  <c r="Y34" i="6" s="1"/>
  <c r="W34" i="6"/>
  <c r="U34" i="6"/>
  <c r="T34" i="6"/>
  <c r="Q34" i="6"/>
  <c r="P34" i="6"/>
  <c r="O34" i="6"/>
  <c r="AV33" i="6"/>
  <c r="AA33" i="6"/>
  <c r="X33" i="6"/>
  <c r="Y33" i="6" s="1"/>
  <c r="W33" i="6"/>
  <c r="U33" i="6"/>
  <c r="T33" i="6"/>
  <c r="Q33" i="6"/>
  <c r="P33" i="6"/>
  <c r="O33" i="6"/>
  <c r="AV32" i="6"/>
  <c r="AA32" i="6"/>
  <c r="X32" i="6"/>
  <c r="Y32" i="6" s="1"/>
  <c r="W32" i="6"/>
  <c r="U32" i="6"/>
  <c r="T32" i="6"/>
  <c r="Q32" i="6"/>
  <c r="P32" i="6"/>
  <c r="O32" i="6"/>
  <c r="AV31" i="6"/>
  <c r="AA31" i="6"/>
  <c r="X31" i="6"/>
  <c r="Y31" i="6" s="1"/>
  <c r="W31" i="6"/>
  <c r="U31" i="6"/>
  <c r="T31" i="6"/>
  <c r="Q31" i="6"/>
  <c r="P31" i="6"/>
  <c r="O31" i="6"/>
  <c r="AV30" i="6"/>
  <c r="AA30" i="6"/>
  <c r="X30" i="6"/>
  <c r="Y30" i="6" s="1"/>
  <c r="W30" i="6"/>
  <c r="U30" i="6"/>
  <c r="T30" i="6"/>
  <c r="Q30" i="6"/>
  <c r="P30" i="6"/>
  <c r="O30" i="6"/>
  <c r="AV29" i="6"/>
  <c r="AA29" i="6"/>
  <c r="X29" i="6"/>
  <c r="Y29" i="6" s="1"/>
  <c r="W29" i="6"/>
  <c r="U29" i="6"/>
  <c r="T29" i="6"/>
  <c r="Q29" i="6"/>
  <c r="P29" i="6"/>
  <c r="O29" i="6"/>
  <c r="AV28" i="6"/>
  <c r="AA28" i="6"/>
  <c r="X28" i="6"/>
  <c r="Y28" i="6" s="1"/>
  <c r="W28" i="6"/>
  <c r="U28" i="6"/>
  <c r="T28" i="6"/>
  <c r="Q28" i="6"/>
  <c r="P28" i="6"/>
  <c r="O28" i="6"/>
  <c r="AV27" i="6"/>
  <c r="AA27" i="6"/>
  <c r="X27" i="6"/>
  <c r="Y27" i="6" s="1"/>
  <c r="W27" i="6"/>
  <c r="U27" i="6"/>
  <c r="T27" i="6"/>
  <c r="Q27" i="6"/>
  <c r="P27" i="6"/>
  <c r="O27" i="6"/>
  <c r="AV26" i="6"/>
  <c r="AA26" i="6"/>
  <c r="X26" i="6"/>
  <c r="Y26" i="6" s="1"/>
  <c r="W26" i="6"/>
  <c r="U26" i="6"/>
  <c r="T26" i="6"/>
  <c r="Q26" i="6"/>
  <c r="P26" i="6"/>
  <c r="O26" i="6"/>
  <c r="AV25" i="6"/>
  <c r="AA25" i="6"/>
  <c r="X25" i="6"/>
  <c r="Y25" i="6" s="1"/>
  <c r="W25" i="6"/>
  <c r="U25" i="6"/>
  <c r="T25" i="6"/>
  <c r="Q25" i="6"/>
  <c r="P25" i="6"/>
  <c r="O25" i="6"/>
  <c r="AV24" i="6"/>
  <c r="AA24" i="6"/>
  <c r="X24" i="6"/>
  <c r="Y24" i="6" s="1"/>
  <c r="W24" i="6"/>
  <c r="U24" i="6"/>
  <c r="T24" i="6"/>
  <c r="Q24" i="6"/>
  <c r="P24" i="6"/>
  <c r="O24" i="6"/>
  <c r="AV23" i="6"/>
  <c r="AA23" i="6"/>
  <c r="X23" i="6"/>
  <c r="Y23" i="6" s="1"/>
  <c r="W23" i="6"/>
  <c r="U23" i="6"/>
  <c r="T23" i="6"/>
  <c r="Q23" i="6"/>
  <c r="P23" i="6"/>
  <c r="O23" i="6"/>
  <c r="AV22" i="6"/>
  <c r="AA22" i="6"/>
  <c r="X22" i="6"/>
  <c r="Y22" i="6" s="1"/>
  <c r="W22" i="6"/>
  <c r="U22" i="6"/>
  <c r="T22" i="6"/>
  <c r="Q22" i="6"/>
  <c r="P22" i="6"/>
  <c r="O22" i="6"/>
  <c r="AV21" i="6"/>
  <c r="AA21" i="6"/>
  <c r="X21" i="6"/>
  <c r="Y21" i="6" s="1"/>
  <c r="W21" i="6"/>
  <c r="U21" i="6"/>
  <c r="T21" i="6"/>
  <c r="Q21" i="6"/>
  <c r="P21" i="6"/>
  <c r="O21" i="6"/>
  <c r="AV20" i="6"/>
  <c r="AA20" i="6"/>
  <c r="X20" i="6"/>
  <c r="Y20" i="6" s="1"/>
  <c r="W20" i="6"/>
  <c r="U20" i="6"/>
  <c r="T20" i="6"/>
  <c r="Q20" i="6"/>
  <c r="P20" i="6"/>
  <c r="O20" i="6"/>
  <c r="AV19" i="6"/>
  <c r="AA19" i="6"/>
  <c r="X19" i="6"/>
  <c r="Y19" i="6" s="1"/>
  <c r="W19" i="6"/>
  <c r="U19" i="6"/>
  <c r="T19" i="6"/>
  <c r="Q19" i="6"/>
  <c r="P19" i="6"/>
  <c r="O19" i="6"/>
  <c r="AV18" i="6"/>
  <c r="AA18" i="6"/>
  <c r="X18" i="6"/>
  <c r="Y18" i="6" s="1"/>
  <c r="W18" i="6"/>
  <c r="U18" i="6"/>
  <c r="T18" i="6"/>
  <c r="Q18" i="6"/>
  <c r="P18" i="6"/>
  <c r="O18" i="6"/>
  <c r="AV17" i="6"/>
  <c r="AA17" i="6"/>
  <c r="X17" i="6"/>
  <c r="Y17" i="6" s="1"/>
  <c r="W17" i="6"/>
  <c r="U17" i="6"/>
  <c r="T17" i="6"/>
  <c r="Q17" i="6"/>
  <c r="P17" i="6"/>
  <c r="O17" i="6"/>
  <c r="AV16" i="6"/>
  <c r="AA16" i="6"/>
  <c r="X16" i="6"/>
  <c r="Y16" i="6" s="1"/>
  <c r="W16" i="6"/>
  <c r="U16" i="6"/>
  <c r="T16" i="6"/>
  <c r="Q16" i="6"/>
  <c r="P16" i="6"/>
  <c r="O16" i="6"/>
  <c r="AV15" i="6"/>
  <c r="AA15" i="6"/>
  <c r="X15" i="6"/>
  <c r="Y15" i="6" s="1"/>
  <c r="W15" i="6"/>
  <c r="U15" i="6"/>
  <c r="T15" i="6"/>
  <c r="Q15" i="6"/>
  <c r="P15" i="6"/>
  <c r="O15" i="6"/>
  <c r="AV14" i="6"/>
  <c r="AA14" i="6"/>
  <c r="X14" i="6"/>
  <c r="Y14" i="6" s="1"/>
  <c r="W14" i="6"/>
  <c r="U14" i="6"/>
  <c r="T14" i="6"/>
  <c r="Q14" i="6"/>
  <c r="P14" i="6"/>
  <c r="O14" i="6"/>
  <c r="AV13" i="6"/>
  <c r="AA13" i="6"/>
  <c r="X13" i="6"/>
  <c r="Y13" i="6" s="1"/>
  <c r="W13" i="6"/>
  <c r="U13" i="6"/>
  <c r="T13" i="6"/>
  <c r="Q13" i="6"/>
  <c r="P13" i="6"/>
  <c r="O13" i="6"/>
  <c r="AV12" i="6"/>
  <c r="AA12" i="6"/>
  <c r="X12" i="6"/>
  <c r="Y12" i="6" s="1"/>
  <c r="W12" i="6"/>
  <c r="U12" i="6"/>
  <c r="T12" i="6"/>
  <c r="Q12" i="6"/>
  <c r="P12" i="6"/>
  <c r="O12" i="6"/>
  <c r="AV11" i="6"/>
  <c r="AA11" i="6"/>
  <c r="X11" i="6"/>
  <c r="Y11" i="6" s="1"/>
  <c r="W11" i="6"/>
  <c r="U11" i="6"/>
  <c r="T11" i="6"/>
  <c r="Q11" i="6"/>
  <c r="P11" i="6"/>
  <c r="O11" i="6"/>
  <c r="AV10" i="6"/>
  <c r="AA10" i="6"/>
  <c r="X10" i="6"/>
  <c r="Y10" i="6" s="1"/>
  <c r="W10" i="6"/>
  <c r="U10" i="6"/>
  <c r="T10" i="6"/>
  <c r="Q10" i="6"/>
  <c r="P10" i="6"/>
  <c r="O10" i="6"/>
  <c r="AV9" i="6"/>
  <c r="AA9" i="6"/>
  <c r="X9" i="6"/>
  <c r="Y9" i="6" s="1"/>
  <c r="W9" i="6"/>
  <c r="U9" i="6"/>
  <c r="T9" i="6"/>
  <c r="Q9" i="6"/>
  <c r="P9" i="6"/>
  <c r="O9" i="6"/>
  <c r="AV8" i="6"/>
  <c r="AA8" i="6"/>
  <c r="X8" i="6"/>
  <c r="Y8" i="6" s="1"/>
  <c r="W8" i="6"/>
  <c r="U8" i="6"/>
  <c r="T8" i="6"/>
  <c r="Q8" i="6"/>
  <c r="P8" i="6"/>
  <c r="O8" i="6"/>
  <c r="AV7" i="6"/>
  <c r="AA7" i="6"/>
  <c r="X7" i="6"/>
  <c r="Y7" i="6" s="1"/>
  <c r="W7" i="6"/>
  <c r="U7" i="6"/>
  <c r="T7" i="6"/>
  <c r="Q7" i="6"/>
  <c r="P7" i="6"/>
  <c r="O7" i="6"/>
  <c r="AV6" i="6"/>
  <c r="AA6" i="6"/>
  <c r="X6" i="6"/>
  <c r="Y6" i="6" s="1"/>
  <c r="W6" i="6"/>
  <c r="U6" i="6"/>
  <c r="T6" i="6"/>
  <c r="Q6" i="6"/>
  <c r="P6" i="6"/>
  <c r="O6" i="6"/>
  <c r="AV5" i="6"/>
  <c r="AA5" i="6"/>
  <c r="X5" i="6"/>
  <c r="Y5" i="6" s="1"/>
  <c r="W5" i="6"/>
  <c r="U5" i="6"/>
  <c r="T5" i="6"/>
  <c r="Q5" i="6"/>
  <c r="P5" i="6"/>
  <c r="O5" i="6"/>
  <c r="AV4" i="6"/>
  <c r="AA4" i="6"/>
  <c r="X4" i="6"/>
  <c r="Y4" i="6" s="1"/>
  <c r="W4" i="6"/>
  <c r="U4" i="6"/>
  <c r="T4" i="6"/>
  <c r="Q4" i="6"/>
  <c r="P4" i="6"/>
  <c r="O4" i="6"/>
  <c r="AV3" i="6"/>
  <c r="AA3" i="6"/>
  <c r="X3" i="6"/>
  <c r="Y3" i="6" s="1"/>
  <c r="W3" i="6"/>
  <c r="U3" i="6"/>
  <c r="T3" i="6"/>
  <c r="Q3" i="6"/>
  <c r="P3" i="6"/>
  <c r="O3" i="6"/>
  <c r="AV2" i="6"/>
  <c r="AA2" i="6"/>
  <c r="X2" i="6"/>
  <c r="Y2" i="6" s="1"/>
  <c r="W2" i="6"/>
  <c r="U2" i="6"/>
  <c r="T2" i="6"/>
  <c r="Q2" i="6"/>
  <c r="P2" i="6"/>
  <c r="O2" i="6"/>
  <c r="AV153" i="6" l="1"/>
  <c r="G16" i="9"/>
  <c r="G17" i="9" s="1"/>
  <c r="AW152" i="10"/>
  <c r="AW151" i="10"/>
  <c r="AW150" i="10"/>
  <c r="AW149" i="10"/>
  <c r="AW148" i="10"/>
  <c r="AW147" i="10"/>
  <c r="AW146" i="10"/>
  <c r="AW145" i="10"/>
  <c r="AW144" i="10"/>
  <c r="AW143" i="10"/>
  <c r="AW142" i="10"/>
  <c r="AW141" i="10"/>
  <c r="AW140" i="10"/>
  <c r="AW139" i="10"/>
  <c r="AW138" i="10"/>
  <c r="AW137" i="10"/>
  <c r="AW136" i="10"/>
  <c r="AW135" i="10"/>
  <c r="AW134" i="10"/>
  <c r="AW133" i="10"/>
  <c r="AW132" i="10"/>
  <c r="AW131" i="10"/>
  <c r="AW130" i="10"/>
  <c r="AW129" i="10"/>
  <c r="AW128" i="10"/>
  <c r="AW127" i="10"/>
  <c r="AW126" i="10"/>
  <c r="AW125" i="10"/>
  <c r="AW124" i="10"/>
  <c r="AW123" i="10"/>
  <c r="AW122" i="10"/>
  <c r="AW121" i="10"/>
  <c r="AW120" i="10"/>
  <c r="AW119" i="10"/>
  <c r="AW118" i="10"/>
  <c r="AW117" i="10"/>
  <c r="AW116" i="10"/>
  <c r="AW115" i="10"/>
  <c r="AW114" i="10"/>
  <c r="AW113" i="10"/>
  <c r="AW112" i="10"/>
  <c r="AW111" i="10"/>
  <c r="AW110" i="10"/>
  <c r="AW109" i="10"/>
  <c r="AW108" i="10"/>
  <c r="AW107" i="10"/>
  <c r="AW106" i="10"/>
  <c r="AW105" i="10"/>
  <c r="AW104" i="10"/>
  <c r="AW103" i="10"/>
  <c r="AW102" i="10"/>
  <c r="AW101" i="10"/>
  <c r="AW100" i="10"/>
  <c r="AW99" i="10"/>
  <c r="AW98" i="10"/>
  <c r="AW97" i="10"/>
  <c r="AW96" i="10"/>
  <c r="AW95" i="10"/>
  <c r="AW94" i="10"/>
  <c r="AW93" i="10"/>
  <c r="AW92" i="10"/>
  <c r="AW91" i="10"/>
  <c r="AW90" i="10"/>
  <c r="AW89" i="10"/>
  <c r="AW88" i="10"/>
  <c r="AW87" i="10"/>
  <c r="AW86" i="10"/>
  <c r="AW85" i="10"/>
  <c r="AW84" i="10"/>
  <c r="AW83" i="10"/>
  <c r="AW82" i="10"/>
  <c r="AW81" i="10"/>
  <c r="AW80" i="10"/>
  <c r="AW79" i="10"/>
  <c r="AW78" i="10"/>
  <c r="AW77" i="10"/>
  <c r="AW76" i="10"/>
  <c r="AW75" i="10"/>
  <c r="AW74" i="10"/>
  <c r="AW73" i="10"/>
  <c r="AW72" i="10"/>
  <c r="AW71" i="10"/>
  <c r="AW70" i="10"/>
  <c r="AW69" i="10"/>
  <c r="AW68" i="10"/>
  <c r="AW67" i="10"/>
  <c r="AW66" i="10"/>
  <c r="AW65" i="10"/>
  <c r="AW64" i="10"/>
  <c r="AW63" i="10"/>
  <c r="AW62" i="10"/>
  <c r="AW61" i="10"/>
  <c r="AW60" i="10"/>
  <c r="AW59" i="10"/>
  <c r="AW58" i="10"/>
  <c r="AW57" i="10"/>
  <c r="AW56" i="10"/>
  <c r="AW55" i="10"/>
  <c r="AW54" i="10"/>
  <c r="AW53" i="10"/>
  <c r="AW52" i="10"/>
  <c r="AW51" i="10"/>
  <c r="AW50" i="10"/>
  <c r="AW49" i="10"/>
  <c r="AW48" i="10"/>
  <c r="AW47" i="10"/>
  <c r="AW46" i="10"/>
  <c r="AW45" i="10"/>
  <c r="AW44" i="10"/>
  <c r="AW43" i="10"/>
  <c r="AW42" i="10"/>
  <c r="AW41" i="10"/>
  <c r="AW40" i="10"/>
  <c r="AW39" i="10"/>
  <c r="AW38" i="10"/>
  <c r="AW37" i="10"/>
  <c r="AW36" i="10"/>
  <c r="AW35" i="10"/>
  <c r="AW34" i="10"/>
  <c r="AW33" i="10"/>
  <c r="AW32" i="10"/>
  <c r="AW31" i="10"/>
  <c r="AW30" i="10"/>
  <c r="AW29" i="10"/>
  <c r="AW28" i="10"/>
  <c r="AW27" i="10"/>
  <c r="AW26" i="10"/>
  <c r="AW25" i="10"/>
  <c r="AW24" i="10"/>
  <c r="AW23" i="10"/>
  <c r="AW22" i="10"/>
  <c r="AW21" i="10"/>
  <c r="AW20" i="10"/>
  <c r="AW19" i="10"/>
  <c r="AW18" i="10"/>
  <c r="AW17" i="10"/>
  <c r="AW16" i="10"/>
  <c r="AW15" i="10"/>
  <c r="AW14" i="10"/>
  <c r="AW13" i="10"/>
  <c r="AW12" i="10"/>
  <c r="AW11" i="10"/>
  <c r="AW10" i="10"/>
  <c r="AW9" i="10"/>
  <c r="AW8" i="10"/>
  <c r="AW7" i="10"/>
  <c r="AW6" i="10"/>
  <c r="AW5" i="10"/>
  <c r="AW4" i="10"/>
  <c r="AW3" i="10"/>
  <c r="AW2" i="10"/>
  <c r="AW1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" i="10"/>
  <c r="AV152" i="10"/>
  <c r="AV151" i="10"/>
  <c r="AV150" i="10"/>
  <c r="AV149" i="10"/>
  <c r="AV148" i="10"/>
  <c r="AV147" i="10"/>
  <c r="AV146" i="10"/>
  <c r="AV145" i="10"/>
  <c r="AV144" i="10"/>
  <c r="AV143" i="10"/>
  <c r="AV142" i="10"/>
  <c r="AV141" i="10"/>
  <c r="AV140" i="10"/>
  <c r="AV139" i="10"/>
  <c r="AV138" i="10"/>
  <c r="AV137" i="10"/>
  <c r="AV136" i="10"/>
  <c r="AV135" i="10"/>
  <c r="AV134" i="10"/>
  <c r="AV133" i="10"/>
  <c r="AV132" i="10"/>
  <c r="AV131" i="10"/>
  <c r="AV130" i="10"/>
  <c r="AV129" i="10"/>
  <c r="AV128" i="10"/>
  <c r="AV127" i="10"/>
  <c r="AV126" i="10"/>
  <c r="AV125" i="10"/>
  <c r="AV124" i="10"/>
  <c r="AV123" i="10"/>
  <c r="AV122" i="10"/>
  <c r="AV121" i="10"/>
  <c r="AV120" i="10"/>
  <c r="AV119" i="10"/>
  <c r="AV118" i="10"/>
  <c r="AV117" i="10"/>
  <c r="AV116" i="10"/>
  <c r="AV115" i="10"/>
  <c r="AV114" i="10"/>
  <c r="AV113" i="10"/>
  <c r="AV112" i="10"/>
  <c r="AV111" i="10"/>
  <c r="AV110" i="10"/>
  <c r="AV109" i="10"/>
  <c r="AV108" i="10"/>
  <c r="AV107" i="10"/>
  <c r="AV106" i="10"/>
  <c r="AV105" i="10"/>
  <c r="AV104" i="10"/>
  <c r="AV103" i="10"/>
  <c r="AV102" i="10"/>
  <c r="AV101" i="10"/>
  <c r="AV100" i="10"/>
  <c r="AV99" i="10"/>
  <c r="AV98" i="10"/>
  <c r="AV97" i="10"/>
  <c r="AV96" i="10"/>
  <c r="AV95" i="10"/>
  <c r="AV94" i="10"/>
  <c r="AV93" i="10"/>
  <c r="AV92" i="10"/>
  <c r="AV91" i="10"/>
  <c r="AV90" i="10"/>
  <c r="AV89" i="10"/>
  <c r="AV88" i="10"/>
  <c r="AV87" i="10"/>
  <c r="AV86" i="10"/>
  <c r="AV85" i="10"/>
  <c r="AV84" i="10"/>
  <c r="AV83" i="10"/>
  <c r="AV82" i="10"/>
  <c r="AV81" i="10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AV12" i="10"/>
  <c r="AV11" i="10"/>
  <c r="AV10" i="10"/>
  <c r="AV9" i="10"/>
  <c r="AV8" i="10"/>
  <c r="AV7" i="10"/>
  <c r="AV6" i="10"/>
  <c r="AV5" i="10"/>
  <c r="AV4" i="10"/>
  <c r="AV3" i="10"/>
  <c r="AV2" i="10"/>
  <c r="AV1" i="10"/>
  <c r="AU152" i="10"/>
  <c r="AU151" i="10"/>
  <c r="AU150" i="10"/>
  <c r="AU149" i="10"/>
  <c r="AU148" i="10"/>
  <c r="AU147" i="10"/>
  <c r="AU146" i="10"/>
  <c r="AU145" i="10"/>
  <c r="AU144" i="10"/>
  <c r="AU143" i="10"/>
  <c r="AU142" i="10"/>
  <c r="AU141" i="10"/>
  <c r="AU140" i="10"/>
  <c r="AU139" i="10"/>
  <c r="AU138" i="10"/>
  <c r="AU137" i="10"/>
  <c r="AU136" i="10"/>
  <c r="AU135" i="10"/>
  <c r="AU134" i="10"/>
  <c r="AU133" i="10"/>
  <c r="AU132" i="10"/>
  <c r="AU131" i="10"/>
  <c r="AU130" i="10"/>
  <c r="AU129" i="10"/>
  <c r="AU128" i="10"/>
  <c r="AU127" i="10"/>
  <c r="AU126" i="10"/>
  <c r="AU125" i="10"/>
  <c r="AU124" i="10"/>
  <c r="AU123" i="10"/>
  <c r="AU122" i="10"/>
  <c r="AU121" i="10"/>
  <c r="AU120" i="10"/>
  <c r="AU119" i="10"/>
  <c r="AU118" i="10"/>
  <c r="AU117" i="10"/>
  <c r="AU116" i="10"/>
  <c r="AU115" i="10"/>
  <c r="AU114" i="10"/>
  <c r="AU113" i="10"/>
  <c r="AU112" i="10"/>
  <c r="AU111" i="10"/>
  <c r="AU110" i="10"/>
  <c r="AU109" i="10"/>
  <c r="AU108" i="10"/>
  <c r="AU107" i="10"/>
  <c r="AU106" i="10"/>
  <c r="AU105" i="10"/>
  <c r="AU104" i="10"/>
  <c r="AU103" i="10"/>
  <c r="AU102" i="10"/>
  <c r="AU101" i="10"/>
  <c r="AU100" i="10"/>
  <c r="AU99" i="10"/>
  <c r="AU98" i="10"/>
  <c r="AU97" i="10"/>
  <c r="AU96" i="10"/>
  <c r="AU95" i="10"/>
  <c r="AU94" i="10"/>
  <c r="AU93" i="10"/>
  <c r="AU92" i="10"/>
  <c r="AU91" i="10"/>
  <c r="AU90" i="10"/>
  <c r="AU89" i="10"/>
  <c r="AU88" i="10"/>
  <c r="AU87" i="10"/>
  <c r="AU86" i="10"/>
  <c r="AU85" i="10"/>
  <c r="AU84" i="10"/>
  <c r="AU83" i="10"/>
  <c r="AU82" i="10"/>
  <c r="AU81" i="10"/>
  <c r="AU80" i="10"/>
  <c r="AU79" i="10"/>
  <c r="AU78" i="10"/>
  <c r="AU77" i="10"/>
  <c r="AU76" i="10"/>
  <c r="AU75" i="10"/>
  <c r="AU74" i="10"/>
  <c r="AU73" i="10"/>
  <c r="AU72" i="10"/>
  <c r="AU71" i="10"/>
  <c r="AU70" i="10"/>
  <c r="AU69" i="10"/>
  <c r="AU68" i="10"/>
  <c r="AU67" i="10"/>
  <c r="AU66" i="10"/>
  <c r="AU65" i="10"/>
  <c r="AU64" i="10"/>
  <c r="AU63" i="10"/>
  <c r="AU62" i="10"/>
  <c r="AU61" i="10"/>
  <c r="AU60" i="10"/>
  <c r="AU59" i="10"/>
  <c r="AU58" i="10"/>
  <c r="AU57" i="10"/>
  <c r="AU56" i="10"/>
  <c r="AU55" i="10"/>
  <c r="AU54" i="10"/>
  <c r="AU53" i="10"/>
  <c r="AU52" i="10"/>
  <c r="AU51" i="10"/>
  <c r="AU50" i="10"/>
  <c r="AU49" i="10"/>
  <c r="AU48" i="10"/>
  <c r="AU47" i="10"/>
  <c r="AU46" i="10"/>
  <c r="AU45" i="10"/>
  <c r="AU44" i="10"/>
  <c r="AU43" i="10"/>
  <c r="AU42" i="10"/>
  <c r="AU41" i="10"/>
  <c r="AU40" i="10"/>
  <c r="AU39" i="10"/>
  <c r="AU38" i="10"/>
  <c r="AU37" i="10"/>
  <c r="AU36" i="10"/>
  <c r="AU35" i="10"/>
  <c r="AU34" i="10"/>
  <c r="AU33" i="10"/>
  <c r="AU32" i="10"/>
  <c r="AU31" i="10"/>
  <c r="AU30" i="10"/>
  <c r="AU29" i="10"/>
  <c r="AU28" i="10"/>
  <c r="AU27" i="10"/>
  <c r="AU26" i="10"/>
  <c r="AU25" i="10"/>
  <c r="AU24" i="10"/>
  <c r="AU23" i="10"/>
  <c r="AU22" i="10"/>
  <c r="AU21" i="10"/>
  <c r="AU20" i="10"/>
  <c r="AU19" i="10"/>
  <c r="AU18" i="10"/>
  <c r="AU17" i="10"/>
  <c r="AU16" i="10"/>
  <c r="AU15" i="10"/>
  <c r="AU14" i="10"/>
  <c r="AU13" i="10"/>
  <c r="AU12" i="10"/>
  <c r="AU11" i="10"/>
  <c r="AU10" i="10"/>
  <c r="AU9" i="10"/>
  <c r="AU8" i="10"/>
  <c r="AU7" i="10"/>
  <c r="AU6" i="10"/>
  <c r="AU5" i="10"/>
  <c r="AU4" i="10"/>
  <c r="AU3" i="10"/>
  <c r="AU2" i="10"/>
  <c r="AU1" i="10"/>
  <c r="AT152" i="10"/>
  <c r="AS152" i="10"/>
  <c r="AR152" i="10"/>
  <c r="AQ152" i="10"/>
  <c r="AP152" i="10"/>
  <c r="AO152" i="10"/>
  <c r="AN152" i="10"/>
  <c r="AM152" i="10"/>
  <c r="AT151" i="10"/>
  <c r="AS151" i="10"/>
  <c r="AR151" i="10"/>
  <c r="AQ151" i="10"/>
  <c r="AP151" i="10"/>
  <c r="AO151" i="10"/>
  <c r="AN151" i="10"/>
  <c r="AM151" i="10"/>
  <c r="AT150" i="10"/>
  <c r="AS150" i="10"/>
  <c r="AR150" i="10"/>
  <c r="AQ150" i="10"/>
  <c r="AP150" i="10"/>
  <c r="AO150" i="10"/>
  <c r="AN150" i="10"/>
  <c r="AM150" i="10"/>
  <c r="AT149" i="10"/>
  <c r="AS149" i="10"/>
  <c r="AR149" i="10"/>
  <c r="AQ149" i="10"/>
  <c r="AP149" i="10"/>
  <c r="AO149" i="10"/>
  <c r="AN149" i="10"/>
  <c r="AM149" i="10"/>
  <c r="AT148" i="10"/>
  <c r="AS148" i="10"/>
  <c r="AR148" i="10"/>
  <c r="AQ148" i="10"/>
  <c r="AP148" i="10"/>
  <c r="AO148" i="10"/>
  <c r="AN148" i="10"/>
  <c r="AM148" i="10"/>
  <c r="AT147" i="10"/>
  <c r="AS147" i="10"/>
  <c r="AR147" i="10"/>
  <c r="AQ147" i="10"/>
  <c r="AP147" i="10"/>
  <c r="AO147" i="10"/>
  <c r="AN147" i="10"/>
  <c r="AM147" i="10"/>
  <c r="AT146" i="10"/>
  <c r="AS146" i="10"/>
  <c r="AR146" i="10"/>
  <c r="AQ146" i="10"/>
  <c r="AP146" i="10"/>
  <c r="AO146" i="10"/>
  <c r="AN146" i="10"/>
  <c r="AM146" i="10"/>
  <c r="AT145" i="10"/>
  <c r="AS145" i="10"/>
  <c r="AR145" i="10"/>
  <c r="AQ145" i="10"/>
  <c r="AP145" i="10"/>
  <c r="AO145" i="10"/>
  <c r="AN145" i="10"/>
  <c r="AM145" i="10"/>
  <c r="AT144" i="10"/>
  <c r="AS144" i="10"/>
  <c r="AR144" i="10"/>
  <c r="AQ144" i="10"/>
  <c r="AP144" i="10"/>
  <c r="AO144" i="10"/>
  <c r="AN144" i="10"/>
  <c r="AM144" i="10"/>
  <c r="AT143" i="10"/>
  <c r="AS143" i="10"/>
  <c r="AR143" i="10"/>
  <c r="AQ143" i="10"/>
  <c r="AP143" i="10"/>
  <c r="AO143" i="10"/>
  <c r="AN143" i="10"/>
  <c r="AM143" i="10"/>
  <c r="AT142" i="10"/>
  <c r="AS142" i="10"/>
  <c r="AR142" i="10"/>
  <c r="AQ142" i="10"/>
  <c r="AP142" i="10"/>
  <c r="AO142" i="10"/>
  <c r="AN142" i="10"/>
  <c r="AM142" i="10"/>
  <c r="AT141" i="10"/>
  <c r="AS141" i="10"/>
  <c r="AR141" i="10"/>
  <c r="AQ141" i="10"/>
  <c r="AP141" i="10"/>
  <c r="AO141" i="10"/>
  <c r="AN141" i="10"/>
  <c r="AM141" i="10"/>
  <c r="AT140" i="10"/>
  <c r="AS140" i="10"/>
  <c r="AR140" i="10"/>
  <c r="AQ140" i="10"/>
  <c r="AP140" i="10"/>
  <c r="AO140" i="10"/>
  <c r="AN140" i="10"/>
  <c r="AM140" i="10"/>
  <c r="AT139" i="10"/>
  <c r="AS139" i="10"/>
  <c r="AR139" i="10"/>
  <c r="AQ139" i="10"/>
  <c r="AP139" i="10"/>
  <c r="AO139" i="10"/>
  <c r="AN139" i="10"/>
  <c r="AM139" i="10"/>
  <c r="AT138" i="10"/>
  <c r="AS138" i="10"/>
  <c r="AR138" i="10"/>
  <c r="AQ138" i="10"/>
  <c r="AP138" i="10"/>
  <c r="AO138" i="10"/>
  <c r="AN138" i="10"/>
  <c r="AM138" i="10"/>
  <c r="AT137" i="10"/>
  <c r="AS137" i="10"/>
  <c r="AR137" i="10"/>
  <c r="AQ137" i="10"/>
  <c r="AP137" i="10"/>
  <c r="AO137" i="10"/>
  <c r="AN137" i="10"/>
  <c r="AM137" i="10"/>
  <c r="AT136" i="10"/>
  <c r="AS136" i="10"/>
  <c r="AR136" i="10"/>
  <c r="AQ136" i="10"/>
  <c r="AP136" i="10"/>
  <c r="AO136" i="10"/>
  <c r="AN136" i="10"/>
  <c r="AM136" i="10"/>
  <c r="AT135" i="10"/>
  <c r="AS135" i="10"/>
  <c r="AR135" i="10"/>
  <c r="AQ135" i="10"/>
  <c r="AP135" i="10"/>
  <c r="AO135" i="10"/>
  <c r="AN135" i="10"/>
  <c r="AM135" i="10"/>
  <c r="AT134" i="10"/>
  <c r="AS134" i="10"/>
  <c r="AR134" i="10"/>
  <c r="AQ134" i="10"/>
  <c r="AP134" i="10"/>
  <c r="AO134" i="10"/>
  <c r="AN134" i="10"/>
  <c r="AM134" i="10"/>
  <c r="AT133" i="10"/>
  <c r="AS133" i="10"/>
  <c r="AR133" i="10"/>
  <c r="AQ133" i="10"/>
  <c r="AP133" i="10"/>
  <c r="AO133" i="10"/>
  <c r="AN133" i="10"/>
  <c r="AM133" i="10"/>
  <c r="AT132" i="10"/>
  <c r="AS132" i="10"/>
  <c r="AR132" i="10"/>
  <c r="AQ132" i="10"/>
  <c r="AP132" i="10"/>
  <c r="AO132" i="10"/>
  <c r="AN132" i="10"/>
  <c r="AM132" i="10"/>
  <c r="AT131" i="10"/>
  <c r="AS131" i="10"/>
  <c r="AR131" i="10"/>
  <c r="AQ131" i="10"/>
  <c r="AP131" i="10"/>
  <c r="AO131" i="10"/>
  <c r="AN131" i="10"/>
  <c r="AM131" i="10"/>
  <c r="AT130" i="10"/>
  <c r="AS130" i="10"/>
  <c r="AR130" i="10"/>
  <c r="AQ130" i="10"/>
  <c r="AP130" i="10"/>
  <c r="AO130" i="10"/>
  <c r="AN130" i="10"/>
  <c r="AM130" i="10"/>
  <c r="AT129" i="10"/>
  <c r="AS129" i="10"/>
  <c r="AR129" i="10"/>
  <c r="AQ129" i="10"/>
  <c r="AP129" i="10"/>
  <c r="AO129" i="10"/>
  <c r="AN129" i="10"/>
  <c r="AM129" i="10"/>
  <c r="AT128" i="10"/>
  <c r="AS128" i="10"/>
  <c r="AR128" i="10"/>
  <c r="AQ128" i="10"/>
  <c r="AP128" i="10"/>
  <c r="AO128" i="10"/>
  <c r="AN128" i="10"/>
  <c r="AM128" i="10"/>
  <c r="AT127" i="10"/>
  <c r="AS127" i="10"/>
  <c r="AR127" i="10"/>
  <c r="AQ127" i="10"/>
  <c r="AP127" i="10"/>
  <c r="AO127" i="10"/>
  <c r="AN127" i="10"/>
  <c r="AM127" i="10"/>
  <c r="AT126" i="10"/>
  <c r="AS126" i="10"/>
  <c r="AR126" i="10"/>
  <c r="AQ126" i="10"/>
  <c r="AP126" i="10"/>
  <c r="AO126" i="10"/>
  <c r="AN126" i="10"/>
  <c r="AM126" i="10"/>
  <c r="AT125" i="10"/>
  <c r="AS125" i="10"/>
  <c r="AR125" i="10"/>
  <c r="AQ125" i="10"/>
  <c r="AP125" i="10"/>
  <c r="AO125" i="10"/>
  <c r="AN125" i="10"/>
  <c r="AM125" i="10"/>
  <c r="AT124" i="10"/>
  <c r="AS124" i="10"/>
  <c r="AR124" i="10"/>
  <c r="AQ124" i="10"/>
  <c r="AP124" i="10"/>
  <c r="AO124" i="10"/>
  <c r="AN124" i="10"/>
  <c r="AM124" i="10"/>
  <c r="AT123" i="10"/>
  <c r="AS123" i="10"/>
  <c r="AR123" i="10"/>
  <c r="AQ123" i="10"/>
  <c r="AP123" i="10"/>
  <c r="AO123" i="10"/>
  <c r="AN123" i="10"/>
  <c r="AM123" i="10"/>
  <c r="AT122" i="10"/>
  <c r="AS122" i="10"/>
  <c r="AR122" i="10"/>
  <c r="AQ122" i="10"/>
  <c r="AP122" i="10"/>
  <c r="AO122" i="10"/>
  <c r="AN122" i="10"/>
  <c r="AM122" i="10"/>
  <c r="AT121" i="10"/>
  <c r="AS121" i="10"/>
  <c r="AR121" i="10"/>
  <c r="AQ121" i="10"/>
  <c r="AP121" i="10"/>
  <c r="AO121" i="10"/>
  <c r="AN121" i="10"/>
  <c r="AM121" i="10"/>
  <c r="AT120" i="10"/>
  <c r="AS120" i="10"/>
  <c r="AR120" i="10"/>
  <c r="AQ120" i="10"/>
  <c r="AP120" i="10"/>
  <c r="AO120" i="10"/>
  <c r="AN120" i="10"/>
  <c r="AM120" i="10"/>
  <c r="AT119" i="10"/>
  <c r="AS119" i="10"/>
  <c r="AR119" i="10"/>
  <c r="AQ119" i="10"/>
  <c r="AP119" i="10"/>
  <c r="AO119" i="10"/>
  <c r="AN119" i="10"/>
  <c r="AM119" i="10"/>
  <c r="AT118" i="10"/>
  <c r="AS118" i="10"/>
  <c r="AR118" i="10"/>
  <c r="AQ118" i="10"/>
  <c r="AP118" i="10"/>
  <c r="AO118" i="10"/>
  <c r="AN118" i="10"/>
  <c r="AM118" i="10"/>
  <c r="AT117" i="10"/>
  <c r="AS117" i="10"/>
  <c r="AR117" i="10"/>
  <c r="AQ117" i="10"/>
  <c r="AP117" i="10"/>
  <c r="AO117" i="10"/>
  <c r="AN117" i="10"/>
  <c r="AM117" i="10"/>
  <c r="AT116" i="10"/>
  <c r="AS116" i="10"/>
  <c r="AR116" i="10"/>
  <c r="AQ116" i="10"/>
  <c r="AP116" i="10"/>
  <c r="AO116" i="10"/>
  <c r="AN116" i="10"/>
  <c r="AM116" i="10"/>
  <c r="AT115" i="10"/>
  <c r="AS115" i="10"/>
  <c r="AR115" i="10"/>
  <c r="AQ115" i="10"/>
  <c r="AP115" i="10"/>
  <c r="AO115" i="10"/>
  <c r="AN115" i="10"/>
  <c r="AM115" i="10"/>
  <c r="AT114" i="10"/>
  <c r="AS114" i="10"/>
  <c r="AR114" i="10"/>
  <c r="AQ114" i="10"/>
  <c r="AP114" i="10"/>
  <c r="AO114" i="10"/>
  <c r="AN114" i="10"/>
  <c r="AM114" i="10"/>
  <c r="AT113" i="10"/>
  <c r="AS113" i="10"/>
  <c r="AR113" i="10"/>
  <c r="AQ113" i="10"/>
  <c r="AP113" i="10"/>
  <c r="AO113" i="10"/>
  <c r="AN113" i="10"/>
  <c r="AM113" i="10"/>
  <c r="AT112" i="10"/>
  <c r="AS112" i="10"/>
  <c r="AR112" i="10"/>
  <c r="AQ112" i="10"/>
  <c r="AP112" i="10"/>
  <c r="AO112" i="10"/>
  <c r="AN112" i="10"/>
  <c r="AM112" i="10"/>
  <c r="AT111" i="10"/>
  <c r="AS111" i="10"/>
  <c r="AR111" i="10"/>
  <c r="AQ111" i="10"/>
  <c r="AP111" i="10"/>
  <c r="AO111" i="10"/>
  <c r="AN111" i="10"/>
  <c r="AM111" i="10"/>
  <c r="AT110" i="10"/>
  <c r="AS110" i="10"/>
  <c r="AR110" i="10"/>
  <c r="AQ110" i="10"/>
  <c r="AP110" i="10"/>
  <c r="AO110" i="10"/>
  <c r="AN110" i="10"/>
  <c r="AM110" i="10"/>
  <c r="AT109" i="10"/>
  <c r="AS109" i="10"/>
  <c r="AR109" i="10"/>
  <c r="AQ109" i="10"/>
  <c r="AP109" i="10"/>
  <c r="AO109" i="10"/>
  <c r="AN109" i="10"/>
  <c r="AM109" i="10"/>
  <c r="AT108" i="10"/>
  <c r="AS108" i="10"/>
  <c r="AR108" i="10"/>
  <c r="AQ108" i="10"/>
  <c r="AP108" i="10"/>
  <c r="AO108" i="10"/>
  <c r="AN108" i="10"/>
  <c r="AM108" i="10"/>
  <c r="AT107" i="10"/>
  <c r="AS107" i="10"/>
  <c r="AR107" i="10"/>
  <c r="AQ107" i="10"/>
  <c r="AP107" i="10"/>
  <c r="AO107" i="10"/>
  <c r="AN107" i="10"/>
  <c r="AM107" i="10"/>
  <c r="AT106" i="10"/>
  <c r="AS106" i="10"/>
  <c r="AR106" i="10"/>
  <c r="AQ106" i="10"/>
  <c r="AP106" i="10"/>
  <c r="AO106" i="10"/>
  <c r="AN106" i="10"/>
  <c r="AM106" i="10"/>
  <c r="AT105" i="10"/>
  <c r="AS105" i="10"/>
  <c r="AR105" i="10"/>
  <c r="AQ105" i="10"/>
  <c r="AP105" i="10"/>
  <c r="AO105" i="10"/>
  <c r="AN105" i="10"/>
  <c r="AM105" i="10"/>
  <c r="AT104" i="10"/>
  <c r="AS104" i="10"/>
  <c r="AR104" i="10"/>
  <c r="AQ104" i="10"/>
  <c r="AP104" i="10"/>
  <c r="AO104" i="10"/>
  <c r="AN104" i="10"/>
  <c r="AM104" i="10"/>
  <c r="AT103" i="10"/>
  <c r="AS103" i="10"/>
  <c r="AR103" i="10"/>
  <c r="AQ103" i="10"/>
  <c r="AP103" i="10"/>
  <c r="AO103" i="10"/>
  <c r="AN103" i="10"/>
  <c r="AM103" i="10"/>
  <c r="AT102" i="10"/>
  <c r="AS102" i="10"/>
  <c r="AR102" i="10"/>
  <c r="AQ102" i="10"/>
  <c r="AP102" i="10"/>
  <c r="AO102" i="10"/>
  <c r="AN102" i="10"/>
  <c r="AM102" i="10"/>
  <c r="AT101" i="10"/>
  <c r="AS101" i="10"/>
  <c r="AR101" i="10"/>
  <c r="AQ101" i="10"/>
  <c r="AP101" i="10"/>
  <c r="AO101" i="10"/>
  <c r="AN101" i="10"/>
  <c r="AM101" i="10"/>
  <c r="AT100" i="10"/>
  <c r="AS100" i="10"/>
  <c r="AR100" i="10"/>
  <c r="AQ100" i="10"/>
  <c r="AP100" i="10"/>
  <c r="AO100" i="10"/>
  <c r="AN100" i="10"/>
  <c r="AM100" i="10"/>
  <c r="AT99" i="10"/>
  <c r="AS99" i="10"/>
  <c r="AR99" i="10"/>
  <c r="AQ99" i="10"/>
  <c r="AP99" i="10"/>
  <c r="AO99" i="10"/>
  <c r="AN99" i="10"/>
  <c r="AM99" i="10"/>
  <c r="AT98" i="10"/>
  <c r="AS98" i="10"/>
  <c r="AR98" i="10"/>
  <c r="AQ98" i="10"/>
  <c r="AP98" i="10"/>
  <c r="AO98" i="10"/>
  <c r="AN98" i="10"/>
  <c r="AM98" i="10"/>
  <c r="AT97" i="10"/>
  <c r="AS97" i="10"/>
  <c r="AR97" i="10"/>
  <c r="AQ97" i="10"/>
  <c r="AP97" i="10"/>
  <c r="AO97" i="10"/>
  <c r="AN97" i="10"/>
  <c r="AM97" i="10"/>
  <c r="AT96" i="10"/>
  <c r="AS96" i="10"/>
  <c r="AR96" i="10"/>
  <c r="AQ96" i="10"/>
  <c r="AP96" i="10"/>
  <c r="AO96" i="10"/>
  <c r="AN96" i="10"/>
  <c r="AM96" i="10"/>
  <c r="AT95" i="10"/>
  <c r="AS95" i="10"/>
  <c r="AR95" i="10"/>
  <c r="AQ95" i="10"/>
  <c r="AP95" i="10"/>
  <c r="AO95" i="10"/>
  <c r="AN95" i="10"/>
  <c r="AM95" i="10"/>
  <c r="AT94" i="10"/>
  <c r="AS94" i="10"/>
  <c r="AR94" i="10"/>
  <c r="AQ94" i="10"/>
  <c r="AP94" i="10"/>
  <c r="AO94" i="10"/>
  <c r="AN94" i="10"/>
  <c r="AM94" i="10"/>
  <c r="AT93" i="10"/>
  <c r="AS93" i="10"/>
  <c r="AR93" i="10"/>
  <c r="AQ93" i="10"/>
  <c r="AP93" i="10"/>
  <c r="AO93" i="10"/>
  <c r="AN93" i="10"/>
  <c r="AM93" i="10"/>
  <c r="AT92" i="10"/>
  <c r="AS92" i="10"/>
  <c r="AR92" i="10"/>
  <c r="AQ92" i="10"/>
  <c r="AP92" i="10"/>
  <c r="AO92" i="10"/>
  <c r="AN92" i="10"/>
  <c r="AM92" i="10"/>
  <c r="AT91" i="10"/>
  <c r="AS91" i="10"/>
  <c r="AR91" i="10"/>
  <c r="AQ91" i="10"/>
  <c r="AP91" i="10"/>
  <c r="AO91" i="10"/>
  <c r="AN91" i="10"/>
  <c r="AM91" i="10"/>
  <c r="AT90" i="10"/>
  <c r="AS90" i="10"/>
  <c r="AR90" i="10"/>
  <c r="AQ90" i="10"/>
  <c r="AP90" i="10"/>
  <c r="AO90" i="10"/>
  <c r="AN90" i="10"/>
  <c r="AM90" i="10"/>
  <c r="AT89" i="10"/>
  <c r="AS89" i="10"/>
  <c r="AR89" i="10"/>
  <c r="AQ89" i="10"/>
  <c r="AP89" i="10"/>
  <c r="AO89" i="10"/>
  <c r="AN89" i="10"/>
  <c r="AM89" i="10"/>
  <c r="AT88" i="10"/>
  <c r="AS88" i="10"/>
  <c r="AR88" i="10"/>
  <c r="AQ88" i="10"/>
  <c r="AP88" i="10"/>
  <c r="AO88" i="10"/>
  <c r="AN88" i="10"/>
  <c r="AM88" i="10"/>
  <c r="AT87" i="10"/>
  <c r="AS87" i="10"/>
  <c r="AR87" i="10"/>
  <c r="AQ87" i="10"/>
  <c r="AP87" i="10"/>
  <c r="AO87" i="10"/>
  <c r="AN87" i="10"/>
  <c r="AM87" i="10"/>
  <c r="AT86" i="10"/>
  <c r="AS86" i="10"/>
  <c r="AR86" i="10"/>
  <c r="AQ86" i="10"/>
  <c r="AP86" i="10"/>
  <c r="AO86" i="10"/>
  <c r="AN86" i="10"/>
  <c r="AM86" i="10"/>
  <c r="AT85" i="10"/>
  <c r="AS85" i="10"/>
  <c r="AR85" i="10"/>
  <c r="AQ85" i="10"/>
  <c r="AP85" i="10"/>
  <c r="AO85" i="10"/>
  <c r="AN85" i="10"/>
  <c r="AM85" i="10"/>
  <c r="AT84" i="10"/>
  <c r="AS84" i="10"/>
  <c r="AR84" i="10"/>
  <c r="AQ84" i="10"/>
  <c r="AP84" i="10"/>
  <c r="AO84" i="10"/>
  <c r="AN84" i="10"/>
  <c r="AM84" i="10"/>
  <c r="AT83" i="10"/>
  <c r="AS83" i="10"/>
  <c r="AR83" i="10"/>
  <c r="AQ83" i="10"/>
  <c r="AP83" i="10"/>
  <c r="AO83" i="10"/>
  <c r="AN83" i="10"/>
  <c r="AM83" i="10"/>
  <c r="AT82" i="10"/>
  <c r="AS82" i="10"/>
  <c r="AR82" i="10"/>
  <c r="AQ82" i="10"/>
  <c r="AP82" i="10"/>
  <c r="AO82" i="10"/>
  <c r="AN82" i="10"/>
  <c r="AM82" i="10"/>
  <c r="AT81" i="10"/>
  <c r="AS81" i="10"/>
  <c r="AR81" i="10"/>
  <c r="AQ81" i="10"/>
  <c r="AP81" i="10"/>
  <c r="AO81" i="10"/>
  <c r="AN81" i="10"/>
  <c r="AM81" i="10"/>
  <c r="AT80" i="10"/>
  <c r="AS80" i="10"/>
  <c r="AR80" i="10"/>
  <c r="AQ80" i="10"/>
  <c r="AP80" i="10"/>
  <c r="AO80" i="10"/>
  <c r="AN80" i="10"/>
  <c r="AM80" i="10"/>
  <c r="AT79" i="10"/>
  <c r="AS79" i="10"/>
  <c r="AR79" i="10"/>
  <c r="AQ79" i="10"/>
  <c r="AP79" i="10"/>
  <c r="AO79" i="10"/>
  <c r="AN79" i="10"/>
  <c r="AM79" i="10"/>
  <c r="AT78" i="10"/>
  <c r="AS78" i="10"/>
  <c r="AR78" i="10"/>
  <c r="AQ78" i="10"/>
  <c r="AP78" i="10"/>
  <c r="AO78" i="10"/>
  <c r="AN78" i="10"/>
  <c r="AM78" i="10"/>
  <c r="AT77" i="10"/>
  <c r="AS77" i="10"/>
  <c r="AR77" i="10"/>
  <c r="AQ77" i="10"/>
  <c r="AP77" i="10"/>
  <c r="AO77" i="10"/>
  <c r="AN77" i="10"/>
  <c r="AM77" i="10"/>
  <c r="AT76" i="10"/>
  <c r="AS76" i="10"/>
  <c r="AR76" i="10"/>
  <c r="AQ76" i="10"/>
  <c r="AP76" i="10"/>
  <c r="AO76" i="10"/>
  <c r="AN76" i="10"/>
  <c r="AM76" i="10"/>
  <c r="AT75" i="10"/>
  <c r="AS75" i="10"/>
  <c r="AR75" i="10"/>
  <c r="AQ75" i="10"/>
  <c r="AP75" i="10"/>
  <c r="AO75" i="10"/>
  <c r="AN75" i="10"/>
  <c r="AM75" i="10"/>
  <c r="AT74" i="10"/>
  <c r="AS74" i="10"/>
  <c r="AR74" i="10"/>
  <c r="AQ74" i="10"/>
  <c r="AP74" i="10"/>
  <c r="AO74" i="10"/>
  <c r="AN74" i="10"/>
  <c r="AM74" i="10"/>
  <c r="AT73" i="10"/>
  <c r="AS73" i="10"/>
  <c r="AR73" i="10"/>
  <c r="AQ73" i="10"/>
  <c r="AP73" i="10"/>
  <c r="AO73" i="10"/>
  <c r="AN73" i="10"/>
  <c r="AM73" i="10"/>
  <c r="AT72" i="10"/>
  <c r="AS72" i="10"/>
  <c r="AR72" i="10"/>
  <c r="AQ72" i="10"/>
  <c r="AP72" i="10"/>
  <c r="AO72" i="10"/>
  <c r="AN72" i="10"/>
  <c r="AM72" i="10"/>
  <c r="AT71" i="10"/>
  <c r="AS71" i="10"/>
  <c r="AR71" i="10"/>
  <c r="AQ71" i="10"/>
  <c r="AP71" i="10"/>
  <c r="AO71" i="10"/>
  <c r="AN71" i="10"/>
  <c r="AM71" i="10"/>
  <c r="AT70" i="10"/>
  <c r="AS70" i="10"/>
  <c r="AR70" i="10"/>
  <c r="AQ70" i="10"/>
  <c r="AP70" i="10"/>
  <c r="AO70" i="10"/>
  <c r="AN70" i="10"/>
  <c r="AM70" i="10"/>
  <c r="AT69" i="10"/>
  <c r="AS69" i="10"/>
  <c r="AR69" i="10"/>
  <c r="AQ69" i="10"/>
  <c r="AP69" i="10"/>
  <c r="AO69" i="10"/>
  <c r="AN69" i="10"/>
  <c r="AM69" i="10"/>
  <c r="AT68" i="10"/>
  <c r="AS68" i="10"/>
  <c r="AR68" i="10"/>
  <c r="AQ68" i="10"/>
  <c r="AP68" i="10"/>
  <c r="AO68" i="10"/>
  <c r="AN68" i="10"/>
  <c r="AM68" i="10"/>
  <c r="AT67" i="10"/>
  <c r="AS67" i="10"/>
  <c r="AR67" i="10"/>
  <c r="AQ67" i="10"/>
  <c r="AP67" i="10"/>
  <c r="AO67" i="10"/>
  <c r="AN67" i="10"/>
  <c r="AM67" i="10"/>
  <c r="AT66" i="10"/>
  <c r="AS66" i="10"/>
  <c r="AR66" i="10"/>
  <c r="AQ66" i="10"/>
  <c r="AP66" i="10"/>
  <c r="AO66" i="10"/>
  <c r="AN66" i="10"/>
  <c r="AM66" i="10"/>
  <c r="AT65" i="10"/>
  <c r="AS65" i="10"/>
  <c r="AR65" i="10"/>
  <c r="AQ65" i="10"/>
  <c r="AP65" i="10"/>
  <c r="AO65" i="10"/>
  <c r="AN65" i="10"/>
  <c r="AM65" i="10"/>
  <c r="AT64" i="10"/>
  <c r="AS64" i="10"/>
  <c r="AR64" i="10"/>
  <c r="AQ64" i="10"/>
  <c r="AP64" i="10"/>
  <c r="AO64" i="10"/>
  <c r="AN64" i="10"/>
  <c r="AM64" i="10"/>
  <c r="AT63" i="10"/>
  <c r="AS63" i="10"/>
  <c r="AR63" i="10"/>
  <c r="AQ63" i="10"/>
  <c r="AP63" i="10"/>
  <c r="AO63" i="10"/>
  <c r="AN63" i="10"/>
  <c r="AM63" i="10"/>
  <c r="AT62" i="10"/>
  <c r="AS62" i="10"/>
  <c r="AR62" i="10"/>
  <c r="AQ62" i="10"/>
  <c r="AP62" i="10"/>
  <c r="AO62" i="10"/>
  <c r="AN62" i="10"/>
  <c r="AM62" i="10"/>
  <c r="AT61" i="10"/>
  <c r="AS61" i="10"/>
  <c r="AR61" i="10"/>
  <c r="AQ61" i="10"/>
  <c r="AP61" i="10"/>
  <c r="AO61" i="10"/>
  <c r="AN61" i="10"/>
  <c r="AM61" i="10"/>
  <c r="AT60" i="10"/>
  <c r="AS60" i="10"/>
  <c r="AR60" i="10"/>
  <c r="AQ60" i="10"/>
  <c r="AP60" i="10"/>
  <c r="AO60" i="10"/>
  <c r="AN60" i="10"/>
  <c r="AM60" i="10"/>
  <c r="AT59" i="10"/>
  <c r="AS59" i="10"/>
  <c r="AR59" i="10"/>
  <c r="AQ59" i="10"/>
  <c r="AP59" i="10"/>
  <c r="AO59" i="10"/>
  <c r="AN59" i="10"/>
  <c r="AM59" i="10"/>
  <c r="AT58" i="10"/>
  <c r="AS58" i="10"/>
  <c r="AR58" i="10"/>
  <c r="AQ58" i="10"/>
  <c r="AP58" i="10"/>
  <c r="AO58" i="10"/>
  <c r="AN58" i="10"/>
  <c r="AM58" i="10"/>
  <c r="AT57" i="10"/>
  <c r="AS57" i="10"/>
  <c r="AR57" i="10"/>
  <c r="AQ57" i="10"/>
  <c r="AP57" i="10"/>
  <c r="AO57" i="10"/>
  <c r="AN57" i="10"/>
  <c r="AM57" i="10"/>
  <c r="AT56" i="10"/>
  <c r="AS56" i="10"/>
  <c r="AR56" i="10"/>
  <c r="AQ56" i="10"/>
  <c r="AP56" i="10"/>
  <c r="AO56" i="10"/>
  <c r="AN56" i="10"/>
  <c r="AM56" i="10"/>
  <c r="AT55" i="10"/>
  <c r="AS55" i="10"/>
  <c r="AR55" i="10"/>
  <c r="AQ55" i="10"/>
  <c r="AP55" i="10"/>
  <c r="AO55" i="10"/>
  <c r="AN55" i="10"/>
  <c r="AM55" i="10"/>
  <c r="AT54" i="10"/>
  <c r="AS54" i="10"/>
  <c r="AR54" i="10"/>
  <c r="AQ54" i="10"/>
  <c r="AP54" i="10"/>
  <c r="AO54" i="10"/>
  <c r="AN54" i="10"/>
  <c r="AM54" i="10"/>
  <c r="AT53" i="10"/>
  <c r="AS53" i="10"/>
  <c r="AR53" i="10"/>
  <c r="AQ53" i="10"/>
  <c r="AP53" i="10"/>
  <c r="AO53" i="10"/>
  <c r="AN53" i="10"/>
  <c r="AM53" i="10"/>
  <c r="AT52" i="10"/>
  <c r="AS52" i="10"/>
  <c r="AR52" i="10"/>
  <c r="AQ52" i="10"/>
  <c r="AP52" i="10"/>
  <c r="AO52" i="10"/>
  <c r="AN52" i="10"/>
  <c r="AM52" i="10"/>
  <c r="AT51" i="10"/>
  <c r="AS51" i="10"/>
  <c r="AR51" i="10"/>
  <c r="AQ51" i="10"/>
  <c r="AP51" i="10"/>
  <c r="AO51" i="10"/>
  <c r="AN51" i="10"/>
  <c r="AM51" i="10"/>
  <c r="AT50" i="10"/>
  <c r="AS50" i="10"/>
  <c r="AR50" i="10"/>
  <c r="AQ50" i="10"/>
  <c r="AP50" i="10"/>
  <c r="AO50" i="10"/>
  <c r="AN50" i="10"/>
  <c r="AM50" i="10"/>
  <c r="AT49" i="10"/>
  <c r="AS49" i="10"/>
  <c r="AR49" i="10"/>
  <c r="AQ49" i="10"/>
  <c r="AP49" i="10"/>
  <c r="AO49" i="10"/>
  <c r="AN49" i="10"/>
  <c r="AM49" i="10"/>
  <c r="AT48" i="10"/>
  <c r="AS48" i="10"/>
  <c r="AR48" i="10"/>
  <c r="AQ48" i="10"/>
  <c r="AP48" i="10"/>
  <c r="AO48" i="10"/>
  <c r="AN48" i="10"/>
  <c r="AM48" i="10"/>
  <c r="AT47" i="10"/>
  <c r="AS47" i="10"/>
  <c r="AR47" i="10"/>
  <c r="AQ47" i="10"/>
  <c r="AP47" i="10"/>
  <c r="AO47" i="10"/>
  <c r="AN47" i="10"/>
  <c r="AM47" i="10"/>
  <c r="AT46" i="10"/>
  <c r="AS46" i="10"/>
  <c r="AR46" i="10"/>
  <c r="AQ46" i="10"/>
  <c r="AP46" i="10"/>
  <c r="AO46" i="10"/>
  <c r="AN46" i="10"/>
  <c r="AM46" i="10"/>
  <c r="AT45" i="10"/>
  <c r="AS45" i="10"/>
  <c r="AR45" i="10"/>
  <c r="AQ45" i="10"/>
  <c r="AP45" i="10"/>
  <c r="AO45" i="10"/>
  <c r="AN45" i="10"/>
  <c r="AM45" i="10"/>
  <c r="AT44" i="10"/>
  <c r="AS44" i="10"/>
  <c r="AR44" i="10"/>
  <c r="AQ44" i="10"/>
  <c r="AP44" i="10"/>
  <c r="AO44" i="10"/>
  <c r="AN44" i="10"/>
  <c r="AM44" i="10"/>
  <c r="AT43" i="10"/>
  <c r="AS43" i="10"/>
  <c r="AR43" i="10"/>
  <c r="AQ43" i="10"/>
  <c r="AP43" i="10"/>
  <c r="AO43" i="10"/>
  <c r="AN43" i="10"/>
  <c r="AM43" i="10"/>
  <c r="AT42" i="10"/>
  <c r="AS42" i="10"/>
  <c r="AR42" i="10"/>
  <c r="AQ42" i="10"/>
  <c r="AP42" i="10"/>
  <c r="AO42" i="10"/>
  <c r="AN42" i="10"/>
  <c r="AM42" i="10"/>
  <c r="AT41" i="10"/>
  <c r="AS41" i="10"/>
  <c r="AR41" i="10"/>
  <c r="AQ41" i="10"/>
  <c r="AP41" i="10"/>
  <c r="AO41" i="10"/>
  <c r="AN41" i="10"/>
  <c r="AM41" i="10"/>
  <c r="AT40" i="10"/>
  <c r="AS40" i="10"/>
  <c r="AR40" i="10"/>
  <c r="AQ40" i="10"/>
  <c r="AP40" i="10"/>
  <c r="AO40" i="10"/>
  <c r="AN40" i="10"/>
  <c r="AM40" i="10"/>
  <c r="AT39" i="10"/>
  <c r="AS39" i="10"/>
  <c r="AR39" i="10"/>
  <c r="AQ39" i="10"/>
  <c r="AP39" i="10"/>
  <c r="AO39" i="10"/>
  <c r="AN39" i="10"/>
  <c r="AM39" i="10"/>
  <c r="AT38" i="10"/>
  <c r="AS38" i="10"/>
  <c r="AR38" i="10"/>
  <c r="AQ38" i="10"/>
  <c r="AP38" i="10"/>
  <c r="AO38" i="10"/>
  <c r="AN38" i="10"/>
  <c r="AM38" i="10"/>
  <c r="AT37" i="10"/>
  <c r="AS37" i="10"/>
  <c r="AR37" i="10"/>
  <c r="AQ37" i="10"/>
  <c r="AP37" i="10"/>
  <c r="AO37" i="10"/>
  <c r="AN37" i="10"/>
  <c r="AM37" i="10"/>
  <c r="AT36" i="10"/>
  <c r="AS36" i="10"/>
  <c r="AR36" i="10"/>
  <c r="AQ36" i="10"/>
  <c r="AP36" i="10"/>
  <c r="AO36" i="10"/>
  <c r="AN36" i="10"/>
  <c r="AM36" i="10"/>
  <c r="AT35" i="10"/>
  <c r="AS35" i="10"/>
  <c r="AR35" i="10"/>
  <c r="AQ35" i="10"/>
  <c r="AP35" i="10"/>
  <c r="AO35" i="10"/>
  <c r="AN35" i="10"/>
  <c r="AM35" i="10"/>
  <c r="AT34" i="10"/>
  <c r="AS34" i="10"/>
  <c r="AR34" i="10"/>
  <c r="AQ34" i="10"/>
  <c r="AP34" i="10"/>
  <c r="AO34" i="10"/>
  <c r="AN34" i="10"/>
  <c r="AM34" i="10"/>
  <c r="AT33" i="10"/>
  <c r="AS33" i="10"/>
  <c r="AR33" i="10"/>
  <c r="AQ33" i="10"/>
  <c r="AP33" i="10"/>
  <c r="AO33" i="10"/>
  <c r="AN33" i="10"/>
  <c r="AM33" i="10"/>
  <c r="AT32" i="10"/>
  <c r="AS32" i="10"/>
  <c r="AR32" i="10"/>
  <c r="AQ32" i="10"/>
  <c r="AP32" i="10"/>
  <c r="AO32" i="10"/>
  <c r="AN32" i="10"/>
  <c r="AM32" i="10"/>
  <c r="AT31" i="10"/>
  <c r="AS31" i="10"/>
  <c r="AR31" i="10"/>
  <c r="AQ31" i="10"/>
  <c r="AP31" i="10"/>
  <c r="AO31" i="10"/>
  <c r="AN31" i="10"/>
  <c r="AM31" i="10"/>
  <c r="AT30" i="10"/>
  <c r="AS30" i="10"/>
  <c r="AR30" i="10"/>
  <c r="AQ30" i="10"/>
  <c r="AP30" i="10"/>
  <c r="AO30" i="10"/>
  <c r="AN30" i="10"/>
  <c r="AM30" i="10"/>
  <c r="AT29" i="10"/>
  <c r="AS29" i="10"/>
  <c r="AR29" i="10"/>
  <c r="AQ29" i="10"/>
  <c r="AP29" i="10"/>
  <c r="AO29" i="10"/>
  <c r="AN29" i="10"/>
  <c r="AM29" i="10"/>
  <c r="AT28" i="10"/>
  <c r="AS28" i="10"/>
  <c r="AR28" i="10"/>
  <c r="AQ28" i="10"/>
  <c r="AP28" i="10"/>
  <c r="AO28" i="10"/>
  <c r="AN28" i="10"/>
  <c r="AM28" i="10"/>
  <c r="AT27" i="10"/>
  <c r="AS27" i="10"/>
  <c r="AR27" i="10"/>
  <c r="AQ27" i="10"/>
  <c r="AP27" i="10"/>
  <c r="AO27" i="10"/>
  <c r="AN27" i="10"/>
  <c r="AM27" i="10"/>
  <c r="AT26" i="10"/>
  <c r="AS26" i="10"/>
  <c r="AR26" i="10"/>
  <c r="AQ26" i="10"/>
  <c r="AP26" i="10"/>
  <c r="AO26" i="10"/>
  <c r="AN26" i="10"/>
  <c r="AM26" i="10"/>
  <c r="AT25" i="10"/>
  <c r="AS25" i="10"/>
  <c r="AR25" i="10"/>
  <c r="AQ25" i="10"/>
  <c r="AP25" i="10"/>
  <c r="AO25" i="10"/>
  <c r="AN25" i="10"/>
  <c r="AM25" i="10"/>
  <c r="AT24" i="10"/>
  <c r="AS24" i="10"/>
  <c r="AR24" i="10"/>
  <c r="AQ24" i="10"/>
  <c r="AP24" i="10"/>
  <c r="AO24" i="10"/>
  <c r="AN24" i="10"/>
  <c r="AM24" i="10"/>
  <c r="AT23" i="10"/>
  <c r="AS23" i="10"/>
  <c r="AR23" i="10"/>
  <c r="AQ23" i="10"/>
  <c r="AP23" i="10"/>
  <c r="AO23" i="10"/>
  <c r="AN23" i="10"/>
  <c r="AM23" i="10"/>
  <c r="AT22" i="10"/>
  <c r="AS22" i="10"/>
  <c r="AR22" i="10"/>
  <c r="AQ22" i="10"/>
  <c r="AP22" i="10"/>
  <c r="AO22" i="10"/>
  <c r="AN22" i="10"/>
  <c r="AM22" i="10"/>
  <c r="AT21" i="10"/>
  <c r="AS21" i="10"/>
  <c r="AR21" i="10"/>
  <c r="AQ21" i="10"/>
  <c r="AP21" i="10"/>
  <c r="AO21" i="10"/>
  <c r="AN21" i="10"/>
  <c r="AM21" i="10"/>
  <c r="AT20" i="10"/>
  <c r="AS20" i="10"/>
  <c r="AR20" i="10"/>
  <c r="AQ20" i="10"/>
  <c r="AP20" i="10"/>
  <c r="AO20" i="10"/>
  <c r="AN20" i="10"/>
  <c r="AM20" i="10"/>
  <c r="AT19" i="10"/>
  <c r="AS19" i="10"/>
  <c r="AR19" i="10"/>
  <c r="AQ19" i="10"/>
  <c r="AP19" i="10"/>
  <c r="AO19" i="10"/>
  <c r="AN19" i="10"/>
  <c r="AM19" i="10"/>
  <c r="AT18" i="10"/>
  <c r="AS18" i="10"/>
  <c r="AR18" i="10"/>
  <c r="AQ18" i="10"/>
  <c r="AP18" i="10"/>
  <c r="AO18" i="10"/>
  <c r="AN18" i="10"/>
  <c r="AM18" i="10"/>
  <c r="AT17" i="10"/>
  <c r="AS17" i="10"/>
  <c r="AR17" i="10"/>
  <c r="AQ17" i="10"/>
  <c r="AP17" i="10"/>
  <c r="AO17" i="10"/>
  <c r="AN17" i="10"/>
  <c r="AM17" i="10"/>
  <c r="AT16" i="10"/>
  <c r="AS16" i="10"/>
  <c r="AR16" i="10"/>
  <c r="AQ16" i="10"/>
  <c r="AP16" i="10"/>
  <c r="AO16" i="10"/>
  <c r="AN16" i="10"/>
  <c r="AM16" i="10"/>
  <c r="AT15" i="10"/>
  <c r="AS15" i="10"/>
  <c r="AR15" i="10"/>
  <c r="AQ15" i="10"/>
  <c r="AP15" i="10"/>
  <c r="AO15" i="10"/>
  <c r="AN15" i="10"/>
  <c r="AM15" i="10"/>
  <c r="AT14" i="10"/>
  <c r="AS14" i="10"/>
  <c r="AR14" i="10"/>
  <c r="AQ14" i="10"/>
  <c r="AP14" i="10"/>
  <c r="AO14" i="10"/>
  <c r="AN14" i="10"/>
  <c r="AM14" i="10"/>
  <c r="AT13" i="10"/>
  <c r="AS13" i="10"/>
  <c r="AR13" i="10"/>
  <c r="AQ13" i="10"/>
  <c r="AP13" i="10"/>
  <c r="AO13" i="10"/>
  <c r="AN13" i="10"/>
  <c r="AM13" i="10"/>
  <c r="AT12" i="10"/>
  <c r="AS12" i="10"/>
  <c r="AR12" i="10"/>
  <c r="AQ12" i="10"/>
  <c r="AP12" i="10"/>
  <c r="AO12" i="10"/>
  <c r="AN12" i="10"/>
  <c r="AM12" i="10"/>
  <c r="AT11" i="10"/>
  <c r="AS11" i="10"/>
  <c r="AR11" i="10"/>
  <c r="AQ11" i="10"/>
  <c r="AP11" i="10"/>
  <c r="AO11" i="10"/>
  <c r="AN11" i="10"/>
  <c r="AM11" i="10"/>
  <c r="AT10" i="10"/>
  <c r="AS10" i="10"/>
  <c r="AR10" i="10"/>
  <c r="AQ10" i="10"/>
  <c r="AP10" i="10"/>
  <c r="AO10" i="10"/>
  <c r="AN10" i="10"/>
  <c r="AM10" i="10"/>
  <c r="AT9" i="10"/>
  <c r="AS9" i="10"/>
  <c r="AR9" i="10"/>
  <c r="AQ9" i="10"/>
  <c r="AP9" i="10"/>
  <c r="AO9" i="10"/>
  <c r="AN9" i="10"/>
  <c r="AM9" i="10"/>
  <c r="AT8" i="10"/>
  <c r="AS8" i="10"/>
  <c r="AR8" i="10"/>
  <c r="AQ8" i="10"/>
  <c r="AP8" i="10"/>
  <c r="AO8" i="10"/>
  <c r="AN8" i="10"/>
  <c r="AM8" i="10"/>
  <c r="AT7" i="10"/>
  <c r="AS7" i="10"/>
  <c r="AR7" i="10"/>
  <c r="AQ7" i="10"/>
  <c r="AP7" i="10"/>
  <c r="AO7" i="10"/>
  <c r="AN7" i="10"/>
  <c r="AM7" i="10"/>
  <c r="AT6" i="10"/>
  <c r="AS6" i="10"/>
  <c r="AR6" i="10"/>
  <c r="AQ6" i="10"/>
  <c r="AP6" i="10"/>
  <c r="AO6" i="10"/>
  <c r="AN6" i="10"/>
  <c r="AM6" i="10"/>
  <c r="AT5" i="10"/>
  <c r="AS5" i="10"/>
  <c r="AR5" i="10"/>
  <c r="AQ5" i="10"/>
  <c r="AP5" i="10"/>
  <c r="AO5" i="10"/>
  <c r="AN5" i="10"/>
  <c r="AM5" i="10"/>
  <c r="AT4" i="10"/>
  <c r="AS4" i="10"/>
  <c r="AR4" i="10"/>
  <c r="AQ4" i="10"/>
  <c r="AP4" i="10"/>
  <c r="AO4" i="10"/>
  <c r="AN4" i="10"/>
  <c r="AM4" i="10"/>
  <c r="AT3" i="10"/>
  <c r="AS3" i="10"/>
  <c r="AR3" i="10"/>
  <c r="AQ3" i="10"/>
  <c r="AP3" i="10"/>
  <c r="AO3" i="10"/>
  <c r="AN3" i="10"/>
  <c r="AM3" i="10"/>
  <c r="AT2" i="10"/>
  <c r="AS2" i="10"/>
  <c r="AR2" i="10"/>
  <c r="AQ2" i="10"/>
  <c r="AP2" i="10"/>
  <c r="AO2" i="10"/>
  <c r="AN2" i="10"/>
  <c r="AM2" i="10"/>
  <c r="AT1" i="10"/>
  <c r="AS1" i="10"/>
  <c r="AR1" i="10"/>
  <c r="AQ1" i="10"/>
  <c r="AP1" i="10"/>
  <c r="AO1" i="10"/>
  <c r="AN1" i="10"/>
  <c r="AM1" i="10"/>
  <c r="AL152" i="10" l="1"/>
  <c r="AL151" i="10"/>
  <c r="AL150" i="10"/>
  <c r="AL149" i="10"/>
  <c r="AL148" i="10"/>
  <c r="AL147" i="10"/>
  <c r="AL146" i="10"/>
  <c r="AL145" i="10"/>
  <c r="AL144" i="10"/>
  <c r="AL143" i="10"/>
  <c r="AL142" i="10"/>
  <c r="AL141" i="10"/>
  <c r="AL140" i="10"/>
  <c r="AL139" i="10"/>
  <c r="AL138" i="10"/>
  <c r="AL137" i="10"/>
  <c r="AL136" i="10"/>
  <c r="AL135" i="10"/>
  <c r="AL134" i="10"/>
  <c r="AL133" i="10"/>
  <c r="AL132" i="10"/>
  <c r="AL131" i="10"/>
  <c r="AL130" i="10"/>
  <c r="AL129" i="10"/>
  <c r="AL128" i="10"/>
  <c r="AL127" i="10"/>
  <c r="AL126" i="10"/>
  <c r="AL125" i="10"/>
  <c r="AL124" i="10"/>
  <c r="AL123" i="10"/>
  <c r="AL122" i="10"/>
  <c r="AL121" i="10"/>
  <c r="AL120" i="10"/>
  <c r="AL119" i="10"/>
  <c r="AL118" i="10"/>
  <c r="AL117" i="10"/>
  <c r="AL116" i="10"/>
  <c r="AL115" i="10"/>
  <c r="AL114" i="10"/>
  <c r="AL113" i="10"/>
  <c r="AL112" i="10"/>
  <c r="AL111" i="10"/>
  <c r="AL110" i="10"/>
  <c r="AL109" i="10"/>
  <c r="AL108" i="10"/>
  <c r="AL107" i="10"/>
  <c r="AL106" i="10"/>
  <c r="AL105" i="10"/>
  <c r="AL104" i="10"/>
  <c r="AL103" i="10"/>
  <c r="AL102" i="10"/>
  <c r="AL101" i="10"/>
  <c r="AL100" i="10"/>
  <c r="AL99" i="10"/>
  <c r="AL98" i="10"/>
  <c r="AL97" i="10"/>
  <c r="AL96" i="10"/>
  <c r="AL95" i="10"/>
  <c r="AL94" i="10"/>
  <c r="AL93" i="10"/>
  <c r="AL92" i="10"/>
  <c r="AL91" i="10"/>
  <c r="AL90" i="10"/>
  <c r="AL89" i="10"/>
  <c r="AL88" i="10"/>
  <c r="AL87" i="10"/>
  <c r="AL86" i="10"/>
  <c r="AL85" i="10"/>
  <c r="AL84" i="10"/>
  <c r="AL83" i="10"/>
  <c r="AL82" i="10"/>
  <c r="AL81" i="10"/>
  <c r="AL80" i="10"/>
  <c r="AL79" i="10"/>
  <c r="AL78" i="10"/>
  <c r="AL77" i="10"/>
  <c r="AL76" i="10"/>
  <c r="AL75" i="10"/>
  <c r="AL74" i="10"/>
  <c r="AL73" i="10"/>
  <c r="AL72" i="10"/>
  <c r="AL71" i="10"/>
  <c r="AL70" i="10"/>
  <c r="AL69" i="10"/>
  <c r="AL68" i="10"/>
  <c r="AL67" i="10"/>
  <c r="AL66" i="10"/>
  <c r="AL65" i="10"/>
  <c r="AL64" i="10"/>
  <c r="AL63" i="10"/>
  <c r="AL62" i="10"/>
  <c r="AL61" i="10"/>
  <c r="AL60" i="10"/>
  <c r="AL59" i="10"/>
  <c r="AL58" i="10"/>
  <c r="AL57" i="10"/>
  <c r="AL56" i="10"/>
  <c r="AL55" i="10"/>
  <c r="AL54" i="10"/>
  <c r="AL53" i="10"/>
  <c r="AL52" i="10"/>
  <c r="AL51" i="10"/>
  <c r="AL50" i="10"/>
  <c r="AL49" i="10"/>
  <c r="AL48" i="10"/>
  <c r="AL47" i="10"/>
  <c r="AL46" i="10"/>
  <c r="AL45" i="10"/>
  <c r="AL44" i="10"/>
  <c r="AL43" i="10"/>
  <c r="AL42" i="10"/>
  <c r="AL41" i="10"/>
  <c r="AL40" i="10"/>
  <c r="AL39" i="10"/>
  <c r="AL38" i="10"/>
  <c r="AL37" i="10"/>
  <c r="AL36" i="10"/>
  <c r="AL35" i="10"/>
  <c r="AL34" i="10"/>
  <c r="AL33" i="10"/>
  <c r="AL32" i="10"/>
  <c r="AL31" i="10"/>
  <c r="AL30" i="10"/>
  <c r="AL29" i="10"/>
  <c r="AL28" i="10"/>
  <c r="AL27" i="10"/>
  <c r="AL26" i="10"/>
  <c r="AL25" i="10"/>
  <c r="AL24" i="10"/>
  <c r="AL23" i="10"/>
  <c r="AL22" i="10"/>
  <c r="AL21" i="10"/>
  <c r="AL20" i="10"/>
  <c r="AL19" i="10"/>
  <c r="AL18" i="10"/>
  <c r="AL17" i="10"/>
  <c r="AL16" i="10"/>
  <c r="AL15" i="10"/>
  <c r="AL14" i="10"/>
  <c r="AL13" i="10"/>
  <c r="AL12" i="10"/>
  <c r="AL11" i="10"/>
  <c r="AL10" i="10"/>
  <c r="AL9" i="10"/>
  <c r="AL8" i="10"/>
  <c r="AL7" i="10"/>
  <c r="AL6" i="10"/>
  <c r="AL5" i="10"/>
  <c r="AL4" i="10"/>
  <c r="AL3" i="10"/>
  <c r="AL2" i="10"/>
  <c r="AL1" i="10"/>
  <c r="AK152" i="10"/>
  <c r="AJ152" i="10"/>
  <c r="AI152" i="10"/>
  <c r="AH152" i="10"/>
  <c r="AK151" i="10"/>
  <c r="AJ151" i="10"/>
  <c r="AI151" i="10"/>
  <c r="AH151" i="10"/>
  <c r="AK150" i="10"/>
  <c r="AJ150" i="10"/>
  <c r="AI150" i="10"/>
  <c r="AH150" i="10"/>
  <c r="AK149" i="10"/>
  <c r="AJ149" i="10"/>
  <c r="AI149" i="10"/>
  <c r="AH149" i="10"/>
  <c r="AK148" i="10"/>
  <c r="AJ148" i="10"/>
  <c r="AI148" i="10"/>
  <c r="AH148" i="10"/>
  <c r="AK147" i="10"/>
  <c r="AJ147" i="10"/>
  <c r="AI147" i="10"/>
  <c r="AH147" i="10"/>
  <c r="AK146" i="10"/>
  <c r="AJ146" i="10"/>
  <c r="AI146" i="10"/>
  <c r="AH146" i="10"/>
  <c r="AK145" i="10"/>
  <c r="AJ145" i="10"/>
  <c r="AI145" i="10"/>
  <c r="AH145" i="10"/>
  <c r="AK144" i="10"/>
  <c r="AJ144" i="10"/>
  <c r="AI144" i="10"/>
  <c r="AH144" i="10"/>
  <c r="AK143" i="10"/>
  <c r="AJ143" i="10"/>
  <c r="AI143" i="10"/>
  <c r="AH143" i="10"/>
  <c r="AK142" i="10"/>
  <c r="AJ142" i="10"/>
  <c r="AI142" i="10"/>
  <c r="AH142" i="10"/>
  <c r="AK141" i="10"/>
  <c r="AJ141" i="10"/>
  <c r="AI141" i="10"/>
  <c r="AH141" i="10"/>
  <c r="AK140" i="10"/>
  <c r="AJ140" i="10"/>
  <c r="AI140" i="10"/>
  <c r="AH140" i="10"/>
  <c r="AK139" i="10"/>
  <c r="AJ139" i="10"/>
  <c r="AI139" i="10"/>
  <c r="AH139" i="10"/>
  <c r="AK138" i="10"/>
  <c r="AJ138" i="10"/>
  <c r="AI138" i="10"/>
  <c r="AH138" i="10"/>
  <c r="AK137" i="10"/>
  <c r="AJ137" i="10"/>
  <c r="AI137" i="10"/>
  <c r="AH137" i="10"/>
  <c r="AK136" i="10"/>
  <c r="AJ136" i="10"/>
  <c r="AI136" i="10"/>
  <c r="AH136" i="10"/>
  <c r="AK135" i="10"/>
  <c r="AJ135" i="10"/>
  <c r="AI135" i="10"/>
  <c r="AH135" i="10"/>
  <c r="AK134" i="10"/>
  <c r="AJ134" i="10"/>
  <c r="AI134" i="10"/>
  <c r="AH134" i="10"/>
  <c r="AK133" i="10"/>
  <c r="AJ133" i="10"/>
  <c r="AI133" i="10"/>
  <c r="AH133" i="10"/>
  <c r="AK132" i="10"/>
  <c r="AJ132" i="10"/>
  <c r="AI132" i="10"/>
  <c r="AH132" i="10"/>
  <c r="AK131" i="10"/>
  <c r="AJ131" i="10"/>
  <c r="AI131" i="10"/>
  <c r="AH131" i="10"/>
  <c r="AK130" i="10"/>
  <c r="AJ130" i="10"/>
  <c r="AI130" i="10"/>
  <c r="AH130" i="10"/>
  <c r="AK129" i="10"/>
  <c r="AJ129" i="10"/>
  <c r="AI129" i="10"/>
  <c r="AH129" i="10"/>
  <c r="AK128" i="10"/>
  <c r="AJ128" i="10"/>
  <c r="AI128" i="10"/>
  <c r="AH128" i="10"/>
  <c r="AK127" i="10"/>
  <c r="AJ127" i="10"/>
  <c r="AI127" i="10"/>
  <c r="AH127" i="10"/>
  <c r="AK126" i="10"/>
  <c r="AJ126" i="10"/>
  <c r="AI126" i="10"/>
  <c r="AH126" i="10"/>
  <c r="AK125" i="10"/>
  <c r="AJ125" i="10"/>
  <c r="AI125" i="10"/>
  <c r="AH125" i="10"/>
  <c r="AK124" i="10"/>
  <c r="AJ124" i="10"/>
  <c r="AI124" i="10"/>
  <c r="AH124" i="10"/>
  <c r="AK123" i="10"/>
  <c r="AJ123" i="10"/>
  <c r="AI123" i="10"/>
  <c r="AH123" i="10"/>
  <c r="AK122" i="10"/>
  <c r="AJ122" i="10"/>
  <c r="AI122" i="10"/>
  <c r="AH122" i="10"/>
  <c r="AK121" i="10"/>
  <c r="AJ121" i="10"/>
  <c r="AI121" i="10"/>
  <c r="AH121" i="10"/>
  <c r="AK120" i="10"/>
  <c r="AJ120" i="10"/>
  <c r="AI120" i="10"/>
  <c r="AH120" i="10"/>
  <c r="AK119" i="10"/>
  <c r="AJ119" i="10"/>
  <c r="AI119" i="10"/>
  <c r="AH119" i="10"/>
  <c r="AK118" i="10"/>
  <c r="AJ118" i="10"/>
  <c r="AI118" i="10"/>
  <c r="AH118" i="10"/>
  <c r="AK117" i="10"/>
  <c r="AJ117" i="10"/>
  <c r="AI117" i="10"/>
  <c r="AH117" i="10"/>
  <c r="AK116" i="10"/>
  <c r="AJ116" i="10"/>
  <c r="AI116" i="10"/>
  <c r="AH116" i="10"/>
  <c r="AK115" i="10"/>
  <c r="AJ115" i="10"/>
  <c r="AI115" i="10"/>
  <c r="AH115" i="10"/>
  <c r="AK114" i="10"/>
  <c r="AJ114" i="10"/>
  <c r="AI114" i="10"/>
  <c r="AH114" i="10"/>
  <c r="AK113" i="10"/>
  <c r="AJ113" i="10"/>
  <c r="AI113" i="10"/>
  <c r="AH113" i="10"/>
  <c r="AK112" i="10"/>
  <c r="AJ112" i="10"/>
  <c r="AI112" i="10"/>
  <c r="AH112" i="10"/>
  <c r="AK111" i="10"/>
  <c r="AJ111" i="10"/>
  <c r="AI111" i="10"/>
  <c r="AH111" i="10"/>
  <c r="AK110" i="10"/>
  <c r="AJ110" i="10"/>
  <c r="AI110" i="10"/>
  <c r="AH110" i="10"/>
  <c r="AK109" i="10"/>
  <c r="AJ109" i="10"/>
  <c r="AI109" i="10"/>
  <c r="AH109" i="10"/>
  <c r="AK108" i="10"/>
  <c r="AJ108" i="10"/>
  <c r="AI108" i="10"/>
  <c r="AH108" i="10"/>
  <c r="AK107" i="10"/>
  <c r="AJ107" i="10"/>
  <c r="AI107" i="10"/>
  <c r="AH107" i="10"/>
  <c r="AK106" i="10"/>
  <c r="AJ106" i="10"/>
  <c r="AI106" i="10"/>
  <c r="AH106" i="10"/>
  <c r="AK105" i="10"/>
  <c r="AJ105" i="10"/>
  <c r="AI105" i="10"/>
  <c r="AH105" i="10"/>
  <c r="AK104" i="10"/>
  <c r="AJ104" i="10"/>
  <c r="AI104" i="10"/>
  <c r="AH104" i="10"/>
  <c r="AK103" i="10"/>
  <c r="AJ103" i="10"/>
  <c r="AI103" i="10"/>
  <c r="AH103" i="10"/>
  <c r="AK102" i="10"/>
  <c r="AJ102" i="10"/>
  <c r="AI102" i="10"/>
  <c r="AH102" i="10"/>
  <c r="AK101" i="10"/>
  <c r="AJ101" i="10"/>
  <c r="AI101" i="10"/>
  <c r="AH101" i="10"/>
  <c r="AK100" i="10"/>
  <c r="AJ100" i="10"/>
  <c r="AI100" i="10"/>
  <c r="AH100" i="10"/>
  <c r="AK99" i="10"/>
  <c r="AJ99" i="10"/>
  <c r="AI99" i="10"/>
  <c r="AH99" i="10"/>
  <c r="AK98" i="10"/>
  <c r="AJ98" i="10"/>
  <c r="AI98" i="10"/>
  <c r="AH98" i="10"/>
  <c r="AK97" i="10"/>
  <c r="AJ97" i="10"/>
  <c r="AI97" i="10"/>
  <c r="AH97" i="10"/>
  <c r="AK96" i="10"/>
  <c r="AJ96" i="10"/>
  <c r="AI96" i="10"/>
  <c r="AH96" i="10"/>
  <c r="AK95" i="10"/>
  <c r="AJ95" i="10"/>
  <c r="AI95" i="10"/>
  <c r="AH95" i="10"/>
  <c r="AK94" i="10"/>
  <c r="AJ94" i="10"/>
  <c r="AI94" i="10"/>
  <c r="AH94" i="10"/>
  <c r="AK93" i="10"/>
  <c r="AJ93" i="10"/>
  <c r="AI93" i="10"/>
  <c r="AH93" i="10"/>
  <c r="AK92" i="10"/>
  <c r="AJ92" i="10"/>
  <c r="AI92" i="10"/>
  <c r="AH92" i="10"/>
  <c r="AK91" i="10"/>
  <c r="AJ91" i="10"/>
  <c r="AI91" i="10"/>
  <c r="AH91" i="10"/>
  <c r="AK90" i="10"/>
  <c r="AJ90" i="10"/>
  <c r="AI90" i="10"/>
  <c r="AH90" i="10"/>
  <c r="AK89" i="10"/>
  <c r="AJ89" i="10"/>
  <c r="AI89" i="10"/>
  <c r="AH89" i="10"/>
  <c r="AK88" i="10"/>
  <c r="AJ88" i="10"/>
  <c r="AI88" i="10"/>
  <c r="AH88" i="10"/>
  <c r="AK87" i="10"/>
  <c r="AJ87" i="10"/>
  <c r="AI87" i="10"/>
  <c r="AH87" i="10"/>
  <c r="AK86" i="10"/>
  <c r="AJ86" i="10"/>
  <c r="AI86" i="10"/>
  <c r="AH86" i="10"/>
  <c r="AK85" i="10"/>
  <c r="AJ85" i="10"/>
  <c r="AI85" i="10"/>
  <c r="AH85" i="10"/>
  <c r="AK84" i="10"/>
  <c r="AJ84" i="10"/>
  <c r="AI84" i="10"/>
  <c r="AH84" i="10"/>
  <c r="AK83" i="10"/>
  <c r="AJ83" i="10"/>
  <c r="AI83" i="10"/>
  <c r="AH83" i="10"/>
  <c r="AK82" i="10"/>
  <c r="AJ82" i="10"/>
  <c r="AI82" i="10"/>
  <c r="AH82" i="10"/>
  <c r="AK81" i="10"/>
  <c r="AJ81" i="10"/>
  <c r="AI81" i="10"/>
  <c r="AH81" i="10"/>
  <c r="AK80" i="10"/>
  <c r="AJ80" i="10"/>
  <c r="AI80" i="10"/>
  <c r="AH80" i="10"/>
  <c r="AK79" i="10"/>
  <c r="AJ79" i="10"/>
  <c r="AI79" i="10"/>
  <c r="AH79" i="10"/>
  <c r="AK78" i="10"/>
  <c r="AJ78" i="10"/>
  <c r="AI78" i="10"/>
  <c r="AH78" i="10"/>
  <c r="AK77" i="10"/>
  <c r="AJ77" i="10"/>
  <c r="AI77" i="10"/>
  <c r="AH77" i="10"/>
  <c r="AK76" i="10"/>
  <c r="AJ76" i="10"/>
  <c r="AI76" i="10"/>
  <c r="AH76" i="10"/>
  <c r="AK75" i="10"/>
  <c r="AJ75" i="10"/>
  <c r="AI75" i="10"/>
  <c r="AH75" i="10"/>
  <c r="AK74" i="10"/>
  <c r="AJ74" i="10"/>
  <c r="AI74" i="10"/>
  <c r="AH74" i="10"/>
  <c r="AK73" i="10"/>
  <c r="AJ73" i="10"/>
  <c r="AI73" i="10"/>
  <c r="AH73" i="10"/>
  <c r="AK72" i="10"/>
  <c r="AJ72" i="10"/>
  <c r="AI72" i="10"/>
  <c r="AH72" i="10"/>
  <c r="AK71" i="10"/>
  <c r="AJ71" i="10"/>
  <c r="AI71" i="10"/>
  <c r="AH71" i="10"/>
  <c r="AK70" i="10"/>
  <c r="AJ70" i="10"/>
  <c r="AI70" i="10"/>
  <c r="AH70" i="10"/>
  <c r="AK69" i="10"/>
  <c r="AJ69" i="10"/>
  <c r="AI69" i="10"/>
  <c r="AH69" i="10"/>
  <c r="AK68" i="10"/>
  <c r="AJ68" i="10"/>
  <c r="AI68" i="10"/>
  <c r="AH68" i="10"/>
  <c r="AK67" i="10"/>
  <c r="AJ67" i="10"/>
  <c r="AI67" i="10"/>
  <c r="AH67" i="10"/>
  <c r="AK66" i="10"/>
  <c r="AJ66" i="10"/>
  <c r="AI66" i="10"/>
  <c r="AH66" i="10"/>
  <c r="AK65" i="10"/>
  <c r="AJ65" i="10"/>
  <c r="AI65" i="10"/>
  <c r="AH65" i="10"/>
  <c r="AK64" i="10"/>
  <c r="AJ64" i="10"/>
  <c r="AI64" i="10"/>
  <c r="AH64" i="10"/>
  <c r="AK63" i="10"/>
  <c r="AJ63" i="10"/>
  <c r="AI63" i="10"/>
  <c r="AH63" i="10"/>
  <c r="AK62" i="10"/>
  <c r="AJ62" i="10"/>
  <c r="AI62" i="10"/>
  <c r="AH62" i="10"/>
  <c r="AK61" i="10"/>
  <c r="AJ61" i="10"/>
  <c r="AI61" i="10"/>
  <c r="AH61" i="10"/>
  <c r="AK60" i="10"/>
  <c r="AJ60" i="10"/>
  <c r="AI60" i="10"/>
  <c r="AH60" i="10"/>
  <c r="AK59" i="10"/>
  <c r="AJ59" i="10"/>
  <c r="AI59" i="10"/>
  <c r="AH59" i="10"/>
  <c r="AK58" i="10"/>
  <c r="AJ58" i="10"/>
  <c r="AI58" i="10"/>
  <c r="AH58" i="10"/>
  <c r="AK57" i="10"/>
  <c r="AJ57" i="10"/>
  <c r="AI57" i="10"/>
  <c r="AH57" i="10"/>
  <c r="AK56" i="10"/>
  <c r="AJ56" i="10"/>
  <c r="AI56" i="10"/>
  <c r="AH56" i="10"/>
  <c r="AK55" i="10"/>
  <c r="AJ55" i="10"/>
  <c r="AI55" i="10"/>
  <c r="AH55" i="10"/>
  <c r="AK54" i="10"/>
  <c r="AJ54" i="10"/>
  <c r="AI54" i="10"/>
  <c r="AH54" i="10"/>
  <c r="AK53" i="10"/>
  <c r="AJ53" i="10"/>
  <c r="AI53" i="10"/>
  <c r="AH53" i="10"/>
  <c r="AK52" i="10"/>
  <c r="AJ52" i="10"/>
  <c r="AI52" i="10"/>
  <c r="AH52" i="10"/>
  <c r="AK51" i="10"/>
  <c r="AJ51" i="10"/>
  <c r="AI51" i="10"/>
  <c r="AH51" i="10"/>
  <c r="AK50" i="10"/>
  <c r="AJ50" i="10"/>
  <c r="AI50" i="10"/>
  <c r="AH50" i="10"/>
  <c r="AK49" i="10"/>
  <c r="AJ49" i="10"/>
  <c r="AI49" i="10"/>
  <c r="AH49" i="10"/>
  <c r="AK48" i="10"/>
  <c r="AJ48" i="10"/>
  <c r="AI48" i="10"/>
  <c r="AH48" i="10"/>
  <c r="AK47" i="10"/>
  <c r="AJ47" i="10"/>
  <c r="AI47" i="10"/>
  <c r="AH47" i="10"/>
  <c r="AK46" i="10"/>
  <c r="AJ46" i="10"/>
  <c r="AI46" i="10"/>
  <c r="AH46" i="10"/>
  <c r="AK45" i="10"/>
  <c r="AJ45" i="10"/>
  <c r="AI45" i="10"/>
  <c r="AH45" i="10"/>
  <c r="AK44" i="10"/>
  <c r="AJ44" i="10"/>
  <c r="AI44" i="10"/>
  <c r="AH44" i="10"/>
  <c r="AK43" i="10"/>
  <c r="AJ43" i="10"/>
  <c r="AI43" i="10"/>
  <c r="AH43" i="10"/>
  <c r="AK42" i="10"/>
  <c r="AJ42" i="10"/>
  <c r="AI42" i="10"/>
  <c r="AH42" i="10"/>
  <c r="AK41" i="10"/>
  <c r="AJ41" i="10"/>
  <c r="AI41" i="10"/>
  <c r="AH41" i="10"/>
  <c r="AK40" i="10"/>
  <c r="AJ40" i="10"/>
  <c r="AI40" i="10"/>
  <c r="AH40" i="10"/>
  <c r="AK39" i="10"/>
  <c r="AJ39" i="10"/>
  <c r="AI39" i="10"/>
  <c r="AH39" i="10"/>
  <c r="AK38" i="10"/>
  <c r="AJ38" i="10"/>
  <c r="AI38" i="10"/>
  <c r="AH38" i="10"/>
  <c r="AK37" i="10"/>
  <c r="AJ37" i="10"/>
  <c r="AI37" i="10"/>
  <c r="AH37" i="10"/>
  <c r="AK36" i="10"/>
  <c r="AJ36" i="10"/>
  <c r="AI36" i="10"/>
  <c r="AH36" i="10"/>
  <c r="AK35" i="10"/>
  <c r="AJ35" i="10"/>
  <c r="AI35" i="10"/>
  <c r="AH35" i="10"/>
  <c r="AK34" i="10"/>
  <c r="AJ34" i="10"/>
  <c r="AI34" i="10"/>
  <c r="AH34" i="10"/>
  <c r="AK33" i="10"/>
  <c r="AJ33" i="10"/>
  <c r="AI33" i="10"/>
  <c r="AH33" i="10"/>
  <c r="AK32" i="10"/>
  <c r="AJ32" i="10"/>
  <c r="AI32" i="10"/>
  <c r="AH32" i="10"/>
  <c r="AK31" i="10"/>
  <c r="AJ31" i="10"/>
  <c r="AI31" i="10"/>
  <c r="AH31" i="10"/>
  <c r="AK30" i="10"/>
  <c r="AJ30" i="10"/>
  <c r="AI30" i="10"/>
  <c r="AH30" i="10"/>
  <c r="AK29" i="10"/>
  <c r="AJ29" i="10"/>
  <c r="AI29" i="10"/>
  <c r="AH29" i="10"/>
  <c r="AK28" i="10"/>
  <c r="AJ28" i="10"/>
  <c r="AI28" i="10"/>
  <c r="AH28" i="10"/>
  <c r="AK27" i="10"/>
  <c r="AJ27" i="10"/>
  <c r="AI27" i="10"/>
  <c r="AH27" i="10"/>
  <c r="AK26" i="10"/>
  <c r="AJ26" i="10"/>
  <c r="AI26" i="10"/>
  <c r="AH26" i="10"/>
  <c r="AK25" i="10"/>
  <c r="AJ25" i="10"/>
  <c r="AI25" i="10"/>
  <c r="AH25" i="10"/>
  <c r="AK24" i="10"/>
  <c r="AJ24" i="10"/>
  <c r="AI24" i="10"/>
  <c r="AH24" i="10"/>
  <c r="AK23" i="10"/>
  <c r="AJ23" i="10"/>
  <c r="AI23" i="10"/>
  <c r="AH23" i="10"/>
  <c r="AK22" i="10"/>
  <c r="AJ22" i="10"/>
  <c r="AI22" i="10"/>
  <c r="AH22" i="10"/>
  <c r="AK21" i="10"/>
  <c r="AJ21" i="10"/>
  <c r="AI21" i="10"/>
  <c r="AH21" i="10"/>
  <c r="AK20" i="10"/>
  <c r="AJ20" i="10"/>
  <c r="AI20" i="10"/>
  <c r="AH20" i="10"/>
  <c r="AK19" i="10"/>
  <c r="AJ19" i="10"/>
  <c r="AI19" i="10"/>
  <c r="AH19" i="10"/>
  <c r="AK18" i="10"/>
  <c r="AJ18" i="10"/>
  <c r="AI18" i="10"/>
  <c r="AH18" i="10"/>
  <c r="AK17" i="10"/>
  <c r="AJ17" i="10"/>
  <c r="AI17" i="10"/>
  <c r="AH17" i="10"/>
  <c r="AK16" i="10"/>
  <c r="AJ16" i="10"/>
  <c r="AI16" i="10"/>
  <c r="AH16" i="10"/>
  <c r="AK15" i="10"/>
  <c r="AJ15" i="10"/>
  <c r="AI15" i="10"/>
  <c r="AH15" i="10"/>
  <c r="AK14" i="10"/>
  <c r="AJ14" i="10"/>
  <c r="AI14" i="10"/>
  <c r="AH14" i="10"/>
  <c r="AK13" i="10"/>
  <c r="AJ13" i="10"/>
  <c r="AI13" i="10"/>
  <c r="AH13" i="10"/>
  <c r="AK12" i="10"/>
  <c r="AJ12" i="10"/>
  <c r="AI12" i="10"/>
  <c r="AH12" i="10"/>
  <c r="AK11" i="10"/>
  <c r="AJ11" i="10"/>
  <c r="AI11" i="10"/>
  <c r="AH11" i="10"/>
  <c r="AK10" i="10"/>
  <c r="AJ10" i="10"/>
  <c r="AI10" i="10"/>
  <c r="AH10" i="10"/>
  <c r="AK9" i="10"/>
  <c r="AJ9" i="10"/>
  <c r="AI9" i="10"/>
  <c r="AH9" i="10"/>
  <c r="AK8" i="10"/>
  <c r="AJ8" i="10"/>
  <c r="AI8" i="10"/>
  <c r="AH8" i="10"/>
  <c r="AK7" i="10"/>
  <c r="AJ7" i="10"/>
  <c r="AI7" i="10"/>
  <c r="AH7" i="10"/>
  <c r="AK6" i="10"/>
  <c r="AJ6" i="10"/>
  <c r="AI6" i="10"/>
  <c r="AH6" i="10"/>
  <c r="AK5" i="10"/>
  <c r="AJ5" i="10"/>
  <c r="AI5" i="10"/>
  <c r="AH5" i="10"/>
  <c r="AK4" i="10"/>
  <c r="AJ4" i="10"/>
  <c r="AI4" i="10"/>
  <c r="AH4" i="10"/>
  <c r="AK3" i="10"/>
  <c r="AJ3" i="10"/>
  <c r="AI3" i="10"/>
  <c r="AH3" i="10"/>
  <c r="AK2" i="10"/>
  <c r="AJ2" i="10"/>
  <c r="AI2" i="10"/>
  <c r="AH2" i="10"/>
  <c r="AK1" i="10"/>
  <c r="AJ1" i="10"/>
  <c r="AI1" i="10"/>
  <c r="AH1" i="10"/>
  <c r="AG152" i="10"/>
  <c r="AF152" i="10"/>
  <c r="AE152" i="10"/>
  <c r="AD152" i="10"/>
  <c r="AC152" i="10"/>
  <c r="AB152" i="10"/>
  <c r="AA152" i="10"/>
  <c r="Z152" i="10"/>
  <c r="Y152" i="10"/>
  <c r="X152" i="10"/>
  <c r="AG151" i="10"/>
  <c r="AF151" i="10"/>
  <c r="AE151" i="10"/>
  <c r="AD151" i="10"/>
  <c r="AC151" i="10"/>
  <c r="AB151" i="10"/>
  <c r="AA151" i="10"/>
  <c r="Z151" i="10"/>
  <c r="Y151" i="10"/>
  <c r="X151" i="10"/>
  <c r="AG150" i="10"/>
  <c r="AF150" i="10"/>
  <c r="AE150" i="10"/>
  <c r="AD150" i="10"/>
  <c r="AC150" i="10"/>
  <c r="AB150" i="10"/>
  <c r="AA150" i="10"/>
  <c r="Z150" i="10"/>
  <c r="Y150" i="10"/>
  <c r="X150" i="10"/>
  <c r="AG149" i="10"/>
  <c r="AF149" i="10"/>
  <c r="AE149" i="10"/>
  <c r="AD149" i="10"/>
  <c r="AC149" i="10"/>
  <c r="AB149" i="10"/>
  <c r="AA149" i="10"/>
  <c r="Z149" i="10"/>
  <c r="Y149" i="10"/>
  <c r="X149" i="10"/>
  <c r="AG148" i="10"/>
  <c r="AF148" i="10"/>
  <c r="AE148" i="10"/>
  <c r="AD148" i="10"/>
  <c r="AC148" i="10"/>
  <c r="AB148" i="10"/>
  <c r="AA148" i="10"/>
  <c r="Z148" i="10"/>
  <c r="Y148" i="10"/>
  <c r="X148" i="10"/>
  <c r="AG147" i="10"/>
  <c r="AF147" i="10"/>
  <c r="AE147" i="10"/>
  <c r="AD147" i="10"/>
  <c r="AC147" i="10"/>
  <c r="AB147" i="10"/>
  <c r="AA147" i="10"/>
  <c r="Z147" i="10"/>
  <c r="Y147" i="10"/>
  <c r="X147" i="10"/>
  <c r="AG146" i="10"/>
  <c r="AF146" i="10"/>
  <c r="AE146" i="10"/>
  <c r="AD146" i="10"/>
  <c r="AC146" i="10"/>
  <c r="AB146" i="10"/>
  <c r="AA146" i="10"/>
  <c r="Z146" i="10"/>
  <c r="Y146" i="10"/>
  <c r="X146" i="10"/>
  <c r="AG145" i="10"/>
  <c r="AF145" i="10"/>
  <c r="AE145" i="10"/>
  <c r="AD145" i="10"/>
  <c r="AC145" i="10"/>
  <c r="AB145" i="10"/>
  <c r="AA145" i="10"/>
  <c r="Z145" i="10"/>
  <c r="Y145" i="10"/>
  <c r="X145" i="10"/>
  <c r="AG144" i="10"/>
  <c r="AF144" i="10"/>
  <c r="AE144" i="10"/>
  <c r="AD144" i="10"/>
  <c r="AC144" i="10"/>
  <c r="AB144" i="10"/>
  <c r="AA144" i="10"/>
  <c r="Z144" i="10"/>
  <c r="Y144" i="10"/>
  <c r="X144" i="10"/>
  <c r="AG143" i="10"/>
  <c r="AF143" i="10"/>
  <c r="AE143" i="10"/>
  <c r="AD143" i="10"/>
  <c r="AC143" i="10"/>
  <c r="AB143" i="10"/>
  <c r="AA143" i="10"/>
  <c r="Z143" i="10"/>
  <c r="Y143" i="10"/>
  <c r="X143" i="10"/>
  <c r="AG142" i="10"/>
  <c r="AF142" i="10"/>
  <c r="AE142" i="10"/>
  <c r="AD142" i="10"/>
  <c r="AC142" i="10"/>
  <c r="AB142" i="10"/>
  <c r="AA142" i="10"/>
  <c r="Z142" i="10"/>
  <c r="Y142" i="10"/>
  <c r="X142" i="10"/>
  <c r="AG141" i="10"/>
  <c r="AF141" i="10"/>
  <c r="AE141" i="10"/>
  <c r="AD141" i="10"/>
  <c r="AC141" i="10"/>
  <c r="AB141" i="10"/>
  <c r="AA141" i="10"/>
  <c r="Z141" i="10"/>
  <c r="Y141" i="10"/>
  <c r="X141" i="10"/>
  <c r="AG140" i="10"/>
  <c r="AF140" i="10"/>
  <c r="AE140" i="10"/>
  <c r="AD140" i="10"/>
  <c r="AC140" i="10"/>
  <c r="AB140" i="10"/>
  <c r="AA140" i="10"/>
  <c r="Z140" i="10"/>
  <c r="Y140" i="10"/>
  <c r="X140" i="10"/>
  <c r="AG139" i="10"/>
  <c r="AF139" i="10"/>
  <c r="AE139" i="10"/>
  <c r="AD139" i="10"/>
  <c r="AC139" i="10"/>
  <c r="AB139" i="10"/>
  <c r="AA139" i="10"/>
  <c r="Z139" i="10"/>
  <c r="Y139" i="10"/>
  <c r="X139" i="10"/>
  <c r="AG138" i="10"/>
  <c r="AF138" i="10"/>
  <c r="AE138" i="10"/>
  <c r="AD138" i="10"/>
  <c r="AC138" i="10"/>
  <c r="AB138" i="10"/>
  <c r="AA138" i="10"/>
  <c r="Z138" i="10"/>
  <c r="Y138" i="10"/>
  <c r="X138" i="10"/>
  <c r="AG137" i="10"/>
  <c r="AF137" i="10"/>
  <c r="AE137" i="10"/>
  <c r="AD137" i="10"/>
  <c r="AC137" i="10"/>
  <c r="AB137" i="10"/>
  <c r="AA137" i="10"/>
  <c r="Z137" i="10"/>
  <c r="Y137" i="10"/>
  <c r="X137" i="10"/>
  <c r="AG136" i="10"/>
  <c r="AF136" i="10"/>
  <c r="AE136" i="10"/>
  <c r="AD136" i="10"/>
  <c r="AC136" i="10"/>
  <c r="AB136" i="10"/>
  <c r="AA136" i="10"/>
  <c r="Z136" i="10"/>
  <c r="Y136" i="10"/>
  <c r="X136" i="10"/>
  <c r="AG135" i="10"/>
  <c r="AF135" i="10"/>
  <c r="AE135" i="10"/>
  <c r="AD135" i="10"/>
  <c r="AC135" i="10"/>
  <c r="AB135" i="10"/>
  <c r="AA135" i="10"/>
  <c r="Z135" i="10"/>
  <c r="Y135" i="10"/>
  <c r="X135" i="10"/>
  <c r="AG134" i="10"/>
  <c r="AF134" i="10"/>
  <c r="AE134" i="10"/>
  <c r="AD134" i="10"/>
  <c r="AC134" i="10"/>
  <c r="AB134" i="10"/>
  <c r="AA134" i="10"/>
  <c r="Z134" i="10"/>
  <c r="Y134" i="10"/>
  <c r="X134" i="10"/>
  <c r="AG133" i="10"/>
  <c r="AF133" i="10"/>
  <c r="AE133" i="10"/>
  <c r="AD133" i="10"/>
  <c r="AC133" i="10"/>
  <c r="AB133" i="10"/>
  <c r="AA133" i="10"/>
  <c r="Z133" i="10"/>
  <c r="Y133" i="10"/>
  <c r="X133" i="10"/>
  <c r="AG132" i="10"/>
  <c r="AF132" i="10"/>
  <c r="AE132" i="10"/>
  <c r="AD132" i="10"/>
  <c r="AC132" i="10"/>
  <c r="AB132" i="10"/>
  <c r="AA132" i="10"/>
  <c r="Z132" i="10"/>
  <c r="Y132" i="10"/>
  <c r="X132" i="10"/>
  <c r="AG131" i="10"/>
  <c r="AF131" i="10"/>
  <c r="AE131" i="10"/>
  <c r="AD131" i="10"/>
  <c r="AC131" i="10"/>
  <c r="AB131" i="10"/>
  <c r="AA131" i="10"/>
  <c r="Z131" i="10"/>
  <c r="Y131" i="10"/>
  <c r="X131" i="10"/>
  <c r="AG130" i="10"/>
  <c r="AF130" i="10"/>
  <c r="AE130" i="10"/>
  <c r="AD130" i="10"/>
  <c r="AC130" i="10"/>
  <c r="AB130" i="10"/>
  <c r="AA130" i="10"/>
  <c r="Z130" i="10"/>
  <c r="Y130" i="10"/>
  <c r="X130" i="10"/>
  <c r="AG129" i="10"/>
  <c r="AF129" i="10"/>
  <c r="AE129" i="10"/>
  <c r="AD129" i="10"/>
  <c r="AC129" i="10"/>
  <c r="AB129" i="10"/>
  <c r="AA129" i="10"/>
  <c r="Z129" i="10"/>
  <c r="Y129" i="10"/>
  <c r="X129" i="10"/>
  <c r="AG128" i="10"/>
  <c r="AF128" i="10"/>
  <c r="AE128" i="10"/>
  <c r="AD128" i="10"/>
  <c r="AC128" i="10"/>
  <c r="AB128" i="10"/>
  <c r="AA128" i="10"/>
  <c r="Z128" i="10"/>
  <c r="Y128" i="10"/>
  <c r="X128" i="10"/>
  <c r="AG127" i="10"/>
  <c r="AF127" i="10"/>
  <c r="AE127" i="10"/>
  <c r="AD127" i="10"/>
  <c r="AC127" i="10"/>
  <c r="AB127" i="10"/>
  <c r="AA127" i="10"/>
  <c r="Z127" i="10"/>
  <c r="Y127" i="10"/>
  <c r="X127" i="10"/>
  <c r="AG126" i="10"/>
  <c r="AF126" i="10"/>
  <c r="AE126" i="10"/>
  <c r="AD126" i="10"/>
  <c r="AC126" i="10"/>
  <c r="AB126" i="10"/>
  <c r="AA126" i="10"/>
  <c r="Z126" i="10"/>
  <c r="Y126" i="10"/>
  <c r="X126" i="10"/>
  <c r="AG125" i="10"/>
  <c r="AF125" i="10"/>
  <c r="AE125" i="10"/>
  <c r="AD125" i="10"/>
  <c r="AC125" i="10"/>
  <c r="AB125" i="10"/>
  <c r="AA125" i="10"/>
  <c r="Z125" i="10"/>
  <c r="Y125" i="10"/>
  <c r="X125" i="10"/>
  <c r="AG124" i="10"/>
  <c r="AF124" i="10"/>
  <c r="AE124" i="10"/>
  <c r="AD124" i="10"/>
  <c r="AC124" i="10"/>
  <c r="AB124" i="10"/>
  <c r="AA124" i="10"/>
  <c r="Z124" i="10"/>
  <c r="Y124" i="10"/>
  <c r="X124" i="10"/>
  <c r="AG123" i="10"/>
  <c r="AF123" i="10"/>
  <c r="AE123" i="10"/>
  <c r="AD123" i="10"/>
  <c r="AC123" i="10"/>
  <c r="AB123" i="10"/>
  <c r="AA123" i="10"/>
  <c r="Z123" i="10"/>
  <c r="Y123" i="10"/>
  <c r="X123" i="10"/>
  <c r="AG122" i="10"/>
  <c r="AF122" i="10"/>
  <c r="AE122" i="10"/>
  <c r="AD122" i="10"/>
  <c r="AC122" i="10"/>
  <c r="AB122" i="10"/>
  <c r="AA122" i="10"/>
  <c r="Z122" i="10"/>
  <c r="Y122" i="10"/>
  <c r="X122" i="10"/>
  <c r="AG121" i="10"/>
  <c r="AF121" i="10"/>
  <c r="AE121" i="10"/>
  <c r="AD121" i="10"/>
  <c r="AC121" i="10"/>
  <c r="AB121" i="10"/>
  <c r="AA121" i="10"/>
  <c r="Z121" i="10"/>
  <c r="Y121" i="10"/>
  <c r="X121" i="10"/>
  <c r="AG120" i="10"/>
  <c r="AF120" i="10"/>
  <c r="AE120" i="10"/>
  <c r="AD120" i="10"/>
  <c r="AC120" i="10"/>
  <c r="AB120" i="10"/>
  <c r="AA120" i="10"/>
  <c r="Z120" i="10"/>
  <c r="Y120" i="10"/>
  <c r="X120" i="10"/>
  <c r="AG119" i="10"/>
  <c r="AF119" i="10"/>
  <c r="AE119" i="10"/>
  <c r="AD119" i="10"/>
  <c r="AC119" i="10"/>
  <c r="AB119" i="10"/>
  <c r="AA119" i="10"/>
  <c r="Z119" i="10"/>
  <c r="Y119" i="10"/>
  <c r="X119" i="10"/>
  <c r="AG118" i="10"/>
  <c r="AF118" i="10"/>
  <c r="AE118" i="10"/>
  <c r="AD118" i="10"/>
  <c r="AC118" i="10"/>
  <c r="AB118" i="10"/>
  <c r="AA118" i="10"/>
  <c r="Z118" i="10"/>
  <c r="Y118" i="10"/>
  <c r="X118" i="10"/>
  <c r="AG117" i="10"/>
  <c r="AF117" i="10"/>
  <c r="AE117" i="10"/>
  <c r="AD117" i="10"/>
  <c r="AC117" i="10"/>
  <c r="AB117" i="10"/>
  <c r="AA117" i="10"/>
  <c r="Z117" i="10"/>
  <c r="Y117" i="10"/>
  <c r="X117" i="10"/>
  <c r="AG116" i="10"/>
  <c r="AF116" i="10"/>
  <c r="AE116" i="10"/>
  <c r="AD116" i="10"/>
  <c r="AC116" i="10"/>
  <c r="AB116" i="10"/>
  <c r="AA116" i="10"/>
  <c r="Z116" i="10"/>
  <c r="Y116" i="10"/>
  <c r="X116" i="10"/>
  <c r="AG115" i="10"/>
  <c r="AF115" i="10"/>
  <c r="AE115" i="10"/>
  <c r="AD115" i="10"/>
  <c r="AC115" i="10"/>
  <c r="AB115" i="10"/>
  <c r="AA115" i="10"/>
  <c r="Z115" i="10"/>
  <c r="Y115" i="10"/>
  <c r="X115" i="10"/>
  <c r="AG114" i="10"/>
  <c r="AF114" i="10"/>
  <c r="AE114" i="10"/>
  <c r="AD114" i="10"/>
  <c r="AC114" i="10"/>
  <c r="AB114" i="10"/>
  <c r="AA114" i="10"/>
  <c r="Z114" i="10"/>
  <c r="Y114" i="10"/>
  <c r="X114" i="10"/>
  <c r="AG113" i="10"/>
  <c r="AF113" i="10"/>
  <c r="AE113" i="10"/>
  <c r="AD113" i="10"/>
  <c r="AC113" i="10"/>
  <c r="AB113" i="10"/>
  <c r="AA113" i="10"/>
  <c r="Z113" i="10"/>
  <c r="Y113" i="10"/>
  <c r="X113" i="10"/>
  <c r="AG112" i="10"/>
  <c r="AF112" i="10"/>
  <c r="AE112" i="10"/>
  <c r="AD112" i="10"/>
  <c r="AC112" i="10"/>
  <c r="AB112" i="10"/>
  <c r="AA112" i="10"/>
  <c r="Z112" i="10"/>
  <c r="Y112" i="10"/>
  <c r="X112" i="10"/>
  <c r="AG111" i="10"/>
  <c r="AF111" i="10"/>
  <c r="AE111" i="10"/>
  <c r="AD111" i="10"/>
  <c r="AC111" i="10"/>
  <c r="AB111" i="10"/>
  <c r="AA111" i="10"/>
  <c r="Z111" i="10"/>
  <c r="Y111" i="10"/>
  <c r="X111" i="10"/>
  <c r="AG110" i="10"/>
  <c r="AF110" i="10"/>
  <c r="AE110" i="10"/>
  <c r="AD110" i="10"/>
  <c r="AC110" i="10"/>
  <c r="AB110" i="10"/>
  <c r="AA110" i="10"/>
  <c r="Z110" i="10"/>
  <c r="Y110" i="10"/>
  <c r="X110" i="10"/>
  <c r="AG109" i="10"/>
  <c r="AF109" i="10"/>
  <c r="AE109" i="10"/>
  <c r="AD109" i="10"/>
  <c r="AC109" i="10"/>
  <c r="AB109" i="10"/>
  <c r="AA109" i="10"/>
  <c r="Z109" i="10"/>
  <c r="Y109" i="10"/>
  <c r="X109" i="10"/>
  <c r="AG108" i="10"/>
  <c r="AF108" i="10"/>
  <c r="AE108" i="10"/>
  <c r="AD108" i="10"/>
  <c r="AC108" i="10"/>
  <c r="AB108" i="10"/>
  <c r="AA108" i="10"/>
  <c r="Z108" i="10"/>
  <c r="Y108" i="10"/>
  <c r="X108" i="10"/>
  <c r="AG107" i="10"/>
  <c r="AF107" i="10"/>
  <c r="AE107" i="10"/>
  <c r="AD107" i="10"/>
  <c r="AC107" i="10"/>
  <c r="AB107" i="10"/>
  <c r="AA107" i="10"/>
  <c r="Z107" i="10"/>
  <c r="Y107" i="10"/>
  <c r="X107" i="10"/>
  <c r="AG106" i="10"/>
  <c r="AF106" i="10"/>
  <c r="AE106" i="10"/>
  <c r="AD106" i="10"/>
  <c r="AC106" i="10"/>
  <c r="AB106" i="10"/>
  <c r="AA106" i="10"/>
  <c r="Z106" i="10"/>
  <c r="Y106" i="10"/>
  <c r="X106" i="10"/>
  <c r="AG105" i="10"/>
  <c r="AF105" i="10"/>
  <c r="AE105" i="10"/>
  <c r="AD105" i="10"/>
  <c r="AC105" i="10"/>
  <c r="AB105" i="10"/>
  <c r="AA105" i="10"/>
  <c r="Z105" i="10"/>
  <c r="Y105" i="10"/>
  <c r="X105" i="10"/>
  <c r="AG104" i="10"/>
  <c r="AF104" i="10"/>
  <c r="AE104" i="10"/>
  <c r="AD104" i="10"/>
  <c r="AC104" i="10"/>
  <c r="AB104" i="10"/>
  <c r="AA104" i="10"/>
  <c r="Z104" i="10"/>
  <c r="Y104" i="10"/>
  <c r="X104" i="10"/>
  <c r="AG103" i="10"/>
  <c r="AF103" i="10"/>
  <c r="AE103" i="10"/>
  <c r="AD103" i="10"/>
  <c r="AC103" i="10"/>
  <c r="AB103" i="10"/>
  <c r="AA103" i="10"/>
  <c r="Z103" i="10"/>
  <c r="Y103" i="10"/>
  <c r="X103" i="10"/>
  <c r="AG102" i="10"/>
  <c r="AF102" i="10"/>
  <c r="AE102" i="10"/>
  <c r="AD102" i="10"/>
  <c r="AC102" i="10"/>
  <c r="AB102" i="10"/>
  <c r="AA102" i="10"/>
  <c r="Z102" i="10"/>
  <c r="Y102" i="10"/>
  <c r="X102" i="10"/>
  <c r="AG101" i="10"/>
  <c r="AF101" i="10"/>
  <c r="AE101" i="10"/>
  <c r="AD101" i="10"/>
  <c r="AC101" i="10"/>
  <c r="AB101" i="10"/>
  <c r="AA101" i="10"/>
  <c r="Z101" i="10"/>
  <c r="Y101" i="10"/>
  <c r="X101" i="10"/>
  <c r="AG100" i="10"/>
  <c r="AF100" i="10"/>
  <c r="AE100" i="10"/>
  <c r="AD100" i="10"/>
  <c r="AC100" i="10"/>
  <c r="AB100" i="10"/>
  <c r="AA100" i="10"/>
  <c r="Z100" i="10"/>
  <c r="Y100" i="10"/>
  <c r="X100" i="10"/>
  <c r="AG99" i="10"/>
  <c r="AF99" i="10"/>
  <c r="AE99" i="10"/>
  <c r="AD99" i="10"/>
  <c r="AC99" i="10"/>
  <c r="AB99" i="10"/>
  <c r="AA99" i="10"/>
  <c r="Z99" i="10"/>
  <c r="Y99" i="10"/>
  <c r="X99" i="10"/>
  <c r="AG98" i="10"/>
  <c r="AF98" i="10"/>
  <c r="AE98" i="10"/>
  <c r="AD98" i="10"/>
  <c r="AC98" i="10"/>
  <c r="AB98" i="10"/>
  <c r="AA98" i="10"/>
  <c r="Z98" i="10"/>
  <c r="Y98" i="10"/>
  <c r="X98" i="10"/>
  <c r="AG97" i="10"/>
  <c r="AF97" i="10"/>
  <c r="AE97" i="10"/>
  <c r="AD97" i="10"/>
  <c r="AC97" i="10"/>
  <c r="AB97" i="10"/>
  <c r="AA97" i="10"/>
  <c r="Z97" i="10"/>
  <c r="Y97" i="10"/>
  <c r="X97" i="10"/>
  <c r="AG96" i="10"/>
  <c r="AF96" i="10"/>
  <c r="AE96" i="10"/>
  <c r="AD96" i="10"/>
  <c r="AC96" i="10"/>
  <c r="AB96" i="10"/>
  <c r="AA96" i="10"/>
  <c r="Z96" i="10"/>
  <c r="Y96" i="10"/>
  <c r="X96" i="10"/>
  <c r="AG95" i="10"/>
  <c r="AF95" i="10"/>
  <c r="AE95" i="10"/>
  <c r="AD95" i="10"/>
  <c r="AC95" i="10"/>
  <c r="AB95" i="10"/>
  <c r="AA95" i="10"/>
  <c r="Z95" i="10"/>
  <c r="Y95" i="10"/>
  <c r="X95" i="10"/>
  <c r="AG94" i="10"/>
  <c r="AF94" i="10"/>
  <c r="AE94" i="10"/>
  <c r="AD94" i="10"/>
  <c r="AC94" i="10"/>
  <c r="AB94" i="10"/>
  <c r="AA94" i="10"/>
  <c r="Z94" i="10"/>
  <c r="Y94" i="10"/>
  <c r="X94" i="10"/>
  <c r="AG93" i="10"/>
  <c r="AF93" i="10"/>
  <c r="AE93" i="10"/>
  <c r="AD93" i="10"/>
  <c r="AC93" i="10"/>
  <c r="AB93" i="10"/>
  <c r="AA93" i="10"/>
  <c r="Z93" i="10"/>
  <c r="Y93" i="10"/>
  <c r="X93" i="10"/>
  <c r="AG92" i="10"/>
  <c r="AF92" i="10"/>
  <c r="AE92" i="10"/>
  <c r="AD92" i="10"/>
  <c r="AC92" i="10"/>
  <c r="AB92" i="10"/>
  <c r="AA92" i="10"/>
  <c r="Z92" i="10"/>
  <c r="Y92" i="10"/>
  <c r="X92" i="10"/>
  <c r="AG91" i="10"/>
  <c r="AF91" i="10"/>
  <c r="AE91" i="10"/>
  <c r="AD91" i="10"/>
  <c r="AC91" i="10"/>
  <c r="AB91" i="10"/>
  <c r="AA91" i="10"/>
  <c r="Z91" i="10"/>
  <c r="Y91" i="10"/>
  <c r="X91" i="10"/>
  <c r="AG90" i="10"/>
  <c r="AF90" i="10"/>
  <c r="AE90" i="10"/>
  <c r="AD90" i="10"/>
  <c r="AC90" i="10"/>
  <c r="AB90" i="10"/>
  <c r="AA90" i="10"/>
  <c r="Z90" i="10"/>
  <c r="Y90" i="10"/>
  <c r="X90" i="10"/>
  <c r="AG89" i="10"/>
  <c r="AF89" i="10"/>
  <c r="AE89" i="10"/>
  <c r="AD89" i="10"/>
  <c r="AC89" i="10"/>
  <c r="AB89" i="10"/>
  <c r="AA89" i="10"/>
  <c r="Z89" i="10"/>
  <c r="Y89" i="10"/>
  <c r="X89" i="10"/>
  <c r="AG88" i="10"/>
  <c r="AF88" i="10"/>
  <c r="AE88" i="10"/>
  <c r="AD88" i="10"/>
  <c r="AC88" i="10"/>
  <c r="AB88" i="10"/>
  <c r="AA88" i="10"/>
  <c r="Z88" i="10"/>
  <c r="Y88" i="10"/>
  <c r="X88" i="10"/>
  <c r="AG87" i="10"/>
  <c r="AF87" i="10"/>
  <c r="AE87" i="10"/>
  <c r="AD87" i="10"/>
  <c r="AC87" i="10"/>
  <c r="AB87" i="10"/>
  <c r="AA87" i="10"/>
  <c r="Z87" i="10"/>
  <c r="Y87" i="10"/>
  <c r="X87" i="10"/>
  <c r="AG86" i="10"/>
  <c r="AF86" i="10"/>
  <c r="AE86" i="10"/>
  <c r="AD86" i="10"/>
  <c r="AC86" i="10"/>
  <c r="AB86" i="10"/>
  <c r="AA86" i="10"/>
  <c r="Z86" i="10"/>
  <c r="Y86" i="10"/>
  <c r="X86" i="10"/>
  <c r="AG85" i="10"/>
  <c r="AF85" i="10"/>
  <c r="AE85" i="10"/>
  <c r="AD85" i="10"/>
  <c r="AC85" i="10"/>
  <c r="AB85" i="10"/>
  <c r="AA85" i="10"/>
  <c r="Z85" i="10"/>
  <c r="Y85" i="10"/>
  <c r="X85" i="10"/>
  <c r="AG84" i="10"/>
  <c r="AF84" i="10"/>
  <c r="AE84" i="10"/>
  <c r="AD84" i="10"/>
  <c r="AC84" i="10"/>
  <c r="AB84" i="10"/>
  <c r="AA84" i="10"/>
  <c r="Z84" i="10"/>
  <c r="Y84" i="10"/>
  <c r="X84" i="10"/>
  <c r="AG83" i="10"/>
  <c r="AF83" i="10"/>
  <c r="AE83" i="10"/>
  <c r="AD83" i="10"/>
  <c r="AC83" i="10"/>
  <c r="AB83" i="10"/>
  <c r="AA83" i="10"/>
  <c r="Z83" i="10"/>
  <c r="Y83" i="10"/>
  <c r="X83" i="10"/>
  <c r="AG82" i="10"/>
  <c r="AF82" i="10"/>
  <c r="AE82" i="10"/>
  <c r="AD82" i="10"/>
  <c r="AC82" i="10"/>
  <c r="AB82" i="10"/>
  <c r="AA82" i="10"/>
  <c r="Z82" i="10"/>
  <c r="Y82" i="10"/>
  <c r="X82" i="10"/>
  <c r="AG81" i="10"/>
  <c r="AF81" i="10"/>
  <c r="AE81" i="10"/>
  <c r="AD81" i="10"/>
  <c r="AC81" i="10"/>
  <c r="AB81" i="10"/>
  <c r="AA81" i="10"/>
  <c r="Z81" i="10"/>
  <c r="Y81" i="10"/>
  <c r="X81" i="10"/>
  <c r="AG80" i="10"/>
  <c r="AF80" i="10"/>
  <c r="AE80" i="10"/>
  <c r="AD80" i="10"/>
  <c r="AC80" i="10"/>
  <c r="AB80" i="10"/>
  <c r="AA80" i="10"/>
  <c r="Z80" i="10"/>
  <c r="Y80" i="10"/>
  <c r="X80" i="10"/>
  <c r="AG79" i="10"/>
  <c r="AF79" i="10"/>
  <c r="AE79" i="10"/>
  <c r="AD79" i="10"/>
  <c r="AC79" i="10"/>
  <c r="AB79" i="10"/>
  <c r="AA79" i="10"/>
  <c r="Z79" i="10"/>
  <c r="Y79" i="10"/>
  <c r="X79" i="10"/>
  <c r="AG78" i="10"/>
  <c r="AF78" i="10"/>
  <c r="AE78" i="10"/>
  <c r="AD78" i="10"/>
  <c r="AC78" i="10"/>
  <c r="AB78" i="10"/>
  <c r="AA78" i="10"/>
  <c r="Z78" i="10"/>
  <c r="Y78" i="10"/>
  <c r="X78" i="10"/>
  <c r="AG77" i="10"/>
  <c r="AF77" i="10"/>
  <c r="AE77" i="10"/>
  <c r="AD77" i="10"/>
  <c r="AC77" i="10"/>
  <c r="AB77" i="10"/>
  <c r="AA77" i="10"/>
  <c r="Z77" i="10"/>
  <c r="Y77" i="10"/>
  <c r="X77" i="10"/>
  <c r="AG76" i="10"/>
  <c r="AF76" i="10"/>
  <c r="AE76" i="10"/>
  <c r="AD76" i="10"/>
  <c r="AC76" i="10"/>
  <c r="AB76" i="10"/>
  <c r="AA76" i="10"/>
  <c r="Z76" i="10"/>
  <c r="Y76" i="10"/>
  <c r="X76" i="10"/>
  <c r="AG75" i="10"/>
  <c r="AF75" i="10"/>
  <c r="AE75" i="10"/>
  <c r="AD75" i="10"/>
  <c r="AC75" i="10"/>
  <c r="AB75" i="10"/>
  <c r="AA75" i="10"/>
  <c r="Z75" i="10"/>
  <c r="Y75" i="10"/>
  <c r="X75" i="10"/>
  <c r="AG74" i="10"/>
  <c r="AF74" i="10"/>
  <c r="AE74" i="10"/>
  <c r="AD74" i="10"/>
  <c r="AC74" i="10"/>
  <c r="AB74" i="10"/>
  <c r="AA74" i="10"/>
  <c r="Z74" i="10"/>
  <c r="Y74" i="10"/>
  <c r="X74" i="10"/>
  <c r="AG73" i="10"/>
  <c r="AF73" i="10"/>
  <c r="AE73" i="10"/>
  <c r="AD73" i="10"/>
  <c r="AC73" i="10"/>
  <c r="AB73" i="10"/>
  <c r="AA73" i="10"/>
  <c r="Z73" i="10"/>
  <c r="Y73" i="10"/>
  <c r="X73" i="10"/>
  <c r="AG72" i="10"/>
  <c r="AF72" i="10"/>
  <c r="AE72" i="10"/>
  <c r="AD72" i="10"/>
  <c r="AC72" i="10"/>
  <c r="AB72" i="10"/>
  <c r="AA72" i="10"/>
  <c r="Z72" i="10"/>
  <c r="Y72" i="10"/>
  <c r="X72" i="10"/>
  <c r="AG71" i="10"/>
  <c r="AF71" i="10"/>
  <c r="AE71" i="10"/>
  <c r="AD71" i="10"/>
  <c r="AC71" i="10"/>
  <c r="AB71" i="10"/>
  <c r="AA71" i="10"/>
  <c r="Z71" i="10"/>
  <c r="Y71" i="10"/>
  <c r="X71" i="10"/>
  <c r="AG70" i="10"/>
  <c r="AF70" i="10"/>
  <c r="AE70" i="10"/>
  <c r="AD70" i="10"/>
  <c r="AC70" i="10"/>
  <c r="AB70" i="10"/>
  <c r="AA70" i="10"/>
  <c r="Z70" i="10"/>
  <c r="Y70" i="10"/>
  <c r="X70" i="10"/>
  <c r="AG69" i="10"/>
  <c r="AF69" i="10"/>
  <c r="AE69" i="10"/>
  <c r="AD69" i="10"/>
  <c r="AC69" i="10"/>
  <c r="AB69" i="10"/>
  <c r="AA69" i="10"/>
  <c r="Z69" i="10"/>
  <c r="Y69" i="10"/>
  <c r="X69" i="10"/>
  <c r="AG68" i="10"/>
  <c r="AF68" i="10"/>
  <c r="AE68" i="10"/>
  <c r="AD68" i="10"/>
  <c r="AC68" i="10"/>
  <c r="AB68" i="10"/>
  <c r="AA68" i="10"/>
  <c r="Z68" i="10"/>
  <c r="Y68" i="10"/>
  <c r="X68" i="10"/>
  <c r="AG67" i="10"/>
  <c r="AF67" i="10"/>
  <c r="AE67" i="10"/>
  <c r="AD67" i="10"/>
  <c r="AC67" i="10"/>
  <c r="AB67" i="10"/>
  <c r="AA67" i="10"/>
  <c r="Z67" i="10"/>
  <c r="Y67" i="10"/>
  <c r="X67" i="10"/>
  <c r="AG66" i="10"/>
  <c r="AF66" i="10"/>
  <c r="AE66" i="10"/>
  <c r="AD66" i="10"/>
  <c r="AC66" i="10"/>
  <c r="AB66" i="10"/>
  <c r="AA66" i="10"/>
  <c r="Z66" i="10"/>
  <c r="Y66" i="10"/>
  <c r="X66" i="10"/>
  <c r="AG65" i="10"/>
  <c r="AF65" i="10"/>
  <c r="AE65" i="10"/>
  <c r="AD65" i="10"/>
  <c r="AC65" i="10"/>
  <c r="AB65" i="10"/>
  <c r="AA65" i="10"/>
  <c r="Z65" i="10"/>
  <c r="Y65" i="10"/>
  <c r="X65" i="10"/>
  <c r="AG64" i="10"/>
  <c r="AF64" i="10"/>
  <c r="AE64" i="10"/>
  <c r="AD64" i="10"/>
  <c r="AC64" i="10"/>
  <c r="AB64" i="10"/>
  <c r="AA64" i="10"/>
  <c r="Z64" i="10"/>
  <c r="Y64" i="10"/>
  <c r="X64" i="10"/>
  <c r="AG63" i="10"/>
  <c r="AF63" i="10"/>
  <c r="AE63" i="10"/>
  <c r="AD63" i="10"/>
  <c r="AC63" i="10"/>
  <c r="AB63" i="10"/>
  <c r="AA63" i="10"/>
  <c r="Z63" i="10"/>
  <c r="Y63" i="10"/>
  <c r="X63" i="10"/>
  <c r="AG62" i="10"/>
  <c r="AF62" i="10"/>
  <c r="AE62" i="10"/>
  <c r="AD62" i="10"/>
  <c r="AC62" i="10"/>
  <c r="AB62" i="10"/>
  <c r="AA62" i="10"/>
  <c r="Z62" i="10"/>
  <c r="Y62" i="10"/>
  <c r="X62" i="10"/>
  <c r="AG61" i="10"/>
  <c r="AF61" i="10"/>
  <c r="AE61" i="10"/>
  <c r="AD61" i="10"/>
  <c r="AC61" i="10"/>
  <c r="AB61" i="10"/>
  <c r="AA61" i="10"/>
  <c r="Z61" i="10"/>
  <c r="Y61" i="10"/>
  <c r="X61" i="10"/>
  <c r="AG60" i="10"/>
  <c r="AF60" i="10"/>
  <c r="AE60" i="10"/>
  <c r="AD60" i="10"/>
  <c r="AC60" i="10"/>
  <c r="AB60" i="10"/>
  <c r="AA60" i="10"/>
  <c r="Z60" i="10"/>
  <c r="Y60" i="10"/>
  <c r="X60" i="10"/>
  <c r="AG59" i="10"/>
  <c r="AF59" i="10"/>
  <c r="AE59" i="10"/>
  <c r="AD59" i="10"/>
  <c r="AC59" i="10"/>
  <c r="AB59" i="10"/>
  <c r="AA59" i="10"/>
  <c r="Z59" i="10"/>
  <c r="Y59" i="10"/>
  <c r="X59" i="10"/>
  <c r="AG58" i="10"/>
  <c r="AF58" i="10"/>
  <c r="AE58" i="10"/>
  <c r="AD58" i="10"/>
  <c r="AC58" i="10"/>
  <c r="AB58" i="10"/>
  <c r="AA58" i="10"/>
  <c r="Z58" i="10"/>
  <c r="Y58" i="10"/>
  <c r="X58" i="10"/>
  <c r="AG57" i="10"/>
  <c r="AF57" i="10"/>
  <c r="AE57" i="10"/>
  <c r="AD57" i="10"/>
  <c r="AC57" i="10"/>
  <c r="AB57" i="10"/>
  <c r="AA57" i="10"/>
  <c r="Z57" i="10"/>
  <c r="Y57" i="10"/>
  <c r="X57" i="10"/>
  <c r="AG56" i="10"/>
  <c r="AF56" i="10"/>
  <c r="AE56" i="10"/>
  <c r="AD56" i="10"/>
  <c r="AC56" i="10"/>
  <c r="AB56" i="10"/>
  <c r="AA56" i="10"/>
  <c r="Z56" i="10"/>
  <c r="Y56" i="10"/>
  <c r="X56" i="10"/>
  <c r="AG55" i="10"/>
  <c r="AF55" i="10"/>
  <c r="AE55" i="10"/>
  <c r="AD55" i="10"/>
  <c r="AC55" i="10"/>
  <c r="AB55" i="10"/>
  <c r="AA55" i="10"/>
  <c r="Z55" i="10"/>
  <c r="Y55" i="10"/>
  <c r="X55" i="10"/>
  <c r="AG54" i="10"/>
  <c r="AF54" i="10"/>
  <c r="AE54" i="10"/>
  <c r="AD54" i="10"/>
  <c r="AC54" i="10"/>
  <c r="AB54" i="10"/>
  <c r="AA54" i="10"/>
  <c r="Z54" i="10"/>
  <c r="Y54" i="10"/>
  <c r="X54" i="10"/>
  <c r="AG53" i="10"/>
  <c r="AF53" i="10"/>
  <c r="AE53" i="10"/>
  <c r="AD53" i="10"/>
  <c r="AC53" i="10"/>
  <c r="AB53" i="10"/>
  <c r="AA53" i="10"/>
  <c r="Z53" i="10"/>
  <c r="Y53" i="10"/>
  <c r="X53" i="10"/>
  <c r="AG52" i="10"/>
  <c r="AF52" i="10"/>
  <c r="AE52" i="10"/>
  <c r="AD52" i="10"/>
  <c r="AC52" i="10"/>
  <c r="AB52" i="10"/>
  <c r="AA52" i="10"/>
  <c r="Z52" i="10"/>
  <c r="Y52" i="10"/>
  <c r="X52" i="10"/>
  <c r="AG51" i="10"/>
  <c r="AF51" i="10"/>
  <c r="AE51" i="10"/>
  <c r="AD51" i="10"/>
  <c r="AC51" i="10"/>
  <c r="AB51" i="10"/>
  <c r="AA51" i="10"/>
  <c r="Z51" i="10"/>
  <c r="Y51" i="10"/>
  <c r="X51" i="10"/>
  <c r="AG50" i="10"/>
  <c r="AF50" i="10"/>
  <c r="AE50" i="10"/>
  <c r="AD50" i="10"/>
  <c r="AC50" i="10"/>
  <c r="AB50" i="10"/>
  <c r="AA50" i="10"/>
  <c r="Z50" i="10"/>
  <c r="Y50" i="10"/>
  <c r="X50" i="10"/>
  <c r="AG49" i="10"/>
  <c r="AF49" i="10"/>
  <c r="AE49" i="10"/>
  <c r="AD49" i="10"/>
  <c r="AC49" i="10"/>
  <c r="AB49" i="10"/>
  <c r="AA49" i="10"/>
  <c r="Z49" i="10"/>
  <c r="Y49" i="10"/>
  <c r="X49" i="10"/>
  <c r="AG48" i="10"/>
  <c r="AF48" i="10"/>
  <c r="AE48" i="10"/>
  <c r="AD48" i="10"/>
  <c r="AC48" i="10"/>
  <c r="AB48" i="10"/>
  <c r="AA48" i="10"/>
  <c r="Z48" i="10"/>
  <c r="Y48" i="10"/>
  <c r="X48" i="10"/>
  <c r="AG47" i="10"/>
  <c r="AF47" i="10"/>
  <c r="AE47" i="10"/>
  <c r="AD47" i="10"/>
  <c r="AC47" i="10"/>
  <c r="AB47" i="10"/>
  <c r="AA47" i="10"/>
  <c r="Z47" i="10"/>
  <c r="Y47" i="10"/>
  <c r="X47" i="10"/>
  <c r="AG46" i="10"/>
  <c r="AF46" i="10"/>
  <c r="AE46" i="10"/>
  <c r="AD46" i="10"/>
  <c r="AC46" i="10"/>
  <c r="AB46" i="10"/>
  <c r="AA46" i="10"/>
  <c r="Z46" i="10"/>
  <c r="Y46" i="10"/>
  <c r="X46" i="10"/>
  <c r="AG45" i="10"/>
  <c r="AF45" i="10"/>
  <c r="AE45" i="10"/>
  <c r="AD45" i="10"/>
  <c r="AC45" i="10"/>
  <c r="AB45" i="10"/>
  <c r="AA45" i="10"/>
  <c r="Z45" i="10"/>
  <c r="Y45" i="10"/>
  <c r="X45" i="10"/>
  <c r="AG44" i="10"/>
  <c r="AF44" i="10"/>
  <c r="AE44" i="10"/>
  <c r="AD44" i="10"/>
  <c r="AC44" i="10"/>
  <c r="AB44" i="10"/>
  <c r="AA44" i="10"/>
  <c r="Z44" i="10"/>
  <c r="Y44" i="10"/>
  <c r="X44" i="10"/>
  <c r="AG43" i="10"/>
  <c r="AF43" i="10"/>
  <c r="AE43" i="10"/>
  <c r="AD43" i="10"/>
  <c r="AC43" i="10"/>
  <c r="AB43" i="10"/>
  <c r="AA43" i="10"/>
  <c r="Z43" i="10"/>
  <c r="Y43" i="10"/>
  <c r="X43" i="10"/>
  <c r="AG42" i="10"/>
  <c r="AF42" i="10"/>
  <c r="AE42" i="10"/>
  <c r="AD42" i="10"/>
  <c r="AC42" i="10"/>
  <c r="AB42" i="10"/>
  <c r="AA42" i="10"/>
  <c r="Z42" i="10"/>
  <c r="Y42" i="10"/>
  <c r="X42" i="10"/>
  <c r="AG41" i="10"/>
  <c r="AF41" i="10"/>
  <c r="AE41" i="10"/>
  <c r="AD41" i="10"/>
  <c r="AC41" i="10"/>
  <c r="AB41" i="10"/>
  <c r="AA41" i="10"/>
  <c r="Z41" i="10"/>
  <c r="Y41" i="10"/>
  <c r="X41" i="10"/>
  <c r="AG40" i="10"/>
  <c r="AF40" i="10"/>
  <c r="AE40" i="10"/>
  <c r="AD40" i="10"/>
  <c r="AC40" i="10"/>
  <c r="AB40" i="10"/>
  <c r="AA40" i="10"/>
  <c r="Z40" i="10"/>
  <c r="Y40" i="10"/>
  <c r="X40" i="10"/>
  <c r="AG39" i="10"/>
  <c r="AF39" i="10"/>
  <c r="AE39" i="10"/>
  <c r="AD39" i="10"/>
  <c r="AC39" i="10"/>
  <c r="AB39" i="10"/>
  <c r="AA39" i="10"/>
  <c r="Z39" i="10"/>
  <c r="Y39" i="10"/>
  <c r="X39" i="10"/>
  <c r="AG38" i="10"/>
  <c r="AF38" i="10"/>
  <c r="AE38" i="10"/>
  <c r="AD38" i="10"/>
  <c r="AC38" i="10"/>
  <c r="AB38" i="10"/>
  <c r="AA38" i="10"/>
  <c r="Z38" i="10"/>
  <c r="Y38" i="10"/>
  <c r="X38" i="10"/>
  <c r="AG37" i="10"/>
  <c r="AF37" i="10"/>
  <c r="AE37" i="10"/>
  <c r="AD37" i="10"/>
  <c r="AC37" i="10"/>
  <c r="AB37" i="10"/>
  <c r="AA37" i="10"/>
  <c r="Z37" i="10"/>
  <c r="Y37" i="10"/>
  <c r="X37" i="10"/>
  <c r="AG36" i="10"/>
  <c r="AF36" i="10"/>
  <c r="AE36" i="10"/>
  <c r="AD36" i="10"/>
  <c r="AC36" i="10"/>
  <c r="AB36" i="10"/>
  <c r="AA36" i="10"/>
  <c r="Z36" i="10"/>
  <c r="Y36" i="10"/>
  <c r="X36" i="10"/>
  <c r="AG35" i="10"/>
  <c r="AF35" i="10"/>
  <c r="AE35" i="10"/>
  <c r="AD35" i="10"/>
  <c r="AC35" i="10"/>
  <c r="AB35" i="10"/>
  <c r="AA35" i="10"/>
  <c r="Z35" i="10"/>
  <c r="Y35" i="10"/>
  <c r="X35" i="10"/>
  <c r="AG34" i="10"/>
  <c r="AF34" i="10"/>
  <c r="AE34" i="10"/>
  <c r="AD34" i="10"/>
  <c r="AC34" i="10"/>
  <c r="AB34" i="10"/>
  <c r="AA34" i="10"/>
  <c r="Z34" i="10"/>
  <c r="Y34" i="10"/>
  <c r="X34" i="10"/>
  <c r="AG33" i="10"/>
  <c r="AF33" i="10"/>
  <c r="AE33" i="10"/>
  <c r="AD33" i="10"/>
  <c r="AC33" i="10"/>
  <c r="AB33" i="10"/>
  <c r="AA33" i="10"/>
  <c r="Z33" i="10"/>
  <c r="Y33" i="10"/>
  <c r="X33" i="10"/>
  <c r="AG32" i="10"/>
  <c r="AF32" i="10"/>
  <c r="AE32" i="10"/>
  <c r="AD32" i="10"/>
  <c r="AC32" i="10"/>
  <c r="AB32" i="10"/>
  <c r="AA32" i="10"/>
  <c r="Z32" i="10"/>
  <c r="Y32" i="10"/>
  <c r="X32" i="10"/>
  <c r="AG31" i="10"/>
  <c r="AF31" i="10"/>
  <c r="AE31" i="10"/>
  <c r="AD31" i="10"/>
  <c r="AC31" i="10"/>
  <c r="AB31" i="10"/>
  <c r="AA31" i="10"/>
  <c r="Z31" i="10"/>
  <c r="Y31" i="10"/>
  <c r="X31" i="10"/>
  <c r="AG30" i="10"/>
  <c r="AF30" i="10"/>
  <c r="AE30" i="10"/>
  <c r="AD30" i="10"/>
  <c r="AC30" i="10"/>
  <c r="AB30" i="10"/>
  <c r="AA30" i="10"/>
  <c r="Z30" i="10"/>
  <c r="Y30" i="10"/>
  <c r="X30" i="10"/>
  <c r="AG29" i="10"/>
  <c r="AF29" i="10"/>
  <c r="AE29" i="10"/>
  <c r="AD29" i="10"/>
  <c r="AC29" i="10"/>
  <c r="AB29" i="10"/>
  <c r="AA29" i="10"/>
  <c r="Z29" i="10"/>
  <c r="Y29" i="10"/>
  <c r="X29" i="10"/>
  <c r="AG28" i="10"/>
  <c r="AF28" i="10"/>
  <c r="AE28" i="10"/>
  <c r="AD28" i="10"/>
  <c r="AC28" i="10"/>
  <c r="AB28" i="10"/>
  <c r="AA28" i="10"/>
  <c r="Z28" i="10"/>
  <c r="Y28" i="10"/>
  <c r="X28" i="10"/>
  <c r="AG27" i="10"/>
  <c r="AF27" i="10"/>
  <c r="AE27" i="10"/>
  <c r="AD27" i="10"/>
  <c r="AC27" i="10"/>
  <c r="AB27" i="10"/>
  <c r="AA27" i="10"/>
  <c r="Z27" i="10"/>
  <c r="Y27" i="10"/>
  <c r="X27" i="10"/>
  <c r="AG26" i="10"/>
  <c r="AF26" i="10"/>
  <c r="AE26" i="10"/>
  <c r="AD26" i="10"/>
  <c r="AC26" i="10"/>
  <c r="AB26" i="10"/>
  <c r="AA26" i="10"/>
  <c r="Z26" i="10"/>
  <c r="Y26" i="10"/>
  <c r="X26" i="10"/>
  <c r="AG25" i="10"/>
  <c r="AF25" i="10"/>
  <c r="AE25" i="10"/>
  <c r="AD25" i="10"/>
  <c r="AC25" i="10"/>
  <c r="AB25" i="10"/>
  <c r="AA25" i="10"/>
  <c r="Z25" i="10"/>
  <c r="Y25" i="10"/>
  <c r="X25" i="10"/>
  <c r="AG24" i="10"/>
  <c r="AF24" i="10"/>
  <c r="AE24" i="10"/>
  <c r="AD24" i="10"/>
  <c r="AC24" i="10"/>
  <c r="AB24" i="10"/>
  <c r="AA24" i="10"/>
  <c r="Z24" i="10"/>
  <c r="Y24" i="10"/>
  <c r="X24" i="10"/>
  <c r="AG23" i="10"/>
  <c r="AF23" i="10"/>
  <c r="AE23" i="10"/>
  <c r="AD23" i="10"/>
  <c r="AC23" i="10"/>
  <c r="AB23" i="10"/>
  <c r="AA23" i="10"/>
  <c r="Z23" i="10"/>
  <c r="Y23" i="10"/>
  <c r="X23" i="10"/>
  <c r="AG22" i="10"/>
  <c r="AF22" i="10"/>
  <c r="AE22" i="10"/>
  <c r="AD22" i="10"/>
  <c r="AC22" i="10"/>
  <c r="AB22" i="10"/>
  <c r="AA22" i="10"/>
  <c r="Z22" i="10"/>
  <c r="Y22" i="10"/>
  <c r="X22" i="10"/>
  <c r="AG21" i="10"/>
  <c r="AF21" i="10"/>
  <c r="AE21" i="10"/>
  <c r="AD21" i="10"/>
  <c r="AC21" i="10"/>
  <c r="AB21" i="10"/>
  <c r="AA21" i="10"/>
  <c r="Z21" i="10"/>
  <c r="Y21" i="10"/>
  <c r="X21" i="10"/>
  <c r="AG20" i="10"/>
  <c r="AF20" i="10"/>
  <c r="AE20" i="10"/>
  <c r="AD20" i="10"/>
  <c r="AC20" i="10"/>
  <c r="AB20" i="10"/>
  <c r="AA20" i="10"/>
  <c r="Z20" i="10"/>
  <c r="Y20" i="10"/>
  <c r="X20" i="10"/>
  <c r="AG19" i="10"/>
  <c r="AF19" i="10"/>
  <c r="AE19" i="10"/>
  <c r="AD19" i="10"/>
  <c r="AC19" i="10"/>
  <c r="AB19" i="10"/>
  <c r="AA19" i="10"/>
  <c r="Z19" i="10"/>
  <c r="Y19" i="10"/>
  <c r="X19" i="10"/>
  <c r="AG18" i="10"/>
  <c r="AF18" i="10"/>
  <c r="AE18" i="10"/>
  <c r="AD18" i="10"/>
  <c r="AC18" i="10"/>
  <c r="AB18" i="10"/>
  <c r="AA18" i="10"/>
  <c r="Z18" i="10"/>
  <c r="Y18" i="10"/>
  <c r="X18" i="10"/>
  <c r="AG17" i="10"/>
  <c r="AF17" i="10"/>
  <c r="AE17" i="10"/>
  <c r="AD17" i="10"/>
  <c r="AC17" i="10"/>
  <c r="AB17" i="10"/>
  <c r="AA17" i="10"/>
  <c r="Z17" i="10"/>
  <c r="Y17" i="10"/>
  <c r="X17" i="10"/>
  <c r="AG16" i="10"/>
  <c r="AF16" i="10"/>
  <c r="AE16" i="10"/>
  <c r="AD16" i="10"/>
  <c r="AC16" i="10"/>
  <c r="AB16" i="10"/>
  <c r="AA16" i="10"/>
  <c r="Z16" i="10"/>
  <c r="Y16" i="10"/>
  <c r="X16" i="10"/>
  <c r="AG15" i="10"/>
  <c r="AF15" i="10"/>
  <c r="AE15" i="10"/>
  <c r="AD15" i="10"/>
  <c r="AC15" i="10"/>
  <c r="AB15" i="10"/>
  <c r="AA15" i="10"/>
  <c r="Z15" i="10"/>
  <c r="Y15" i="10"/>
  <c r="X15" i="10"/>
  <c r="AG14" i="10"/>
  <c r="AF14" i="10"/>
  <c r="AE14" i="10"/>
  <c r="AD14" i="10"/>
  <c r="AC14" i="10"/>
  <c r="AB14" i="10"/>
  <c r="AA14" i="10"/>
  <c r="Z14" i="10"/>
  <c r="Y14" i="10"/>
  <c r="X14" i="10"/>
  <c r="AG13" i="10"/>
  <c r="AF13" i="10"/>
  <c r="AE13" i="10"/>
  <c r="AD13" i="10"/>
  <c r="AC13" i="10"/>
  <c r="AB13" i="10"/>
  <c r="AA13" i="10"/>
  <c r="Z13" i="10"/>
  <c r="Y13" i="10"/>
  <c r="X13" i="10"/>
  <c r="AG12" i="10"/>
  <c r="AF12" i="10"/>
  <c r="AE12" i="10"/>
  <c r="AD12" i="10"/>
  <c r="AC12" i="10"/>
  <c r="AB12" i="10"/>
  <c r="AA12" i="10"/>
  <c r="Z12" i="10"/>
  <c r="Y12" i="10"/>
  <c r="X12" i="10"/>
  <c r="AG11" i="10"/>
  <c r="AF11" i="10"/>
  <c r="AE11" i="10"/>
  <c r="AD11" i="10"/>
  <c r="AC11" i="10"/>
  <c r="AB11" i="10"/>
  <c r="AA11" i="10"/>
  <c r="Z11" i="10"/>
  <c r="Y11" i="10"/>
  <c r="X11" i="10"/>
  <c r="AG10" i="10"/>
  <c r="AF10" i="10"/>
  <c r="AE10" i="10"/>
  <c r="AD10" i="10"/>
  <c r="AC10" i="10"/>
  <c r="AB10" i="10"/>
  <c r="AA10" i="10"/>
  <c r="Z10" i="10"/>
  <c r="Y10" i="10"/>
  <c r="X10" i="10"/>
  <c r="AG9" i="10"/>
  <c r="AF9" i="10"/>
  <c r="AE9" i="10"/>
  <c r="AD9" i="10"/>
  <c r="AC9" i="10"/>
  <c r="AB9" i="10"/>
  <c r="AA9" i="10"/>
  <c r="Z9" i="10"/>
  <c r="Y9" i="10"/>
  <c r="X9" i="10"/>
  <c r="AG8" i="10"/>
  <c r="AF8" i="10"/>
  <c r="AE8" i="10"/>
  <c r="AD8" i="10"/>
  <c r="AC8" i="10"/>
  <c r="AB8" i="10"/>
  <c r="AA8" i="10"/>
  <c r="Z8" i="10"/>
  <c r="Y8" i="10"/>
  <c r="X8" i="10"/>
  <c r="AG7" i="10"/>
  <c r="AF7" i="10"/>
  <c r="AE7" i="10"/>
  <c r="AD7" i="10"/>
  <c r="AC7" i="10"/>
  <c r="AB7" i="10"/>
  <c r="AA7" i="10"/>
  <c r="Z7" i="10"/>
  <c r="Y7" i="10"/>
  <c r="X7" i="10"/>
  <c r="AG6" i="10"/>
  <c r="AF6" i="10"/>
  <c r="AE6" i="10"/>
  <c r="AD6" i="10"/>
  <c r="AC6" i="10"/>
  <c r="AB6" i="10"/>
  <c r="AA6" i="10"/>
  <c r="Z6" i="10"/>
  <c r="Y6" i="10"/>
  <c r="X6" i="10"/>
  <c r="AG5" i="10"/>
  <c r="AF5" i="10"/>
  <c r="AE5" i="10"/>
  <c r="AD5" i="10"/>
  <c r="AC5" i="10"/>
  <c r="AB5" i="10"/>
  <c r="AA5" i="10"/>
  <c r="Z5" i="10"/>
  <c r="Y5" i="10"/>
  <c r="X5" i="10"/>
  <c r="AG4" i="10"/>
  <c r="AF4" i="10"/>
  <c r="AE4" i="10"/>
  <c r="AD4" i="10"/>
  <c r="AC4" i="10"/>
  <c r="AB4" i="10"/>
  <c r="AA4" i="10"/>
  <c r="Z4" i="10"/>
  <c r="Y4" i="10"/>
  <c r="X4" i="10"/>
  <c r="AG3" i="10"/>
  <c r="AF3" i="10"/>
  <c r="AE3" i="10"/>
  <c r="AD3" i="10"/>
  <c r="AC3" i="10"/>
  <c r="AB3" i="10"/>
  <c r="AA3" i="10"/>
  <c r="Z3" i="10"/>
  <c r="Y3" i="10"/>
  <c r="X3" i="10"/>
  <c r="AG2" i="10"/>
  <c r="AF2" i="10"/>
  <c r="AE2" i="10"/>
  <c r="AD2" i="10"/>
  <c r="AC2" i="10"/>
  <c r="AB2" i="10"/>
  <c r="AA2" i="10"/>
  <c r="Z2" i="10"/>
  <c r="Y2" i="10"/>
  <c r="X2" i="10"/>
  <c r="AG1" i="10"/>
  <c r="AF1" i="10"/>
  <c r="AE1" i="10"/>
  <c r="AD1" i="10"/>
  <c r="AC1" i="10"/>
  <c r="AB1" i="10"/>
  <c r="AA1" i="10"/>
  <c r="Z1" i="10"/>
  <c r="Y1" i="10"/>
  <c r="X1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tc={7C8898B0-D364-4B6C-B851-3AF3CBCE20CD}</author>
    <author>tc={59F12BE3-0106-449E-8DAD-DA1221787F72}</author>
    <author>tc={B76B3A82-232A-4A11-A963-94599C0BAEC1}</author>
    <author>tc={B452890E-8336-4DB8-8C9B-FEC882D4CDEB}</author>
    <author>tc={2242D51E-B679-4211-A657-87D52C048B3B}</author>
    <author>tc={44F3F5B0-44BE-4C07-9E2E-0539A84CCAD6}</author>
    <author>tc={D308444C-B65F-4A2E-9D5F-4519BD8A02C5}</author>
    <author>tc={209502F4-2D7C-409D-B515-3DCEAAB0386B}</author>
  </authors>
  <commentList>
    <comment ref="C1" authorId="0" shapeId="0" xr:uid="{7C8898B0-D364-4B6C-B851-3AF3CBCE20CD}">
      <text>
        <t>[Threaded comment]
Your version of Excel allows you to read this threaded comment; however, any edits to it will get removed if the file is opened in a newer version of Excel. Learn more: https://go.microsoft.com/fwlink/?linkid=870924
Comment:
    ARVHTOTL Index</t>
      </text>
    </comment>
    <comment ref="D1" authorId="1" shapeId="0" xr:uid="{59F12BE3-0106-449E-8DAD-DA12217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ARVETOTL Index</t>
      </text>
    </comment>
    <comment ref="E1" authorId="2" shapeId="0" xr:uid="{B76B3A82-232A-4A11-A963-94599C0BAEC1}">
      <text>
        <t>[Threaded comment]
Your version of Excel allows you to read this threaded comment; however, any edits to it will get removed if the file is opened in a newer version of Excel. Learn more: https://go.microsoft.com/fwlink/?linkid=870924
Comment:
    ARVSCATA Index</t>
      </text>
    </comment>
    <comment ref="F1" authorId="3" shapeId="0" xr:uid="{B452890E-8336-4DB8-8C9B-FEC882D4CDEB}">
      <text>
        <t>[Threaded comment]
Your version of Excel allows you to read this threaded comment; however, any edits to it will get removed if the file is opened in a newer version of Excel. Learn more: https://go.microsoft.com/fwlink/?linkid=870924
Comment:
    ARVSLTRK Index</t>
      </text>
    </comment>
    <comment ref="G1" authorId="4" shapeId="0" xr:uid="{2242D51E-B679-4211-A657-87D52C048B3B}">
      <text>
        <t>[Threaded comment]
Your version of Excel allows you to read this threaded comment; however, any edits to it will get removed if the file is opened in a newer version of Excel. Learn more: https://go.microsoft.com/fwlink/?linkid=870924
Comment:
    ARCMTOTL Index</t>
      </text>
    </comment>
    <comment ref="H1" authorId="5" shapeId="0" xr:uid="{44F3F5B0-44BE-4C07-9E2E-0539A84CCAD6}">
      <text>
        <t>[Threaded comment]
Your version of Excel allows you to read this threaded comment; however, any edits to it will get removed if the file is opened in a newer version of Excel. Learn more: https://go.microsoft.com/fwlink/?linkid=870924
Comment:
    ARCONNAC Index</t>
      </text>
    </comment>
    <comment ref="AU1" authorId="6" shapeId="0" xr:uid="{D308444C-B65F-4A2E-9D5F-4519BD8A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ARLTLEAD Index</t>
      </text>
    </comment>
    <comment ref="AW1" authorId="7" shapeId="0" xr:uid="{209502F4-2D7C-409D-B515-3DCEAAB0386B}">
      <text>
        <t>[Threaded comment]
Your version of Excel allows you to read this threaded comment; however, any edits to it will get removed if the file is opened in a newer version of Excel. Learn more: https://go.microsoft.com/fwlink/?linkid=870924
Comment:
    AROCSBS Index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tc={52438F89-36BC-46CC-A452-C2E92EC9B1A2}</author>
    <author>tc={C47235CA-CDFA-4CD4-A9FF-10EF4910F1CE}</author>
    <author>tc={0DB07FA0-1552-400B-94CF-927B14A112F3}</author>
  </authors>
  <commentList>
    <comment ref="M2" authorId="0" shapeId="0" xr:uid="{52438F89-36BC-46CC-A452-C2E92EC9B1A2}">
      <text>
        <t>[Threaded comment]
Your version of Excel allows you to read this threaded comment; however, any edits to it will get removed if the file is opened in a newer version of Excel. Learn more: https://go.microsoft.com/fwlink/?linkid=870924
Comment:
    ARVHTOTL Index</t>
      </text>
    </comment>
    <comment ref="M5" authorId="1" shapeId="0" xr:uid="{C47235CA-CDFA-4CD4-A9FF-10EF4910F1CE}">
      <text>
        <t>[Threaded comment]
Your version of Excel allows you to read this threaded comment; however, any edits to it will get removed if the file is opened in a newer version of Excel. Learn more: https://go.microsoft.com/fwlink/?linkid=870924
Comment:
    ARVSLTRK Index</t>
      </text>
    </comment>
    <comment ref="M48" authorId="2" shapeId="0" xr:uid="{0DB07FA0-1552-400B-94CF-927B14A112F3}">
      <text>
        <t>[Threaded comment]
Your version of Excel allows you to read this threaded comment; however, any edits to it will get removed if the file is opened in a newer version of Excel. Learn more: https://go.microsoft.com/fwlink/?linkid=870924
Comment:
    AROCSBS Index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<sst xmlns="http://schemas.openxmlformats.org/spreadsheetml/2006/main" count="128" uniqueCount="113">
  <si>
    <t>Date</t>
  </si>
  <si>
    <t>EMBI</t>
  </si>
  <si>
    <t>ITCRM</t>
  </si>
  <si>
    <t>M3R</t>
  </si>
  <si>
    <t>PBI</t>
  </si>
  <si>
    <t>GPN</t>
  </si>
  <si>
    <t>VITI</t>
  </si>
  <si>
    <t>DPBI</t>
  </si>
  <si>
    <t>M1R</t>
  </si>
  <si>
    <t>PBIBR</t>
  </si>
  <si>
    <t>RPRIM</t>
  </si>
  <si>
    <t>alim_beb</t>
  </si>
  <si>
    <t>cigarrillos</t>
  </si>
  <si>
    <t>insum_text</t>
  </si>
  <si>
    <t>pasta_papel</t>
  </si>
  <si>
    <t>combustible</t>
  </si>
  <si>
    <t>quim_plast</t>
  </si>
  <si>
    <t>min_no_met</t>
  </si>
  <si>
    <t>metalicas</t>
  </si>
  <si>
    <t>metalmec</t>
  </si>
  <si>
    <t>automov</t>
  </si>
  <si>
    <t>ipi_desest</t>
  </si>
  <si>
    <t>bcnd</t>
  </si>
  <si>
    <t>bcd</t>
  </si>
  <si>
    <t>bui</t>
  </si>
  <si>
    <t>bk</t>
  </si>
  <si>
    <t>merval_px</t>
  </si>
  <si>
    <t>merval_avg</t>
  </si>
  <si>
    <t>fuentes</t>
  </si>
  <si>
    <t>https://www.argentina.gob.ar/economia/ingresospublicos/pormes</t>
  </si>
  <si>
    <t>Ganancias</t>
  </si>
  <si>
    <t>reca_gananc</t>
  </si>
  <si>
    <t>reca_iva</t>
  </si>
  <si>
    <t>reca_derech_comex</t>
  </si>
  <si>
    <t>hierro_primario</t>
  </si>
  <si>
    <t>acero_crudo</t>
  </si>
  <si>
    <t>lamin_tot_no_planos</t>
  </si>
  <si>
    <t>despacho_cem</t>
  </si>
  <si>
    <t>https://www.afcp.org.ar/copia-de-despacho-de-cemento-y-cons</t>
  </si>
  <si>
    <t>Despecho Cemento</t>
  </si>
  <si>
    <t>vtas_concesionarios</t>
  </si>
  <si>
    <t>prod_autos</t>
  </si>
  <si>
    <t>expo_autos</t>
  </si>
  <si>
    <t>https://adefa.org.ar/es/estadisticas-mensuales</t>
  </si>
  <si>
    <t>autos</t>
  </si>
  <si>
    <t>M2</t>
  </si>
  <si>
    <t>badlar_TNA</t>
  </si>
  <si>
    <t>https://www.magyp.gob.ar/sitio/areas/aves/estadistica/carne/index.php</t>
  </si>
  <si>
    <t>faena aves</t>
  </si>
  <si>
    <t>faena_aves</t>
  </si>
  <si>
    <t>vta_usados</t>
  </si>
  <si>
    <t>https://cca.org.ar/estadisticas-2024/</t>
  </si>
  <si>
    <t>vta usados</t>
  </si>
  <si>
    <t>ICC</t>
  </si>
  <si>
    <t>https://www.utdt.edu/ver_contenido.php?id_contenido=8513&amp;id_item_menu=16458</t>
  </si>
  <si>
    <t>IL</t>
  </si>
  <si>
    <t>https://www.utdt.edu/ver_contenido.php?id_contenido=13306&amp;id_item_menu=16461</t>
  </si>
  <si>
    <t>ISAC SD</t>
  </si>
  <si>
    <t>DPBI_desest</t>
  </si>
  <si>
    <t>salario</t>
  </si>
  <si>
    <t>inflacion</t>
  </si>
  <si>
    <t>IBG INDEX</t>
  </si>
  <si>
    <t>IBG INDEX real</t>
  </si>
  <si>
    <t>M2 real</t>
  </si>
  <si>
    <t>M1 real</t>
  </si>
  <si>
    <t>M1</t>
  </si>
  <si>
    <t>reca_iva_real</t>
  </si>
  <si>
    <t>reca_gananc_real</t>
  </si>
  <si>
    <t>merval_px_real</t>
  </si>
  <si>
    <t>merval_avg_real</t>
  </si>
  <si>
    <t>molienda_soja</t>
  </si>
  <si>
    <t>ISAC_desest</t>
  </si>
  <si>
    <t>reca_derech_comex_real</t>
  </si>
  <si>
    <t>vtas_autos_livianos</t>
  </si>
  <si>
    <t>🟦 PC1 – “Ciclo real e inversión productiva agregada”</t>
  </si>
  <si>
    <t>Variable</t>
  </si>
  <si>
    <t>Loading</t>
  </si>
  <si>
    <t>bcd (bienes de capital durables)</t>
  </si>
  <si>
    <t>bui (uso de capacidad instalada)</t>
  </si>
  <si>
    <t>ipi_desest (producción industrial)</t>
  </si>
  <si>
    <t>bk (bienes de capital)</t>
  </si>
  <si>
    <t>🟨 PC2 – “Confianza del consumidor y divergencia industria–servicios”</t>
  </si>
  <si>
    <t>ICC (confianza del consumidor)</t>
  </si>
  <si>
    <t>ligadas a actividad industrial, inversión y utilización de capacidad.</t>
  </si>
  <si>
    <t>Alta correlación positiva con ICC, negativa con bienes de capital y recaudación real.</t>
  </si>
  <si>
    <t>🟩 PC3 – “Construcción doméstica vs sector exportador”</t>
  </si>
  <si>
    <t>ISAC_desest (construcción)</t>
  </si>
  <si>
    <t>expo_autos (exportaciones de autos)</t>
  </si>
  <si>
    <t>Factor</t>
  </si>
  <si>
    <t>Tipo</t>
  </si>
  <si>
    <t>Variables dominantes</t>
  </si>
  <si>
    <t>Interpretación</t>
  </si>
  <si>
    <t>F1 (PC1)</t>
  </si>
  <si>
    <t>Real / inversión</t>
  </si>
  <si>
    <t>bcd, bk, bui, ipi, metalmec</t>
  </si>
  <si>
    <t>Ciclo real agregado e inversión productiva</t>
  </si>
  <si>
    <t>F2 (PC2)</t>
  </si>
  <si>
    <t>Expectativas / consumo</t>
  </si>
  <si>
    <t>ICC, reca_iva_real, bk</t>
  </si>
  <si>
    <t>Sentimiento y consumo interno</t>
  </si>
  <si>
    <t>F3 (PC3)</t>
  </si>
  <si>
    <t>Sectorial / externo</t>
  </si>
  <si>
    <t>ISAC, expo_autos</t>
  </si>
  <si>
    <t>Contraste entre sectores internos y externos</t>
  </si>
  <si>
    <t>Dualidad entre el sector de construcción (doméstico) y el sector exportador (autos).</t>
  </si>
  <si>
    <t>https://www.acero.org.ar/wp-content/uploads/2025/09/Produccion-Siderurgica-Argentina-1960-2025-.pdf</t>
  </si>
  <si>
    <t>Hierro primario</t>
  </si>
  <si>
    <t>Acero Crudo</t>
  </si>
  <si>
    <t>https://www.arca.gob.ar/institucional/documentos/ARCA-Recaudacion-082025.pdf</t>
  </si>
  <si>
    <t>Der COMEX</t>
  </si>
  <si>
    <t>ICG</t>
  </si>
  <si>
    <t>IGA_OJF</t>
  </si>
  <si>
    <t>EMAE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</si>
</sst>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000_-;\-* #,##0.0000_-;_-* &quot;-&quot;??_-;_-@_-"/>
    <numFmt numFmtId="167" formatCode="_ * #,##0.00_ ;_ * \-#,##0.00_ ;_ * &quot;-&quot;??_ ;_ @_ "/>
    <numFmt numFmtId="168" formatCode="0.000"/>
    <numFmt numFmtId="169" formatCode="_-* #,##0.00\ _€_-;\-* #,##0.00\ _€_-;_-* &quot;-&quot;??\ _€_-;_-@_-"/>
    <numFmt numFmtId="170" formatCode="_-* #,##0.00\ _P_t_s_-;\-* #,##0.00\ _P_t_s_-;_-* &quot;-&quot;??\ _P_t_s_-;_-@_-"/>
    <numFmt numFmtId="171" formatCode="_-* #,##0.000_-;\-* #,##0.0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5"/>
      <color indexed="56"/>
      <name val="Calibri"/>
      <family val="2"/>
    </font>
    <font>
      <b/>
      <sz val="11"/>
      <color indexed="8"/>
      <name val="Calibri"/>
      <family val="2"/>
    </font>
    <font>
      <b/>
      <sz val="15"/>
      <color indexed="54"/>
      <name val="Calibri"/>
      <family val="2"/>
    </font>
    <font>
      <u/>
      <sz val="9.35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6" fillId="2" borderId="0" applyNumberFormat="0" applyBorder="0" applyAlignment="0" applyProtection="0"/>
    <xf numFmtId="0" fontId="10" fillId="6" borderId="4" applyNumberFormat="0" applyAlignment="0" applyProtection="0"/>
    <xf numFmtId="0" fontId="12" fillId="7" borderId="7" applyNumberFormat="0" applyAlignment="0" applyProtection="0"/>
    <xf numFmtId="0" fontId="11" fillId="0" borderId="6" applyNumberFormat="0" applyFill="0" applyAlignment="0" applyProtection="0"/>
    <xf numFmtId="0" fontId="22" fillId="0" borderId="10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8" fillId="5" borderId="4" applyNumberFormat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/>
    <xf numFmtId="170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9" fillId="33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3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" fillId="8" borderId="8" applyNumberFormat="0" applyFont="0" applyAlignment="0" applyProtection="0"/>
    <xf numFmtId="0" fontId="9" fillId="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10" fontId="0" fillId="0" borderId="0" xfId="1" applyNumberFormat="1" applyFont="1"/>
    <xf numFmtId="14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/>
    </xf>
    <xf numFmtId="165" fontId="0" fillId="0" borderId="0" xfId="2" applyNumberFormat="1" applyFont="1"/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43" fontId="0" fillId="0" borderId="0" xfId="2" applyFont="1"/>
    <xf numFmtId="166" fontId="0" fillId="0" borderId="0" xfId="2" applyNumberFormat="1" applyFont="1"/>
    <xf numFmtId="43" fontId="0" fillId="0" borderId="0" xfId="2" applyFont="1" applyFill="1"/>
    <xf numFmtId="165" fontId="0" fillId="0" borderId="0" xfId="1" applyNumberFormat="1" applyFont="1"/>
    <xf numFmtId="165" fontId="0" fillId="0" borderId="0" xfId="2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0" xfId="0" applyFont="1"/>
    <xf numFmtId="43" fontId="0" fillId="0" borderId="0" xfId="2" applyNumberFormat="1" applyFont="1"/>
    <xf numFmtId="14" fontId="0" fillId="0" borderId="0" xfId="0" applyNumberFormat="1"/>
    <xf numFmtId="0" fontId="2" fillId="0" borderId="13" xfId="0" applyFont="1" applyBorder="1"/>
    <xf numFmtId="0" fontId="0" fillId="0" borderId="13" xfId="0" applyBorder="1"/>
    <xf numFmtId="0" fontId="1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34" borderId="18" xfId="0" applyFont="1" applyFill="1" applyBorder="1"/>
    <xf numFmtId="0" fontId="0" fillId="0" borderId="19" xfId="0" applyBorder="1"/>
    <xf numFmtId="0" fontId="0" fillId="0" borderId="18" xfId="0" applyBorder="1"/>
    <xf numFmtId="0" fontId="26" fillId="0" borderId="0" xfId="68"/>
    <xf numFmtId="0" fontId="0" fillId="35" borderId="0" xfId="0" applyFill="1" applyAlignment="1">
      <alignment horizontal="center" vertical="center"/>
    </xf>
    <xf numFmtId="165" fontId="0" fillId="35" borderId="0" xfId="2" applyNumberFormat="1" applyFont="1" applyFill="1" applyAlignment="1">
      <alignment horizontal="center" vertical="center"/>
    </xf>
    <xf numFmtId="165" fontId="0" fillId="35" borderId="0" xfId="2" applyNumberFormat="1" applyFont="1" applyFill="1"/>
    <xf numFmtId="166" fontId="0" fillId="35" borderId="0" xfId="2" applyNumberFormat="1" applyFont="1" applyFill="1"/>
    <xf numFmtId="43" fontId="0" fillId="35" borderId="0" xfId="2" applyFont="1" applyFill="1"/>
    <xf numFmtId="0" fontId="0" fillId="35" borderId="0" xfId="0" applyFill="1"/>
    <xf numFmtId="43" fontId="0" fillId="35" borderId="0" xfId="2" applyNumberFormat="1" applyFont="1" applyFill="1"/>
    <xf numFmtId="9" fontId="0" fillId="35" borderId="0" xfId="1" applyFont="1" applyFill="1"/>
    <xf numFmtId="10" fontId="0" fillId="35" borderId="0" xfId="1" applyNumberFormat="1" applyFont="1" applyFill="1"/>
    <xf numFmtId="168" fontId="0" fillId="35" borderId="0" xfId="0" applyNumberFormat="1" applyFill="1"/>
    <xf numFmtId="171" fontId="0" fillId="35" borderId="0" xfId="2" applyNumberFormat="1" applyFont="1" applyFill="1"/>
    <xf numFmtId="165" fontId="0" fillId="35" borderId="0" xfId="1" applyNumberFormat="1" applyFont="1" applyFill="1"/>
  </cellXfs>
  <cellStyles count="69">
    <cellStyle name="20% - Énfasis1 2" xfId="11" xr:uid="{2446B4F0-74BE-449E-94AF-C0FC9A86FDA7}"/>
    <cellStyle name="20% - Énfasis2 2" xfId="12" xr:uid="{116B5693-9DAE-47E6-9DAF-EF05A8B26850}"/>
    <cellStyle name="20% - Énfasis3 2" xfId="13" xr:uid="{E6584447-459C-4C02-816A-397802E8B114}"/>
    <cellStyle name="20% - Énfasis4 2" xfId="14" xr:uid="{DE33278B-710F-4E24-A965-FC087D419ADA}"/>
    <cellStyle name="20% - Énfasis5 2" xfId="15" xr:uid="{353D2ABC-471C-48CA-8F5B-CA49842566D4}"/>
    <cellStyle name="20% - Énfasis6 2" xfId="16" xr:uid="{6EF6E0D9-5696-4D0E-B55E-9FDEAFD49CE2}"/>
    <cellStyle name="40% - Énfasis1 2" xfId="17" xr:uid="{AF9DABEC-197B-45BA-9E01-093B051A0844}"/>
    <cellStyle name="40% - Énfasis2 2" xfId="18" xr:uid="{B35B60BF-2413-4AD7-8AD8-648AF540EA75}"/>
    <cellStyle name="40% - Énfasis3 2" xfId="19" xr:uid="{D9F07F03-1D6F-49B3-B9F1-EE8940B72180}"/>
    <cellStyle name="40% - Énfasis4 2" xfId="20" xr:uid="{ECE623E7-3378-49D2-B5C4-8FFB8C6FBD1E}"/>
    <cellStyle name="40% - Énfasis5 2" xfId="21" xr:uid="{7829D214-6AB3-486B-B40B-46AB5B20EAAC}"/>
    <cellStyle name="40% - Énfasis6 2" xfId="22" xr:uid="{628831AB-0F30-495C-9F8E-030284883B61}"/>
    <cellStyle name="60% - Énfasis1 2" xfId="23" xr:uid="{61D14C26-1CDF-4B22-8DD7-99DADA275141}"/>
    <cellStyle name="60% - Énfasis2 2" xfId="24" xr:uid="{59FEFD3F-BD79-4E9C-A929-D3006567EC04}"/>
    <cellStyle name="60% - Énfasis3 2" xfId="25" xr:uid="{D99DA26F-150D-4F98-858F-5AFE66961380}"/>
    <cellStyle name="60% - Énfasis4 2" xfId="26" xr:uid="{D498A548-D171-4E4E-ACB2-66C7C4EC7201}"/>
    <cellStyle name="60% - Énfasis5 2" xfId="27" xr:uid="{1EC009FE-D07A-46C1-B2B1-6DD14E77FE8C}"/>
    <cellStyle name="60% - Énfasis6 2" xfId="28" xr:uid="{A79EAB24-2B42-4520-9029-60DE38DE3693}"/>
    <cellStyle name="Bueno 2" xfId="29" xr:uid="{0866BFA9-CA80-41A7-8CEE-844B552BB5CF}"/>
    <cellStyle name="Cálculo 2" xfId="30" xr:uid="{89805DE9-82E2-46E6-8BB2-BB5903442310}"/>
    <cellStyle name="Celda de comprobación 2" xfId="31" xr:uid="{E67ABF0C-A979-4C1A-A016-4FDC2EDEA9CA}"/>
    <cellStyle name="Celda vinculada 2" xfId="32" xr:uid="{B14852CB-5331-440A-A97E-D3BC51AEC3F0}"/>
    <cellStyle name="Comma" xfId="2" builtinId="3"/>
    <cellStyle name="Comma 2" xfId="47" xr:uid="{90860CEB-B963-4758-9CA9-275FCFCF7558}"/>
    <cellStyle name="Encabezado 1" xfId="33" xr:uid="{11CCEB3A-303F-49C3-B317-427B8FF32491}"/>
    <cellStyle name="Encabezado 1 2" xfId="34" xr:uid="{985DC763-A326-44A5-B2F8-6303F2194F29}"/>
    <cellStyle name="Encabezado 4 2" xfId="35" xr:uid="{7091A543-0511-4AE7-B35D-F21ABBFF53A1}"/>
    <cellStyle name="Énfasis1 2" xfId="36" xr:uid="{BBA8D255-BD92-4BB1-8E90-F76AE1BB23AC}"/>
    <cellStyle name="Énfasis2 2" xfId="37" xr:uid="{62A494BB-6132-4BD3-8D82-1B72435FD703}"/>
    <cellStyle name="Énfasis3 2" xfId="38" xr:uid="{0BF1C2B7-E8E0-4AAE-91B5-9C8646665061}"/>
    <cellStyle name="Énfasis4 2" xfId="39" xr:uid="{8DBBFF06-02D0-45C2-83A8-58167ABA483F}"/>
    <cellStyle name="Énfasis5 2" xfId="40" xr:uid="{7F3BB0E3-6EE5-43CD-98FE-69451911787C}"/>
    <cellStyle name="Énfasis6 2" xfId="41" xr:uid="{5CEE76CA-B0AB-4E28-80C3-DC1D2B762A7C}"/>
    <cellStyle name="Entrada 2" xfId="42" xr:uid="{65742B81-1BC5-4DC5-A16C-37E757DFBA81}"/>
    <cellStyle name="Hipervínculo 2" xfId="44" xr:uid="{127EA0C9-5571-4B77-B560-137723271193}"/>
    <cellStyle name="Hyperlink" xfId="68" builtinId="8"/>
    <cellStyle name="Hyperlink 2" xfId="45" xr:uid="{AB95D617-00B4-4145-A67F-0CC3D5EC67AB}"/>
    <cellStyle name="Hyperlink 3" xfId="43" xr:uid="{E6C635CA-EC47-4A68-BBCE-FFBD956F93ED}"/>
    <cellStyle name="Incorrecto 2" xfId="46" xr:uid="{CAC5F01B-19E0-4FBC-9568-DE2F9D602B0C}"/>
    <cellStyle name="Millares 2" xfId="48" xr:uid="{70C23744-A9FF-48F1-9011-9A309744AD1C}"/>
    <cellStyle name="Millares 3" xfId="49" xr:uid="{6F0F4EBF-330A-4FD6-81C1-98CE38C9B35D}"/>
    <cellStyle name="Neutral 2" xfId="51" xr:uid="{5E2059A4-DB72-43BC-9AEB-1FBD145F2C12}"/>
    <cellStyle name="Neutral 3" xfId="50" xr:uid="{0B0D8CB3-DF06-4EE8-B340-EFDE112DB58A}"/>
    <cellStyle name="Normal" xfId="0" builtinId="0"/>
    <cellStyle name="Normal 10" xfId="4" xr:uid="{75BBB971-D2C5-4500-9257-FC3A9199D3D7}"/>
    <cellStyle name="Normal 2" xfId="5" xr:uid="{4A498E82-DB3F-4F6F-9C2D-144ACB678628}"/>
    <cellStyle name="Normal 2 2" xfId="52" xr:uid="{EE44C797-BFCE-40E6-9F1D-6F2FD91A29AF}"/>
    <cellStyle name="Normal 3" xfId="6" xr:uid="{6AEEB52B-2F89-4D9A-B57F-1C1A13070DB5}"/>
    <cellStyle name="Normal 3 2" xfId="54" xr:uid="{87C610B8-493C-4F18-A40C-7DD46E484107}"/>
    <cellStyle name="Normal 3 3" xfId="53" xr:uid="{9848A2EE-EC1F-4476-B1FE-3A04BCB66796}"/>
    <cellStyle name="Normal 4" xfId="3" xr:uid="{A09F8D2B-AE75-43CC-8835-4666F0546170}"/>
    <cellStyle name="Normal 5" xfId="55" xr:uid="{26D8EBA7-CC25-41BE-BBCB-51E56761B6B8}"/>
    <cellStyle name="Normal 6" xfId="56" xr:uid="{2149F5B2-1C16-426F-BFE1-4FCBE0B44572}"/>
    <cellStyle name="Normal 7" xfId="57" xr:uid="{D50A6CB1-9FA4-47FB-BB41-CD6028303818}"/>
    <cellStyle name="Notas 2" xfId="58" xr:uid="{19E5AC8F-5C30-4AA1-9222-3FC3F097C0DB}"/>
    <cellStyle name="Percent" xfId="1" builtinId="5"/>
    <cellStyle name="Percent 2" xfId="7" xr:uid="{35122D18-9728-429B-907C-F9B70F5DB510}"/>
    <cellStyle name="Percent 2 2" xfId="10" xr:uid="{3A4E48A7-047F-42AB-8DB5-5605007EA4FB}"/>
    <cellStyle name="Porcentual 3" xfId="8" xr:uid="{37397F5D-5D38-418A-A852-A4F7FB23E356}"/>
    <cellStyle name="Porcentual 6" xfId="9" xr:uid="{A38C6844-C9A9-4504-8C78-A670B9FBDA62}"/>
    <cellStyle name="Salida 2" xfId="59" xr:uid="{0321E918-0228-4C06-820C-95BFF0A8721E}"/>
    <cellStyle name="Texto de advertencia 2" xfId="60" xr:uid="{2067BDC1-39C9-4496-96E1-973483584405}"/>
    <cellStyle name="Texto explicativo 2" xfId="61" xr:uid="{A24C1164-8572-4B97-A8A8-BF07A9D90476}"/>
    <cellStyle name="Título 1" xfId="62" xr:uid="{7E319DB1-0B25-427B-9244-A466493347D0}"/>
    <cellStyle name="Título 2 2" xfId="63" xr:uid="{0B1F973F-3434-47D6-A6B9-66BE9C039DB6}"/>
    <cellStyle name="Título 3 2" xfId="64" xr:uid="{F608F240-77BE-40E5-B783-7944BD01441C}"/>
    <cellStyle name="Título 4" xfId="65" xr:uid="{34F69161-22E0-4869-A52A-62315D086742}"/>
    <cellStyle name="Total 2" xfId="67" xr:uid="{014CDAB4-9A39-403F-826A-47E23B7E8C71}"/>
    <cellStyle name="Total 3" xfId="66" xr:uid="{2C95555A-71EA-4BA3-A1A1-DDCFBEBC7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BQL|10662443633058419122</stp>
        <tr r="AB153" s="6"/>
      </tp>
    </main>
    <main first="bofaddin.rtdserver">
      <tp t="s">
        <v>#N/A N/A</v>
        <stp/>
        <stp>BQL|10198651648468016287</stp>
        <tr r="S153" s="6"/>
      </tp>
      <tp t="s">
        <v>#N/A N/A</v>
        <stp/>
        <stp>BDH|14386225098287521688</stp>
        <tr r="C153" s="6"/>
      </tp>
      <tp t="s">
        <v>#N/A N/A</v>
        <stp/>
        <stp>BDH|14043265396014966496</stp>
        <tr r="AV152" s="6"/>
      </tp>
    </main>
    <main first="bofaddin.rtdserver">
      <tp t="s">
        <v>#N/A N/A</v>
        <stp/>
        <stp>BDH|18046113770214212732</stp>
        <tr r="E153" s="6"/>
      </tp>
      <tp t="s">
        <v>#N/A N/A</v>
        <stp/>
        <stp>BDH|16970841065282640919</stp>
        <tr r="D153" s="6"/>
      </tp>
      <tp t="s">
        <v>#N/A N/A</v>
        <stp/>
        <stp>BDH|10485981105986293862</stp>
        <tr r="G153" s="6"/>
      </tp>
      <tp t="s">
        <v>#N/A N/A</v>
        <stp/>
        <stp>BDH|13037349082234229884</stp>
        <tr r="H153" s="6"/>
      </tp>
      <tp t="s">
        <v>#N/A N/A</v>
        <stp/>
        <stp>BDH|17916110309113481021</stp>
        <tr r="AW153" s="6"/>
      </tp>
    </main>
    <main first="bofaddin.rtdserver">
      <tp t="s">
        <v>#N/A N/A</v>
        <stp/>
        <stp>BDH|8795665406280067510</stp>
        <tr r="AU153" s="6"/>
      </tp>
      <tp t="s">
        <v>#N/A N/A</v>
        <stp/>
        <stp>BDH|3076395749050730484</stp>
        <tr r="V153" s="6"/>
      </tp>
      <tp t="s">
        <v>#N/A N/A</v>
        <stp/>
        <stp>BDH|3472621927106609007</stp>
        <tr r="R153" s="6"/>
      </tp>
      <tp t="s">
        <v>#N/A N/A</v>
        <stp/>
        <stp>BDH|315827949828824174</stp>
        <tr r="F153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9</xdr:row>
      <xdr:rowOff>114300</xdr:rowOff>
    </xdr:from>
    <xdr:to>
      <xdr:col>5</xdr:col>
      <xdr:colOff>28575</xdr:colOff>
      <xdr:row>15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BC9B14-0013-62BB-89D1-E830F69A7B0C}"/>
            </a:ext>
          </a:extLst>
        </xdr:cNvPr>
        <xdr:cNvSpPr txBox="1"/>
      </xdr:nvSpPr>
      <xdr:spPr>
        <a:xfrm>
          <a:off x="11344275" y="1828800"/>
          <a:ext cx="1962150" cy="1209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kern="1200"/>
            <a:t> cuando es negativo es una variación opuesta</a:t>
          </a:r>
        </a:p>
        <a:p>
          <a:endParaRPr lang="es-AR" sz="1100" kern="1200"/>
        </a:p>
        <a:p>
          <a:r>
            <a:rPr lang="es-AR" sz="1100" kern="1200"/>
            <a:t>no significa “reca_iva_real bajan cuando ICC sube” en un sentido causal,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BaseDatos\ARG\Pasivos%20Monetarios.xlsx" TargetMode="External"/><Relationship Id="rId1" Type="http://schemas.openxmlformats.org/officeDocument/2006/relationships/externalLinkPath" Target="file:///R:\Files\User\PORTFOLI\PORFOLIO\BaseDatos\ARG\Pasivos%20Monet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BaseDatos\ARG\Salarios.xlsx" TargetMode="External"/><Relationship Id="rId1" Type="http://schemas.openxmlformats.org/officeDocument/2006/relationships/externalLinkPath" Target="file:///R:\Files\User\PORTFOLI\PORFOLIO\BaseDatos\ARG\Salari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r110574\PycharmProjects\Estrategias\Modelo%20de%20PBI\serie_desestacionalizada.xlsx" TargetMode="External"/><Relationship Id="rId1" Type="http://schemas.openxmlformats.org/officeDocument/2006/relationships/externalLinkPath" Target="serie_desestacion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Pasivos Monetarios"/>
      <sheetName val="Ag Monetarios"/>
      <sheetName val="Agregados MesTrim"/>
      <sheetName val="Proyecciones (2)"/>
      <sheetName val="Ajuste datos"/>
      <sheetName val="Sterilization"/>
      <sheetName val="PM"/>
      <sheetName val="M2 Priv Transacc"/>
      <sheetName val="BMA Graph"/>
      <sheetName val="Dep del Gob"/>
      <sheetName val="BMA_M2 priv transacc"/>
      <sheetName val="Chart1"/>
      <sheetName val="Proyecciones"/>
      <sheetName val="Proyecciones (3)"/>
      <sheetName val="Chart2"/>
      <sheetName val="Credito "/>
      <sheetName val="Chart3"/>
      <sheetName val="Chart4"/>
      <sheetName val="Chart5"/>
    </sheetNames>
    <sheetDataSet>
      <sheetData sheetId="0"/>
      <sheetData sheetId="1"/>
      <sheetData sheetId="2"/>
      <sheetData sheetId="3">
        <row r="100">
          <cell r="AC100">
            <v>16613.253630591629</v>
          </cell>
        </row>
        <row r="208">
          <cell r="B208">
            <v>409601.90476190473</v>
          </cell>
        </row>
        <row r="209">
          <cell r="B209">
            <v>403844.4117647059</v>
          </cell>
        </row>
        <row r="210">
          <cell r="B210">
            <v>406819.10526315792</v>
          </cell>
        </row>
        <row r="211">
          <cell r="B211">
            <v>417888.6</v>
          </cell>
        </row>
        <row r="212">
          <cell r="B212">
            <v>425667.09090909088</v>
          </cell>
        </row>
        <row r="213">
          <cell r="B213">
            <v>438076.83333333331</v>
          </cell>
        </row>
        <row r="214">
          <cell r="B214">
            <v>451829.22727272729</v>
          </cell>
        </row>
        <row r="215">
          <cell r="B215">
            <v>456853.66666666669</v>
          </cell>
        </row>
        <row r="216">
          <cell r="B216">
            <v>463559.47619047621</v>
          </cell>
        </row>
        <row r="217">
          <cell r="B217">
            <v>470870.18181818182</v>
          </cell>
        </row>
        <row r="218">
          <cell r="B218">
            <v>476573.89473684208</v>
          </cell>
        </row>
        <row r="219">
          <cell r="B219">
            <v>498500.36842105264</v>
          </cell>
        </row>
        <row r="220">
          <cell r="B220">
            <v>501200.36363636365</v>
          </cell>
        </row>
        <row r="221">
          <cell r="B221">
            <v>490013.05</v>
          </cell>
        </row>
        <row r="222">
          <cell r="B222">
            <v>486788.55555555556</v>
          </cell>
        </row>
        <row r="223">
          <cell r="B223">
            <v>497549.10526315792</v>
          </cell>
        </row>
        <row r="224">
          <cell r="B224">
            <v>510060.91500000004</v>
          </cell>
        </row>
        <row r="225">
          <cell r="B225">
            <v>533599.75</v>
          </cell>
        </row>
        <row r="226">
          <cell r="B226">
            <v>548935.40909090906</v>
          </cell>
        </row>
        <row r="227">
          <cell r="B227">
            <v>561841.19999999995</v>
          </cell>
        </row>
        <row r="228">
          <cell r="B228">
            <v>572647.63636363635</v>
          </cell>
        </row>
        <row r="229">
          <cell r="B229">
            <v>589238.90909090906</v>
          </cell>
        </row>
        <row r="230">
          <cell r="B230">
            <v>602345.22222222225</v>
          </cell>
        </row>
        <row r="231">
          <cell r="B231">
            <v>650424.84210526315</v>
          </cell>
        </row>
        <row r="232">
          <cell r="B232">
            <v>642857.38095238095</v>
          </cell>
        </row>
        <row r="233">
          <cell r="B233">
            <v>634988.4444444445</v>
          </cell>
        </row>
        <row r="234">
          <cell r="B234">
            <v>650693.19999999995</v>
          </cell>
        </row>
        <row r="235">
          <cell r="B235">
            <v>668649.44999999995</v>
          </cell>
        </row>
        <row r="236">
          <cell r="B236">
            <v>685194.10526315786</v>
          </cell>
        </row>
        <row r="237">
          <cell r="B237">
            <v>710819.63636363635</v>
          </cell>
        </row>
        <row r="238">
          <cell r="B238">
            <v>741700.44090909092</v>
          </cell>
        </row>
        <row r="239">
          <cell r="B239">
            <v>758217.35</v>
          </cell>
        </row>
        <row r="240">
          <cell r="B240">
            <v>770632.5</v>
          </cell>
        </row>
        <row r="241">
          <cell r="B241">
            <v>786811.19047619053</v>
          </cell>
        </row>
        <row r="242">
          <cell r="B242">
            <v>809119.42105263157</v>
          </cell>
        </row>
        <row r="243">
          <cell r="B243">
            <v>868494.75</v>
          </cell>
        </row>
        <row r="244">
          <cell r="B244">
            <v>843007.55</v>
          </cell>
        </row>
        <row r="245">
          <cell r="B245">
            <v>831209.42105263157</v>
          </cell>
        </row>
        <row r="246">
          <cell r="B246">
            <v>845802.90476190473</v>
          </cell>
        </row>
        <row r="247">
          <cell r="B247">
            <v>838935.57142857148</v>
          </cell>
        </row>
        <row r="248">
          <cell r="B248">
            <v>863451.71428571432</v>
          </cell>
        </row>
        <row r="249">
          <cell r="B249">
            <v>881783.85</v>
          </cell>
        </row>
        <row r="250">
          <cell r="B250">
            <v>909335.45</v>
          </cell>
        </row>
        <row r="251">
          <cell r="B251">
            <v>926310.86363636365</v>
          </cell>
        </row>
        <row r="252">
          <cell r="B252">
            <v>933421.86363636365</v>
          </cell>
        </row>
        <row r="253">
          <cell r="B253">
            <v>961776.4</v>
          </cell>
        </row>
        <row r="254">
          <cell r="B254">
            <v>990401.71428571432</v>
          </cell>
        </row>
        <row r="255">
          <cell r="B255">
            <v>1079630.3500000001</v>
          </cell>
        </row>
        <row r="256">
          <cell r="B256">
            <v>1055196</v>
          </cell>
        </row>
        <row r="257">
          <cell r="B257">
            <v>1052367.388888889</v>
          </cell>
        </row>
        <row r="258">
          <cell r="B258">
            <v>1091302.4545454546</v>
          </cell>
        </row>
        <row r="259">
          <cell r="B259">
            <v>1099820.5</v>
          </cell>
        </row>
        <row r="260">
          <cell r="B260">
            <v>1105808.0476190476</v>
          </cell>
        </row>
        <row r="261">
          <cell r="B261">
            <v>1149047.5238095238</v>
          </cell>
        </row>
        <row r="262">
          <cell r="B262">
            <v>1171250</v>
          </cell>
        </row>
        <row r="263">
          <cell r="B263">
            <v>1198208.3181818181</v>
          </cell>
        </row>
        <row r="264">
          <cell r="B264">
            <v>1221580.5238095238</v>
          </cell>
        </row>
        <row r="265">
          <cell r="B265">
            <v>1230285</v>
          </cell>
        </row>
        <row r="266">
          <cell r="B266">
            <v>1266812.45</v>
          </cell>
        </row>
        <row r="267">
          <cell r="B267">
            <v>1363490.3157894737</v>
          </cell>
        </row>
        <row r="268">
          <cell r="B268">
            <v>1377172.3636363635</v>
          </cell>
        </row>
        <row r="269">
          <cell r="B269">
            <v>1355687.5111111111</v>
          </cell>
        </row>
        <row r="270">
          <cell r="B270">
            <v>1361304.5149999997</v>
          </cell>
        </row>
        <row r="271">
          <cell r="B271">
            <v>1358142.0368421052</v>
          </cell>
        </row>
        <row r="272">
          <cell r="B272">
            <v>1421406.0095238094</v>
          </cell>
        </row>
        <row r="273">
          <cell r="B273">
            <v>1514570.75</v>
          </cell>
        </row>
        <row r="274">
          <cell r="B274">
            <v>1484388.0666666667</v>
          </cell>
        </row>
        <row r="275">
          <cell r="B275">
            <v>1479051.1318181818</v>
          </cell>
        </row>
        <row r="276">
          <cell r="B276">
            <v>1596867.95</v>
          </cell>
        </row>
        <row r="277">
          <cell r="B277">
            <v>1444019.6500000001</v>
          </cell>
        </row>
        <row r="278">
          <cell r="B278">
            <v>1441895.4650000001</v>
          </cell>
        </row>
        <row r="279">
          <cell r="B279">
            <v>1542330.3764705881</v>
          </cell>
        </row>
        <row r="280">
          <cell r="B280">
            <v>1516724.0454545454</v>
          </cell>
        </row>
        <row r="281">
          <cell r="B281">
            <v>1519350.2349999999</v>
          </cell>
        </row>
        <row r="282">
          <cell r="B282">
            <v>1518212.6105263156</v>
          </cell>
        </row>
        <row r="283">
          <cell r="B283">
            <v>1543219.9473684211</v>
          </cell>
        </row>
        <row r="284">
          <cell r="B284">
            <v>1599847.8636363635</v>
          </cell>
        </row>
        <row r="285">
          <cell r="B285">
            <v>1655328.7222222222</v>
          </cell>
        </row>
        <row r="286">
          <cell r="B286">
            <v>1737591.2380952381</v>
          </cell>
        </row>
        <row r="287">
          <cell r="B287">
            <v>1783244.142857143</v>
          </cell>
        </row>
        <row r="288">
          <cell r="B288">
            <v>1862980.5238095238</v>
          </cell>
        </row>
        <row r="289">
          <cell r="B289">
            <v>1933929.7727272727</v>
          </cell>
        </row>
        <row r="290">
          <cell r="B290">
            <v>1971488.3684210526</v>
          </cell>
        </row>
        <row r="291">
          <cell r="B291">
            <v>2185255.4736842103</v>
          </cell>
        </row>
        <row r="292">
          <cell r="B292">
            <v>2271107.4545454546</v>
          </cell>
        </row>
        <row r="293">
          <cell r="B293">
            <v>2276108.3333333335</v>
          </cell>
        </row>
        <row r="294">
          <cell r="B294">
            <v>2393638.2999999998</v>
          </cell>
        </row>
        <row r="295">
          <cell r="B295">
            <v>2693825.4210526315</v>
          </cell>
        </row>
        <row r="296">
          <cell r="B296">
            <v>2915701.5789473685</v>
          </cell>
        </row>
        <row r="297">
          <cell r="B297">
            <v>3100775.3333333335</v>
          </cell>
        </row>
        <row r="298">
          <cell r="B298">
            <v>3218857.2857142859</v>
          </cell>
        </row>
        <row r="299">
          <cell r="B299">
            <v>3303351.25</v>
          </cell>
        </row>
        <row r="300">
          <cell r="B300">
            <v>3347615.6363636362</v>
          </cell>
        </row>
        <row r="301">
          <cell r="B301">
            <v>3445857.6190476189</v>
          </cell>
        </row>
        <row r="302">
          <cell r="B302">
            <v>3519128.8421052634</v>
          </cell>
        </row>
        <row r="303">
          <cell r="B303">
            <v>3715066.1666666665</v>
          </cell>
        </row>
        <row r="304">
          <cell r="B304">
            <v>3733989.25</v>
          </cell>
        </row>
        <row r="305">
          <cell r="B305">
            <v>3702464.5</v>
          </cell>
        </row>
        <row r="306">
          <cell r="B306">
            <v>3775774</v>
          </cell>
        </row>
        <row r="307">
          <cell r="B307">
            <v>3957188.25</v>
          </cell>
        </row>
        <row r="308">
          <cell r="B308">
            <v>4089059.789473684</v>
          </cell>
        </row>
        <row r="309">
          <cell r="B309">
            <v>4222488.3809523806</v>
          </cell>
        </row>
        <row r="310">
          <cell r="B310">
            <v>4442520.0952380951</v>
          </cell>
        </row>
        <row r="311">
          <cell r="B311">
            <v>4607578.666666667</v>
          </cell>
        </row>
        <row r="312">
          <cell r="B312">
            <v>4707507.6818181816</v>
          </cell>
        </row>
        <row r="313">
          <cell r="B313">
            <v>4998786.7894736845</v>
          </cell>
        </row>
        <row r="314">
          <cell r="B314">
            <v>5264643.6190476194</v>
          </cell>
        </row>
        <row r="315">
          <cell r="B315">
            <v>5642222.9000000004</v>
          </cell>
        </row>
        <row r="316">
          <cell r="B316">
            <v>5891023.9454545453</v>
          </cell>
        </row>
        <row r="317">
          <cell r="B317">
            <v>5716607.2631578948</v>
          </cell>
        </row>
        <row r="318">
          <cell r="B318">
            <v>5800396.5238095243</v>
          </cell>
        </row>
        <row r="319">
          <cell r="B319">
            <v>5909559.2105263155</v>
          </cell>
        </row>
        <row r="320">
          <cell r="B320">
            <v>6228671.25</v>
          </cell>
        </row>
        <row r="321">
          <cell r="B321">
            <v>6628583.75</v>
          </cell>
        </row>
        <row r="322">
          <cell r="B322">
            <v>7084612.9047619049</v>
          </cell>
        </row>
        <row r="323">
          <cell r="B323">
            <v>7232147</v>
          </cell>
        </row>
        <row r="324">
          <cell r="B324">
            <v>7570013.5238095243</v>
          </cell>
        </row>
        <row r="325">
          <cell r="B325">
            <v>7907854.9052631576</v>
          </cell>
        </row>
        <row r="326">
          <cell r="B326">
            <v>8058166.4857142847</v>
          </cell>
        </row>
        <row r="327">
          <cell r="B327">
            <v>9001184.6500000004</v>
          </cell>
        </row>
        <row r="328">
          <cell r="B328">
            <v>9279926.7727272734</v>
          </cell>
        </row>
        <row r="329">
          <cell r="B329">
            <v>9478409.1888888888</v>
          </cell>
        </row>
        <row r="330">
          <cell r="B330">
            <v>9650347.1818181816</v>
          </cell>
        </row>
        <row r="331">
          <cell r="B331">
            <v>9700698.722222222</v>
          </cell>
        </row>
        <row r="332">
          <cell r="B332">
            <v>10296975.050000001</v>
          </cell>
        </row>
        <row r="333">
          <cell r="B333">
            <v>10974952.699999999</v>
          </cell>
        </row>
        <row r="334">
          <cell r="B334">
            <v>11757547.857142856</v>
          </cell>
        </row>
        <row r="335">
          <cell r="B335">
            <v>12815206.727272727</v>
          </cell>
        </row>
        <row r="336">
          <cell r="B336">
            <v>13714113.619047619</v>
          </cell>
        </row>
        <row r="337">
          <cell r="B337">
            <v>15696732.65</v>
          </cell>
        </row>
        <row r="338">
          <cell r="B338">
            <v>16737873.85</v>
          </cell>
        </row>
        <row r="339">
          <cell r="B339">
            <v>19107187.368421052</v>
          </cell>
        </row>
        <row r="340">
          <cell r="B340">
            <v>22391052.40909091</v>
          </cell>
        </row>
        <row r="341">
          <cell r="B341">
            <v>23465090.52631579</v>
          </cell>
        </row>
        <row r="342">
          <cell r="B342">
            <v>24744754.368421052</v>
          </cell>
        </row>
        <row r="343">
          <cell r="B343">
            <v>26074451.399999999</v>
          </cell>
        </row>
        <row r="344">
          <cell r="B344">
            <v>29739714.045454547</v>
          </cell>
        </row>
        <row r="345">
          <cell r="B345">
            <v>33263064.470588237</v>
          </cell>
        </row>
        <row r="346">
          <cell r="B346">
            <v>35423019.227272727</v>
          </cell>
        </row>
        <row r="347">
          <cell r="B347">
            <v>37101278.136363633</v>
          </cell>
        </row>
        <row r="348">
          <cell r="B348">
            <v>38611413</v>
          </cell>
        </row>
        <row r="349">
          <cell r="B349">
            <v>41505023.31818182</v>
          </cell>
        </row>
        <row r="350">
          <cell r="B350">
            <v>44007645.421052635</v>
          </cell>
        </row>
        <row r="351">
          <cell r="B351">
            <v>47267605.526315786</v>
          </cell>
        </row>
        <row r="352">
          <cell r="B352">
            <v>47524230.863636367</v>
          </cell>
        </row>
        <row r="353">
          <cell r="B353">
            <v>47068332.200000003</v>
          </cell>
        </row>
        <row r="354">
          <cell r="B354">
            <v>49181330.777777776</v>
          </cell>
        </row>
        <row r="355">
          <cell r="B355">
            <v>51505326.263157897</v>
          </cell>
        </row>
        <row r="356">
          <cell r="B356">
            <v>53983261.899999999</v>
          </cell>
        </row>
        <row r="357">
          <cell r="B357">
            <v>55263316.473684214</v>
          </cell>
        </row>
        <row r="358">
          <cell r="B358">
            <v>57332759.136363633</v>
          </cell>
        </row>
        <row r="359">
          <cell r="B359">
            <v>58889214.299999997</v>
          </cell>
        </row>
        <row r="360">
          <cell r="D360">
            <v>153600235.36363637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eficiente de empalme"/>
      <sheetName val="Serie histórica IS"/>
      <sheetName val="Nuevo Indice"/>
      <sheetName val="Salario Real"/>
      <sheetName val="PAS"/>
      <sheetName val="Trimestral"/>
      <sheetName val="Chart1"/>
      <sheetName val="Chart2"/>
      <sheetName val="Chart3"/>
    </sheetNames>
    <sheetDataSet>
      <sheetData sheetId="0"/>
      <sheetData sheetId="1"/>
      <sheetData sheetId="2"/>
      <sheetData sheetId="3">
        <row r="5">
          <cell r="A5" t="str">
            <v>Período</v>
          </cell>
          <cell r="B5" t="str">
            <v>Sector privado</v>
          </cell>
          <cell r="C5"/>
        </row>
        <row r="6">
          <cell r="A6" t="str">
            <v>Período</v>
          </cell>
          <cell r="B6" t="str">
            <v>Registrado</v>
          </cell>
          <cell r="C6" t="str">
            <v>No registrado</v>
          </cell>
        </row>
        <row r="7">
          <cell r="A7"/>
          <cell r="B7"/>
          <cell r="C7"/>
        </row>
        <row r="8">
          <cell r="A8">
            <v>37165</v>
          </cell>
          <cell r="B8">
            <v>99.546442663251113</v>
          </cell>
          <cell r="C8">
            <v>100.42630787140008</v>
          </cell>
        </row>
        <row r="9">
          <cell r="A9">
            <v>37196</v>
          </cell>
          <cell r="B9">
            <v>100.06390267096248</v>
          </cell>
          <cell r="C9">
            <v>100.32530850446591</v>
          </cell>
        </row>
        <row r="10">
          <cell r="A10">
            <v>37226</v>
          </cell>
          <cell r="B10">
            <v>100</v>
          </cell>
          <cell r="C10">
            <v>100</v>
          </cell>
        </row>
        <row r="11">
          <cell r="A11">
            <v>37257</v>
          </cell>
          <cell r="B11">
            <v>97.465407358972072</v>
          </cell>
          <cell r="C11">
            <v>97.346494505821624</v>
          </cell>
        </row>
        <row r="12">
          <cell r="A12">
            <v>37288</v>
          </cell>
          <cell r="B12">
            <v>94.478763562283589</v>
          </cell>
          <cell r="C12">
            <v>93.982709625319018</v>
          </cell>
        </row>
        <row r="13">
          <cell r="A13">
            <v>37316</v>
          </cell>
          <cell r="B13">
            <v>90.902110046631051</v>
          </cell>
          <cell r="C13">
            <v>90.040485911261314</v>
          </cell>
        </row>
        <row r="14">
          <cell r="A14">
            <v>37347</v>
          </cell>
          <cell r="B14">
            <v>82.496057155086632</v>
          </cell>
          <cell r="C14">
            <v>80.994551092460881</v>
          </cell>
        </row>
        <row r="15">
          <cell r="A15">
            <v>37377</v>
          </cell>
          <cell r="B15">
            <v>79.465862456430358</v>
          </cell>
          <cell r="C15">
            <v>77.33709188730657</v>
          </cell>
        </row>
        <row r="16">
          <cell r="A16">
            <v>37408</v>
          </cell>
          <cell r="B16">
            <v>77.071485878707549</v>
          </cell>
          <cell r="C16">
            <v>74.110576843642889</v>
          </cell>
        </row>
        <row r="17">
          <cell r="A17">
            <v>37438</v>
          </cell>
          <cell r="B17">
            <v>84.09483758207098</v>
          </cell>
          <cell r="C17">
            <v>71.313380630710071</v>
          </cell>
        </row>
        <row r="18">
          <cell r="A18">
            <v>37469</v>
          </cell>
          <cell r="B18">
            <v>83.114088042390208</v>
          </cell>
          <cell r="C18">
            <v>69.236984260745757</v>
          </cell>
        </row>
        <row r="19">
          <cell r="A19">
            <v>37500</v>
          </cell>
          <cell r="B19">
            <v>82.29286196062256</v>
          </cell>
          <cell r="C19">
            <v>67.839717325525186</v>
          </cell>
        </row>
        <row r="20">
          <cell r="A20">
            <v>37530</v>
          </cell>
          <cell r="B20">
            <v>82.392101954655573</v>
          </cell>
          <cell r="C20">
            <v>67.225469032352805</v>
          </cell>
        </row>
        <row r="21">
          <cell r="A21">
            <v>37561</v>
          </cell>
          <cell r="B21">
            <v>82.709233895969334</v>
          </cell>
          <cell r="C21">
            <v>67.034819998958213</v>
          </cell>
        </row>
        <row r="22">
          <cell r="A22">
            <v>37591</v>
          </cell>
          <cell r="B22">
            <v>82.935758385697724</v>
          </cell>
          <cell r="C22">
            <v>67.052012388118783</v>
          </cell>
        </row>
        <row r="23">
          <cell r="A23">
            <v>37622</v>
          </cell>
          <cell r="B23">
            <v>84.748758640414806</v>
          </cell>
          <cell r="C23">
            <v>66.326588964581731</v>
          </cell>
        </row>
        <row r="24">
          <cell r="A24">
            <v>37653</v>
          </cell>
          <cell r="B24">
            <v>84.424994188324959</v>
          </cell>
          <cell r="C24">
            <v>66.10010447072807</v>
          </cell>
        </row>
        <row r="25">
          <cell r="A25">
            <v>37681</v>
          </cell>
          <cell r="B25">
            <v>84.405906722088801</v>
          </cell>
          <cell r="C25">
            <v>65.862458954956253</v>
          </cell>
        </row>
        <row r="26">
          <cell r="A26">
            <v>37712</v>
          </cell>
          <cell r="B26">
            <v>84.87145232095834</v>
          </cell>
          <cell r="C26">
            <v>65.965040655561907</v>
          </cell>
        </row>
        <row r="27">
          <cell r="A27">
            <v>37742</v>
          </cell>
          <cell r="B27">
            <v>89.795533338744164</v>
          </cell>
          <cell r="C27">
            <v>66.079527551428569</v>
          </cell>
        </row>
        <row r="28">
          <cell r="A28">
            <v>37773</v>
          </cell>
          <cell r="B28">
            <v>90.770081518047547</v>
          </cell>
          <cell r="C28">
            <v>66.087327613066776</v>
          </cell>
        </row>
        <row r="29">
          <cell r="A29">
            <v>37803</v>
          </cell>
          <cell r="B29">
            <v>91.096970076059065</v>
          </cell>
          <cell r="C29">
            <v>65.795138075292698</v>
          </cell>
        </row>
        <row r="30">
          <cell r="A30">
            <v>37834</v>
          </cell>
          <cell r="B30">
            <v>91.649362303982315</v>
          </cell>
          <cell r="C30">
            <v>67.564634802699089</v>
          </cell>
        </row>
        <row r="31">
          <cell r="A31">
            <v>37865</v>
          </cell>
          <cell r="B31">
            <v>91.896708950132563</v>
          </cell>
          <cell r="C31">
            <v>69.371288112410696</v>
          </cell>
        </row>
        <row r="32">
          <cell r="A32">
            <v>37895</v>
          </cell>
          <cell r="B32">
            <v>91.935916353186315</v>
          </cell>
          <cell r="C32">
            <v>70.835763882847786</v>
          </cell>
        </row>
        <row r="33">
          <cell r="A33">
            <v>37926</v>
          </cell>
          <cell r="B33">
            <v>92.279197356866987</v>
          </cell>
          <cell r="C33">
            <v>70.661498725592082</v>
          </cell>
        </row>
        <row r="34">
          <cell r="A34">
            <v>37956</v>
          </cell>
          <cell r="B34">
            <v>92.645088965417983</v>
          </cell>
          <cell r="C34">
            <v>71.632005615416489</v>
          </cell>
        </row>
        <row r="35">
          <cell r="A35">
            <v>37987</v>
          </cell>
          <cell r="B35">
            <v>96.184277763206751</v>
          </cell>
          <cell r="C35">
            <v>71.954932429754948</v>
          </cell>
        </row>
        <row r="36">
          <cell r="A36">
            <v>38018</v>
          </cell>
          <cell r="B36">
            <v>98.512286805830001</v>
          </cell>
          <cell r="C36">
            <v>72.997029907797511</v>
          </cell>
        </row>
        <row r="37">
          <cell r="A37">
            <v>38047</v>
          </cell>
          <cell r="B37">
            <v>98.655714097105445</v>
          </cell>
          <cell r="C37">
            <v>74.537477195586703</v>
          </cell>
        </row>
        <row r="38">
          <cell r="A38">
            <v>38078</v>
          </cell>
          <cell r="B38">
            <v>98.078259951717271</v>
          </cell>
          <cell r="C38">
            <v>75.244388925854651</v>
          </cell>
        </row>
        <row r="39">
          <cell r="A39">
            <v>38108</v>
          </cell>
          <cell r="B39">
            <v>97.78672346614151</v>
          </cell>
          <cell r="C39">
            <v>73.608174904860604</v>
          </cell>
        </row>
        <row r="40">
          <cell r="A40">
            <v>38139</v>
          </cell>
          <cell r="B40">
            <v>97.388809468138632</v>
          </cell>
          <cell r="C40">
            <v>71.923350463842695</v>
          </cell>
        </row>
        <row r="41">
          <cell r="A41">
            <v>38169</v>
          </cell>
          <cell r="B41">
            <v>97.245452197003161</v>
          </cell>
          <cell r="C41">
            <v>72.361496415480374</v>
          </cell>
        </row>
        <row r="42">
          <cell r="A42">
            <v>38200</v>
          </cell>
          <cell r="B42">
            <v>97.22155040021191</v>
          </cell>
          <cell r="C42">
            <v>75.076747793924511</v>
          </cell>
        </row>
        <row r="43">
          <cell r="A43">
            <v>38231</v>
          </cell>
          <cell r="B43">
            <v>96.89442923011876</v>
          </cell>
          <cell r="C43">
            <v>75.289214941751766</v>
          </cell>
        </row>
        <row r="44">
          <cell r="A44">
            <v>38261</v>
          </cell>
          <cell r="B44">
            <v>97.072054467209369</v>
          </cell>
          <cell r="C44">
            <v>74.08447731250871</v>
          </cell>
        </row>
        <row r="45">
          <cell r="A45">
            <v>38292</v>
          </cell>
          <cell r="B45">
            <v>97.297628510450537</v>
          </cell>
          <cell r="C45">
            <v>75.036455041887677</v>
          </cell>
        </row>
        <row r="46">
          <cell r="A46">
            <v>38322</v>
          </cell>
          <cell r="B46">
            <v>96.929751437145697</v>
          </cell>
          <cell r="C46">
            <v>75.301768202876019</v>
          </cell>
        </row>
        <row r="47">
          <cell r="A47">
            <v>38353</v>
          </cell>
          <cell r="B47">
            <v>100.68002297837069</v>
          </cell>
          <cell r="C47">
            <v>74.93965910378526</v>
          </cell>
        </row>
        <row r="48">
          <cell r="A48">
            <v>38384</v>
          </cell>
          <cell r="B48">
            <v>101.55695104138307</v>
          </cell>
          <cell r="C48">
            <v>73.820103358280207</v>
          </cell>
        </row>
        <row r="49">
          <cell r="A49">
            <v>38412</v>
          </cell>
          <cell r="B49">
            <v>100.91044972656142</v>
          </cell>
          <cell r="C49">
            <v>73.213200700480982</v>
          </cell>
        </row>
        <row r="50">
          <cell r="A50">
            <v>38443</v>
          </cell>
          <cell r="B50">
            <v>101.95507073705652</v>
          </cell>
          <cell r="C50">
            <v>74.621900838500864</v>
          </cell>
        </row>
        <row r="51">
          <cell r="A51">
            <v>38473</v>
          </cell>
          <cell r="B51">
            <v>103.32813684675865</v>
          </cell>
          <cell r="C51">
            <v>75.88858037053383</v>
          </cell>
        </row>
        <row r="52">
          <cell r="A52">
            <v>38504</v>
          </cell>
          <cell r="B52">
            <v>103.79491480064399</v>
          </cell>
          <cell r="C52">
            <v>75.529442963633301</v>
          </cell>
        </row>
        <row r="53">
          <cell r="A53">
            <v>38534</v>
          </cell>
          <cell r="B53">
            <v>104.80369857399288</v>
          </cell>
          <cell r="C53">
            <v>74.796672266378266</v>
          </cell>
        </row>
        <row r="54">
          <cell r="A54">
            <v>38565</v>
          </cell>
          <cell r="B54">
            <v>106.72128702899448</v>
          </cell>
          <cell r="C54">
            <v>73.803508851994636</v>
          </cell>
        </row>
        <row r="55">
          <cell r="A55">
            <v>38596</v>
          </cell>
          <cell r="B55">
            <v>107.14144748100179</v>
          </cell>
          <cell r="C55">
            <v>74.876011251232725</v>
          </cell>
        </row>
        <row r="56">
          <cell r="A56">
            <v>38626</v>
          </cell>
          <cell r="B56">
            <v>108.52112384304682</v>
          </cell>
          <cell r="C56">
            <v>74.183338149935437</v>
          </cell>
        </row>
        <row r="57">
          <cell r="A57">
            <v>38657</v>
          </cell>
          <cell r="B57">
            <v>108.22662328390493</v>
          </cell>
          <cell r="C57">
            <v>75.223228325742767</v>
          </cell>
        </row>
        <row r="58">
          <cell r="A58">
            <v>38687</v>
          </cell>
          <cell r="B58">
            <v>108.68948789543134</v>
          </cell>
          <cell r="C58">
            <v>75.473355088321554</v>
          </cell>
        </row>
        <row r="59">
          <cell r="A59">
            <v>38718</v>
          </cell>
          <cell r="B59">
            <v>108.89147756355342</v>
          </cell>
          <cell r="C59">
            <v>77.546054415547999</v>
          </cell>
        </row>
        <row r="60">
          <cell r="A60">
            <v>38749</v>
          </cell>
          <cell r="B60">
            <v>109.93059733116648</v>
          </cell>
          <cell r="C60">
            <v>77.875139170184553</v>
          </cell>
        </row>
        <row r="61">
          <cell r="A61">
            <v>38777</v>
          </cell>
          <cell r="B61">
            <v>109.90531962128694</v>
          </cell>
          <cell r="C61">
            <v>77.451993262744537</v>
          </cell>
        </row>
        <row r="62">
          <cell r="A62">
            <v>38808</v>
          </cell>
          <cell r="B62">
            <v>111.01408484417716</v>
          </cell>
          <cell r="C62">
            <v>78.476454291758841</v>
          </cell>
        </row>
        <row r="63">
          <cell r="A63">
            <v>38838</v>
          </cell>
          <cell r="B63">
            <v>112.28547310085995</v>
          </cell>
          <cell r="C63">
            <v>79.514021046565091</v>
          </cell>
        </row>
        <row r="64">
          <cell r="A64">
            <v>38869</v>
          </cell>
          <cell r="B64">
            <v>113.35065979390662</v>
          </cell>
          <cell r="C64">
            <v>79.960968014467213</v>
          </cell>
        </row>
        <row r="65">
          <cell r="A65">
            <v>38899</v>
          </cell>
          <cell r="B65">
            <v>115.38079879755729</v>
          </cell>
          <cell r="C65">
            <v>79.377687847348056</v>
          </cell>
        </row>
        <row r="66">
          <cell r="A66">
            <v>38930</v>
          </cell>
          <cell r="B66">
            <v>116.73803879519104</v>
          </cell>
          <cell r="C66">
            <v>79.851884868449829</v>
          </cell>
        </row>
        <row r="67">
          <cell r="A67">
            <v>38961</v>
          </cell>
          <cell r="B67">
            <v>116.92593241911683</v>
          </cell>
          <cell r="C67">
            <v>81.358662167248895</v>
          </cell>
        </row>
        <row r="68">
          <cell r="A68">
            <v>38991</v>
          </cell>
          <cell r="B68">
            <v>117.63565923883282</v>
          </cell>
          <cell r="C68">
            <v>81.853492800747503</v>
          </cell>
        </row>
        <row r="69">
          <cell r="A69">
            <v>39022</v>
          </cell>
          <cell r="B69">
            <v>117.73857712418743</v>
          </cell>
          <cell r="C69">
            <v>83.520881221551136</v>
          </cell>
        </row>
        <row r="70">
          <cell r="A70">
            <v>39052</v>
          </cell>
          <cell r="B70">
            <v>118.18972771587272</v>
          </cell>
          <cell r="C70">
            <v>82.893086791816117</v>
          </cell>
        </row>
        <row r="71">
          <cell r="A71">
            <v>39083</v>
          </cell>
          <cell r="B71">
            <v>117.98264773239953</v>
          </cell>
          <cell r="C71">
            <v>84.694269297894209</v>
          </cell>
        </row>
        <row r="72">
          <cell r="A72">
            <v>39114</v>
          </cell>
          <cell r="B72">
            <v>118.25189398889189</v>
          </cell>
          <cell r="C72">
            <v>86.320618672058629</v>
          </cell>
        </row>
        <row r="73">
          <cell r="A73">
            <v>39142</v>
          </cell>
          <cell r="B73">
            <v>118.1616911376462</v>
          </cell>
          <cell r="C73">
            <v>86.574146977315024</v>
          </cell>
        </row>
        <row r="74">
          <cell r="A74">
            <v>39173</v>
          </cell>
          <cell r="B74">
            <v>117.41071395482112</v>
          </cell>
          <cell r="C74">
            <v>86.251352135701907</v>
          </cell>
        </row>
        <row r="75">
          <cell r="A75">
            <v>39203</v>
          </cell>
          <cell r="B75">
            <v>117.13338283425794</v>
          </cell>
          <cell r="C75">
            <v>84.706143243549022</v>
          </cell>
        </row>
        <row r="76">
          <cell r="A76">
            <v>39234</v>
          </cell>
          <cell r="B76">
            <v>116.67058454598531</v>
          </cell>
          <cell r="C76">
            <v>83.138993767186662</v>
          </cell>
        </row>
        <row r="77">
          <cell r="A77">
            <v>39264</v>
          </cell>
          <cell r="B77">
            <v>115.91984389456709</v>
          </cell>
          <cell r="C77">
            <v>82.208755462092654</v>
          </cell>
        </row>
        <row r="78">
          <cell r="A78">
            <v>39295</v>
          </cell>
          <cell r="B78">
            <v>114.3295251295084</v>
          </cell>
          <cell r="C78">
            <v>82.402620124987351</v>
          </cell>
        </row>
        <row r="79">
          <cell r="A79">
            <v>39326</v>
          </cell>
          <cell r="B79">
            <v>114.01497526794297</v>
          </cell>
          <cell r="C79">
            <v>81.986739754216444</v>
          </cell>
        </row>
        <row r="80">
          <cell r="A80">
            <v>39356</v>
          </cell>
          <cell r="B80">
            <v>114.47142261783905</v>
          </cell>
          <cell r="C80">
            <v>82.337989924555743</v>
          </cell>
        </row>
        <row r="81">
          <cell r="A81">
            <v>39387</v>
          </cell>
          <cell r="B81">
            <v>116.35142753792984</v>
          </cell>
          <cell r="C81">
            <v>84.02357239132165</v>
          </cell>
        </row>
        <row r="82">
          <cell r="A82">
            <v>39417</v>
          </cell>
          <cell r="B82">
            <v>116.75558865674076</v>
          </cell>
          <cell r="C82">
            <v>84.673551055376777</v>
          </cell>
        </row>
        <row r="83">
          <cell r="A83">
            <v>39448</v>
          </cell>
          <cell r="B83">
            <v>111.02343349393185</v>
          </cell>
          <cell r="C83">
            <v>85.044125468496972</v>
          </cell>
        </row>
        <row r="84">
          <cell r="A84">
            <v>39479</v>
          </cell>
          <cell r="B84">
            <v>109.52745976120649</v>
          </cell>
          <cell r="C84">
            <v>86.733582216073373</v>
          </cell>
        </row>
        <row r="85">
          <cell r="A85">
            <v>39508</v>
          </cell>
          <cell r="B85">
            <v>106.46246045956519</v>
          </cell>
          <cell r="C85">
            <v>85.84122507367816</v>
          </cell>
        </row>
        <row r="86">
          <cell r="A86">
            <v>39539</v>
          </cell>
          <cell r="B86">
            <v>106.71813811956193</v>
          </cell>
          <cell r="C86">
            <v>86.016400872026978</v>
          </cell>
        </row>
        <row r="87">
          <cell r="A87">
            <v>39569</v>
          </cell>
          <cell r="B87">
            <v>109.71402508923305</v>
          </cell>
          <cell r="C87">
            <v>88.235655358788904</v>
          </cell>
        </row>
        <row r="88">
          <cell r="A88">
            <v>39600</v>
          </cell>
          <cell r="B88">
            <v>108.7803744883272</v>
          </cell>
          <cell r="C88">
            <v>88.444882587939219</v>
          </cell>
        </row>
        <row r="89">
          <cell r="A89">
            <v>39630</v>
          </cell>
          <cell r="B89">
            <v>110.47112830593476</v>
          </cell>
          <cell r="C89">
            <v>88.747524445358835</v>
          </cell>
        </row>
        <row r="90">
          <cell r="A90">
            <v>39661</v>
          </cell>
          <cell r="B90">
            <v>112.12579704660754</v>
          </cell>
          <cell r="C90">
            <v>90.9007703958723</v>
          </cell>
        </row>
        <row r="91">
          <cell r="A91">
            <v>39692</v>
          </cell>
          <cell r="B91">
            <v>112.84778703392861</v>
          </cell>
          <cell r="C91">
            <v>92.902181088443498</v>
          </cell>
        </row>
        <row r="92">
          <cell r="A92">
            <v>39722</v>
          </cell>
          <cell r="B92">
            <v>114.01907431512566</v>
          </cell>
          <cell r="C92">
            <v>95.583050819678022</v>
          </cell>
        </row>
        <row r="93">
          <cell r="A93">
            <v>39753</v>
          </cell>
          <cell r="B93">
            <v>114.39529923733657</v>
          </cell>
          <cell r="C93">
            <v>95.843092035452145</v>
          </cell>
        </row>
        <row r="94">
          <cell r="A94">
            <v>39783</v>
          </cell>
          <cell r="B94">
            <v>114.77506228559402</v>
          </cell>
          <cell r="C94">
            <v>96.559537483466642</v>
          </cell>
        </row>
        <row r="95">
          <cell r="A95">
            <v>39814</v>
          </cell>
          <cell r="B95">
            <v>114.43884526270018</v>
          </cell>
          <cell r="C95">
            <v>98.416747704197434</v>
          </cell>
        </row>
        <row r="96">
          <cell r="A96">
            <v>39845</v>
          </cell>
          <cell r="B96">
            <v>114.9696325143718</v>
          </cell>
          <cell r="C96">
            <v>102.35889318932621</v>
          </cell>
        </row>
        <row r="97">
          <cell r="A97">
            <v>39873</v>
          </cell>
          <cell r="B97">
            <v>113.0099236726213</v>
          </cell>
          <cell r="C97">
            <v>100.83309850832498</v>
          </cell>
        </row>
        <row r="98">
          <cell r="A98">
            <v>39904</v>
          </cell>
          <cell r="B98">
            <v>112.42961620334701</v>
          </cell>
          <cell r="C98">
            <v>101.95138944863638</v>
          </cell>
        </row>
        <row r="99">
          <cell r="A99">
            <v>39934</v>
          </cell>
          <cell r="B99">
            <v>113.04721367026853</v>
          </cell>
          <cell r="C99">
            <v>100.65978066266874</v>
          </cell>
        </row>
        <row r="100">
          <cell r="A100">
            <v>39965</v>
          </cell>
          <cell r="B100">
            <v>114.62920338649502</v>
          </cell>
          <cell r="C100">
            <v>101.09515007071342</v>
          </cell>
        </row>
        <row r="101">
          <cell r="A101">
            <v>39995</v>
          </cell>
          <cell r="B101">
            <v>116.11272983722252</v>
          </cell>
          <cell r="C101">
            <v>101.08027419905928</v>
          </cell>
        </row>
        <row r="102">
          <cell r="A102">
            <v>40026</v>
          </cell>
          <cell r="B102">
            <v>115.92074677336211</v>
          </cell>
          <cell r="C102">
            <v>100.46263828217951</v>
          </cell>
        </row>
        <row r="103">
          <cell r="A103">
            <v>40057</v>
          </cell>
          <cell r="B103">
            <v>115.84050963293357</v>
          </cell>
          <cell r="C103">
            <v>102.20847433898244</v>
          </cell>
        </row>
        <row r="104">
          <cell r="A104">
            <v>40087</v>
          </cell>
          <cell r="B104">
            <v>116.1017862343891</v>
          </cell>
          <cell r="C104">
            <v>99.376977694569021</v>
          </cell>
        </row>
        <row r="105">
          <cell r="A105">
            <v>40118</v>
          </cell>
          <cell r="B105">
            <v>115.72972750850006</v>
          </cell>
          <cell r="C105">
            <v>100.93020416761007</v>
          </cell>
        </row>
        <row r="106">
          <cell r="A106">
            <v>40148</v>
          </cell>
          <cell r="B106">
            <v>113.6294495414178</v>
          </cell>
          <cell r="C106">
            <v>99.046928931175657</v>
          </cell>
        </row>
        <row r="107">
          <cell r="A107">
            <v>40179</v>
          </cell>
          <cell r="B107">
            <v>112.79798397308008</v>
          </cell>
          <cell r="C107">
            <v>99.538680383913942</v>
          </cell>
        </row>
        <row r="108">
          <cell r="A108">
            <v>40210</v>
          </cell>
          <cell r="B108">
            <v>109.70637496409918</v>
          </cell>
          <cell r="C108">
            <v>96.616221094814691</v>
          </cell>
        </row>
        <row r="109">
          <cell r="A109">
            <v>40238</v>
          </cell>
          <cell r="B109">
            <v>109.31699728478834</v>
          </cell>
          <cell r="C109">
            <v>94.509222153928889</v>
          </cell>
        </row>
        <row r="110">
          <cell r="A110">
            <v>40269</v>
          </cell>
          <cell r="B110">
            <v>110.17915998162277</v>
          </cell>
          <cell r="C110">
            <v>94.313043550456683</v>
          </cell>
        </row>
        <row r="111">
          <cell r="A111">
            <v>40299</v>
          </cell>
          <cell r="B111">
            <v>110.81519382742684</v>
          </cell>
          <cell r="C111">
            <v>94.883200135068776</v>
          </cell>
        </row>
        <row r="112">
          <cell r="A112">
            <v>40330</v>
          </cell>
          <cell r="B112">
            <v>112.24844377945796</v>
          </cell>
          <cell r="C112">
            <v>96.739858827221497</v>
          </cell>
        </row>
        <row r="113">
          <cell r="A113">
            <v>40360</v>
          </cell>
          <cell r="B113">
            <v>115.02265046044482</v>
          </cell>
          <cell r="C113">
            <v>97.546295724810733</v>
          </cell>
        </row>
        <row r="114">
          <cell r="A114">
            <v>40391</v>
          </cell>
          <cell r="B114">
            <v>117.25858433050166</v>
          </cell>
          <cell r="C114">
            <v>97.424295411925911</v>
          </cell>
        </row>
        <row r="115">
          <cell r="A115">
            <v>40422</v>
          </cell>
          <cell r="B115">
            <v>117.96018778868584</v>
          </cell>
          <cell r="C115">
            <v>98.754202198233472</v>
          </cell>
        </row>
        <row r="116">
          <cell r="A116">
            <v>40452</v>
          </cell>
          <cell r="B116">
            <v>116.71549453183215</v>
          </cell>
          <cell r="C116">
            <v>95.283089615979094</v>
          </cell>
        </row>
        <row r="117">
          <cell r="A117">
            <v>40483</v>
          </cell>
          <cell r="B117">
            <v>115.69369992570751</v>
          </cell>
          <cell r="C117">
            <v>96.113734494488838</v>
          </cell>
        </row>
        <row r="118">
          <cell r="A118">
            <v>40513</v>
          </cell>
          <cell r="B118">
            <v>115.62082209868574</v>
          </cell>
          <cell r="C118">
            <v>96.064670093875563</v>
          </cell>
        </row>
        <row r="119">
          <cell r="A119">
            <v>40544</v>
          </cell>
          <cell r="B119">
            <v>116.20966347001831</v>
          </cell>
          <cell r="C119">
            <v>98.891045305923157</v>
          </cell>
        </row>
        <row r="120">
          <cell r="A120">
            <v>40575</v>
          </cell>
          <cell r="B120">
            <v>116.1010065323575</v>
          </cell>
          <cell r="C120">
            <v>100.51908968410548</v>
          </cell>
        </row>
        <row r="121">
          <cell r="A121">
            <v>40603</v>
          </cell>
          <cell r="B121">
            <v>114.92374962586922</v>
          </cell>
          <cell r="C121">
            <v>99.337749372944899</v>
          </cell>
        </row>
        <row r="122">
          <cell r="A122">
            <v>40634</v>
          </cell>
          <cell r="B122">
            <v>114.6001783680847</v>
          </cell>
          <cell r="C122">
            <v>99.063783311543091</v>
          </cell>
        </row>
        <row r="123">
          <cell r="A123">
            <v>40664</v>
          </cell>
          <cell r="B123">
            <v>117.19391758456148</v>
          </cell>
          <cell r="C123">
            <v>99.55325005432482</v>
          </cell>
        </row>
        <row r="124">
          <cell r="A124">
            <v>40695</v>
          </cell>
          <cell r="B124">
            <v>120.42971263795484</v>
          </cell>
          <cell r="C124">
            <v>102.14126391689857</v>
          </cell>
        </row>
        <row r="125">
          <cell r="A125">
            <v>40725</v>
          </cell>
          <cell r="B125">
            <v>124.09572477376337</v>
          </cell>
          <cell r="C125">
            <v>102.93852264550559</v>
          </cell>
        </row>
        <row r="126">
          <cell r="A126">
            <v>40756</v>
          </cell>
          <cell r="B126">
            <v>124.66911343146032</v>
          </cell>
          <cell r="C126">
            <v>101.49854565370551</v>
          </cell>
        </row>
        <row r="127">
          <cell r="A127">
            <v>40787</v>
          </cell>
          <cell r="B127">
            <v>125.74051674043511</v>
          </cell>
          <cell r="C127">
            <v>100.34537859361801</v>
          </cell>
        </row>
        <row r="128">
          <cell r="A128">
            <v>40817</v>
          </cell>
          <cell r="B128">
            <v>125.77396813640409</v>
          </cell>
          <cell r="C128">
            <v>100.32063788492924</v>
          </cell>
        </row>
        <row r="129">
          <cell r="A129">
            <v>40848</v>
          </cell>
          <cell r="B129">
            <v>125.79427476933176</v>
          </cell>
          <cell r="C129">
            <v>103.04427230458654</v>
          </cell>
        </row>
        <row r="130">
          <cell r="A130">
            <v>40878</v>
          </cell>
          <cell r="B130">
            <v>127.35386161572397</v>
          </cell>
          <cell r="C130">
            <v>103.45856685683665</v>
          </cell>
        </row>
        <row r="131">
          <cell r="A131">
            <v>40909</v>
          </cell>
          <cell r="B131">
            <v>126.89107522310013</v>
          </cell>
          <cell r="C131">
            <v>105.08121480019234</v>
          </cell>
        </row>
        <row r="132">
          <cell r="A132">
            <v>40940</v>
          </cell>
          <cell r="B132">
            <v>126.69646301810724</v>
          </cell>
          <cell r="C132">
            <v>105.86060193524192</v>
          </cell>
        </row>
        <row r="133">
          <cell r="A133">
            <v>40969</v>
          </cell>
          <cell r="B133">
            <v>124.31649911439754</v>
          </cell>
          <cell r="C133">
            <v>104.83579502920665</v>
          </cell>
        </row>
        <row r="134">
          <cell r="A134">
            <v>41000</v>
          </cell>
          <cell r="B134">
            <v>124.87176180546294</v>
          </cell>
          <cell r="C134">
            <v>104.86337538013501</v>
          </cell>
        </row>
        <row r="135">
          <cell r="A135">
            <v>41030</v>
          </cell>
          <cell r="B135">
            <v>127.18941068952894</v>
          </cell>
          <cell r="C135">
            <v>104.00100824383374</v>
          </cell>
        </row>
        <row r="136">
          <cell r="A136">
            <v>41061</v>
          </cell>
          <cell r="B136">
            <v>127.96773748984648</v>
          </cell>
          <cell r="C136">
            <v>104.25501132022079</v>
          </cell>
        </row>
        <row r="137">
          <cell r="A137">
            <v>41091</v>
          </cell>
          <cell r="B137">
            <v>129.32569991424739</v>
          </cell>
          <cell r="C137">
            <v>106.41771451852082</v>
          </cell>
        </row>
        <row r="138">
          <cell r="A138">
            <v>41122</v>
          </cell>
          <cell r="B138">
            <v>129.56095966063964</v>
          </cell>
          <cell r="C138">
            <v>107.42859928358652</v>
          </cell>
        </row>
        <row r="139">
          <cell r="A139">
            <v>41153</v>
          </cell>
          <cell r="B139">
            <v>129.0384085954058</v>
          </cell>
          <cell r="C139">
            <v>107.76422523011743</v>
          </cell>
        </row>
        <row r="140">
          <cell r="A140">
            <v>41183</v>
          </cell>
          <cell r="B140">
            <v>128.80418815564417</v>
          </cell>
          <cell r="C140">
            <v>108.05205382689638</v>
          </cell>
        </row>
        <row r="141">
          <cell r="A141">
            <v>41214</v>
          </cell>
          <cell r="B141">
            <v>129.45107322381907</v>
          </cell>
          <cell r="C141">
            <v>109.69917059473862</v>
          </cell>
        </row>
        <row r="142">
          <cell r="A142">
            <v>41244</v>
          </cell>
          <cell r="B142">
            <v>129.17085873175816</v>
          </cell>
          <cell r="C142">
            <v>112.28527234512529</v>
          </cell>
        </row>
        <row r="143">
          <cell r="A143">
            <v>41275</v>
          </cell>
          <cell r="B143">
            <v>128.03593584966734</v>
          </cell>
          <cell r="C143">
            <v>111.12446515587273</v>
          </cell>
        </row>
        <row r="144">
          <cell r="A144">
            <v>41306</v>
          </cell>
          <cell r="B144">
            <v>125.88603912608993</v>
          </cell>
          <cell r="C144">
            <v>109.69483760199974</v>
          </cell>
        </row>
        <row r="145">
          <cell r="A145">
            <v>41334</v>
          </cell>
          <cell r="B145">
            <v>124.46944203443107</v>
          </cell>
          <cell r="C145">
            <v>109.6021527692871</v>
          </cell>
        </row>
        <row r="146">
          <cell r="A146">
            <v>41365</v>
          </cell>
          <cell r="B146">
            <v>124.48312323059369</v>
          </cell>
          <cell r="C146">
            <v>111.23643448834237</v>
          </cell>
        </row>
        <row r="147">
          <cell r="A147">
            <v>41395</v>
          </cell>
          <cell r="B147">
            <v>128.12976059510859</v>
          </cell>
          <cell r="C147">
            <v>110.58534248561229</v>
          </cell>
        </row>
        <row r="148">
          <cell r="A148">
            <v>41426</v>
          </cell>
          <cell r="B148">
            <v>128.54140791436046</v>
          </cell>
          <cell r="C148">
            <v>109.98247937370095</v>
          </cell>
        </row>
        <row r="149">
          <cell r="A149">
            <v>41456</v>
          </cell>
          <cell r="B149">
            <v>128.90478184103486</v>
          </cell>
          <cell r="C149">
            <v>109.51804787698293</v>
          </cell>
        </row>
        <row r="150">
          <cell r="A150">
            <v>41487</v>
          </cell>
          <cell r="B150">
            <v>128.89675389896445</v>
          </cell>
          <cell r="C150">
            <v>108.53525218362081</v>
          </cell>
        </row>
        <row r="151">
          <cell r="A151">
            <v>41518</v>
          </cell>
          <cell r="B151">
            <v>128.62179660526562</v>
          </cell>
          <cell r="C151">
            <v>109.08947469288988</v>
          </cell>
        </row>
        <row r="152">
          <cell r="A152">
            <v>41548</v>
          </cell>
          <cell r="B152">
            <v>126.04010388804667</v>
          </cell>
          <cell r="C152">
            <v>108.01521376888527</v>
          </cell>
        </row>
        <row r="153">
          <cell r="A153">
            <v>41579</v>
          </cell>
          <cell r="B153">
            <v>125.30039457739981</v>
          </cell>
          <cell r="C153">
            <v>110.75179309939752</v>
          </cell>
        </row>
        <row r="154">
          <cell r="A154">
            <v>41609</v>
          </cell>
          <cell r="B154">
            <v>122.54161396949981</v>
          </cell>
          <cell r="C154">
            <v>108.64915014527978</v>
          </cell>
        </row>
        <row r="155">
          <cell r="A155">
            <v>41640</v>
          </cell>
          <cell r="B155">
            <v>119.01067727044925</v>
          </cell>
          <cell r="C155">
            <v>106.93717343313733</v>
          </cell>
        </row>
        <row r="156">
          <cell r="A156">
            <v>41671</v>
          </cell>
          <cell r="B156">
            <v>112.75459492780737</v>
          </cell>
          <cell r="C156">
            <v>101.95493575152648</v>
          </cell>
        </row>
        <row r="157">
          <cell r="A157">
            <v>41699</v>
          </cell>
          <cell r="B157">
            <v>110.22905519320105</v>
          </cell>
          <cell r="C157">
            <v>102.63665738501228</v>
          </cell>
        </row>
        <row r="158">
          <cell r="A158">
            <v>41730</v>
          </cell>
          <cell r="B158">
            <v>115.07717590465028</v>
          </cell>
          <cell r="C158">
            <v>103.76495149454708</v>
          </cell>
        </row>
        <row r="159">
          <cell r="A159">
            <v>41760</v>
          </cell>
          <cell r="B159">
            <v>114.83149056995939</v>
          </cell>
          <cell r="C159">
            <v>107.86597181729176</v>
          </cell>
        </row>
        <row r="160">
          <cell r="A160">
            <v>41791</v>
          </cell>
          <cell r="B160">
            <v>115.18409368061555</v>
          </cell>
          <cell r="C160">
            <v>109.88493450723583</v>
          </cell>
        </row>
        <row r="161">
          <cell r="A161">
            <v>41821</v>
          </cell>
          <cell r="B161">
            <v>117.6281486267609</v>
          </cell>
          <cell r="C161">
            <v>111.35521899308856</v>
          </cell>
        </row>
        <row r="162">
          <cell r="A162">
            <v>41852</v>
          </cell>
          <cell r="B162">
            <v>117.21598562473253</v>
          </cell>
          <cell r="C162">
            <v>107.46465340992239</v>
          </cell>
        </row>
        <row r="163">
          <cell r="A163">
            <v>41883</v>
          </cell>
          <cell r="B163">
            <v>116.48997473806588</v>
          </cell>
          <cell r="C163">
            <v>105.13626590262406</v>
          </cell>
        </row>
        <row r="164">
          <cell r="A164">
            <v>41913</v>
          </cell>
          <cell r="B164">
            <v>117.15133977145516</v>
          </cell>
          <cell r="C164">
            <v>105.93826226324532</v>
          </cell>
        </row>
        <row r="165">
          <cell r="A165">
            <v>41944</v>
          </cell>
          <cell r="B165">
            <v>116.86328029721781</v>
          </cell>
          <cell r="C165">
            <v>108.77954132209209</v>
          </cell>
        </row>
        <row r="166">
          <cell r="A166">
            <v>41974</v>
          </cell>
          <cell r="B166">
            <v>115.91840807378175</v>
          </cell>
          <cell r="C166">
            <v>109.43871080510563</v>
          </cell>
        </row>
        <row r="167">
          <cell r="A167">
            <v>42005</v>
          </cell>
          <cell r="B167">
            <v>115.58442462523763</v>
          </cell>
          <cell r="C167">
            <v>111.41109555412918</v>
          </cell>
        </row>
        <row r="168">
          <cell r="A168">
            <v>42036</v>
          </cell>
          <cell r="B168">
            <v>114.20141813397255</v>
          </cell>
          <cell r="C168">
            <v>110.19511266194426</v>
          </cell>
        </row>
        <row r="169">
          <cell r="A169">
            <v>42064</v>
          </cell>
          <cell r="B169">
            <v>113.73603007877846</v>
          </cell>
          <cell r="C169">
            <v>109.59635056539231</v>
          </cell>
        </row>
        <row r="170">
          <cell r="A170">
            <v>42095</v>
          </cell>
          <cell r="B170">
            <v>113.11806921305056</v>
          </cell>
          <cell r="C170">
            <v>107.68337898912969</v>
          </cell>
        </row>
        <row r="171">
          <cell r="A171">
            <v>42125</v>
          </cell>
          <cell r="B171">
            <v>115.81516233487645</v>
          </cell>
          <cell r="C171">
            <v>108.42317018620552</v>
          </cell>
        </row>
        <row r="172">
          <cell r="A172">
            <v>42156</v>
          </cell>
          <cell r="B172">
            <v>118.61271651905041</v>
          </cell>
          <cell r="C172">
            <v>112.01619874919575</v>
          </cell>
        </row>
        <row r="173">
          <cell r="A173">
            <v>42186</v>
          </cell>
          <cell r="B173">
            <v>120.31646457043969</v>
          </cell>
          <cell r="C173">
            <v>114.43071450613711</v>
          </cell>
        </row>
        <row r="174">
          <cell r="A174">
            <v>42217</v>
          </cell>
          <cell r="B174">
            <v>121.13244837906257</v>
          </cell>
          <cell r="C174">
            <v>113.83972053026883</v>
          </cell>
        </row>
        <row r="175">
          <cell r="A175">
            <v>42248</v>
          </cell>
          <cell r="B175">
            <v>120.08691016643193</v>
          </cell>
          <cell r="C175">
            <v>113.90088963503833</v>
          </cell>
        </row>
        <row r="176">
          <cell r="A176">
            <v>42278</v>
          </cell>
          <cell r="B176">
            <v>120.01858932008543</v>
          </cell>
          <cell r="C176">
            <v>114.11204408702933</v>
          </cell>
        </row>
        <row r="177">
          <cell r="A177">
            <v>42309</v>
          </cell>
          <cell r="B177">
            <v>119.79585593250451</v>
          </cell>
          <cell r="C177"/>
        </row>
        <row r="178">
          <cell r="A178">
            <v>42339</v>
          </cell>
          <cell r="B178">
            <v>114.59245949612209</v>
          </cell>
          <cell r="C178"/>
        </row>
        <row r="179">
          <cell r="A179">
            <v>42370</v>
          </cell>
          <cell r="B179">
            <v>112.20307131795066</v>
          </cell>
          <cell r="C179"/>
        </row>
        <row r="180">
          <cell r="A180">
            <v>42401</v>
          </cell>
          <cell r="B180">
            <v>110.78027829569838</v>
          </cell>
          <cell r="C180"/>
        </row>
        <row r="181">
          <cell r="A181">
            <v>42430</v>
          </cell>
          <cell r="B181">
            <v>108.58958031637138</v>
          </cell>
          <cell r="C181"/>
        </row>
        <row r="182">
          <cell r="A182">
            <v>42461</v>
          </cell>
          <cell r="B182">
            <v>111.67247776085586</v>
          </cell>
          <cell r="C182"/>
        </row>
        <row r="183">
          <cell r="A183">
            <v>42491</v>
          </cell>
          <cell r="B183">
            <v>110.70423105416276</v>
          </cell>
          <cell r="C183"/>
        </row>
        <row r="184">
          <cell r="A184">
            <v>42522</v>
          </cell>
          <cell r="B184">
            <v>109.09771021786135</v>
          </cell>
          <cell r="C184"/>
        </row>
        <row r="185">
          <cell r="A185">
            <v>42552</v>
          </cell>
          <cell r="B185">
            <v>110.69410929696343</v>
          </cell>
          <cell r="C185"/>
        </row>
        <row r="186">
          <cell r="A186">
            <v>42583</v>
          </cell>
          <cell r="B186">
            <v>112.48151375435056</v>
          </cell>
          <cell r="C186"/>
        </row>
        <row r="187">
          <cell r="A187">
            <v>42614</v>
          </cell>
          <cell r="B187">
            <v>113.04966994599357</v>
          </cell>
          <cell r="C187"/>
        </row>
        <row r="188">
          <cell r="A188">
            <v>42644</v>
          </cell>
          <cell r="B188">
            <v>114.29836271742178</v>
          </cell>
          <cell r="C188"/>
        </row>
        <row r="189">
          <cell r="A189">
            <v>42675</v>
          </cell>
          <cell r="B189">
            <v>114.50255232982795</v>
          </cell>
          <cell r="C189"/>
        </row>
        <row r="190">
          <cell r="A190">
            <v>42705</v>
          </cell>
          <cell r="B190">
            <v>114.34697425157547</v>
          </cell>
          <cell r="C190"/>
        </row>
        <row r="191">
          <cell r="A191">
            <v>42736</v>
          </cell>
          <cell r="B191">
            <v>116.34393413498174</v>
          </cell>
          <cell r="C191"/>
        </row>
        <row r="192">
          <cell r="A192">
            <v>42767</v>
          </cell>
          <cell r="B192">
            <v>115.4238082487758</v>
          </cell>
          <cell r="C192"/>
        </row>
        <row r="193">
          <cell r="A193">
            <v>42795</v>
          </cell>
          <cell r="B193">
            <v>114.38181221786847</v>
          </cell>
          <cell r="C193"/>
        </row>
        <row r="194">
          <cell r="A194">
            <v>42826</v>
          </cell>
          <cell r="B194">
            <v>115.16641665349887</v>
          </cell>
          <cell r="C194"/>
        </row>
        <row r="195">
          <cell r="A195">
            <v>42856</v>
          </cell>
          <cell r="B195">
            <v>115.79683299472813</v>
          </cell>
          <cell r="C195"/>
        </row>
        <row r="196">
          <cell r="A196">
            <v>42887</v>
          </cell>
          <cell r="B196">
            <v>116.45816998903018</v>
          </cell>
          <cell r="C196"/>
        </row>
        <row r="197">
          <cell r="A197">
            <v>42917</v>
          </cell>
          <cell r="B197">
            <v>119.92417286389968</v>
          </cell>
          <cell r="C197"/>
        </row>
        <row r="198">
          <cell r="A198">
            <v>42948</v>
          </cell>
          <cell r="B198">
            <v>119.9557991060105</v>
          </cell>
          <cell r="C198"/>
        </row>
        <row r="199">
          <cell r="A199">
            <v>42979</v>
          </cell>
          <cell r="B199">
            <v>119.08696263193406</v>
          </cell>
          <cell r="C199"/>
        </row>
        <row r="200">
          <cell r="A200">
            <v>43009</v>
          </cell>
          <cell r="B200">
            <v>119.38641679156675</v>
          </cell>
          <cell r="C200"/>
        </row>
        <row r="201">
          <cell r="A201">
            <v>43040</v>
          </cell>
          <cell r="B201">
            <v>119.42753756481872</v>
          </cell>
          <cell r="C201"/>
        </row>
        <row r="202">
          <cell r="A202">
            <v>43070</v>
          </cell>
          <cell r="B202">
            <v>116.64219226498838</v>
          </cell>
          <cell r="C202"/>
        </row>
        <row r="203">
          <cell r="A203">
            <v>43101</v>
          </cell>
          <cell r="B203">
            <v>116.59202247396352</v>
          </cell>
          <cell r="C203"/>
        </row>
        <row r="204">
          <cell r="A204">
            <v>43132</v>
          </cell>
          <cell r="B204">
            <v>114.73755874044636</v>
          </cell>
          <cell r="C204"/>
        </row>
        <row r="205">
          <cell r="A205">
            <v>43160</v>
          </cell>
          <cell r="B205">
            <v>113.71613986577434</v>
          </cell>
          <cell r="C205"/>
        </row>
        <row r="206">
          <cell r="A206">
            <v>43191</v>
          </cell>
          <cell r="B206">
            <v>114.56948119236475</v>
          </cell>
          <cell r="C206"/>
        </row>
        <row r="207">
          <cell r="A207">
            <v>43221</v>
          </cell>
          <cell r="B207">
            <v>114.9899607658031</v>
          </cell>
          <cell r="C207"/>
        </row>
        <row r="208">
          <cell r="A208">
            <v>43252</v>
          </cell>
          <cell r="B208">
            <v>112.38871883375438</v>
          </cell>
          <cell r="C208"/>
        </row>
        <row r="209">
          <cell r="A209">
            <v>43282</v>
          </cell>
          <cell r="B209">
            <v>111.59120418167159</v>
          </cell>
          <cell r="C209"/>
        </row>
        <row r="210">
          <cell r="A210">
            <v>43313</v>
          </cell>
          <cell r="B210">
            <v>110.46396594566892</v>
          </cell>
          <cell r="C210"/>
        </row>
        <row r="211">
          <cell r="A211">
            <v>43344</v>
          </cell>
          <cell r="B211">
            <v>106.11496713737584</v>
          </cell>
          <cell r="C211"/>
        </row>
        <row r="212">
          <cell r="A212">
            <v>43374</v>
          </cell>
          <cell r="B212">
            <v>104.54264182558626</v>
          </cell>
          <cell r="C212"/>
        </row>
        <row r="213">
          <cell r="A213">
            <v>43405</v>
          </cell>
          <cell r="B213">
            <v>103.94128534758644</v>
          </cell>
          <cell r="C213"/>
        </row>
        <row r="214">
          <cell r="A214">
            <v>43435</v>
          </cell>
          <cell r="B214">
            <v>103.01929664554901</v>
          </cell>
          <cell r="C214"/>
        </row>
        <row r="215">
          <cell r="A215">
            <v>43466</v>
          </cell>
          <cell r="B215">
            <v>103.6537520020445</v>
          </cell>
          <cell r="C215"/>
        </row>
        <row r="216">
          <cell r="A216">
            <v>43497</v>
          </cell>
          <cell r="B216">
            <v>102.62923554002201</v>
          </cell>
          <cell r="C216"/>
        </row>
        <row r="217">
          <cell r="A217">
            <v>43525</v>
          </cell>
          <cell r="B217">
            <v>101.55123148338674</v>
          </cell>
          <cell r="C217"/>
        </row>
        <row r="218">
          <cell r="A218">
            <v>43556</v>
          </cell>
          <cell r="B218">
            <v>100.88888330138941</v>
          </cell>
          <cell r="C218"/>
        </row>
        <row r="219">
          <cell r="A219">
            <v>43586</v>
          </cell>
          <cell r="B219">
            <v>102.03515650894226</v>
          </cell>
          <cell r="C219"/>
        </row>
        <row r="220">
          <cell r="A220">
            <v>43617</v>
          </cell>
          <cell r="B220">
            <v>101.95766967096094</v>
          </cell>
          <cell r="C220"/>
        </row>
        <row r="221">
          <cell r="A221">
            <v>43647</v>
          </cell>
          <cell r="B221">
            <v>104.04488698405157</v>
          </cell>
          <cell r="C221"/>
        </row>
        <row r="222">
          <cell r="A222">
            <v>43678</v>
          </cell>
          <cell r="B222">
            <v>102.86987462055659</v>
          </cell>
          <cell r="C222"/>
        </row>
        <row r="223">
          <cell r="A223">
            <v>43709</v>
          </cell>
          <cell r="B223">
            <v>99.706938652140082</v>
          </cell>
          <cell r="C223"/>
        </row>
        <row r="224">
          <cell r="A224">
            <v>43739</v>
          </cell>
          <cell r="B224">
            <v>100.17656374682599</v>
          </cell>
          <cell r="C224"/>
        </row>
        <row r="225">
          <cell r="A225">
            <v>43770</v>
          </cell>
          <cell r="B225">
            <v>98.755805953701383</v>
          </cell>
          <cell r="C225"/>
        </row>
        <row r="226">
          <cell r="A226">
            <v>43800</v>
          </cell>
          <cell r="B226">
            <v>96.64849504794212</v>
          </cell>
          <cell r="C226"/>
        </row>
        <row r="227">
          <cell r="A227">
            <v>43831</v>
          </cell>
          <cell r="B227">
            <v>102.58559408970083</v>
          </cell>
          <cell r="C227"/>
        </row>
        <row r="228">
          <cell r="A228">
            <v>43862</v>
          </cell>
          <cell r="B228">
            <v>105.18362890064161</v>
          </cell>
          <cell r="C228"/>
        </row>
        <row r="229">
          <cell r="A229">
            <v>43891</v>
          </cell>
          <cell r="B229">
            <v>104.12337417597126</v>
          </cell>
          <cell r="C229"/>
        </row>
        <row r="230">
          <cell r="A230">
            <v>43922</v>
          </cell>
          <cell r="B230">
            <v>102.3521166907942</v>
          </cell>
          <cell r="C230"/>
        </row>
        <row r="231">
          <cell r="A231">
            <v>43952</v>
          </cell>
          <cell r="B231">
            <v>100.55517054228567</v>
          </cell>
          <cell r="C231"/>
        </row>
        <row r="232">
          <cell r="A232">
            <v>43983</v>
          </cell>
          <cell r="B232">
            <v>98.476532690527492</v>
          </cell>
          <cell r="C232"/>
        </row>
        <row r="233">
          <cell r="A233">
            <v>44013</v>
          </cell>
          <cell r="B233">
            <v>97.873511058371449</v>
          </cell>
          <cell r="C233"/>
        </row>
        <row r="234">
          <cell r="A234">
            <v>44044</v>
          </cell>
          <cell r="B234">
            <v>97.263588496761329</v>
          </cell>
          <cell r="C234"/>
        </row>
        <row r="235">
          <cell r="A235">
            <v>44075</v>
          </cell>
          <cell r="B235">
            <v>96.634022943110637</v>
          </cell>
          <cell r="C235"/>
        </row>
        <row r="236">
          <cell r="A236">
            <v>44105</v>
          </cell>
          <cell r="B236">
            <v>98.104595515378662</v>
          </cell>
          <cell r="C236"/>
        </row>
        <row r="237">
          <cell r="A237">
            <v>44136</v>
          </cell>
          <cell r="B237">
            <v>97.610357546563762</v>
          </cell>
          <cell r="C237"/>
        </row>
        <row r="238">
          <cell r="A238">
            <v>44166</v>
          </cell>
          <cell r="B238">
            <v>95.352706403378903</v>
          </cell>
          <cell r="C238"/>
        </row>
        <row r="239">
          <cell r="A239">
            <v>44197</v>
          </cell>
          <cell r="B239">
            <v>95.335267445110176</v>
          </cell>
          <cell r="C239"/>
        </row>
        <row r="240">
          <cell r="A240">
            <v>44228</v>
          </cell>
          <cell r="B240">
            <v>96.776110679338984</v>
          </cell>
          <cell r="C240"/>
        </row>
        <row r="241">
          <cell r="A241">
            <v>44256</v>
          </cell>
          <cell r="B241">
            <v>95.990525276517829</v>
          </cell>
          <cell r="C241"/>
        </row>
        <row r="242">
          <cell r="A242">
            <v>44287</v>
          </cell>
          <cell r="B242">
            <v>96.598955244129982</v>
          </cell>
          <cell r="C242"/>
        </row>
        <row r="243">
          <cell r="A243">
            <v>44317</v>
          </cell>
          <cell r="B243">
            <v>96.773806211755868</v>
          </cell>
          <cell r="C243"/>
        </row>
        <row r="244">
          <cell r="A244">
            <v>44348</v>
          </cell>
          <cell r="B244">
            <v>95.44701395163186</v>
          </cell>
          <cell r="C244"/>
        </row>
        <row r="245">
          <cell r="A245">
            <v>44378</v>
          </cell>
          <cell r="B245">
            <v>97.451428098620212</v>
          </cell>
          <cell r="C245"/>
        </row>
        <row r="246">
          <cell r="A246">
            <v>44409</v>
          </cell>
          <cell r="B246">
            <v>98.280270424987208</v>
          </cell>
          <cell r="C246"/>
        </row>
        <row r="247">
          <cell r="A247">
            <v>44440</v>
          </cell>
          <cell r="B247">
            <v>98.330776041257835</v>
          </cell>
          <cell r="C247"/>
        </row>
        <row r="248">
          <cell r="A248">
            <v>44470</v>
          </cell>
          <cell r="B248">
            <v>98.514796819742813</v>
          </cell>
          <cell r="C248"/>
        </row>
        <row r="249">
          <cell r="A249">
            <v>44501</v>
          </cell>
          <cell r="B249">
            <v>100.3793481588406</v>
          </cell>
          <cell r="C249"/>
        </row>
        <row r="250">
          <cell r="A250">
            <v>44531</v>
          </cell>
          <cell r="B250">
            <v>98.059360448988869</v>
          </cell>
          <cell r="C250"/>
        </row>
        <row r="251">
          <cell r="A251">
            <v>44562</v>
          </cell>
          <cell r="B251">
            <v>98.771441924248805</v>
          </cell>
          <cell r="C251"/>
        </row>
        <row r="252">
          <cell r="A252">
            <v>44593</v>
          </cell>
          <cell r="B252">
            <v>97.998989179334004</v>
          </cell>
          <cell r="C252"/>
        </row>
        <row r="253">
          <cell r="A253">
            <v>44621</v>
          </cell>
          <cell r="B253">
            <v>96.792032626312164</v>
          </cell>
          <cell r="C253"/>
        </row>
        <row r="254">
          <cell r="A254">
            <v>44652</v>
          </cell>
          <cell r="B254">
            <v>96.389117678284236</v>
          </cell>
          <cell r="C254"/>
        </row>
        <row r="255">
          <cell r="A255">
            <v>44682</v>
          </cell>
          <cell r="B255">
            <v>98.15127227256967</v>
          </cell>
          <cell r="C255"/>
        </row>
        <row r="256">
          <cell r="A256">
            <v>44713</v>
          </cell>
          <cell r="B256">
            <v>97.929331576021312</v>
          </cell>
          <cell r="C256"/>
        </row>
        <row r="257">
          <cell r="A257">
            <v>44743</v>
          </cell>
          <cell r="B257">
            <v>96.078545724147205</v>
          </cell>
          <cell r="C257"/>
        </row>
        <row r="258">
          <cell r="A258">
            <v>44774</v>
          </cell>
          <cell r="B258">
            <v>97.129114148567893</v>
          </cell>
          <cell r="C258"/>
        </row>
        <row r="259">
          <cell r="A259">
            <v>44805</v>
          </cell>
          <cell r="B259">
            <v>96.81300360122053</v>
          </cell>
          <cell r="C259"/>
        </row>
        <row r="260">
          <cell r="A260">
            <v>44835</v>
          </cell>
          <cell r="B260">
            <v>95.860110559822346</v>
          </cell>
          <cell r="C260"/>
        </row>
        <row r="261">
          <cell r="A261">
            <v>44866</v>
          </cell>
          <cell r="B261">
            <v>98.072236486318261</v>
          </cell>
        </row>
        <row r="262">
          <cell r="A262">
            <v>44896</v>
          </cell>
          <cell r="B262">
            <v>97.527697870090734</v>
          </cell>
        </row>
        <row r="263">
          <cell r="A263">
            <v>44927</v>
          </cell>
          <cell r="B263">
            <v>96.23039547389422</v>
          </cell>
        </row>
        <row r="264">
          <cell r="A264">
            <v>44958</v>
          </cell>
          <cell r="B264">
            <v>96.501212721944597</v>
          </cell>
        </row>
        <row r="265">
          <cell r="A265">
            <v>44986</v>
          </cell>
          <cell r="B265">
            <v>96.662496085825254</v>
          </cell>
        </row>
        <row r="266">
          <cell r="A266">
            <v>45017</v>
          </cell>
          <cell r="B266">
            <v>95.289246602687115</v>
          </cell>
        </row>
        <row r="267">
          <cell r="A267">
            <v>45047</v>
          </cell>
          <cell r="B267">
            <v>95.589787825738256</v>
          </cell>
        </row>
        <row r="268">
          <cell r="A268">
            <v>45078</v>
          </cell>
          <cell r="B268">
            <v>95.31925069038239</v>
          </cell>
        </row>
        <row r="269">
          <cell r="A269">
            <v>45108</v>
          </cell>
          <cell r="B269">
            <v>99.336468405273422</v>
          </cell>
        </row>
        <row r="270">
          <cell r="A270">
            <v>45139</v>
          </cell>
          <cell r="B270">
            <v>95.748336183517068</v>
          </cell>
        </row>
        <row r="271">
          <cell r="A271">
            <v>45170</v>
          </cell>
          <cell r="B271">
            <v>96.198616735223069</v>
          </cell>
        </row>
        <row r="272">
          <cell r="A272">
            <v>45200</v>
          </cell>
          <cell r="B272">
            <v>96.499505644928433</v>
          </cell>
        </row>
        <row r="273">
          <cell r="A273">
            <v>45231</v>
          </cell>
          <cell r="B273">
            <v>94.043885681096256</v>
          </cell>
        </row>
        <row r="274">
          <cell r="A274">
            <v>45261</v>
          </cell>
          <cell r="B274">
            <v>83.230995787022309</v>
          </cell>
        </row>
        <row r="275">
          <cell r="A275">
            <v>45292</v>
          </cell>
          <cell r="B275">
            <v>82.800243176613364</v>
          </cell>
        </row>
        <row r="276">
          <cell r="A276">
            <v>45323</v>
          </cell>
          <cell r="B276">
            <v>83.406635038914516</v>
          </cell>
        </row>
        <row r="277">
          <cell r="A277">
            <v>45352</v>
          </cell>
          <cell r="B277">
            <v>82.640487948293213</v>
          </cell>
        </row>
        <row r="278">
          <cell r="A278">
            <v>45383</v>
          </cell>
          <cell r="B278">
            <v>85.023358688344302</v>
          </cell>
        </row>
        <row r="279">
          <cell r="A279">
            <v>45413</v>
          </cell>
          <cell r="B279">
            <v>87.882875597925064</v>
          </cell>
        </row>
        <row r="280">
          <cell r="A280">
            <v>45444</v>
          </cell>
          <cell r="B280">
            <v>89.658510944675825</v>
          </cell>
        </row>
        <row r="281">
          <cell r="A281">
            <v>45474</v>
          </cell>
          <cell r="B281">
            <v>91.588238417735496</v>
          </cell>
        </row>
        <row r="282">
          <cell r="A282">
            <v>45505</v>
          </cell>
          <cell r="B282">
            <v>92.351143548519516</v>
          </cell>
        </row>
        <row r="283">
          <cell r="A283">
            <v>45536</v>
          </cell>
          <cell r="B283">
            <v>92.619614487845709</v>
          </cell>
        </row>
        <row r="284">
          <cell r="A284">
            <v>45566</v>
          </cell>
          <cell r="B284">
            <v>93.7544646691872</v>
          </cell>
        </row>
        <row r="285">
          <cell r="A285">
            <v>45597</v>
          </cell>
          <cell r="B285">
            <v>94.535650538669074</v>
          </cell>
        </row>
        <row r="286">
          <cell r="A286">
            <v>45627</v>
          </cell>
          <cell r="B286">
            <v>94.614714851128085</v>
          </cell>
        </row>
        <row r="287">
          <cell r="A287">
            <v>45658</v>
          </cell>
          <cell r="B287">
            <v>94.697055918811742</v>
          </cell>
        </row>
        <row r="288">
          <cell r="A288">
            <v>45689</v>
          </cell>
          <cell r="B288">
            <v>94.612322422369346</v>
          </cell>
        </row>
        <row r="289">
          <cell r="A289">
            <v>45717</v>
          </cell>
          <cell r="B289">
            <v>93.180919651117506</v>
          </cell>
        </row>
        <row r="290">
          <cell r="A290">
            <v>45748</v>
          </cell>
          <cell r="B290">
            <v>92.953512328414277</v>
          </cell>
        </row>
        <row r="291">
          <cell r="A291">
            <v>45778</v>
          </cell>
          <cell r="B291">
            <v>93.392075365378375</v>
          </cell>
        </row>
        <row r="292">
          <cell r="A292">
            <v>45809</v>
          </cell>
          <cell r="B292">
            <v>93.494158080818863</v>
          </cell>
        </row>
      </sheetData>
      <sheetData sheetId="4"/>
      <sheetData sheetId="5">
        <row r="55">
          <cell r="H55">
            <v>-0.1265504748459905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prod_autos</v>
          </cell>
          <cell r="C1" t="str">
            <v>expo_autos</v>
          </cell>
          <cell r="D1" t="str">
            <v>vtas_concesionarios</v>
          </cell>
          <cell r="E1" t="str">
            <v>vtas_autos_livianos</v>
          </cell>
          <cell r="F1" t="str">
            <v>despacho_cem</v>
          </cell>
          <cell r="G1" t="str">
            <v>hierro_primario</v>
          </cell>
          <cell r="H1" t="str">
            <v>acero_crudo</v>
          </cell>
          <cell r="I1" t="str">
            <v>lamin_tot_no_planos</v>
          </cell>
          <cell r="J1" t="str">
            <v>reca_derech_comex</v>
          </cell>
          <cell r="K1" t="str">
            <v>reca_iva</v>
          </cell>
          <cell r="L1" t="str">
            <v>reca_gananc</v>
          </cell>
          <cell r="M1" t="str">
            <v>reca_derech_comex_real</v>
          </cell>
          <cell r="N1" t="str">
            <v>reca_iva_real</v>
          </cell>
          <cell r="O1" t="str">
            <v>reca_gananc_real</v>
          </cell>
          <cell r="P1" t="str">
            <v>merval_px</v>
          </cell>
          <cell r="Q1" t="str">
            <v>merval_avg</v>
          </cell>
          <cell r="R1" t="str">
            <v>merval_px_real</v>
          </cell>
          <cell r="S1" t="str">
            <v>merval_avg_real</v>
          </cell>
          <cell r="T1" t="str">
            <v>IBG INDEX</v>
          </cell>
          <cell r="U1" t="str">
            <v>IBG INDEX real</v>
          </cell>
          <cell r="V1" t="str">
            <v>M1</v>
          </cell>
          <cell r="W1" t="str">
            <v>M1 real</v>
          </cell>
          <cell r="X1" t="str">
            <v>M2</v>
          </cell>
          <cell r="Y1" t="str">
            <v>M2 real</v>
          </cell>
          <cell r="Z1" t="str">
            <v>badlar_TNA</v>
          </cell>
          <cell r="AA1" t="str">
            <v>faena_aves</v>
          </cell>
          <cell r="AB1" t="str">
            <v>vta_usados</v>
          </cell>
          <cell r="AC1" t="str">
            <v>bcnd</v>
          </cell>
          <cell r="AD1" t="str">
            <v>bcd</v>
          </cell>
          <cell r="AE1" t="str">
            <v>bui</v>
          </cell>
          <cell r="AF1" t="str">
            <v>bk</v>
          </cell>
          <cell r="AG1" t="str">
            <v>alim_beb</v>
          </cell>
          <cell r="AH1" t="str">
            <v>cigarrillos</v>
          </cell>
          <cell r="AI1" t="str">
            <v>insum_text</v>
          </cell>
          <cell r="AJ1" t="str">
            <v>pasta_papel</v>
          </cell>
          <cell r="AK1" t="str">
            <v>combustible</v>
          </cell>
          <cell r="AL1" t="str">
            <v>quim_plast</v>
          </cell>
          <cell r="AM1" t="str">
            <v>min_no_met</v>
          </cell>
          <cell r="AN1" t="str">
            <v>metalicas</v>
          </cell>
          <cell r="AO1" t="str">
            <v>metalmec</v>
          </cell>
          <cell r="AP1" t="str">
            <v>automov</v>
          </cell>
          <cell r="AQ1" t="str">
            <v>ICC</v>
          </cell>
          <cell r="AR1" t="str">
            <v>IL</v>
          </cell>
          <cell r="AS1" t="str">
            <v>salario</v>
          </cell>
          <cell r="AT1" t="str">
            <v>molienda_soja</v>
          </cell>
        </row>
        <row r="2">
          <cell r="B2">
            <v>70641.685858823985</v>
          </cell>
          <cell r="C2">
            <v>39691.164770680967</v>
          </cell>
          <cell r="D2">
            <v>85505.413725143124</v>
          </cell>
          <cell r="E2">
            <v>21347.43585602114</v>
          </cell>
          <cell r="F2">
            <v>977817.57834632776</v>
          </cell>
          <cell r="G2">
            <v>330.29692850244408</v>
          </cell>
          <cell r="H2">
            <v>422.31402424930138</v>
          </cell>
          <cell r="I2">
            <v>213.88724148177309</v>
          </cell>
          <cell r="J2">
            <v>6183.449091002245</v>
          </cell>
          <cell r="K2">
            <v>17525.72800815793</v>
          </cell>
          <cell r="L2">
            <v>13242.20165111363</v>
          </cell>
          <cell r="M2">
            <v>0.60838188092646872</v>
          </cell>
          <cell r="N2">
            <v>1.8477451321663201</v>
          </cell>
          <cell r="O2">
            <v>1.306341412647223</v>
          </cell>
          <cell r="P2">
            <v>3361.9866982378062</v>
          </cell>
          <cell r="Q2">
            <v>3337.9858098686091</v>
          </cell>
          <cell r="R2">
            <v>0.30317064459449988</v>
          </cell>
          <cell r="S2">
            <v>0.30693870275328461</v>
          </cell>
          <cell r="T2">
            <v>183531.88224185919</v>
          </cell>
          <cell r="U2">
            <v>18.138306195399672</v>
          </cell>
          <cell r="V2">
            <v>404128.73303042538</v>
          </cell>
          <cell r="W2">
            <v>41.452313372964092</v>
          </cell>
          <cell r="X2">
            <v>544993.83052890934</v>
          </cell>
          <cell r="Y2">
            <v>55.331484495192917</v>
          </cell>
          <cell r="Z2">
            <v>0.13530087319094769</v>
          </cell>
          <cell r="AA2">
            <v>61820.9934091865</v>
          </cell>
          <cell r="AB2">
            <v>161959.4318295944</v>
          </cell>
          <cell r="AC2">
            <v>155.4454517988562</v>
          </cell>
          <cell r="AD2">
            <v>177.86705335402101</v>
          </cell>
          <cell r="AE2">
            <v>156.3043032772261</v>
          </cell>
          <cell r="AF2">
            <v>395.79238162455027</v>
          </cell>
          <cell r="AG2">
            <v>165.8953550621151</v>
          </cell>
          <cell r="AH2">
            <v>113.4848504067666</v>
          </cell>
          <cell r="AI2">
            <v>89.206228243824853</v>
          </cell>
          <cell r="AJ2">
            <v>154.44920561849179</v>
          </cell>
          <cell r="AK2">
            <v>106.2025220924441</v>
          </cell>
          <cell r="AL2">
            <v>200.8733916905544</v>
          </cell>
          <cell r="AM2">
            <v>189.63889750793859</v>
          </cell>
          <cell r="AN2">
            <v>183.65763211271079</v>
          </cell>
          <cell r="AO2">
            <v>181.98656341429469</v>
          </cell>
          <cell r="AP2">
            <v>248.12321617584209</v>
          </cell>
          <cell r="AQ2">
            <v>49.273047753356828</v>
          </cell>
          <cell r="AR2">
            <v>141.6253657447179</v>
          </cell>
          <cell r="AS2">
            <v>131.29064105129191</v>
          </cell>
          <cell r="AT2">
            <v>2776253.8979094489</v>
          </cell>
          <cell r="AX2">
            <v>148.44706350924611</v>
          </cell>
        </row>
        <row r="3">
          <cell r="B3">
            <v>56164.061687039553</v>
          </cell>
          <cell r="C3">
            <v>34433.006624960173</v>
          </cell>
          <cell r="D3">
            <v>83940.337126647239</v>
          </cell>
          <cell r="E3">
            <v>15895.988949166331</v>
          </cell>
          <cell r="F3">
            <v>995442.99302252394</v>
          </cell>
          <cell r="G3">
            <v>340.10838850296108</v>
          </cell>
          <cell r="H3">
            <v>428.95052968107711</v>
          </cell>
          <cell r="I3">
            <v>215.51812918924961</v>
          </cell>
          <cell r="J3">
            <v>6028.4852112645422</v>
          </cell>
          <cell r="K3">
            <v>18037.46944012761</v>
          </cell>
          <cell r="L3">
            <v>12756.955026706581</v>
          </cell>
          <cell r="M3">
            <v>0.60770940302917209</v>
          </cell>
          <cell r="N3">
            <v>1.8337826665066059</v>
          </cell>
          <cell r="O3">
            <v>1.3308229327754211</v>
          </cell>
          <cell r="P3">
            <v>3468.688479939774</v>
          </cell>
          <cell r="Q3">
            <v>3531.3803571463432</v>
          </cell>
          <cell r="R3">
            <v>0.3185389510798336</v>
          </cell>
          <cell r="S3">
            <v>0.32760383641577878</v>
          </cell>
          <cell r="T3">
            <v>198628.6315653651</v>
          </cell>
          <cell r="U3">
            <v>19.149182343983121</v>
          </cell>
          <cell r="V3">
            <v>412827.22834275733</v>
          </cell>
          <cell r="W3">
            <v>41.315566989594593</v>
          </cell>
          <cell r="X3">
            <v>556694.39746731927</v>
          </cell>
          <cell r="Y3">
            <v>55.739443258657197</v>
          </cell>
          <cell r="Z3">
            <v>0.12599457427858801</v>
          </cell>
          <cell r="AA3">
            <v>61065.945244070019</v>
          </cell>
          <cell r="AB3">
            <v>152316.67031880951</v>
          </cell>
          <cell r="AC3">
            <v>154.0082824655</v>
          </cell>
          <cell r="AD3">
            <v>179.45801829527019</v>
          </cell>
          <cell r="AE3">
            <v>154.21718612414409</v>
          </cell>
          <cell r="AF3">
            <v>324.19781022085562</v>
          </cell>
          <cell r="AG3">
            <v>166.06292600976971</v>
          </cell>
          <cell r="AH3">
            <v>111.65176041769089</v>
          </cell>
          <cell r="AI3">
            <v>84.106148174612855</v>
          </cell>
          <cell r="AJ3">
            <v>154.32828518234751</v>
          </cell>
          <cell r="AK3">
            <v>106.3410519915076</v>
          </cell>
          <cell r="AL3">
            <v>195.8330522477689</v>
          </cell>
          <cell r="AM3">
            <v>192.46125684365441</v>
          </cell>
          <cell r="AN3">
            <v>188.4825352761903</v>
          </cell>
          <cell r="AO3">
            <v>117.94053149149509</v>
          </cell>
          <cell r="AP3">
            <v>193.85540763533251</v>
          </cell>
          <cell r="AQ3">
            <v>48.829335976165027</v>
          </cell>
          <cell r="AR3">
            <v>142.74299429711269</v>
          </cell>
          <cell r="AS3">
            <v>130.41107298339239</v>
          </cell>
          <cell r="AT3">
            <v>2801203.923438868</v>
          </cell>
          <cell r="AX3">
            <v>148.40162937624069</v>
          </cell>
        </row>
        <row r="4">
          <cell r="B4">
            <v>71963.639821365301</v>
          </cell>
          <cell r="C4">
            <v>39578.848591273978</v>
          </cell>
          <cell r="D4">
            <v>86333.67814918184</v>
          </cell>
          <cell r="E4">
            <v>21332.684873017879</v>
          </cell>
          <cell r="F4">
            <v>1000141.822867531</v>
          </cell>
          <cell r="G4">
            <v>348.24503732138061</v>
          </cell>
          <cell r="H4">
            <v>431.38031205356617</v>
          </cell>
          <cell r="I4">
            <v>212.866157932427</v>
          </cell>
          <cell r="J4">
            <v>6587.95587102216</v>
          </cell>
          <cell r="K4">
            <v>18028.111480423991</v>
          </cell>
          <cell r="L4">
            <v>14302.6923653706</v>
          </cell>
          <cell r="M4">
            <v>0.62884431908642335</v>
          </cell>
          <cell r="N4">
            <v>1.845238760556507</v>
          </cell>
          <cell r="O4">
            <v>1.427879292173754</v>
          </cell>
          <cell r="P4">
            <v>3494.04079506163</v>
          </cell>
          <cell r="Q4">
            <v>3636.6274353647309</v>
          </cell>
          <cell r="R4">
            <v>0.32320924178031019</v>
          </cell>
          <cell r="S4">
            <v>0.33635190096768791</v>
          </cell>
          <cell r="T4">
            <v>205989.3905519133</v>
          </cell>
          <cell r="U4">
            <v>19.545599598239338</v>
          </cell>
          <cell r="V4">
            <v>424402.95338789932</v>
          </cell>
          <cell r="W4">
            <v>41.657321244571442</v>
          </cell>
          <cell r="X4">
            <v>566036.31237028854</v>
          </cell>
          <cell r="Y4">
            <v>55.834379338662373</v>
          </cell>
          <cell r="Z4">
            <v>0.13034374205808771</v>
          </cell>
          <cell r="AA4">
            <v>62095.511453728177</v>
          </cell>
          <cell r="AB4">
            <v>162577.7860975173</v>
          </cell>
          <cell r="AC4">
            <v>156.12235701360021</v>
          </cell>
          <cell r="AD4">
            <v>181.73463022156849</v>
          </cell>
          <cell r="AE4">
            <v>161.33092001094741</v>
          </cell>
          <cell r="AF4">
            <v>412.54107844307248</v>
          </cell>
          <cell r="AG4">
            <v>168.80351278140759</v>
          </cell>
          <cell r="AH4">
            <v>112.25098400400459</v>
          </cell>
          <cell r="AI4">
            <v>86.489323354165336</v>
          </cell>
          <cell r="AJ4">
            <v>153.57502502428409</v>
          </cell>
          <cell r="AK4">
            <v>106.4315582107069</v>
          </cell>
          <cell r="AL4">
            <v>208.07649901860341</v>
          </cell>
          <cell r="AM4">
            <v>194.3999174248664</v>
          </cell>
          <cell r="AN4">
            <v>196.42268466981301</v>
          </cell>
          <cell r="AO4">
            <v>180.39939786578719</v>
          </cell>
          <cell r="AP4">
            <v>252.5899846893688</v>
          </cell>
          <cell r="AQ4">
            <v>48.123851670955602</v>
          </cell>
          <cell r="AR4">
            <v>143.66776207203719</v>
          </cell>
          <cell r="AS4">
            <v>129.52124855956609</v>
          </cell>
          <cell r="AT4">
            <v>2803380.8391726469</v>
          </cell>
          <cell r="AX4">
            <v>149.99914892848551</v>
          </cell>
        </row>
        <row r="5">
          <cell r="B5">
            <v>69812.508199377844</v>
          </cell>
          <cell r="C5">
            <v>38173.386153317319</v>
          </cell>
          <cell r="D5">
            <v>87195.286553612212</v>
          </cell>
          <cell r="E5">
            <v>22144.29856350688</v>
          </cell>
          <cell r="F5">
            <v>1001152.426213718</v>
          </cell>
          <cell r="G5">
            <v>350.03215252278261</v>
          </cell>
          <cell r="H5">
            <v>436.74425312292959</v>
          </cell>
          <cell r="I5">
            <v>216.87277948722439</v>
          </cell>
          <cell r="J5">
            <v>4953.3087056977929</v>
          </cell>
          <cell r="K5">
            <v>18657.85203622375</v>
          </cell>
          <cell r="L5">
            <v>13595.193086289461</v>
          </cell>
          <cell r="M5">
            <v>0.63741466458444362</v>
          </cell>
          <cell r="N5">
            <v>1.84310560785622</v>
          </cell>
          <cell r="O5">
            <v>1.3997983339941169</v>
          </cell>
          <cell r="P5">
            <v>3618.402810426519</v>
          </cell>
          <cell r="Q5">
            <v>3598.9978403304422</v>
          </cell>
          <cell r="R5">
            <v>0.34802027867419888</v>
          </cell>
          <cell r="S5">
            <v>0.34267975470876488</v>
          </cell>
          <cell r="T5">
            <v>214894.65650372679</v>
          </cell>
          <cell r="U5">
            <v>20.40673007162437</v>
          </cell>
          <cell r="V5">
            <v>429174.88763044542</v>
          </cell>
          <cell r="W5">
            <v>41.92714317399399</v>
          </cell>
          <cell r="X5">
            <v>580843.5830982856</v>
          </cell>
          <cell r="Y5">
            <v>56.765765466092162</v>
          </cell>
          <cell r="Z5">
            <v>0.14148969302657799</v>
          </cell>
          <cell r="AA5">
            <v>61704.137575649853</v>
          </cell>
          <cell r="AB5">
            <v>158564.49407204261</v>
          </cell>
          <cell r="AC5">
            <v>152.2301207965273</v>
          </cell>
          <cell r="AD5">
            <v>177.55199599425549</v>
          </cell>
          <cell r="AE5">
            <v>158.08657460830699</v>
          </cell>
          <cell r="AF5">
            <v>412.28788290157678</v>
          </cell>
          <cell r="AG5">
            <v>168.2148478602675</v>
          </cell>
          <cell r="AH5">
            <v>108.8240930621332</v>
          </cell>
          <cell r="AI5">
            <v>89.43950121594392</v>
          </cell>
          <cell r="AJ5">
            <v>154.8928182381903</v>
          </cell>
          <cell r="AK5">
            <v>105.9887975945519</v>
          </cell>
          <cell r="AL5">
            <v>203.06620410277111</v>
          </cell>
          <cell r="AM5">
            <v>194.61091223192989</v>
          </cell>
          <cell r="AN5">
            <v>192.6924629444502</v>
          </cell>
          <cell r="AO5">
            <v>180.620907617668</v>
          </cell>
          <cell r="AP5">
            <v>245.55765982638039</v>
          </cell>
          <cell r="AQ5">
            <v>49.041838858693033</v>
          </cell>
          <cell r="AR5">
            <v>142.72027022631789</v>
          </cell>
          <cell r="AS5">
            <v>129.4383914423816</v>
          </cell>
          <cell r="AT5">
            <v>2715192.702167436</v>
          </cell>
          <cell r="AX5">
            <v>148.40263680512129</v>
          </cell>
        </row>
        <row r="6">
          <cell r="B6">
            <v>85485.562662758268</v>
          </cell>
          <cell r="C6">
            <v>42163.639506289008</v>
          </cell>
          <cell r="D6">
            <v>84085.955350843302</v>
          </cell>
          <cell r="E6">
            <v>21228.46330835632</v>
          </cell>
          <cell r="F6">
            <v>1003162.584185402</v>
          </cell>
          <cell r="G6">
            <v>341.00723049500101</v>
          </cell>
          <cell r="H6">
            <v>436.12142465734081</v>
          </cell>
          <cell r="I6">
            <v>217.31040892542859</v>
          </cell>
          <cell r="J6">
            <v>5953.7369813005898</v>
          </cell>
          <cell r="K6">
            <v>20574.90012642416</v>
          </cell>
          <cell r="L6">
            <v>13688.17501535681</v>
          </cell>
          <cell r="M6">
            <v>0.57377457955768119</v>
          </cell>
          <cell r="N6">
            <v>1.9809450060931311</v>
          </cell>
          <cell r="O6">
            <v>1.3831586082897569</v>
          </cell>
          <cell r="P6">
            <v>3566.8147547908361</v>
          </cell>
          <cell r="Q6">
            <v>3648.2211044699811</v>
          </cell>
          <cell r="R6">
            <v>0.33853341607589582</v>
          </cell>
          <cell r="S6">
            <v>0.34982428817187938</v>
          </cell>
          <cell r="T6">
            <v>203856.05189124969</v>
          </cell>
          <cell r="U6">
            <v>19.639421817221169</v>
          </cell>
          <cell r="V6">
            <v>435475.66731780028</v>
          </cell>
          <cell r="W6">
            <v>41.870352549698097</v>
          </cell>
          <cell r="X6">
            <v>582309.48515327519</v>
          </cell>
          <cell r="Y6">
            <v>56.281263755059818</v>
          </cell>
          <cell r="Z6">
            <v>0.15152581426363071</v>
          </cell>
          <cell r="AA6">
            <v>63558.235732125548</v>
          </cell>
          <cell r="AB6">
            <v>163560.4405003181</v>
          </cell>
          <cell r="AC6">
            <v>160.51842112351031</v>
          </cell>
          <cell r="AD6">
            <v>178.46176760199651</v>
          </cell>
          <cell r="AE6">
            <v>155.82667814089609</v>
          </cell>
          <cell r="AF6">
            <v>426.73151381457637</v>
          </cell>
          <cell r="AG6">
            <v>170.80988963297881</v>
          </cell>
          <cell r="AH6">
            <v>110.1807445586749</v>
          </cell>
          <cell r="AI6">
            <v>89.304658318750413</v>
          </cell>
          <cell r="AJ6">
            <v>155.45935210530109</v>
          </cell>
          <cell r="AK6">
            <v>107.0106655160955</v>
          </cell>
          <cell r="AL6">
            <v>198.8710691813271</v>
          </cell>
          <cell r="AM6">
            <v>196.98491182698601</v>
          </cell>
          <cell r="AN6">
            <v>193.55673425681351</v>
          </cell>
          <cell r="AO6">
            <v>181.38154892179699</v>
          </cell>
          <cell r="AP6">
            <v>298.57155634921429</v>
          </cell>
          <cell r="AQ6">
            <v>48.309329479186687</v>
          </cell>
          <cell r="AR6">
            <v>143.79969493053861</v>
          </cell>
          <cell r="AS6">
            <v>128.092093304576</v>
          </cell>
          <cell r="AT6">
            <v>2810830.796741066</v>
          </cell>
          <cell r="AX6">
            <v>148.2788315878459</v>
          </cell>
        </row>
        <row r="7">
          <cell r="B7">
            <v>66326.862054101977</v>
          </cell>
          <cell r="C7">
            <v>36346.34288969991</v>
          </cell>
          <cell r="D7">
            <v>80603.858690891531</v>
          </cell>
          <cell r="E7">
            <v>20109.691303511368</v>
          </cell>
          <cell r="F7">
            <v>993174.89228644036</v>
          </cell>
          <cell r="G7">
            <v>345.34083428660517</v>
          </cell>
          <cell r="H7">
            <v>426.47143825592087</v>
          </cell>
          <cell r="I7">
            <v>213.4242309166508</v>
          </cell>
          <cell r="J7">
            <v>5164.9987360812793</v>
          </cell>
          <cell r="K7">
            <v>21177.46854836079</v>
          </cell>
          <cell r="L7">
            <v>15953.29937758602</v>
          </cell>
          <cell r="M7">
            <v>0.54131169592851958</v>
          </cell>
          <cell r="N7">
            <v>1.979759736590728</v>
          </cell>
          <cell r="O7">
            <v>1.448206700825788</v>
          </cell>
          <cell r="P7">
            <v>3327.9382496441772</v>
          </cell>
          <cell r="Q7">
            <v>3469.5698121925429</v>
          </cell>
          <cell r="R7">
            <v>0.31444599300863618</v>
          </cell>
          <cell r="S7">
            <v>0.3297368578737721</v>
          </cell>
          <cell r="T7">
            <v>193651.43643055359</v>
          </cell>
          <cell r="U7">
            <v>18.533658831112909</v>
          </cell>
          <cell r="V7">
            <v>438982.99124428048</v>
          </cell>
          <cell r="W7">
            <v>41.679774345242272</v>
          </cell>
          <cell r="X7">
            <v>593030.71207305172</v>
          </cell>
          <cell r="Y7">
            <v>55.993212910080928</v>
          </cell>
          <cell r="Z7">
            <v>0.16560835515356059</v>
          </cell>
          <cell r="AA7">
            <v>61046.53344130818</v>
          </cell>
          <cell r="AB7">
            <v>155527.8507266783</v>
          </cell>
          <cell r="AC7">
            <v>152.49673815849019</v>
          </cell>
          <cell r="AD7">
            <v>169.4997101403049</v>
          </cell>
          <cell r="AE7">
            <v>152.97436986949359</v>
          </cell>
          <cell r="AF7">
            <v>396.04557734453971</v>
          </cell>
          <cell r="AG7">
            <v>166.4104884615621</v>
          </cell>
          <cell r="AH7">
            <v>108.3091756774482</v>
          </cell>
          <cell r="AI7">
            <v>89.170801166133558</v>
          </cell>
          <cell r="AJ7">
            <v>156.8814090125361</v>
          </cell>
          <cell r="AK7">
            <v>106.7376319886438</v>
          </cell>
          <cell r="AL7">
            <v>195.15657015466121</v>
          </cell>
          <cell r="AM7">
            <v>197.11056229827301</v>
          </cell>
          <cell r="AN7">
            <v>189.00410367792381</v>
          </cell>
          <cell r="AO7">
            <v>178.57214053587339</v>
          </cell>
          <cell r="AP7">
            <v>233.7610299183853</v>
          </cell>
          <cell r="AQ7">
            <v>47.287244217134237</v>
          </cell>
          <cell r="AR7">
            <v>141.20466455585139</v>
          </cell>
          <cell r="AS7">
            <v>126.8342829257013</v>
          </cell>
          <cell r="AT7">
            <v>2742201.5618903879</v>
          </cell>
          <cell r="AX7">
            <v>148.24497496559019</v>
          </cell>
        </row>
        <row r="8">
          <cell r="B8">
            <v>66639.026272193165</v>
          </cell>
          <cell r="C8">
            <v>37831.510292823521</v>
          </cell>
          <cell r="D8">
            <v>78577.129108089212</v>
          </cell>
          <cell r="E8">
            <v>19110.929257991738</v>
          </cell>
          <cell r="F8">
            <v>984851.56751594273</v>
          </cell>
          <cell r="G8">
            <v>339.59212972617001</v>
          </cell>
          <cell r="H8">
            <v>432.90855308959237</v>
          </cell>
          <cell r="I8">
            <v>212.2811172378041</v>
          </cell>
          <cell r="J8">
            <v>5749.711291620235</v>
          </cell>
          <cell r="K8">
            <v>21120.586891108851</v>
          </cell>
          <cell r="L8">
            <v>15793.886031061529</v>
          </cell>
          <cell r="M8">
            <v>0.55160217522513211</v>
          </cell>
          <cell r="N8">
            <v>1.9756680953008761</v>
          </cell>
          <cell r="O8">
            <v>1.463415654607412</v>
          </cell>
          <cell r="P8">
            <v>3793.6197706727639</v>
          </cell>
          <cell r="Q8">
            <v>3457.4361987529242</v>
          </cell>
          <cell r="R8">
            <v>0.35312361993168129</v>
          </cell>
          <cell r="S8">
            <v>0.32885735386311299</v>
          </cell>
          <cell r="T8">
            <v>218691.88846807851</v>
          </cell>
          <cell r="U8">
            <v>20.396872184964849</v>
          </cell>
          <cell r="V8">
            <v>447617.5448219747</v>
          </cell>
          <cell r="W8">
            <v>41.69982962580945</v>
          </cell>
          <cell r="X8">
            <v>601076.03871060547</v>
          </cell>
          <cell r="Y8">
            <v>56.404160982889188</v>
          </cell>
          <cell r="Z8">
            <v>0.17753131059592861</v>
          </cell>
          <cell r="AA8">
            <v>62054.665491074113</v>
          </cell>
          <cell r="AB8">
            <v>156506.2649007288</v>
          </cell>
          <cell r="AC8">
            <v>152.58640131849299</v>
          </cell>
          <cell r="AD8">
            <v>172.2971498792225</v>
          </cell>
          <cell r="AE8">
            <v>154.52225259525221</v>
          </cell>
          <cell r="AF8">
            <v>409.60943542422388</v>
          </cell>
          <cell r="AG8">
            <v>167.54636391585851</v>
          </cell>
          <cell r="AH8">
            <v>101.66754172807519</v>
          </cell>
          <cell r="AI8">
            <v>89.521271701728722</v>
          </cell>
          <cell r="AJ8">
            <v>153.6315923127099</v>
          </cell>
          <cell r="AK8">
            <v>106.79870292017659</v>
          </cell>
          <cell r="AL8">
            <v>194.83236170412789</v>
          </cell>
          <cell r="AM8">
            <v>192.6606281845954</v>
          </cell>
          <cell r="AN8">
            <v>196.44033947622631</v>
          </cell>
          <cell r="AO8">
            <v>180.01817177871621</v>
          </cell>
          <cell r="AP8">
            <v>238.6642970739116</v>
          </cell>
          <cell r="AQ8">
            <v>47.506248892991792</v>
          </cell>
          <cell r="AR8">
            <v>141.76826216730049</v>
          </cell>
          <cell r="AS8">
            <v>126.04409634597221</v>
          </cell>
          <cell r="AT8">
            <v>2831216.010235989</v>
          </cell>
          <cell r="AX8">
            <v>148.60620603797739</v>
          </cell>
        </row>
        <row r="9">
          <cell r="B9">
            <v>64189.57636989656</v>
          </cell>
          <cell r="C9">
            <v>34146.250575971702</v>
          </cell>
          <cell r="D9">
            <v>76904.340307472434</v>
          </cell>
          <cell r="E9">
            <v>19200.913115168449</v>
          </cell>
          <cell r="F9">
            <v>1018452.3863857971</v>
          </cell>
          <cell r="G9">
            <v>333.63021220764938</v>
          </cell>
          <cell r="H9">
            <v>427.51491315502278</v>
          </cell>
          <cell r="I9">
            <v>209.33461857689949</v>
          </cell>
          <cell r="J9">
            <v>7850.9292830156319</v>
          </cell>
          <cell r="K9">
            <v>22166.24419315856</v>
          </cell>
          <cell r="L9">
            <v>16096.87981203038</v>
          </cell>
          <cell r="M9">
            <v>0.7030169502497684</v>
          </cell>
          <cell r="N9">
            <v>2.0119407248051799</v>
          </cell>
          <cell r="O9">
            <v>1.4668318313702291</v>
          </cell>
          <cell r="P9">
            <v>3751.5549184633228</v>
          </cell>
          <cell r="Q9">
            <v>3815.1924490704769</v>
          </cell>
          <cell r="R9">
            <v>0.40775228335693581</v>
          </cell>
          <cell r="S9">
            <v>0.3597132219852377</v>
          </cell>
          <cell r="T9">
            <v>215220.16083115831</v>
          </cell>
          <cell r="U9">
            <v>22.222143697519709</v>
          </cell>
          <cell r="V9">
            <v>453004.06581804907</v>
          </cell>
          <cell r="W9">
            <v>41.648925813322478</v>
          </cell>
          <cell r="X9">
            <v>608916.98915930057</v>
          </cell>
          <cell r="Y9">
            <v>56.045028621647617</v>
          </cell>
          <cell r="Z9">
            <v>0.18659198269719701</v>
          </cell>
          <cell r="AA9">
            <v>63071.995982127592</v>
          </cell>
          <cell r="AB9">
            <v>157795.69542356371</v>
          </cell>
          <cell r="AC9">
            <v>153.22452317933599</v>
          </cell>
          <cell r="AD9">
            <v>167.48814481280431</v>
          </cell>
          <cell r="AE9">
            <v>159.38917877067411</v>
          </cell>
          <cell r="AF9">
            <v>407.61438053942749</v>
          </cell>
          <cell r="AG9">
            <v>165.7510320382741</v>
          </cell>
          <cell r="AH9">
            <v>109.8161111775664</v>
          </cell>
          <cell r="AI9">
            <v>89.411700513075189</v>
          </cell>
          <cell r="AJ9">
            <v>155.05649416887221</v>
          </cell>
          <cell r="AK9">
            <v>109.6439801662614</v>
          </cell>
          <cell r="AL9">
            <v>204.4836705597279</v>
          </cell>
          <cell r="AM9">
            <v>197.68471368584039</v>
          </cell>
          <cell r="AN9">
            <v>199.4782500532902</v>
          </cell>
          <cell r="AO9">
            <v>210.08638047600371</v>
          </cell>
          <cell r="AP9">
            <v>226.91513679157549</v>
          </cell>
          <cell r="AQ9">
            <v>47.119328422585689</v>
          </cell>
          <cell r="AR9">
            <v>142.71985446455639</v>
          </cell>
          <cell r="AS9">
            <v>125.0332455536545</v>
          </cell>
          <cell r="AT9">
            <v>2947653.442927741</v>
          </cell>
          <cell r="AX9">
            <v>149.48908338481999</v>
          </cell>
        </row>
        <row r="10">
          <cell r="B10">
            <v>62665.729522605463</v>
          </cell>
          <cell r="C10">
            <v>33433.192145406261</v>
          </cell>
          <cell r="D10">
            <v>74180.647995765452</v>
          </cell>
          <cell r="E10">
            <v>18635.989604161961</v>
          </cell>
          <cell r="F10">
            <v>966955.44107535295</v>
          </cell>
          <cell r="G10">
            <v>346.24288141305561</v>
          </cell>
          <cell r="H10">
            <v>431.15272900546341</v>
          </cell>
          <cell r="I10">
            <v>206.1859447978791</v>
          </cell>
          <cell r="J10">
            <v>7896.3203997364326</v>
          </cell>
          <cell r="K10">
            <v>22126.135048240281</v>
          </cell>
          <cell r="L10">
            <v>16439.716153036199</v>
          </cell>
          <cell r="M10">
            <v>0.67755657172445261</v>
          </cell>
          <cell r="N10">
            <v>1.981168546169696</v>
          </cell>
          <cell r="O10">
            <v>1.458200936163641</v>
          </cell>
          <cell r="P10">
            <v>3987.716599740088</v>
          </cell>
          <cell r="Q10">
            <v>3867.6599551150362</v>
          </cell>
          <cell r="R10">
            <v>0.42791788775649431</v>
          </cell>
          <cell r="S10">
            <v>0.4300189235059792</v>
          </cell>
          <cell r="T10">
            <v>233698.94586595171</v>
          </cell>
          <cell r="U10">
            <v>22.65341288665125</v>
          </cell>
          <cell r="V10">
            <v>463973.83712282992</v>
          </cell>
          <cell r="W10">
            <v>41.674499133231691</v>
          </cell>
          <cell r="X10">
            <v>622227.82614417211</v>
          </cell>
          <cell r="Y10">
            <v>56.625566882298727</v>
          </cell>
          <cell r="Z10">
            <v>0.1967846426377515</v>
          </cell>
          <cell r="AA10">
            <v>53810.121724670433</v>
          </cell>
          <cell r="AB10">
            <v>144753.66706706901</v>
          </cell>
          <cell r="AC10">
            <v>149.62850879624079</v>
          </cell>
          <cell r="AD10">
            <v>162.66742213713411</v>
          </cell>
          <cell r="AE10">
            <v>156.3636597336149</v>
          </cell>
          <cell r="AF10">
            <v>393.63066029205243</v>
          </cell>
          <cell r="AG10">
            <v>163.69756213302821</v>
          </cell>
          <cell r="AH10">
            <v>103.9239509752715</v>
          </cell>
          <cell r="AI10">
            <v>91.939590917851504</v>
          </cell>
          <cell r="AJ10">
            <v>154.56894543561401</v>
          </cell>
          <cell r="AK10">
            <v>111.49119992815049</v>
          </cell>
          <cell r="AL10">
            <v>196.99866502884359</v>
          </cell>
          <cell r="AM10">
            <v>191.5619237764827</v>
          </cell>
          <cell r="AN10">
            <v>200.01064202386789</v>
          </cell>
          <cell r="AO10">
            <v>176.99755835877059</v>
          </cell>
          <cell r="AP10">
            <v>222.2633575581599</v>
          </cell>
          <cell r="AQ10">
            <v>45.895782331432571</v>
          </cell>
          <cell r="AR10">
            <v>142.76384331815461</v>
          </cell>
          <cell r="AS10">
            <v>124.5765859956952</v>
          </cell>
          <cell r="AT10">
            <v>3032593.8623794098</v>
          </cell>
          <cell r="AX10">
            <v>148.33819512260499</v>
          </cell>
        </row>
        <row r="11">
          <cell r="B11">
            <v>62295.784252849837</v>
          </cell>
          <cell r="C11">
            <v>33045.253699093599</v>
          </cell>
          <cell r="D11">
            <v>75460.573649521495</v>
          </cell>
          <cell r="E11">
            <v>18331.672374308899</v>
          </cell>
          <cell r="F11">
            <v>980622.0131709032</v>
          </cell>
          <cell r="G11">
            <v>340.00948995606598</v>
          </cell>
          <cell r="H11">
            <v>428.6855881017288</v>
          </cell>
          <cell r="I11">
            <v>205.33936451097381</v>
          </cell>
          <cell r="J11">
            <v>6843.3568843675894</v>
          </cell>
          <cell r="K11">
            <v>23068.076538398651</v>
          </cell>
          <cell r="L11">
            <v>16065.005425550329</v>
          </cell>
          <cell r="M11">
            <v>0.59893560134470858</v>
          </cell>
          <cell r="N11">
            <v>2.0230436951879249</v>
          </cell>
          <cell r="O11">
            <v>1.426332011364307</v>
          </cell>
          <cell r="P11">
            <v>4457.843039838056</v>
          </cell>
          <cell r="Q11">
            <v>4665.373126233364</v>
          </cell>
          <cell r="R11">
            <v>0.43300461733184742</v>
          </cell>
          <cell r="S11">
            <v>0.41101573315076939</v>
          </cell>
          <cell r="T11">
            <v>245391.12771708379</v>
          </cell>
          <cell r="U11">
            <v>23.34219048209604</v>
          </cell>
          <cell r="V11">
            <v>463132.98434903362</v>
          </cell>
          <cell r="W11">
            <v>41.39907931199815</v>
          </cell>
          <cell r="X11">
            <v>624213.81784194091</v>
          </cell>
          <cell r="Y11">
            <v>56.067082567687159</v>
          </cell>
          <cell r="Z11">
            <v>0.201882464220726</v>
          </cell>
          <cell r="AA11">
            <v>60801.87233302922</v>
          </cell>
          <cell r="AB11">
            <v>146261.21092040159</v>
          </cell>
          <cell r="AC11">
            <v>150.62024275914951</v>
          </cell>
          <cell r="AD11">
            <v>162.02935656861791</v>
          </cell>
          <cell r="AE11">
            <v>157.3089341282172</v>
          </cell>
          <cell r="AF11">
            <v>386.1288305338195</v>
          </cell>
          <cell r="AG11">
            <v>163.52966152864749</v>
          </cell>
          <cell r="AH11">
            <v>102.2924867371885</v>
          </cell>
          <cell r="AI11">
            <v>92.344611836674332</v>
          </cell>
          <cell r="AJ11">
            <v>156.27362858521289</v>
          </cell>
          <cell r="AK11">
            <v>107.60470576313909</v>
          </cell>
          <cell r="AL11">
            <v>201.42099013692459</v>
          </cell>
          <cell r="AM11">
            <v>192.05573045806071</v>
          </cell>
          <cell r="AN11">
            <v>198.6551216263355</v>
          </cell>
          <cell r="AO11">
            <v>214.29959814735071</v>
          </cell>
          <cell r="AP11">
            <v>220.0386485906543</v>
          </cell>
          <cell r="AQ11">
            <v>46.174677931920762</v>
          </cell>
          <cell r="AR11">
            <v>143.26373638709359</v>
          </cell>
          <cell r="AS11">
            <v>124.3975519915611</v>
          </cell>
          <cell r="AT11">
            <v>2975170.9825849421</v>
          </cell>
          <cell r="AX11">
            <v>148.60092444601409</v>
          </cell>
        </row>
        <row r="12">
          <cell r="B12">
            <v>59031.893563795988</v>
          </cell>
          <cell r="C12">
            <v>32846.448729265423</v>
          </cell>
          <cell r="D12">
            <v>70252.111192602431</v>
          </cell>
          <cell r="E12">
            <v>17566.386554738601</v>
          </cell>
          <cell r="F12">
            <v>1001153.9457700941</v>
          </cell>
          <cell r="G12">
            <v>342.27305055108872</v>
          </cell>
          <cell r="H12">
            <v>438.29540404183552</v>
          </cell>
          <cell r="I12">
            <v>206.90250242327079</v>
          </cell>
          <cell r="J12">
            <v>7968.0743217610507</v>
          </cell>
          <cell r="K12">
            <v>23645.710332086299</v>
          </cell>
          <cell r="L12">
            <v>16526.016429442989</v>
          </cell>
          <cell r="M12">
            <v>0.64966385168709828</v>
          </cell>
          <cell r="N12">
            <v>2.0251098482290462</v>
          </cell>
          <cell r="O12">
            <v>1.4465115894545559</v>
          </cell>
          <cell r="P12">
            <v>5255.2348710539582</v>
          </cell>
          <cell r="Q12">
            <v>4813.0068828371031</v>
          </cell>
          <cell r="R12">
            <v>0.45334326239435252</v>
          </cell>
          <cell r="S12">
            <v>0.42372794325536062</v>
          </cell>
          <cell r="T12">
            <v>271859.17024326458</v>
          </cell>
          <cell r="U12">
            <v>23.570846646216211</v>
          </cell>
          <cell r="V12">
            <v>470283.39873277443</v>
          </cell>
          <cell r="W12">
            <v>41.372085664388109</v>
          </cell>
          <cell r="X12">
            <v>625935.51595511823</v>
          </cell>
          <cell r="Y12">
            <v>55.257600878628381</v>
          </cell>
          <cell r="Z12">
            <v>0.20541745071874359</v>
          </cell>
          <cell r="AA12">
            <v>62265.646149857967</v>
          </cell>
          <cell r="AB12">
            <v>147933.89572902679</v>
          </cell>
          <cell r="AC12">
            <v>152.0106871390837</v>
          </cell>
          <cell r="AD12">
            <v>152.91044719572551</v>
          </cell>
          <cell r="AE12">
            <v>159.39878283080949</v>
          </cell>
          <cell r="AF12">
            <v>390.45317694775252</v>
          </cell>
          <cell r="AG12">
            <v>164.62142222337249</v>
          </cell>
          <cell r="AH12">
            <v>105.93597128097829</v>
          </cell>
          <cell r="AI12">
            <v>91.44796716114007</v>
          </cell>
          <cell r="AJ12">
            <v>154.2044289134862</v>
          </cell>
          <cell r="AK12">
            <v>109.91225850574909</v>
          </cell>
          <cell r="AL12">
            <v>204.6289059791975</v>
          </cell>
          <cell r="AM12">
            <v>193.9561774008892</v>
          </cell>
          <cell r="AN12">
            <v>200.57543492387839</v>
          </cell>
          <cell r="AO12">
            <v>171.1445967659177</v>
          </cell>
          <cell r="AP12">
            <v>209.28926673340891</v>
          </cell>
          <cell r="AQ12">
            <v>45.468350158630557</v>
          </cell>
          <cell r="AR12">
            <v>142.8597644019292</v>
          </cell>
          <cell r="AS12">
            <v>123.6078420515923</v>
          </cell>
          <cell r="AT12">
            <v>2825213.5536342971</v>
          </cell>
          <cell r="AX12">
            <v>148.47673585529381</v>
          </cell>
        </row>
        <row r="13">
          <cell r="B13">
            <v>56712.822846892726</v>
          </cell>
          <cell r="C13">
            <v>32401.005455661671</v>
          </cell>
          <cell r="D13">
            <v>88124.260657241466</v>
          </cell>
          <cell r="E13">
            <v>25857.310218152052</v>
          </cell>
          <cell r="F13">
            <v>980342.83101144189</v>
          </cell>
          <cell r="G13">
            <v>345.03700736611978</v>
          </cell>
          <cell r="H13">
            <v>433.13566820266391</v>
          </cell>
          <cell r="I13">
            <v>201.83781028109519</v>
          </cell>
          <cell r="J13">
            <v>7371.8457843494489</v>
          </cell>
          <cell r="K13">
            <v>22764.213525541931</v>
          </cell>
          <cell r="L13">
            <v>17453.987919244399</v>
          </cell>
          <cell r="M13">
            <v>0.61462968690147612</v>
          </cell>
          <cell r="N13">
            <v>1.993456246300233</v>
          </cell>
          <cell r="O13">
            <v>1.5234829684904601</v>
          </cell>
          <cell r="P13">
            <v>6299.4511017256509</v>
          </cell>
          <cell r="Q13">
            <v>5801.6046159440093</v>
          </cell>
          <cell r="R13">
            <v>0.49264875423028098</v>
          </cell>
          <cell r="S13">
            <v>0.48896731173823599</v>
          </cell>
          <cell r="T13">
            <v>305954.20232023922</v>
          </cell>
          <cell r="U13">
            <v>24.405571417345229</v>
          </cell>
          <cell r="V13">
            <v>475485.29589869239</v>
          </cell>
          <cell r="W13">
            <v>41.134336397058462</v>
          </cell>
          <cell r="X13">
            <v>673680.98786069243</v>
          </cell>
          <cell r="Y13">
            <v>57.284305564066983</v>
          </cell>
          <cell r="Z13">
            <v>0.20931830234044829</v>
          </cell>
          <cell r="AA13">
            <v>59222.675964969152</v>
          </cell>
          <cell r="AB13">
            <v>142303.22123714999</v>
          </cell>
          <cell r="AC13">
            <v>151.68562406068071</v>
          </cell>
          <cell r="AD13">
            <v>153.39051390829059</v>
          </cell>
          <cell r="AE13">
            <v>160.42860924850851</v>
          </cell>
          <cell r="AF13">
            <v>385.69215125749849</v>
          </cell>
          <cell r="AG13">
            <v>164.66928232696719</v>
          </cell>
          <cell r="AH13">
            <v>104.9952714657659</v>
          </cell>
          <cell r="AI13">
            <v>89.529658065614854</v>
          </cell>
          <cell r="AJ13">
            <v>153.89052462661721</v>
          </cell>
          <cell r="AK13">
            <v>108.90993699129309</v>
          </cell>
          <cell r="AL13">
            <v>209.59225721621311</v>
          </cell>
          <cell r="AM13">
            <v>191.4303089968179</v>
          </cell>
          <cell r="AN13">
            <v>196.03171884016231</v>
          </cell>
          <cell r="AO13">
            <v>173.73697684280759</v>
          </cell>
          <cell r="AP13">
            <v>202.22965267181499</v>
          </cell>
          <cell r="AQ13">
            <v>44.374418323235332</v>
          </cell>
          <cell r="AR13">
            <v>143.44549433771519</v>
          </cell>
          <cell r="AS13">
            <v>122.52586813416259</v>
          </cell>
          <cell r="AT13">
            <v>2859496.395486156</v>
          </cell>
          <cell r="AX13">
            <v>147.70030586607311</v>
          </cell>
        </row>
        <row r="14">
          <cell r="B14">
            <v>60697.248075169002</v>
          </cell>
          <cell r="C14">
            <v>33780.778202401292</v>
          </cell>
          <cell r="D14">
            <v>68907.883592083599</v>
          </cell>
          <cell r="E14">
            <v>17314.180644247081</v>
          </cell>
          <cell r="F14">
            <v>993611.91901195317</v>
          </cell>
          <cell r="G14">
            <v>377.20346901379543</v>
          </cell>
          <cell r="H14">
            <v>456.98489010213899</v>
          </cell>
          <cell r="I14">
            <v>213.7119537662667</v>
          </cell>
          <cell r="J14">
            <v>7933.4273066888418</v>
          </cell>
          <cell r="K14">
            <v>25115.67124862154</v>
          </cell>
          <cell r="L14">
            <v>18166.043414948439</v>
          </cell>
          <cell r="M14">
            <v>0.67525225353281992</v>
          </cell>
          <cell r="N14">
            <v>2.257712253954014</v>
          </cell>
          <cell r="O14">
            <v>1.6222524248427601</v>
          </cell>
          <cell r="P14">
            <v>6212.2967937641388</v>
          </cell>
          <cell r="Q14">
            <v>6010.9777942137607</v>
          </cell>
          <cell r="R14">
            <v>0.50642293226526225</v>
          </cell>
          <cell r="S14">
            <v>0.49817410844048032</v>
          </cell>
          <cell r="T14">
            <v>312818.3620386137</v>
          </cell>
          <cell r="U14">
            <v>26.307787148863749</v>
          </cell>
          <cell r="V14">
            <v>491785.4507582963</v>
          </cell>
          <cell r="W14">
            <v>43.332669627565132</v>
          </cell>
          <cell r="X14">
            <v>671661.15296521096</v>
          </cell>
          <cell r="Y14">
            <v>58.662804934597098</v>
          </cell>
          <cell r="Z14">
            <v>0.21000811018736171</v>
          </cell>
          <cell r="AA14">
            <v>61056.965084797768</v>
          </cell>
          <cell r="AB14">
            <v>169893.06512737839</v>
          </cell>
          <cell r="AC14">
            <v>163.57973657387569</v>
          </cell>
          <cell r="AD14">
            <v>156.00407678983251</v>
          </cell>
          <cell r="AE14">
            <v>160.69691828667791</v>
          </cell>
          <cell r="AF14">
            <v>398.29059623902549</v>
          </cell>
          <cell r="AG14">
            <v>170.7190028502705</v>
          </cell>
          <cell r="AH14">
            <v>132.69099433314511</v>
          </cell>
          <cell r="AI14">
            <v>94.494885688497632</v>
          </cell>
          <cell r="AJ14">
            <v>155.03112387945291</v>
          </cell>
          <cell r="AK14">
            <v>108.3941037274473</v>
          </cell>
          <cell r="AL14">
            <v>205.03603005915241</v>
          </cell>
          <cell r="AM14">
            <v>193.99491532055919</v>
          </cell>
          <cell r="AN14">
            <v>206.7987831289087</v>
          </cell>
          <cell r="AO14">
            <v>173.81005165447289</v>
          </cell>
          <cell r="AP14">
            <v>215.37471612604031</v>
          </cell>
          <cell r="AQ14">
            <v>44.84874808595216</v>
          </cell>
          <cell r="AR14">
            <v>144.90416322129181</v>
          </cell>
          <cell r="AS14">
            <v>121.4215668992188</v>
          </cell>
          <cell r="AT14">
            <v>2923835.0646094512</v>
          </cell>
          <cell r="AX14">
            <v>149.65033687855629</v>
          </cell>
        </row>
        <row r="15">
          <cell r="B15">
            <v>56544.906462655999</v>
          </cell>
          <cell r="C15">
            <v>32898.874542582707</v>
          </cell>
          <cell r="D15">
            <v>66922.861589432228</v>
          </cell>
          <cell r="E15">
            <v>15571.012032915971</v>
          </cell>
          <cell r="F15">
            <v>948278.92660408712</v>
          </cell>
          <cell r="G15">
            <v>368.95414633971347</v>
          </cell>
          <cell r="H15">
            <v>454.75470568095329</v>
          </cell>
          <cell r="I15">
            <v>209.72649270298169</v>
          </cell>
          <cell r="J15">
            <v>8473.5023211371426</v>
          </cell>
          <cell r="K15">
            <v>25217.644412263449</v>
          </cell>
          <cell r="L15">
            <v>19425.910415727729</v>
          </cell>
          <cell r="M15">
            <v>0.68775411511834383</v>
          </cell>
          <cell r="N15">
            <v>2.1116458374136262</v>
          </cell>
          <cell r="O15">
            <v>1.6077311774623091</v>
          </cell>
          <cell r="P15">
            <v>6120.6650040570894</v>
          </cell>
          <cell r="Q15">
            <v>6197.3660822584889</v>
          </cell>
          <cell r="R15">
            <v>0.49882813118356578</v>
          </cell>
          <cell r="S15">
            <v>0.50401253150931036</v>
          </cell>
          <cell r="T15">
            <v>297084.35485151992</v>
          </cell>
          <cell r="U15">
            <v>24.610269357686569</v>
          </cell>
          <cell r="V15">
            <v>498956.4753387185</v>
          </cell>
          <cell r="W15">
            <v>41.915743781714681</v>
          </cell>
          <cell r="X15">
            <v>673851.81584010005</v>
          </cell>
          <cell r="Y15">
            <v>56.62185498362723</v>
          </cell>
          <cell r="Z15">
            <v>0.24108274900263829</v>
          </cell>
          <cell r="AA15">
            <v>61475.803571747863</v>
          </cell>
          <cell r="AB15">
            <v>145410.07713767159</v>
          </cell>
          <cell r="AC15">
            <v>152.7823448560022</v>
          </cell>
          <cell r="AD15">
            <v>197.6774591551617</v>
          </cell>
          <cell r="AE15">
            <v>162.71018667817901</v>
          </cell>
          <cell r="AF15">
            <v>379.30552759555252</v>
          </cell>
          <cell r="AG15">
            <v>167.58873591253979</v>
          </cell>
          <cell r="AH15">
            <v>100.92228072464189</v>
          </cell>
          <cell r="AI15">
            <v>89.37725628952667</v>
          </cell>
          <cell r="AJ15">
            <v>154.3119558603519</v>
          </cell>
          <cell r="AK15">
            <v>109.0280196247592</v>
          </cell>
          <cell r="AL15">
            <v>214.44622508493421</v>
          </cell>
          <cell r="AM15">
            <v>189.86896411823571</v>
          </cell>
          <cell r="AN15">
            <v>203.35614281521941</v>
          </cell>
          <cell r="AO15">
            <v>168.72880223446731</v>
          </cell>
          <cell r="AP15">
            <v>198.5953803524331</v>
          </cell>
          <cell r="AQ15">
            <v>35.056262995243813</v>
          </cell>
          <cell r="AR15">
            <v>141.01684967412169</v>
          </cell>
          <cell r="AS15">
            <v>116.4517925625548</v>
          </cell>
          <cell r="AT15">
            <v>2979934.197441156</v>
          </cell>
          <cell r="AX15">
            <v>147.24712492772991</v>
          </cell>
        </row>
        <row r="16">
          <cell r="B16">
            <v>52379.013314551798</v>
          </cell>
          <cell r="C16">
            <v>26687.919458923931</v>
          </cell>
          <cell r="D16">
            <v>55472.819722505403</v>
          </cell>
          <cell r="E16">
            <v>15540.94370449531</v>
          </cell>
          <cell r="F16">
            <v>954062.34185703483</v>
          </cell>
          <cell r="G16">
            <v>362.75753272937402</v>
          </cell>
          <cell r="H16">
            <v>456.57567467961962</v>
          </cell>
          <cell r="I16">
            <v>214.06882854707749</v>
          </cell>
          <cell r="J16">
            <v>8195.9691707036127</v>
          </cell>
          <cell r="K16">
            <v>25427.475678808409</v>
          </cell>
          <cell r="L16">
            <v>19737.320384554441</v>
          </cell>
          <cell r="M16">
            <v>0.66303150154081092</v>
          </cell>
          <cell r="N16">
            <v>2.0863343736561331</v>
          </cell>
          <cell r="O16">
            <v>1.5631501523979059</v>
          </cell>
          <cell r="P16">
            <v>6439.6864954154844</v>
          </cell>
          <cell r="Q16">
            <v>6109.112634989021</v>
          </cell>
          <cell r="R16">
            <v>0.51387214594766051</v>
          </cell>
          <cell r="S16">
            <v>0.48911308570535661</v>
          </cell>
          <cell r="T16">
            <v>306981.652768826</v>
          </cell>
          <cell r="U16">
            <v>24.81432290143939</v>
          </cell>
          <cell r="V16">
            <v>500973.29026435898</v>
          </cell>
          <cell r="W16">
            <v>41.046528508900117</v>
          </cell>
          <cell r="X16">
            <v>685871.61169873667</v>
          </cell>
          <cell r="Y16">
            <v>56.114001408511733</v>
          </cell>
          <cell r="Z16">
            <v>0.24620748596073569</v>
          </cell>
          <cell r="AA16">
            <v>56427.899840427643</v>
          </cell>
          <cell r="AB16">
            <v>133744.52353345699</v>
          </cell>
          <cell r="AC16">
            <v>149.50580704953569</v>
          </cell>
          <cell r="AD16">
            <v>137.16582083683591</v>
          </cell>
          <cell r="AE16">
            <v>151.12073331811689</v>
          </cell>
          <cell r="AF16">
            <v>361.42460306288473</v>
          </cell>
          <cell r="AG16">
            <v>164.02354067543521</v>
          </cell>
          <cell r="AH16">
            <v>97.129558492762087</v>
          </cell>
          <cell r="AI16">
            <v>89.376300040904937</v>
          </cell>
          <cell r="AJ16">
            <v>156.72888625476199</v>
          </cell>
          <cell r="AK16">
            <v>86.121241002761892</v>
          </cell>
          <cell r="AL16">
            <v>194.5595108403501</v>
          </cell>
          <cell r="AM16">
            <v>188.25930576318669</v>
          </cell>
          <cell r="AN16">
            <v>199.7908148111018</v>
          </cell>
          <cell r="AO16">
            <v>148.86486974900379</v>
          </cell>
          <cell r="AP16">
            <v>184.94887499890061</v>
          </cell>
          <cell r="AQ16">
            <v>37.153137485773449</v>
          </cell>
          <cell r="AR16">
            <v>139.94892763763781</v>
          </cell>
          <cell r="AS16">
            <v>114.4587620748019</v>
          </cell>
          <cell r="AT16">
            <v>2961494.772207153</v>
          </cell>
          <cell r="AX16">
            <v>143.8027006165384</v>
          </cell>
        </row>
        <row r="17">
          <cell r="B17">
            <v>54599.337946164087</v>
          </cell>
          <cell r="C17">
            <v>29992.79715100459</v>
          </cell>
          <cell r="D17">
            <v>53325.089348199959</v>
          </cell>
          <cell r="E17">
            <v>13519.365807056951</v>
          </cell>
          <cell r="F17">
            <v>964167.49611630291</v>
          </cell>
          <cell r="G17">
            <v>364.73696929947403</v>
          </cell>
          <cell r="H17">
            <v>456.07066049619391</v>
          </cell>
          <cell r="I17">
            <v>209.48540941026161</v>
          </cell>
          <cell r="J17">
            <v>11702.337825419791</v>
          </cell>
          <cell r="K17">
            <v>27067.115498614541</v>
          </cell>
          <cell r="L17">
            <v>21188.675286956812</v>
          </cell>
          <cell r="M17">
            <v>1.007379435267036</v>
          </cell>
          <cell r="N17">
            <v>2.142220809816985</v>
          </cell>
          <cell r="O17">
            <v>1.6209597092502339</v>
          </cell>
          <cell r="P17">
            <v>6506.8998498398096</v>
          </cell>
          <cell r="Q17">
            <v>6480.4636036606544</v>
          </cell>
          <cell r="R17">
            <v>0.50675614579874284</v>
          </cell>
          <cell r="S17">
            <v>0.50443231431731828</v>
          </cell>
          <cell r="T17">
            <v>312345.28822654998</v>
          </cell>
          <cell r="U17">
            <v>23.9363339213083</v>
          </cell>
          <cell r="V17">
            <v>511582.96677420993</v>
          </cell>
          <cell r="W17">
            <v>39.910457636761564</v>
          </cell>
          <cell r="X17">
            <v>695955.41784591414</v>
          </cell>
          <cell r="Y17">
            <v>54.292813406112749</v>
          </cell>
          <cell r="Z17">
            <v>0.24890939586346841</v>
          </cell>
          <cell r="AA17">
            <v>60377.860355540579</v>
          </cell>
          <cell r="AB17">
            <v>132378.4837613921</v>
          </cell>
          <cell r="AC17">
            <v>153.5237647092469</v>
          </cell>
          <cell r="AD17">
            <v>134.06057611204099</v>
          </cell>
          <cell r="AE17">
            <v>152.48225361473001</v>
          </cell>
          <cell r="AF17">
            <v>373.90569637995321</v>
          </cell>
          <cell r="AG17">
            <v>165.68194220008419</v>
          </cell>
          <cell r="AH17">
            <v>124.7636088818156</v>
          </cell>
          <cell r="AI17">
            <v>89.233249126111872</v>
          </cell>
          <cell r="AJ17">
            <v>154.65123512111049</v>
          </cell>
          <cell r="AK17">
            <v>110.54411007101289</v>
          </cell>
          <cell r="AL17">
            <v>182.61208926595859</v>
          </cell>
          <cell r="AM17">
            <v>187.41321444320781</v>
          </cell>
          <cell r="AN17">
            <v>210.52125304171389</v>
          </cell>
          <cell r="AO17">
            <v>146.35242784113859</v>
          </cell>
          <cell r="AP17">
            <v>192.2530022642772</v>
          </cell>
          <cell r="AQ17">
            <v>40.584667731485553</v>
          </cell>
          <cell r="AR17">
            <v>140.46740825640649</v>
          </cell>
          <cell r="AS17">
            <v>119.2088222551379</v>
          </cell>
          <cell r="AT17">
            <v>3157035.363767833</v>
          </cell>
          <cell r="AX17">
            <v>145.1628072813165</v>
          </cell>
        </row>
        <row r="18">
          <cell r="B18">
            <v>54265.41174678567</v>
          </cell>
          <cell r="C18">
            <v>24746.753628082861</v>
          </cell>
          <cell r="D18">
            <v>49317.132027911088</v>
          </cell>
          <cell r="E18">
            <v>12103.952403852571</v>
          </cell>
          <cell r="F18">
            <v>928632.27708237956</v>
          </cell>
          <cell r="G18">
            <v>371.25446887936658</v>
          </cell>
          <cell r="H18">
            <v>455.23515280773142</v>
          </cell>
          <cell r="I18">
            <v>205.58826991374971</v>
          </cell>
          <cell r="J18">
            <v>9776.9304820570651</v>
          </cell>
          <cell r="K18">
            <v>26424.78185558732</v>
          </cell>
          <cell r="L18">
            <v>20708.185866327021</v>
          </cell>
          <cell r="M18">
            <v>0.74202363312614694</v>
          </cell>
          <cell r="N18">
            <v>2.0229257830795171</v>
          </cell>
          <cell r="O18">
            <v>1.660030328400778</v>
          </cell>
          <cell r="P18">
            <v>7912.0686315389148</v>
          </cell>
          <cell r="Q18">
            <v>7088.0552282890267</v>
          </cell>
          <cell r="R18">
            <v>0.59050573678440832</v>
          </cell>
          <cell r="S18">
            <v>0.54025335664411667</v>
          </cell>
          <cell r="T18">
            <v>378360.8583726291</v>
          </cell>
          <cell r="U18">
            <v>28.61640823264506</v>
          </cell>
          <cell r="V18">
            <v>522816.89941672672</v>
          </cell>
          <cell r="W18">
            <v>40.120875842277691</v>
          </cell>
          <cell r="X18">
            <v>715968.3050761153</v>
          </cell>
          <cell r="Y18">
            <v>55.13361977813743</v>
          </cell>
          <cell r="Z18">
            <v>0.240123198349079</v>
          </cell>
          <cell r="AA18">
            <v>58838.586367335061</v>
          </cell>
          <cell r="AB18">
            <v>130657.23957731811</v>
          </cell>
          <cell r="AC18">
            <v>151.51159782697729</v>
          </cell>
          <cell r="AD18">
            <v>135.74341878701239</v>
          </cell>
          <cell r="AE18">
            <v>159.90807424541029</v>
          </cell>
          <cell r="AF18">
            <v>351.77387783452019</v>
          </cell>
          <cell r="AG18">
            <v>165.48460124093029</v>
          </cell>
          <cell r="AH18">
            <v>91.707718301761304</v>
          </cell>
          <cell r="AI18">
            <v>85.204810151711968</v>
          </cell>
          <cell r="AJ18">
            <v>152.38535183537601</v>
          </cell>
          <cell r="AK18">
            <v>119.7722764205876</v>
          </cell>
          <cell r="AL18">
            <v>201.69451856562509</v>
          </cell>
          <cell r="AM18">
            <v>183.70127330290791</v>
          </cell>
          <cell r="AN18">
            <v>205.8089188331447</v>
          </cell>
          <cell r="AO18">
            <v>160.35110927004999</v>
          </cell>
          <cell r="AP18">
            <v>189.04882432618439</v>
          </cell>
          <cell r="AQ18">
            <v>43.793530726999251</v>
          </cell>
          <cell r="AR18">
            <v>140.28002619748091</v>
          </cell>
          <cell r="AS18">
            <v>115.3020458940432</v>
          </cell>
          <cell r="AT18">
            <v>3607558.951678385</v>
          </cell>
          <cell r="AX18">
            <v>144.93564222384899</v>
          </cell>
        </row>
        <row r="19">
          <cell r="B19">
            <v>51605.720396453529</v>
          </cell>
          <cell r="C19">
            <v>29843.661104083862</v>
          </cell>
          <cell r="D19">
            <v>46043.492325972671</v>
          </cell>
          <cell r="E19">
            <v>12043.189984086141</v>
          </cell>
          <cell r="F19">
            <v>951808.55159643898</v>
          </cell>
          <cell r="G19">
            <v>367.41773541634859</v>
          </cell>
          <cell r="H19">
            <v>460.78206294486091</v>
          </cell>
          <cell r="I19">
            <v>207.27606167699409</v>
          </cell>
          <cell r="J19">
            <v>9961.3639065467614</v>
          </cell>
          <cell r="K19">
            <v>26544.106142240649</v>
          </cell>
          <cell r="L19">
            <v>20598.918281915649</v>
          </cell>
          <cell r="M19">
            <v>0.79974924349077292</v>
          </cell>
          <cell r="N19">
            <v>2.0170279771283242</v>
          </cell>
          <cell r="O19">
            <v>1.574591144531744</v>
          </cell>
          <cell r="P19">
            <v>8150.2854652113219</v>
          </cell>
          <cell r="Q19">
            <v>8084.2515160695311</v>
          </cell>
          <cell r="R19">
            <v>0.61435622909420173</v>
          </cell>
          <cell r="S19">
            <v>0.61033057098780596</v>
          </cell>
          <cell r="T19">
            <v>389836.31989470689</v>
          </cell>
          <cell r="U19">
            <v>29.616843347709889</v>
          </cell>
          <cell r="V19">
            <v>537951.1323493938</v>
          </cell>
          <cell r="W19">
            <v>40.841281852861783</v>
          </cell>
          <cell r="X19">
            <v>739430.2874177295</v>
          </cell>
          <cell r="Y19">
            <v>56.238724390668487</v>
          </cell>
          <cell r="Z19">
            <v>0.22860279354397281</v>
          </cell>
          <cell r="AA19">
            <v>60930.2606685145</v>
          </cell>
          <cell r="AB19">
            <v>132781.22727774511</v>
          </cell>
          <cell r="AC19">
            <v>153.03926082789789</v>
          </cell>
          <cell r="AD19">
            <v>139.84523058362771</v>
          </cell>
          <cell r="AE19">
            <v>158.9646035891688</v>
          </cell>
          <cell r="AF19">
            <v>369.49275776854898</v>
          </cell>
          <cell r="AG19">
            <v>168.06473000544889</v>
          </cell>
          <cell r="AH19">
            <v>105.0058238739886</v>
          </cell>
          <cell r="AI19">
            <v>87.811566218375859</v>
          </cell>
          <cell r="AJ19">
            <v>151.9068723409824</v>
          </cell>
          <cell r="AK19">
            <v>111.53326980062261</v>
          </cell>
          <cell r="AL19">
            <v>209.53761498565169</v>
          </cell>
          <cell r="AM19">
            <v>188.30542453262339</v>
          </cell>
          <cell r="AN19">
            <v>206.69352359789889</v>
          </cell>
          <cell r="AO19">
            <v>161.00443361488701</v>
          </cell>
          <cell r="AP19">
            <v>181.53243455407409</v>
          </cell>
          <cell r="AQ19">
            <v>44.518732065792207</v>
          </cell>
          <cell r="AR19">
            <v>141.63750466315491</v>
          </cell>
          <cell r="AS19">
            <v>113.5867158158369</v>
          </cell>
          <cell r="AT19">
            <v>3193437.6061976659</v>
          </cell>
          <cell r="AX19">
            <v>145.6506343377205</v>
          </cell>
        </row>
        <row r="20">
          <cell r="B20">
            <v>50982.612476392562</v>
          </cell>
          <cell r="C20">
            <v>23795.64449425893</v>
          </cell>
          <cell r="D20">
            <v>52731.866388363509</v>
          </cell>
          <cell r="E20">
            <v>14062.091909469929</v>
          </cell>
          <cell r="F20">
            <v>947297.58200286934</v>
          </cell>
          <cell r="G20">
            <v>366.35684392052372</v>
          </cell>
          <cell r="H20">
            <v>459.67549232944009</v>
          </cell>
          <cell r="I20">
            <v>206.38737930563781</v>
          </cell>
          <cell r="J20">
            <v>9674.7421667017061</v>
          </cell>
          <cell r="K20">
            <v>27944.419336347211</v>
          </cell>
          <cell r="L20">
            <v>21621.627491633211</v>
          </cell>
          <cell r="M20">
            <v>0.72176487194159722</v>
          </cell>
          <cell r="N20">
            <v>2.0719877456240332</v>
          </cell>
          <cell r="O20">
            <v>1.6064731565275889</v>
          </cell>
          <cell r="P20">
            <v>8542.0231161775519</v>
          </cell>
          <cell r="Q20">
            <v>8446.4628927389058</v>
          </cell>
          <cell r="R20">
            <v>0.63242120584479289</v>
          </cell>
          <cell r="S20">
            <v>0.63064812604667364</v>
          </cell>
          <cell r="T20">
            <v>400091.12847162911</v>
          </cell>
          <cell r="U20">
            <v>29.749583251879351</v>
          </cell>
          <cell r="V20">
            <v>546142.6749708259</v>
          </cell>
          <cell r="W20">
            <v>40.615918223970638</v>
          </cell>
          <cell r="X20">
            <v>748746.99645885092</v>
          </cell>
          <cell r="Y20">
            <v>55.833107922659302</v>
          </cell>
          <cell r="Z20">
            <v>0.22331729322232061</v>
          </cell>
          <cell r="AA20">
            <v>60383.626794337513</v>
          </cell>
          <cell r="AB20">
            <v>123150.7931329468</v>
          </cell>
          <cell r="AC20">
            <v>153.89757572758921</v>
          </cell>
          <cell r="AD20">
            <v>134.4929545980946</v>
          </cell>
          <cell r="AE20">
            <v>158.14202270426151</v>
          </cell>
          <cell r="AF20">
            <v>346.53022067476809</v>
          </cell>
          <cell r="AG20">
            <v>167.26857191021179</v>
          </cell>
          <cell r="AH20">
            <v>107.2899343991914</v>
          </cell>
          <cell r="AI20">
            <v>88.447716891453496</v>
          </cell>
          <cell r="AJ20">
            <v>154.63849429466561</v>
          </cell>
          <cell r="AK20">
            <v>109.71410899735039</v>
          </cell>
          <cell r="AL20">
            <v>200.64494966609831</v>
          </cell>
          <cell r="AM20">
            <v>194.9948779704568</v>
          </cell>
          <cell r="AN20">
            <v>202.84767320576569</v>
          </cell>
          <cell r="AO20">
            <v>156.35031293789859</v>
          </cell>
          <cell r="AP20">
            <v>167.04313689741011</v>
          </cell>
          <cell r="AQ20">
            <v>42.790193815028083</v>
          </cell>
          <cell r="AR20">
            <v>140.61139103472061</v>
          </cell>
          <cell r="AS20">
            <v>114.49447388258881</v>
          </cell>
          <cell r="AT20">
            <v>3157388.4045614148</v>
          </cell>
          <cell r="AX20">
            <v>143.87236897587141</v>
          </cell>
        </row>
        <row r="21">
          <cell r="B21">
            <v>40250.790072239201</v>
          </cell>
          <cell r="C21">
            <v>27368.894619502509</v>
          </cell>
          <cell r="D21">
            <v>41956.867782725392</v>
          </cell>
          <cell r="E21">
            <v>10175.12032164425</v>
          </cell>
          <cell r="F21">
            <v>935205.05055032379</v>
          </cell>
          <cell r="G21">
            <v>381.67988440308977</v>
          </cell>
          <cell r="H21">
            <v>460.6014585952048</v>
          </cell>
          <cell r="I21">
            <v>206.51134900381859</v>
          </cell>
          <cell r="J21">
            <v>8548.9384526632894</v>
          </cell>
          <cell r="K21">
            <v>27476.619644625491</v>
          </cell>
          <cell r="L21">
            <v>23256.35013828407</v>
          </cell>
          <cell r="M21">
            <v>0.59615831177589207</v>
          </cell>
          <cell r="N21">
            <v>2.0026656623532459</v>
          </cell>
          <cell r="O21">
            <v>1.675805342055958</v>
          </cell>
          <cell r="P21">
            <v>9761.47900517575</v>
          </cell>
          <cell r="Q21">
            <v>8967.3845487130911</v>
          </cell>
          <cell r="R21">
            <v>0.75195190277614621</v>
          </cell>
          <cell r="S21">
            <v>0.65529407319605315</v>
          </cell>
          <cell r="T21">
            <v>452203.77502483991</v>
          </cell>
          <cell r="U21">
            <v>34.413979918637409</v>
          </cell>
          <cell r="V21">
            <v>559531.25130720728</v>
          </cell>
          <cell r="W21">
            <v>40.800114869973243</v>
          </cell>
          <cell r="X21">
            <v>774052.56485420757</v>
          </cell>
          <cell r="Y21">
            <v>56.551671669295906</v>
          </cell>
          <cell r="Z21">
            <v>0.21944792464545429</v>
          </cell>
          <cell r="AA21">
            <v>59323.74685407267</v>
          </cell>
          <cell r="AB21">
            <v>124544.0774935627</v>
          </cell>
          <cell r="AC21">
            <v>152.35633121728151</v>
          </cell>
          <cell r="AD21">
            <v>115.6539434405168</v>
          </cell>
          <cell r="AE21">
            <v>148.33314507194689</v>
          </cell>
          <cell r="AF21">
            <v>314.47393546944829</v>
          </cell>
          <cell r="AG21">
            <v>166.8043630076622</v>
          </cell>
          <cell r="AH21">
            <v>100.9315249681455</v>
          </cell>
          <cell r="AI21">
            <v>87.629067719749301</v>
          </cell>
          <cell r="AJ21">
            <v>154.05262145339711</v>
          </cell>
          <cell r="AK21">
            <v>106.2987270578174</v>
          </cell>
          <cell r="AL21">
            <v>176.19958786458241</v>
          </cell>
          <cell r="AM21">
            <v>186.9798842498445</v>
          </cell>
          <cell r="AN21">
            <v>195.0650602256367</v>
          </cell>
          <cell r="AO21">
            <v>159.66599095308061</v>
          </cell>
          <cell r="AP21">
            <v>138.99735574517911</v>
          </cell>
          <cell r="AQ21">
            <v>41.428840122129017</v>
          </cell>
          <cell r="AR21">
            <v>140.2380286627145</v>
          </cell>
          <cell r="AS21">
            <v>113.2217873328953</v>
          </cell>
          <cell r="AT21">
            <v>2897758.4867826682</v>
          </cell>
          <cell r="AX21">
            <v>141.39338424298339</v>
          </cell>
        </row>
        <row r="22">
          <cell r="B22">
            <v>49359.386334717063</v>
          </cell>
          <cell r="C22">
            <v>27076.609749458268</v>
          </cell>
          <cell r="D22">
            <v>51174.13906927668</v>
          </cell>
          <cell r="E22">
            <v>12419.804605591589</v>
          </cell>
          <cell r="F22">
            <v>962737.61829626595</v>
          </cell>
          <cell r="G22">
            <v>363.79823396166353</v>
          </cell>
          <cell r="H22">
            <v>457.04471361777843</v>
          </cell>
          <cell r="I22">
            <v>204.9284132020712</v>
          </cell>
          <cell r="J22">
            <v>9286.433162473546</v>
          </cell>
          <cell r="K22">
            <v>29182.798367682379</v>
          </cell>
          <cell r="L22">
            <v>24125.59452103679</v>
          </cell>
          <cell r="M22">
            <v>0.64315489815660143</v>
          </cell>
          <cell r="N22">
            <v>2.0950291270344281</v>
          </cell>
          <cell r="O22">
            <v>1.7185160451655559</v>
          </cell>
          <cell r="P22">
            <v>11897.543467437081</v>
          </cell>
          <cell r="Q22">
            <v>10835.343406057909</v>
          </cell>
          <cell r="R22">
            <v>0.88594001482496165</v>
          </cell>
          <cell r="S22">
            <v>0.83007352560226599</v>
          </cell>
          <cell r="T22">
            <v>561005.08926230425</v>
          </cell>
          <cell r="U22">
            <v>40.827856094904952</v>
          </cell>
          <cell r="V22">
            <v>573443.45704700239</v>
          </cell>
          <cell r="W22">
            <v>40.932644056345573</v>
          </cell>
          <cell r="X22">
            <v>787141.79963106278</v>
          </cell>
          <cell r="Y22">
            <v>56.2627900246694</v>
          </cell>
          <cell r="Z22">
            <v>0.21623436469505111</v>
          </cell>
          <cell r="AA22">
            <v>61296.106465869721</v>
          </cell>
          <cell r="AB22">
            <v>136726.26032421121</v>
          </cell>
          <cell r="AC22">
            <v>156.13695098469191</v>
          </cell>
          <cell r="AD22">
            <v>119.46201840448261</v>
          </cell>
          <cell r="AE22">
            <v>155.80845533738099</v>
          </cell>
          <cell r="AF22">
            <v>365.28896987900561</v>
          </cell>
          <cell r="AG22">
            <v>171.51693989516949</v>
          </cell>
          <cell r="AH22">
            <v>106.673776942073</v>
          </cell>
          <cell r="AI22">
            <v>89.581967125400112</v>
          </cell>
          <cell r="AJ22">
            <v>153.56772161624431</v>
          </cell>
          <cell r="AK22">
            <v>106.9001719058693</v>
          </cell>
          <cell r="AL22">
            <v>202.7507628904855</v>
          </cell>
          <cell r="AM22">
            <v>187.92916143417489</v>
          </cell>
          <cell r="AN22">
            <v>194.8259525335439</v>
          </cell>
          <cell r="AO22">
            <v>139.74334034553749</v>
          </cell>
          <cell r="AP22">
            <v>172.03357794061799</v>
          </cell>
          <cell r="AQ22">
            <v>39.706866430716687</v>
          </cell>
          <cell r="AR22">
            <v>141.28990367139701</v>
          </cell>
          <cell r="AS22">
            <v>113.7418272082196</v>
          </cell>
          <cell r="AT22">
            <v>2995653.185259237</v>
          </cell>
          <cell r="AX22">
            <v>143.8047089566104</v>
          </cell>
        </row>
        <row r="23">
          <cell r="B23">
            <v>50993.935773553923</v>
          </cell>
          <cell r="C23">
            <v>29701.450526361441</v>
          </cell>
          <cell r="D23">
            <v>45510.003216291429</v>
          </cell>
          <cell r="E23">
            <v>12919.51240586836</v>
          </cell>
          <cell r="F23">
            <v>951897.0465204108</v>
          </cell>
          <cell r="G23">
            <v>369.43318527617691</v>
          </cell>
          <cell r="H23">
            <v>460.03751255621643</v>
          </cell>
          <cell r="I23">
            <v>203.62413949094719</v>
          </cell>
          <cell r="J23">
            <v>10814.96178416795</v>
          </cell>
          <cell r="K23">
            <v>29614.020264482591</v>
          </cell>
          <cell r="L23">
            <v>25448.133076464641</v>
          </cell>
          <cell r="M23">
            <v>0.75987312087294556</v>
          </cell>
          <cell r="N23">
            <v>2.0789452803753008</v>
          </cell>
          <cell r="O23">
            <v>1.796513288628613</v>
          </cell>
          <cell r="P23">
            <v>10215.174398616869</v>
          </cell>
          <cell r="Q23">
            <v>9938.7126923640717</v>
          </cell>
          <cell r="R23">
            <v>0.75840999181914648</v>
          </cell>
          <cell r="S23">
            <v>0.70031287855685109</v>
          </cell>
          <cell r="T23">
            <v>476687.59925541899</v>
          </cell>
          <cell r="U23">
            <v>35.294982351637863</v>
          </cell>
          <cell r="V23">
            <v>587360.79014107585</v>
          </cell>
          <cell r="W23">
            <v>41.591658111028899</v>
          </cell>
          <cell r="X23">
            <v>807224.33917832281</v>
          </cell>
          <cell r="Y23">
            <v>57.242939111622931</v>
          </cell>
          <cell r="Z23">
            <v>0.21376690034783971</v>
          </cell>
          <cell r="AA23">
            <v>64093.581060038479</v>
          </cell>
          <cell r="AB23">
            <v>134735.71621526871</v>
          </cell>
          <cell r="AC23">
            <v>159.00176325223319</v>
          </cell>
          <cell r="AD23">
            <v>114.3840981145883</v>
          </cell>
          <cell r="AE23">
            <v>152.40648146863171</v>
          </cell>
          <cell r="AF23">
            <v>368.58312083609121</v>
          </cell>
          <cell r="AG23">
            <v>172.09587560240561</v>
          </cell>
          <cell r="AH23">
            <v>109.3193964889235</v>
          </cell>
          <cell r="AI23">
            <v>86.873552014449317</v>
          </cell>
          <cell r="AJ23">
            <v>147.94654159561139</v>
          </cell>
          <cell r="AK23">
            <v>110.0736735640877</v>
          </cell>
          <cell r="AL23">
            <v>189.12098953839481</v>
          </cell>
          <cell r="AM23">
            <v>186.12337591865531</v>
          </cell>
          <cell r="AN23">
            <v>195.03974353106341</v>
          </cell>
          <cell r="AO23">
            <v>157.56731207267299</v>
          </cell>
          <cell r="AP23">
            <v>179.62361234502421</v>
          </cell>
          <cell r="AQ23">
            <v>38.723519365909453</v>
          </cell>
          <cell r="AR23">
            <v>136.9533441972211</v>
          </cell>
          <cell r="AS23">
            <v>116.32311883425029</v>
          </cell>
          <cell r="AT23">
            <v>3085108.2049941188</v>
          </cell>
          <cell r="AX23">
            <v>143.9720009642102</v>
          </cell>
        </row>
        <row r="24">
          <cell r="B24">
            <v>50422.776546341527</v>
          </cell>
          <cell r="C24">
            <v>37534.991431774863</v>
          </cell>
          <cell r="D24">
            <v>39219.484144738199</v>
          </cell>
          <cell r="E24">
            <v>8918.1010778991167</v>
          </cell>
          <cell r="F24">
            <v>948616.50032590493</v>
          </cell>
          <cell r="G24">
            <v>364.51742762279167</v>
          </cell>
          <cell r="H24">
            <v>451.69357837864652</v>
          </cell>
          <cell r="I24">
            <v>199.3356951084964</v>
          </cell>
          <cell r="J24">
            <v>9666.9204440766862</v>
          </cell>
          <cell r="K24">
            <v>30251.634451367259</v>
          </cell>
          <cell r="L24">
            <v>26019.147701900121</v>
          </cell>
          <cell r="M24">
            <v>0.66326726101828182</v>
          </cell>
          <cell r="N24">
            <v>2.1007653631069299</v>
          </cell>
          <cell r="O24">
            <v>1.8053539657464419</v>
          </cell>
          <cell r="P24">
            <v>9410.7905248880579</v>
          </cell>
          <cell r="Q24">
            <v>9582.3769997285635</v>
          </cell>
          <cell r="R24">
            <v>0.64461741031047237</v>
          </cell>
          <cell r="S24">
            <v>0.6650397812993416</v>
          </cell>
          <cell r="T24">
            <v>437321.85092325858</v>
          </cell>
          <cell r="U24">
            <v>30.129338885655791</v>
          </cell>
          <cell r="V24">
            <v>598969.24971936364</v>
          </cell>
          <cell r="W24">
            <v>41.767338663481233</v>
          </cell>
          <cell r="X24">
            <v>831394.74731794454</v>
          </cell>
          <cell r="Y24">
            <v>58.171737279053808</v>
          </cell>
          <cell r="Z24">
            <v>0.21096383859663381</v>
          </cell>
          <cell r="AA24">
            <v>61248.716283707232</v>
          </cell>
          <cell r="AB24">
            <v>130035.2360313544</v>
          </cell>
          <cell r="AC24">
            <v>155.97523616046681</v>
          </cell>
          <cell r="AD24">
            <v>138.44933939167569</v>
          </cell>
          <cell r="AE24">
            <v>147.5251852988352</v>
          </cell>
          <cell r="AF24">
            <v>352.67679204427287</v>
          </cell>
          <cell r="AG24">
            <v>170.71582861689049</v>
          </cell>
          <cell r="AH24">
            <v>101.40921837900289</v>
          </cell>
          <cell r="AI24">
            <v>87.2747318096702</v>
          </cell>
          <cell r="AJ24">
            <v>152.9817073962277</v>
          </cell>
          <cell r="AK24">
            <v>104.7453512889483</v>
          </cell>
          <cell r="AL24">
            <v>177.35450519348211</v>
          </cell>
          <cell r="AM24">
            <v>186.13866816470519</v>
          </cell>
          <cell r="AN24">
            <v>197.79218615954011</v>
          </cell>
          <cell r="AO24">
            <v>161.81672196003831</v>
          </cell>
          <cell r="AP24">
            <v>177.00397085815601</v>
          </cell>
          <cell r="AQ24">
            <v>40.697356366903321</v>
          </cell>
          <cell r="AR24">
            <v>137.95842809664481</v>
          </cell>
          <cell r="AS24">
            <v>115.99796289031799</v>
          </cell>
          <cell r="AT24">
            <v>3535469.3594140168</v>
          </cell>
          <cell r="AX24">
            <v>143.21732853808109</v>
          </cell>
        </row>
        <row r="25">
          <cell r="B25">
            <v>51164.806241478407</v>
          </cell>
          <cell r="C25">
            <v>35181.581757381718</v>
          </cell>
          <cell r="D25">
            <v>50005.679032877488</v>
          </cell>
          <cell r="E25">
            <v>12633.478761146411</v>
          </cell>
          <cell r="F25">
            <v>947386.92050485872</v>
          </cell>
          <cell r="G25">
            <v>361.06997103166339</v>
          </cell>
          <cell r="H25">
            <v>450.04039341687712</v>
          </cell>
          <cell r="I25">
            <v>198.14075889463891</v>
          </cell>
          <cell r="J25">
            <v>9691.3197441842476</v>
          </cell>
          <cell r="K25">
            <v>30844.46285354644</v>
          </cell>
          <cell r="L25">
            <v>25233.726418337661</v>
          </cell>
          <cell r="M25">
            <v>0.65154886778627685</v>
          </cell>
          <cell r="N25">
            <v>2.1026165809326152</v>
          </cell>
          <cell r="O25">
            <v>1.7490634679509349</v>
          </cell>
          <cell r="P25">
            <v>9284.625716614757</v>
          </cell>
          <cell r="Q25">
            <v>9010.8131504235243</v>
          </cell>
          <cell r="R25">
            <v>0.61841262881688475</v>
          </cell>
          <cell r="S25">
            <v>0.60423349785033997</v>
          </cell>
          <cell r="T25">
            <v>442752.86666331202</v>
          </cell>
          <cell r="U25">
            <v>29.764771683427199</v>
          </cell>
          <cell r="V25">
            <v>615302.69884956302</v>
          </cell>
          <cell r="W25">
            <v>41.827450290351337</v>
          </cell>
          <cell r="X25">
            <v>843744.58074018324</v>
          </cell>
          <cell r="Y25">
            <v>57.147355624537489</v>
          </cell>
          <cell r="Z25">
            <v>0.20439065064570819</v>
          </cell>
          <cell r="AA25">
            <v>63763.021090415117</v>
          </cell>
          <cell r="AB25">
            <v>135870.29620157951</v>
          </cell>
          <cell r="AC25">
            <v>154.75563209662931</v>
          </cell>
          <cell r="AD25">
            <v>133.27969776060209</v>
          </cell>
          <cell r="AE25">
            <v>150.42784209758881</v>
          </cell>
          <cell r="AF25">
            <v>356.52701094168032</v>
          </cell>
          <cell r="AG25">
            <v>169.87440483524961</v>
          </cell>
          <cell r="AH25">
            <v>101.8415277976755</v>
          </cell>
          <cell r="AI25">
            <v>86.345879278702711</v>
          </cell>
          <cell r="AJ25">
            <v>153.01461633593931</v>
          </cell>
          <cell r="AK25">
            <v>108.70049153583091</v>
          </cell>
          <cell r="AL25">
            <v>180.05987082064459</v>
          </cell>
          <cell r="AM25">
            <v>187.093073941</v>
          </cell>
          <cell r="AN25">
            <v>205.27575088938769</v>
          </cell>
          <cell r="AO25">
            <v>155.76913810715081</v>
          </cell>
          <cell r="AP25">
            <v>178.32023531216831</v>
          </cell>
          <cell r="AQ25">
            <v>42.509963480300463</v>
          </cell>
          <cell r="AR25">
            <v>138.8505042612077</v>
          </cell>
          <cell r="AS25">
            <v>116.1126677284481</v>
          </cell>
          <cell r="AT25">
            <v>3528729.5883836132</v>
          </cell>
          <cell r="AX25">
            <v>145.36043485823001</v>
          </cell>
        </row>
        <row r="26">
          <cell r="B26">
            <v>48187.092168916097</v>
          </cell>
          <cell r="C26">
            <v>20311.31370671394</v>
          </cell>
          <cell r="D26">
            <v>49683.834992568387</v>
          </cell>
          <cell r="E26">
            <v>12879.563039705619</v>
          </cell>
          <cell r="F26">
            <v>1005087.413768512</v>
          </cell>
          <cell r="G26">
            <v>345.03743042359417</v>
          </cell>
          <cell r="H26">
            <v>432.64841846463497</v>
          </cell>
          <cell r="I26">
            <v>182.67996948167001</v>
          </cell>
          <cell r="J26">
            <v>8445.2363218148021</v>
          </cell>
          <cell r="K26">
            <v>30862.91906804009</v>
          </cell>
          <cell r="L26">
            <v>24816.557617107621</v>
          </cell>
          <cell r="M26">
            <v>0.56306318667640787</v>
          </cell>
          <cell r="N26">
            <v>2.120665972329594</v>
          </cell>
          <cell r="O26">
            <v>1.7454847865022609</v>
          </cell>
          <cell r="P26">
            <v>8815.5224879123652</v>
          </cell>
          <cell r="Q26">
            <v>8988.8737367764825</v>
          </cell>
          <cell r="R26">
            <v>0.57916165610433545</v>
          </cell>
          <cell r="S26">
            <v>0.60052752992945213</v>
          </cell>
          <cell r="T26">
            <v>422280.82238615229</v>
          </cell>
          <cell r="U26">
            <v>27.67050902296403</v>
          </cell>
          <cell r="V26">
            <v>629143.32751884602</v>
          </cell>
          <cell r="W26">
            <v>42.518211978398021</v>
          </cell>
          <cell r="X26">
            <v>851911.15114215668</v>
          </cell>
          <cell r="Y26">
            <v>57.278618296765451</v>
          </cell>
          <cell r="Z26">
            <v>0.19988563643174309</v>
          </cell>
          <cell r="AA26">
            <v>62598.680591746292</v>
          </cell>
          <cell r="AB26">
            <v>146572.16141023449</v>
          </cell>
          <cell r="AC26">
            <v>155.02470628091089</v>
          </cell>
          <cell r="AD26">
            <v>140.907493247817</v>
          </cell>
          <cell r="AE26">
            <v>149.7896878448563</v>
          </cell>
          <cell r="AF26">
            <v>373.9566068692971</v>
          </cell>
          <cell r="AG26">
            <v>168.28681219216139</v>
          </cell>
          <cell r="AH26">
            <v>101.80344960441209</v>
          </cell>
          <cell r="AI26">
            <v>90.178569461768348</v>
          </cell>
          <cell r="AJ26">
            <v>153.277442767612</v>
          </cell>
          <cell r="AK26">
            <v>109.89468198874739</v>
          </cell>
          <cell r="AL26">
            <v>175.06703744063199</v>
          </cell>
          <cell r="AM26">
            <v>196.12201683427199</v>
          </cell>
          <cell r="AN26">
            <v>197.7138526801678</v>
          </cell>
          <cell r="AO26">
            <v>175.14519754813111</v>
          </cell>
          <cell r="AP26">
            <v>170.86314484330299</v>
          </cell>
          <cell r="AQ26">
            <v>49.92886099162984</v>
          </cell>
          <cell r="AR26">
            <v>139.6370345074364</v>
          </cell>
          <cell r="AS26">
            <v>117.1205966140261</v>
          </cell>
          <cell r="AT26">
            <v>2634251.274069834</v>
          </cell>
          <cell r="AX26">
            <v>145.31439568880069</v>
          </cell>
        </row>
        <row r="27">
          <cell r="B27">
            <v>47965.443294075281</v>
          </cell>
          <cell r="C27">
            <v>28022.231664025581</v>
          </cell>
          <cell r="D27">
            <v>50497.776281833183</v>
          </cell>
          <cell r="E27">
            <v>13592.11880106518</v>
          </cell>
          <cell r="F27">
            <v>1035415.65359474</v>
          </cell>
          <cell r="G27">
            <v>333.222909321472</v>
          </cell>
          <cell r="H27">
            <v>422.39438332896191</v>
          </cell>
          <cell r="I27">
            <v>176.18754591833061</v>
          </cell>
          <cell r="J27">
            <v>8579.0257827916703</v>
          </cell>
          <cell r="K27">
            <v>32292.54835882768</v>
          </cell>
          <cell r="L27">
            <v>28024.817214817602</v>
          </cell>
          <cell r="M27">
            <v>0.5434979227252883</v>
          </cell>
          <cell r="N27">
            <v>2.1113866816921698</v>
          </cell>
          <cell r="O27">
            <v>1.7917751005832689</v>
          </cell>
          <cell r="P27">
            <v>9801.7296263031276</v>
          </cell>
          <cell r="Q27">
            <v>9529.3047424107262</v>
          </cell>
          <cell r="R27">
            <v>0.64573634774305488</v>
          </cell>
          <cell r="S27">
            <v>0.62554501275346308</v>
          </cell>
          <cell r="T27">
            <v>458065.61378874048</v>
          </cell>
          <cell r="U27">
            <v>30.189794750693391</v>
          </cell>
          <cell r="V27">
            <v>643513.69459179416</v>
          </cell>
          <cell r="W27">
            <v>42.356502115907951</v>
          </cell>
          <cell r="X27">
            <v>885740.54221829853</v>
          </cell>
          <cell r="Y27">
            <v>58.28975937874754</v>
          </cell>
          <cell r="Z27">
            <v>0.19797661594864599</v>
          </cell>
          <cell r="AA27">
            <v>63970.140283268542</v>
          </cell>
          <cell r="AB27">
            <v>152463.1986288144</v>
          </cell>
          <cell r="AC27">
            <v>155.58684646343229</v>
          </cell>
          <cell r="AD27">
            <v>142.60842189750491</v>
          </cell>
          <cell r="AE27">
            <v>151.74375287206689</v>
          </cell>
          <cell r="AF27">
            <v>360.82984915196829</v>
          </cell>
          <cell r="AG27">
            <v>169.53422164275881</v>
          </cell>
          <cell r="AH27">
            <v>107.29101845184979</v>
          </cell>
          <cell r="AI27">
            <v>90.054734897026037</v>
          </cell>
          <cell r="AJ27">
            <v>154.60152696458701</v>
          </cell>
          <cell r="AK27">
            <v>107.92623205953591</v>
          </cell>
          <cell r="AL27">
            <v>187.0939139661894</v>
          </cell>
          <cell r="AM27">
            <v>201.3507810867396</v>
          </cell>
          <cell r="AN27">
            <v>194.6854079024699</v>
          </cell>
          <cell r="AO27">
            <v>123.8258873726451</v>
          </cell>
          <cell r="AP27">
            <v>171.14387409679739</v>
          </cell>
          <cell r="AQ27">
            <v>52.377950957212562</v>
          </cell>
          <cell r="AR27">
            <v>145.68767033893741</v>
          </cell>
          <cell r="AS27">
            <v>117.0370200472754</v>
          </cell>
          <cell r="AT27">
            <v>3406880.399096489</v>
          </cell>
          <cell r="AX27">
            <v>146.5924333194414</v>
          </cell>
        </row>
        <row r="28">
          <cell r="B28">
            <v>45685.449894940102</v>
          </cell>
          <cell r="C28">
            <v>25607.205538155689</v>
          </cell>
          <cell r="D28">
            <v>53060.200746193637</v>
          </cell>
          <cell r="E28">
            <v>12979.852991569751</v>
          </cell>
          <cell r="F28">
            <v>1006336.445876625</v>
          </cell>
          <cell r="G28">
            <v>315.38976934346061</v>
          </cell>
          <cell r="H28">
            <v>415.22044391603782</v>
          </cell>
          <cell r="I28">
            <v>176.75107810277791</v>
          </cell>
          <cell r="J28">
            <v>8022.7348527555832</v>
          </cell>
          <cell r="K28">
            <v>34194.388625830463</v>
          </cell>
          <cell r="L28">
            <v>27739.938409543211</v>
          </cell>
          <cell r="M28">
            <v>0.51732416012212734</v>
          </cell>
          <cell r="N28">
            <v>2.1646445307816822</v>
          </cell>
          <cell r="O28">
            <v>1.753886346021162</v>
          </cell>
          <cell r="P28">
            <v>10841.47307042769</v>
          </cell>
          <cell r="Q28">
            <v>10593.667896941401</v>
          </cell>
          <cell r="R28">
            <v>0.69940073548812276</v>
          </cell>
          <cell r="S28">
            <v>0.6883441420223636</v>
          </cell>
          <cell r="T28">
            <v>486275.50072779832</v>
          </cell>
          <cell r="U28">
            <v>31.603926754220758</v>
          </cell>
          <cell r="V28">
            <v>661275.43608456571</v>
          </cell>
          <cell r="W28">
            <v>43.00043977999524</v>
          </cell>
          <cell r="X28">
            <v>921405.92718832416</v>
          </cell>
          <cell r="Y28">
            <v>59.780897483466397</v>
          </cell>
          <cell r="Z28">
            <v>0.19585749263807409</v>
          </cell>
          <cell r="AA28">
            <v>62283.468330892108</v>
          </cell>
          <cell r="AB28">
            <v>142402.60928416441</v>
          </cell>
          <cell r="AC28">
            <v>156.76672535806691</v>
          </cell>
          <cell r="AD28">
            <v>137.4851787676445</v>
          </cell>
          <cell r="AE28">
            <v>153.96270212348699</v>
          </cell>
          <cell r="AF28">
            <v>380.31156790892442</v>
          </cell>
          <cell r="AG28">
            <v>169.74517589538959</v>
          </cell>
          <cell r="AH28">
            <v>108.1806263107524</v>
          </cell>
          <cell r="AI28">
            <v>92.136956863941748</v>
          </cell>
          <cell r="AJ28">
            <v>152.87762209362421</v>
          </cell>
          <cell r="AK28">
            <v>109.3994185965374</v>
          </cell>
          <cell r="AL28">
            <v>190.66919711768361</v>
          </cell>
          <cell r="AM28">
            <v>194.24384962687091</v>
          </cell>
          <cell r="AN28">
            <v>185.3362939709869</v>
          </cell>
          <cell r="AO28">
            <v>165.3057840012824</v>
          </cell>
          <cell r="AP28">
            <v>165.36008280127109</v>
          </cell>
          <cell r="AQ28">
            <v>53.297545606504677</v>
          </cell>
          <cell r="AR28">
            <v>147.12449358018171</v>
          </cell>
          <cell r="AS28">
            <v>117.12688511983011</v>
          </cell>
          <cell r="AT28">
            <v>2901938.1070791078</v>
          </cell>
          <cell r="AX28">
            <v>147.36747626717491</v>
          </cell>
        </row>
        <row r="29">
          <cell r="B29">
            <v>41086.585587407928</v>
          </cell>
          <cell r="C29">
            <v>18206.07709279289</v>
          </cell>
          <cell r="D29">
            <v>46109.850090624823</v>
          </cell>
          <cell r="E29">
            <v>11460.84200568658</v>
          </cell>
          <cell r="F29">
            <v>1141490.538860339</v>
          </cell>
          <cell r="G29">
            <v>320.07294240281612</v>
          </cell>
          <cell r="H29">
            <v>415.13634637034812</v>
          </cell>
          <cell r="I29">
            <v>167.5451465033272</v>
          </cell>
          <cell r="J29">
            <v>6564.8541794659104</v>
          </cell>
          <cell r="K29">
            <v>33051.356882581982</v>
          </cell>
          <cell r="L29">
            <v>29516.506906023151</v>
          </cell>
          <cell r="M29">
            <v>0.49208348859993939</v>
          </cell>
          <cell r="N29">
            <v>2.1433913389053769</v>
          </cell>
          <cell r="O29">
            <v>1.8156741987886029</v>
          </cell>
          <cell r="P29">
            <v>11774.958076586099</v>
          </cell>
          <cell r="Q29">
            <v>11535.11487733483</v>
          </cell>
          <cell r="R29">
            <v>0.75697781697254429</v>
          </cell>
          <cell r="S29">
            <v>0.7418517885606456</v>
          </cell>
          <cell r="T29">
            <v>502516.82024957339</v>
          </cell>
          <cell r="U29">
            <v>31.95945261076869</v>
          </cell>
          <cell r="V29">
            <v>685176.7086521138</v>
          </cell>
          <cell r="W29">
            <v>43.90846694599086</v>
          </cell>
          <cell r="X29">
            <v>938917.17364673014</v>
          </cell>
          <cell r="Y29">
            <v>60.127873427939079</v>
          </cell>
          <cell r="Z29">
            <v>0.19080434647191299</v>
          </cell>
          <cell r="AA29">
            <v>64251.716846546493</v>
          </cell>
          <cell r="AB29">
            <v>148191.4986743202</v>
          </cell>
          <cell r="AC29">
            <v>161.4963443022896</v>
          </cell>
          <cell r="AD29">
            <v>144.462147140365</v>
          </cell>
          <cell r="AE29">
            <v>159.7924187232326</v>
          </cell>
          <cell r="AF29">
            <v>332.44847738742658</v>
          </cell>
          <cell r="AG29">
            <v>181.428650872144</v>
          </cell>
          <cell r="AH29">
            <v>105.6956412440363</v>
          </cell>
          <cell r="AI29">
            <v>93.739312311928117</v>
          </cell>
          <cell r="AJ29">
            <v>151.46725339068911</v>
          </cell>
          <cell r="AK29">
            <v>116.4006695562025</v>
          </cell>
          <cell r="AL29">
            <v>206.41632545678391</v>
          </cell>
          <cell r="AM29">
            <v>194.39960179956711</v>
          </cell>
          <cell r="AN29">
            <v>180.60463603396761</v>
          </cell>
          <cell r="AO29">
            <v>176.33106280437951</v>
          </cell>
          <cell r="AP29">
            <v>151.58062791659029</v>
          </cell>
          <cell r="AQ29">
            <v>55.644837773300623</v>
          </cell>
          <cell r="AR29">
            <v>143.98680848289521</v>
          </cell>
          <cell r="AS29">
            <v>116.4016865829921</v>
          </cell>
          <cell r="AT29">
            <v>3631390.8425173038</v>
          </cell>
          <cell r="AX29">
            <v>150.80668906020071</v>
          </cell>
        </row>
        <row r="30">
          <cell r="B30">
            <v>44654.966212478481</v>
          </cell>
          <cell r="C30">
            <v>18125.28332613728</v>
          </cell>
          <cell r="D30">
            <v>49087.42500292258</v>
          </cell>
          <cell r="E30">
            <v>12750.09853328399</v>
          </cell>
          <cell r="F30">
            <v>1014199.014274242</v>
          </cell>
          <cell r="G30">
            <v>333.31431957570982</v>
          </cell>
          <cell r="H30">
            <v>411.66699086231699</v>
          </cell>
          <cell r="I30">
            <v>161.2980163054043</v>
          </cell>
          <cell r="J30">
            <v>9081.489810799545</v>
          </cell>
          <cell r="K30">
            <v>33428.496384917657</v>
          </cell>
          <cell r="L30">
            <v>35294.283701112923</v>
          </cell>
          <cell r="M30">
            <v>0.56123799142306352</v>
          </cell>
          <cell r="N30">
            <v>2.103783985462627</v>
          </cell>
          <cell r="O30">
            <v>2.306694729966845</v>
          </cell>
          <cell r="P30">
            <v>11115.322383166569</v>
          </cell>
          <cell r="Q30">
            <v>11792.37992508376</v>
          </cell>
          <cell r="R30">
            <v>0.67465378001914356</v>
          </cell>
          <cell r="S30">
            <v>0.7364539092539012</v>
          </cell>
          <cell r="T30">
            <v>478303.98288935871</v>
          </cell>
          <cell r="U30">
            <v>29.386578279641689</v>
          </cell>
          <cell r="V30">
            <v>700569.72804483376</v>
          </cell>
          <cell r="W30">
            <v>44.195254762737768</v>
          </cell>
          <cell r="X30">
            <v>971708.08654998278</v>
          </cell>
          <cell r="Y30">
            <v>61.3863813843478</v>
          </cell>
          <cell r="Z30">
            <v>0.19608789864456891</v>
          </cell>
          <cell r="AA30">
            <v>56865.089651180613</v>
          </cell>
          <cell r="AB30">
            <v>138113.3761655243</v>
          </cell>
          <cell r="AC30">
            <v>153.7688446904632</v>
          </cell>
          <cell r="AD30">
            <v>133.83385532788239</v>
          </cell>
          <cell r="AE30">
            <v>153.99501006655061</v>
          </cell>
          <cell r="AF30">
            <v>343.18616018449819</v>
          </cell>
          <cell r="AG30">
            <v>165.7420401553733</v>
          </cell>
          <cell r="AH30">
            <v>104.8454266450883</v>
          </cell>
          <cell r="AI30">
            <v>90.266083261619983</v>
          </cell>
          <cell r="AJ30">
            <v>155.12095067422339</v>
          </cell>
          <cell r="AK30">
            <v>114.9532147592258</v>
          </cell>
          <cell r="AL30">
            <v>200.62968389711699</v>
          </cell>
          <cell r="AM30">
            <v>164.0284509877682</v>
          </cell>
          <cell r="AN30">
            <v>182.38351510825541</v>
          </cell>
          <cell r="AO30">
            <v>163.4154397186694</v>
          </cell>
          <cell r="AP30">
            <v>162.0519104173718</v>
          </cell>
          <cell r="AQ30">
            <v>59.694052354246132</v>
          </cell>
          <cell r="AR30">
            <v>140.11899369536999</v>
          </cell>
          <cell r="AS30">
            <v>116.7445512903243</v>
          </cell>
          <cell r="AT30">
            <v>2605207.0730632502</v>
          </cell>
          <cell r="AX30">
            <v>150.19053885507489</v>
          </cell>
        </row>
        <row r="31">
          <cell r="B31">
            <v>50723.66230392021</v>
          </cell>
          <cell r="C31">
            <v>18483.313004096221</v>
          </cell>
          <cell r="D31">
            <v>51600.06741142118</v>
          </cell>
          <cell r="E31">
            <v>14494.34754240491</v>
          </cell>
          <cell r="F31">
            <v>1102882.196669356</v>
          </cell>
          <cell r="G31">
            <v>326.15223055526019</v>
          </cell>
          <cell r="H31">
            <v>428.12923559173032</v>
          </cell>
          <cell r="I31">
            <v>167.8229180206325</v>
          </cell>
          <cell r="J31">
            <v>12321.46189282347</v>
          </cell>
          <cell r="K31">
            <v>34919.70792750227</v>
          </cell>
          <cell r="L31">
            <v>31463.546488406351</v>
          </cell>
          <cell r="M31">
            <v>0.78838154962895712</v>
          </cell>
          <cell r="N31">
            <v>2.1661774211297731</v>
          </cell>
          <cell r="O31">
            <v>1.979525901487694</v>
          </cell>
          <cell r="P31">
            <v>11957.42780129936</v>
          </cell>
          <cell r="Q31">
            <v>11641.61390494166</v>
          </cell>
          <cell r="R31">
            <v>0.72111132987113979</v>
          </cell>
          <cell r="S31">
            <v>0.70851791170761536</v>
          </cell>
          <cell r="T31">
            <v>507518.83711279242</v>
          </cell>
          <cell r="U31">
            <v>30.793253720109391</v>
          </cell>
          <cell r="V31">
            <v>718525.37888997991</v>
          </cell>
          <cell r="W31">
            <v>44.206000744049661</v>
          </cell>
          <cell r="X31">
            <v>986697.72919347673</v>
          </cell>
          <cell r="Y31">
            <v>61.107241568679306</v>
          </cell>
          <cell r="Z31">
            <v>0.2008457109310039</v>
          </cell>
          <cell r="AA31">
            <v>64632.038569229371</v>
          </cell>
          <cell r="AB31">
            <v>166853.5988162643</v>
          </cell>
          <cell r="AC31">
            <v>162.389753066488</v>
          </cell>
          <cell r="AD31">
            <v>142.93808486014109</v>
          </cell>
          <cell r="AE31">
            <v>160.9350703549124</v>
          </cell>
          <cell r="AF31">
            <v>388.49692731514159</v>
          </cell>
          <cell r="AG31">
            <v>181.0245607632271</v>
          </cell>
          <cell r="AH31">
            <v>100.9305703801661</v>
          </cell>
          <cell r="AI31">
            <v>90.486650483306136</v>
          </cell>
          <cell r="AJ31">
            <v>151.85347727254879</v>
          </cell>
          <cell r="AK31">
            <v>105.9201236852102</v>
          </cell>
          <cell r="AL31">
            <v>229.36448727074611</v>
          </cell>
          <cell r="AM31">
            <v>180.29137557255581</v>
          </cell>
          <cell r="AN31">
            <v>193.26896040112629</v>
          </cell>
          <cell r="AO31">
            <v>166.20502816585261</v>
          </cell>
          <cell r="AP31">
            <v>185.24744598893571</v>
          </cell>
          <cell r="AQ31">
            <v>57.308527477212849</v>
          </cell>
          <cell r="AR31">
            <v>142.83147009243871</v>
          </cell>
          <cell r="AS31">
            <v>117.1723094122581</v>
          </cell>
          <cell r="AT31">
            <v>3729705.8284588</v>
          </cell>
          <cell r="AX31">
            <v>154.64914757007961</v>
          </cell>
        </row>
        <row r="32">
          <cell r="B32">
            <v>42236.985366726192</v>
          </cell>
          <cell r="C32">
            <v>28203.874746470541</v>
          </cell>
          <cell r="D32">
            <v>53880.321144746093</v>
          </cell>
          <cell r="E32">
            <v>13843.519712465861</v>
          </cell>
          <cell r="F32">
            <v>1063786.4495824641</v>
          </cell>
          <cell r="G32">
            <v>333.51712031388581</v>
          </cell>
          <cell r="H32">
            <v>420.4330343609692</v>
          </cell>
          <cell r="I32">
            <v>166.41645945421951</v>
          </cell>
          <cell r="J32">
            <v>11462.87925230878</v>
          </cell>
          <cell r="K32">
            <v>36199.567886832992</v>
          </cell>
          <cell r="L32">
            <v>32596.235956660748</v>
          </cell>
          <cell r="M32">
            <v>0.68248181149736831</v>
          </cell>
          <cell r="N32">
            <v>2.1762957315618849</v>
          </cell>
          <cell r="O32">
            <v>1.958554450167979</v>
          </cell>
          <cell r="P32">
            <v>11473.25423871048</v>
          </cell>
          <cell r="Q32">
            <v>11782.05890170784</v>
          </cell>
          <cell r="R32">
            <v>0.67911868369155126</v>
          </cell>
          <cell r="S32">
            <v>0.70379453469462494</v>
          </cell>
          <cell r="T32">
            <v>474907.70946609607</v>
          </cell>
          <cell r="U32">
            <v>28.298118066067541</v>
          </cell>
          <cell r="V32">
            <v>739937.81526721432</v>
          </cell>
          <cell r="W32">
            <v>44.770790409078337</v>
          </cell>
          <cell r="X32">
            <v>1018776.8046807389</v>
          </cell>
          <cell r="Y32">
            <v>61.440698430183659</v>
          </cell>
          <cell r="Z32">
            <v>0.20857488362938481</v>
          </cell>
          <cell r="AA32">
            <v>61647.72615594697</v>
          </cell>
          <cell r="AB32">
            <v>154120.15089789551</v>
          </cell>
          <cell r="AC32">
            <v>165.69575375471291</v>
          </cell>
          <cell r="AD32">
            <v>131.81658399017201</v>
          </cell>
          <cell r="AE32">
            <v>158.1226696159261</v>
          </cell>
          <cell r="AF32">
            <v>363.16873029218459</v>
          </cell>
          <cell r="AG32">
            <v>181.93201109986401</v>
          </cell>
          <cell r="AH32">
            <v>107.8368573223575</v>
          </cell>
          <cell r="AI32">
            <v>90.133690715530676</v>
          </cell>
          <cell r="AJ32">
            <v>153.95512907131899</v>
          </cell>
          <cell r="AK32">
            <v>114.5041341748481</v>
          </cell>
          <cell r="AL32">
            <v>208.79133578695379</v>
          </cell>
          <cell r="AM32">
            <v>182.46492141928979</v>
          </cell>
          <cell r="AN32">
            <v>183.3260709338534</v>
          </cell>
          <cell r="AO32">
            <v>162.97664602960529</v>
          </cell>
          <cell r="AP32">
            <v>156.121480811992</v>
          </cell>
          <cell r="AQ32">
            <v>56.271968708518607</v>
          </cell>
          <cell r="AR32">
            <v>142.97030387225891</v>
          </cell>
          <cell r="AS32">
            <v>116.9892565892012</v>
          </cell>
          <cell r="AT32">
            <v>4070498.3890113798</v>
          </cell>
          <cell r="AX32">
            <v>150.8660956248456</v>
          </cell>
        </row>
        <row r="33">
          <cell r="B33">
            <v>42232.483544486153</v>
          </cell>
          <cell r="C33">
            <v>20260.128922126911</v>
          </cell>
          <cell r="D33">
            <v>50926.360438205447</v>
          </cell>
          <cell r="E33">
            <v>13094.414956568649</v>
          </cell>
          <cell r="F33">
            <v>903711.69545819284</v>
          </cell>
          <cell r="G33">
            <v>360.07339525987328</v>
          </cell>
          <cell r="H33">
            <v>422.91739143061909</v>
          </cell>
          <cell r="I33">
            <v>166.71567238245831</v>
          </cell>
          <cell r="J33">
            <v>9395.1746991415621</v>
          </cell>
          <cell r="K33">
            <v>37959.908600434697</v>
          </cell>
          <cell r="L33">
            <v>32645.753409566849</v>
          </cell>
          <cell r="M33">
            <v>0.53372738443667378</v>
          </cell>
          <cell r="N33">
            <v>2.2479816360009499</v>
          </cell>
          <cell r="O33">
            <v>1.898285600263353</v>
          </cell>
          <cell r="P33">
            <v>11145.185307726601</v>
          </cell>
          <cell r="Q33">
            <v>11381.52173927351</v>
          </cell>
          <cell r="R33">
            <v>0.67438954758561132</v>
          </cell>
          <cell r="S33">
            <v>0.66274360182071357</v>
          </cell>
          <cell r="T33">
            <v>460334.10325803701</v>
          </cell>
          <cell r="U33">
            <v>27.711865938346929</v>
          </cell>
          <cell r="V33">
            <v>757406.94472055545</v>
          </cell>
          <cell r="W33">
            <v>44.736278500033237</v>
          </cell>
          <cell r="X33">
            <v>1036787.3486475589</v>
          </cell>
          <cell r="Y33">
            <v>61.387864087420503</v>
          </cell>
          <cell r="Z33">
            <v>0.21477370897786299</v>
          </cell>
          <cell r="AA33">
            <v>57069.685414700041</v>
          </cell>
          <cell r="AB33">
            <v>140521.3372258078</v>
          </cell>
          <cell r="AC33">
            <v>159.61227383464831</v>
          </cell>
          <cell r="AD33">
            <v>125.4742548390451</v>
          </cell>
          <cell r="AE33">
            <v>158.8415939972291</v>
          </cell>
          <cell r="AF33">
            <v>334.29699565837763</v>
          </cell>
          <cell r="AG33">
            <v>176.02033460431699</v>
          </cell>
          <cell r="AH33">
            <v>100.0529595332537</v>
          </cell>
          <cell r="AI33">
            <v>90.073158801798854</v>
          </cell>
          <cell r="AJ33">
            <v>151.40728971600689</v>
          </cell>
          <cell r="AK33">
            <v>109.0884973867042</v>
          </cell>
          <cell r="AL33">
            <v>207.50161663681919</v>
          </cell>
          <cell r="AM33">
            <v>181.39608732957771</v>
          </cell>
          <cell r="AN33">
            <v>201.94643728633901</v>
          </cell>
          <cell r="AO33">
            <v>161.1576709690541</v>
          </cell>
          <cell r="AP33">
            <v>151.5225145431786</v>
          </cell>
          <cell r="AQ33">
            <v>54.770971084018917</v>
          </cell>
          <cell r="AR33">
            <v>140.4577753116647</v>
          </cell>
          <cell r="AS33">
            <v>117.1040507838848</v>
          </cell>
          <cell r="AT33">
            <v>3810464.355359544</v>
          </cell>
          <cell r="AX33">
            <v>147.9250942760284</v>
          </cell>
        </row>
        <row r="34">
          <cell r="B34">
            <v>45558.150909999771</v>
          </cell>
          <cell r="C34">
            <v>18957.30345773181</v>
          </cell>
          <cell r="D34">
            <v>53370.193060200938</v>
          </cell>
          <cell r="E34">
            <v>15451.09501904699</v>
          </cell>
          <cell r="F34">
            <v>1038711.4197274779</v>
          </cell>
          <cell r="G34">
            <v>318.07573865154092</v>
          </cell>
          <cell r="H34">
            <v>416.24008045433283</v>
          </cell>
          <cell r="I34">
            <v>166.56141535324531</v>
          </cell>
          <cell r="J34">
            <v>8402.2545329528875</v>
          </cell>
          <cell r="K34">
            <v>37796.740352568748</v>
          </cell>
          <cell r="L34">
            <v>32543.740292233721</v>
          </cell>
          <cell r="M34">
            <v>0.47702500532550368</v>
          </cell>
          <cell r="N34">
            <v>2.2024799740898091</v>
          </cell>
          <cell r="O34">
            <v>1.8818256336988199</v>
          </cell>
          <cell r="P34">
            <v>9207.1355284184683</v>
          </cell>
          <cell r="Q34">
            <v>10148.04605277305</v>
          </cell>
          <cell r="R34">
            <v>0.53983192422633997</v>
          </cell>
          <cell r="S34">
            <v>0.62105264233809931</v>
          </cell>
          <cell r="T34">
            <v>369437.01677797921</v>
          </cell>
          <cell r="U34">
            <v>21.272384950002781</v>
          </cell>
          <cell r="V34">
            <v>769887.58451233862</v>
          </cell>
          <cell r="W34">
            <v>44.742713494297192</v>
          </cell>
          <cell r="X34">
            <v>1062262.7740396659</v>
          </cell>
          <cell r="Y34">
            <v>61.278524578900573</v>
          </cell>
          <cell r="Z34">
            <v>0.22083849801800659</v>
          </cell>
          <cell r="AA34">
            <v>60142.426852472017</v>
          </cell>
          <cell r="AB34">
            <v>153293.15384912939</v>
          </cell>
          <cell r="AC34">
            <v>163.5254626377133</v>
          </cell>
          <cell r="AD34">
            <v>129.2953306311035</v>
          </cell>
          <cell r="AE34">
            <v>157.30404582321071</v>
          </cell>
          <cell r="AF34">
            <v>353.58153221409918</v>
          </cell>
          <cell r="AG34">
            <v>182.16717455434559</v>
          </cell>
          <cell r="AH34">
            <v>102.8485437481196</v>
          </cell>
          <cell r="AI34">
            <v>90.551077853083058</v>
          </cell>
          <cell r="AJ34">
            <v>152.98073849028179</v>
          </cell>
          <cell r="AK34">
            <v>103.86676397768289</v>
          </cell>
          <cell r="AL34">
            <v>203.5625172735173</v>
          </cell>
          <cell r="AM34">
            <v>196.46982827608321</v>
          </cell>
          <cell r="AN34">
            <v>186.70762422374111</v>
          </cell>
          <cell r="AO34">
            <v>155.16440748426359</v>
          </cell>
          <cell r="AP34">
            <v>162.30313771698869</v>
          </cell>
          <cell r="AQ34">
            <v>53.84482926262401</v>
          </cell>
          <cell r="AR34">
            <v>137.55628936901451</v>
          </cell>
          <cell r="AS34">
            <v>118.6315270688812</v>
          </cell>
          <cell r="AT34">
            <v>3653712.9736549752</v>
          </cell>
          <cell r="AX34">
            <v>148.7623695360173</v>
          </cell>
        </row>
        <row r="35">
          <cell r="B35">
            <v>38535.326917154023</v>
          </cell>
          <cell r="C35">
            <v>14331.023726691141</v>
          </cell>
          <cell r="D35">
            <v>52953.162665431249</v>
          </cell>
          <cell r="E35">
            <v>13714.88481560591</v>
          </cell>
          <cell r="F35">
            <v>992737.11810849095</v>
          </cell>
          <cell r="G35">
            <v>321.83599811034992</v>
          </cell>
          <cell r="H35">
            <v>420.55273884961332</v>
          </cell>
          <cell r="I35">
            <v>163.8651976737863</v>
          </cell>
          <cell r="J35">
            <v>9280.7643524830437</v>
          </cell>
          <cell r="K35">
            <v>39504.536910172239</v>
          </cell>
          <cell r="L35">
            <v>34208.367778246124</v>
          </cell>
          <cell r="M35">
            <v>0.51877117975926834</v>
          </cell>
          <cell r="N35">
            <v>2.2354882571724191</v>
          </cell>
          <cell r="O35">
            <v>1.910589768827369</v>
          </cell>
          <cell r="P35">
            <v>11604.08315262637</v>
          </cell>
          <cell r="Q35">
            <v>10524.23561083061</v>
          </cell>
          <cell r="R35">
            <v>0.68257467655890525</v>
          </cell>
          <cell r="S35">
            <v>0.5855086265338868</v>
          </cell>
          <cell r="T35">
            <v>459074.13892217918</v>
          </cell>
          <cell r="U35">
            <v>27.324014431965111</v>
          </cell>
          <cell r="V35">
            <v>791822.29751771025</v>
          </cell>
          <cell r="W35">
            <v>44.578763924595989</v>
          </cell>
          <cell r="X35">
            <v>1089251.1022785341</v>
          </cell>
          <cell r="Y35">
            <v>61.298986278910682</v>
          </cell>
          <cell r="Z35">
            <v>0.22836785121913031</v>
          </cell>
          <cell r="AA35">
            <v>59042.584175965727</v>
          </cell>
          <cell r="AB35">
            <v>148782.87005079639</v>
          </cell>
          <cell r="AC35">
            <v>158.45480392986059</v>
          </cell>
          <cell r="AD35">
            <v>122.0821127465111</v>
          </cell>
          <cell r="AE35">
            <v>162.98064414704831</v>
          </cell>
          <cell r="AF35">
            <v>281.06314098179843</v>
          </cell>
          <cell r="AG35">
            <v>173.46027687475009</v>
          </cell>
          <cell r="AH35">
            <v>101.9076499702186</v>
          </cell>
          <cell r="AI35">
            <v>90.274931501045188</v>
          </cell>
          <cell r="AJ35">
            <v>152.38762787051411</v>
          </cell>
          <cell r="AK35">
            <v>108.1064883608268</v>
          </cell>
          <cell r="AL35">
            <v>222.22123876450851</v>
          </cell>
          <cell r="AM35">
            <v>194.32825626239719</v>
          </cell>
          <cell r="AN35">
            <v>192.0615441519094</v>
          </cell>
          <cell r="AO35">
            <v>161.7302862967029</v>
          </cell>
          <cell r="AP35">
            <v>138.59174980355399</v>
          </cell>
          <cell r="AQ35">
            <v>52.080385962833937</v>
          </cell>
          <cell r="AR35">
            <v>141.70989200417739</v>
          </cell>
          <cell r="AS35">
            <v>120.02522011581419</v>
          </cell>
          <cell r="AT35">
            <v>3782160.4768900918</v>
          </cell>
          <cell r="AX35">
            <v>148.29275797985741</v>
          </cell>
        </row>
        <row r="36">
          <cell r="B36">
            <v>40540.856476093497</v>
          </cell>
          <cell r="C36">
            <v>16424.329798879749</v>
          </cell>
          <cell r="D36">
            <v>52283.602889864524</v>
          </cell>
          <cell r="E36">
            <v>14250.90826310792</v>
          </cell>
          <cell r="F36">
            <v>938406.44432135113</v>
          </cell>
          <cell r="G36">
            <v>315.58190139510901</v>
          </cell>
          <cell r="H36">
            <v>403.48374619287728</v>
          </cell>
          <cell r="I36">
            <v>156.9936274038119</v>
          </cell>
          <cell r="J36">
            <v>8624.7450078707934</v>
          </cell>
          <cell r="K36">
            <v>39461.018576379087</v>
          </cell>
          <cell r="L36">
            <v>34495.130759664513</v>
          </cell>
          <cell r="M36">
            <v>0.48166349955250293</v>
          </cell>
          <cell r="N36">
            <v>2.21326470944916</v>
          </cell>
          <cell r="O36">
            <v>1.8832061011831049</v>
          </cell>
          <cell r="P36">
            <v>12687.302062823999</v>
          </cell>
          <cell r="Q36">
            <v>12666.55269203177</v>
          </cell>
          <cell r="R36">
            <v>0.68371030335751537</v>
          </cell>
          <cell r="S36">
            <v>0.69125125984134994</v>
          </cell>
          <cell r="T36">
            <v>520406.03494537668</v>
          </cell>
          <cell r="U36">
            <v>28.19634861519032</v>
          </cell>
          <cell r="V36">
            <v>810226.9709043547</v>
          </cell>
          <cell r="W36">
            <v>44.695784257547317</v>
          </cell>
          <cell r="X36">
            <v>1126493.377445902</v>
          </cell>
          <cell r="Y36">
            <v>62.303015766901737</v>
          </cell>
          <cell r="Z36">
            <v>0.24482147863391149</v>
          </cell>
          <cell r="AA36">
            <v>57631.89063458224</v>
          </cell>
          <cell r="AB36">
            <v>143975.5984562941</v>
          </cell>
          <cell r="AC36">
            <v>157.38255190764511</v>
          </cell>
          <cell r="AD36">
            <v>131.42272289749491</v>
          </cell>
          <cell r="AE36">
            <v>157.89512323188839</v>
          </cell>
          <cell r="AF36">
            <v>291.83596241893321</v>
          </cell>
          <cell r="AG36">
            <v>171.76662220722761</v>
          </cell>
          <cell r="AH36">
            <v>103.2113435793879</v>
          </cell>
          <cell r="AI36">
            <v>90.218286952062016</v>
          </cell>
          <cell r="AJ36">
            <v>155.647183511164</v>
          </cell>
          <cell r="AK36">
            <v>108.37464148606919</v>
          </cell>
          <cell r="AL36">
            <v>211.0083933678942</v>
          </cell>
          <cell r="AM36">
            <v>185.30660769587209</v>
          </cell>
          <cell r="AN36">
            <v>178.90103156923931</v>
          </cell>
          <cell r="AO36">
            <v>157.24195215692049</v>
          </cell>
          <cell r="AP36">
            <v>145.22134887038001</v>
          </cell>
          <cell r="AQ36">
            <v>58.881637683362371</v>
          </cell>
          <cell r="AR36">
            <v>141.7804276689304</v>
          </cell>
          <cell r="AS36">
            <v>119.7784645998302</v>
          </cell>
          <cell r="AT36">
            <v>3187662.2513344861</v>
          </cell>
          <cell r="AX36">
            <v>148.11903660389939</v>
          </cell>
        </row>
        <row r="37">
          <cell r="B37">
            <v>40955.440719732891</v>
          </cell>
          <cell r="C37">
            <v>14764.40593004093</v>
          </cell>
          <cell r="D37">
            <v>29866.313229479521</v>
          </cell>
          <cell r="E37">
            <v>8111.810355847444</v>
          </cell>
          <cell r="F37">
            <v>972242.13273090438</v>
          </cell>
          <cell r="G37">
            <v>310.4546127349634</v>
          </cell>
          <cell r="H37">
            <v>411.37525615813507</v>
          </cell>
          <cell r="I37">
            <v>162.93340007178799</v>
          </cell>
          <cell r="J37">
            <v>10763.20681505024</v>
          </cell>
          <cell r="K37">
            <v>43315.713463531909</v>
          </cell>
          <cell r="L37">
            <v>36690.044106233108</v>
          </cell>
          <cell r="M37">
            <v>0.58500616188254206</v>
          </cell>
          <cell r="N37">
            <v>2.372025970399346</v>
          </cell>
          <cell r="O37">
            <v>2.0441864857816592</v>
          </cell>
          <cell r="P37">
            <v>12156.02949073936</v>
          </cell>
          <cell r="Q37">
            <v>12676.85152572279</v>
          </cell>
          <cell r="R37">
            <v>0.68692295686701432</v>
          </cell>
          <cell r="S37">
            <v>0.69075907427601846</v>
          </cell>
          <cell r="T37">
            <v>493133.23069815949</v>
          </cell>
          <cell r="U37">
            <v>28.15943474197822</v>
          </cell>
          <cell r="V37">
            <v>823335.27887451521</v>
          </cell>
          <cell r="W37">
            <v>45.258425207777769</v>
          </cell>
          <cell r="X37">
            <v>1057053.483443433</v>
          </cell>
          <cell r="Y37">
            <v>58.410830943718302</v>
          </cell>
          <cell r="Z37">
            <v>0.27437828991376878</v>
          </cell>
          <cell r="AA37">
            <v>59722.334850642677</v>
          </cell>
          <cell r="AB37">
            <v>143577.88806895501</v>
          </cell>
          <cell r="AC37">
            <v>159.48169523443579</v>
          </cell>
          <cell r="AD37">
            <v>130.36537100955809</v>
          </cell>
          <cell r="AE37">
            <v>154.42626546555951</v>
          </cell>
          <cell r="AF37">
            <v>299.51858222937568</v>
          </cell>
          <cell r="AG37">
            <v>172.920350696659</v>
          </cell>
          <cell r="AH37">
            <v>113.3692938061434</v>
          </cell>
          <cell r="AI37">
            <v>89.550776757838221</v>
          </cell>
          <cell r="AJ37">
            <v>156.69054487425001</v>
          </cell>
          <cell r="AK37">
            <v>107.30765026546329</v>
          </cell>
          <cell r="AL37">
            <v>203.2597404290679</v>
          </cell>
          <cell r="AM37">
            <v>186.50198176315061</v>
          </cell>
          <cell r="AN37">
            <v>179.60416880590981</v>
          </cell>
          <cell r="AO37">
            <v>158.9421166715093</v>
          </cell>
          <cell r="AP37">
            <v>146.46062471000951</v>
          </cell>
          <cell r="AQ37">
            <v>53.310526232348693</v>
          </cell>
          <cell r="AR37">
            <v>136.2124526862284</v>
          </cell>
          <cell r="AS37">
            <v>115.0564795826195</v>
          </cell>
          <cell r="AT37">
            <v>3618658.049743637</v>
          </cell>
          <cell r="AX37">
            <v>146.68008916538611</v>
          </cell>
        </row>
        <row r="38">
          <cell r="B38">
            <v>38826.642434004752</v>
          </cell>
          <cell r="C38">
            <v>15406.489491050281</v>
          </cell>
          <cell r="D38">
            <v>62899.041200633568</v>
          </cell>
          <cell r="E38">
            <v>16791.951939661201</v>
          </cell>
          <cell r="F38">
            <v>923876.81056973571</v>
          </cell>
          <cell r="G38">
            <v>275.55705382803347</v>
          </cell>
          <cell r="H38">
            <v>387.87882891471992</v>
          </cell>
          <cell r="I38">
            <v>154.23740365445079</v>
          </cell>
          <cell r="J38">
            <v>9856.1310675360237</v>
          </cell>
          <cell r="K38">
            <v>42373.330923879374</v>
          </cell>
          <cell r="L38">
            <v>38920.970523147007</v>
          </cell>
          <cell r="M38">
            <v>0.53289157002279586</v>
          </cell>
          <cell r="N38">
            <v>2.32402371435641</v>
          </cell>
          <cell r="O38">
            <v>2.21261543090294</v>
          </cell>
          <cell r="P38">
            <v>11569.107882273051</v>
          </cell>
          <cell r="Q38">
            <v>11069.61140809033</v>
          </cell>
          <cell r="R38">
            <v>0.64527506046977179</v>
          </cell>
          <cell r="S38">
            <v>0.62217090674611442</v>
          </cell>
          <cell r="T38">
            <v>485203.27563624288</v>
          </cell>
          <cell r="U38">
            <v>26.326940714374771</v>
          </cell>
          <cell r="V38">
            <v>824924.41615910409</v>
          </cell>
          <cell r="W38">
            <v>44.771994746020653</v>
          </cell>
          <cell r="X38">
            <v>1121515.1343186439</v>
          </cell>
          <cell r="Y38">
            <v>60.798946541911377</v>
          </cell>
          <cell r="Z38">
            <v>0.26659725195292638</v>
          </cell>
          <cell r="AA38">
            <v>53879.38235287281</v>
          </cell>
          <cell r="AB38">
            <v>125060.37620580191</v>
          </cell>
          <cell r="AC38">
            <v>155.97840733565531</v>
          </cell>
          <cell r="AD38">
            <v>114.4073772798467</v>
          </cell>
          <cell r="AE38">
            <v>152.18173108996899</v>
          </cell>
          <cell r="AF38">
            <v>337.91086556838587</v>
          </cell>
          <cell r="AG38">
            <v>170.20454991796581</v>
          </cell>
          <cell r="AH38">
            <v>98.67121246966893</v>
          </cell>
          <cell r="AI38">
            <v>92.054265207629854</v>
          </cell>
          <cell r="AJ38">
            <v>160.8207108285674</v>
          </cell>
          <cell r="AK38">
            <v>105.42799495391201</v>
          </cell>
          <cell r="AL38">
            <v>201.56045074200739</v>
          </cell>
          <cell r="AM38">
            <v>183.6427929367039</v>
          </cell>
          <cell r="AN38">
            <v>177.94012691294751</v>
          </cell>
          <cell r="AO38">
            <v>151.97754479649851</v>
          </cell>
          <cell r="AP38">
            <v>139.1198818020267</v>
          </cell>
          <cell r="AQ38">
            <v>52.902700592665113</v>
          </cell>
          <cell r="AR38">
            <v>136.77200386489221</v>
          </cell>
          <cell r="AS38">
            <v>112.8382562762413</v>
          </cell>
          <cell r="AT38">
            <v>4642993.8344963798</v>
          </cell>
          <cell r="AX38">
            <v>145.79624982443909</v>
          </cell>
        </row>
        <row r="39">
          <cell r="B39">
            <v>37866.049040639024</v>
          </cell>
          <cell r="C39">
            <v>16154.79712420207</v>
          </cell>
          <cell r="D39">
            <v>56749.676335838303</v>
          </cell>
          <cell r="E39">
            <v>15308.035427551849</v>
          </cell>
          <cell r="F39">
            <v>936700.58201650716</v>
          </cell>
          <cell r="G39">
            <v>271.87056116596</v>
          </cell>
          <cell r="H39">
            <v>385.67297905527522</v>
          </cell>
          <cell r="I39">
            <v>164.50836982844001</v>
          </cell>
          <cell r="J39">
            <v>10796.51793721926</v>
          </cell>
          <cell r="K39">
            <v>43652.665839181987</v>
          </cell>
          <cell r="L39">
            <v>34781.009771268029</v>
          </cell>
          <cell r="M39">
            <v>0.56255411117320908</v>
          </cell>
          <cell r="N39">
            <v>2.319264164410439</v>
          </cell>
          <cell r="O39">
            <v>1.7952368616270951</v>
          </cell>
          <cell r="P39">
            <v>13077.726695150221</v>
          </cell>
          <cell r="Q39">
            <v>11878.922002869151</v>
          </cell>
          <cell r="R39">
            <v>0.71031268214808674</v>
          </cell>
          <cell r="S39">
            <v>0.6417632275835905</v>
          </cell>
          <cell r="T39">
            <v>544545.46824875497</v>
          </cell>
          <cell r="U39">
            <v>29.329310067511042</v>
          </cell>
          <cell r="V39">
            <v>839252.89942733827</v>
          </cell>
          <cell r="W39">
            <v>44.621627855176293</v>
          </cell>
          <cell r="X39">
            <v>1149075.9793074799</v>
          </cell>
          <cell r="Y39">
            <v>61.014422796809519</v>
          </cell>
          <cell r="Z39">
            <v>0.26153991126165937</v>
          </cell>
          <cell r="AA39">
            <v>57549.071193036172</v>
          </cell>
          <cell r="AB39">
            <v>128983.1338335953</v>
          </cell>
          <cell r="AC39">
            <v>160.1652446325823</v>
          </cell>
          <cell r="AD39">
            <v>140.60597982371149</v>
          </cell>
          <cell r="AE39">
            <v>158.05878943742229</v>
          </cell>
          <cell r="AF39">
            <v>338.74220500434052</v>
          </cell>
          <cell r="AG39">
            <v>177.25246138910731</v>
          </cell>
          <cell r="AH39">
            <v>101.219488342726</v>
          </cell>
          <cell r="AI39">
            <v>91.778134528304392</v>
          </cell>
          <cell r="AJ39">
            <v>159.67018434426831</v>
          </cell>
          <cell r="AK39">
            <v>110.4544306784891</v>
          </cell>
          <cell r="AL39">
            <v>211.25237003842051</v>
          </cell>
          <cell r="AM39">
            <v>184.81251150039861</v>
          </cell>
          <cell r="AN39">
            <v>176.57087222537911</v>
          </cell>
          <cell r="AO39">
            <v>154.7585636064828</v>
          </cell>
          <cell r="AP39">
            <v>135.60448185076439</v>
          </cell>
          <cell r="AQ39">
            <v>47.770417871400703</v>
          </cell>
          <cell r="AR39">
            <v>133.88732803242539</v>
          </cell>
          <cell r="AS39">
            <v>112.78709484248461</v>
          </cell>
          <cell r="AT39">
            <v>4351214.1899805134</v>
          </cell>
          <cell r="AX39">
            <v>147.52737315189631</v>
          </cell>
        </row>
        <row r="40">
          <cell r="B40">
            <v>42419.158332144929</v>
          </cell>
          <cell r="C40">
            <v>14762.778498206389</v>
          </cell>
          <cell r="D40">
            <v>60152.679217810502</v>
          </cell>
          <cell r="E40">
            <v>15986.622492177559</v>
          </cell>
          <cell r="F40">
            <v>897568.35496275243</v>
          </cell>
          <cell r="G40">
            <v>272.96531435772681</v>
          </cell>
          <cell r="H40">
            <v>300.88018513315433</v>
          </cell>
          <cell r="I40">
            <v>139.3969118557257</v>
          </cell>
          <cell r="J40">
            <v>11868.51692032674</v>
          </cell>
          <cell r="K40">
            <v>46654.239969471957</v>
          </cell>
          <cell r="L40">
            <v>33040.706355835413</v>
          </cell>
          <cell r="M40">
            <v>0.61739339521106174</v>
          </cell>
          <cell r="N40">
            <v>2.3582409499419499</v>
          </cell>
          <cell r="O40">
            <v>1.715761454180216</v>
          </cell>
          <cell r="P40">
            <v>12877.414410974559</v>
          </cell>
          <cell r="Q40">
            <v>12787.81922085804</v>
          </cell>
          <cell r="R40">
            <v>0.68010351965677995</v>
          </cell>
          <cell r="S40">
            <v>0.68252617815913108</v>
          </cell>
          <cell r="T40">
            <v>542835.94018482638</v>
          </cell>
          <cell r="U40">
            <v>28.778382894979291</v>
          </cell>
          <cell r="V40">
            <v>852463.29556397069</v>
          </cell>
          <cell r="W40">
            <v>44.704256104524148</v>
          </cell>
          <cell r="X40">
            <v>1147246.8042418601</v>
          </cell>
          <cell r="Y40">
            <v>60.216223116218053</v>
          </cell>
          <cell r="Z40">
            <v>0.29006463488229928</v>
          </cell>
          <cell r="AA40">
            <v>58906.285754909281</v>
          </cell>
          <cell r="AB40">
            <v>131475.4042227109</v>
          </cell>
          <cell r="AC40">
            <v>156.2185406563872</v>
          </cell>
          <cell r="AD40">
            <v>125.79547758177149</v>
          </cell>
          <cell r="AE40">
            <v>151.72106019484869</v>
          </cell>
          <cell r="AF40">
            <v>352.33919081579199</v>
          </cell>
          <cell r="AG40">
            <v>171.82270390502009</v>
          </cell>
          <cell r="AH40">
            <v>97.62184652421999</v>
          </cell>
          <cell r="AI40">
            <v>92.869226097746932</v>
          </cell>
          <cell r="AJ40">
            <v>148.58029898643909</v>
          </cell>
          <cell r="AK40">
            <v>104.7663333918975</v>
          </cell>
          <cell r="AL40">
            <v>200.73791812838601</v>
          </cell>
          <cell r="AM40">
            <v>175.48389272890469</v>
          </cell>
          <cell r="AN40">
            <v>153.82745249996461</v>
          </cell>
          <cell r="AO40">
            <v>153.3344916509599</v>
          </cell>
          <cell r="AP40">
            <v>152.35927647426419</v>
          </cell>
          <cell r="AQ40">
            <v>48.65781435113842</v>
          </cell>
          <cell r="AR40">
            <v>133.11975329820339</v>
          </cell>
          <cell r="AS40">
            <v>111.17936212670681</v>
          </cell>
          <cell r="AT40">
            <v>3627566.6662890529</v>
          </cell>
          <cell r="AX40">
            <v>146.58702971218869</v>
          </cell>
        </row>
        <row r="41">
          <cell r="B41">
            <v>41902.612448619882</v>
          </cell>
          <cell r="C41">
            <v>18839.35325093041</v>
          </cell>
          <cell r="D41">
            <v>62669.202642375232</v>
          </cell>
          <cell r="E41">
            <v>16980.255986182681</v>
          </cell>
          <cell r="F41">
            <v>885422.29377032653</v>
          </cell>
          <cell r="G41">
            <v>255.22512793011069</v>
          </cell>
          <cell r="H41">
            <v>343.37644685017852</v>
          </cell>
          <cell r="I41">
            <v>144.1676154303355</v>
          </cell>
          <cell r="J41">
            <v>13085.85181980913</v>
          </cell>
          <cell r="K41">
            <v>47208.826762127341</v>
          </cell>
          <cell r="L41">
            <v>34190.087400611468</v>
          </cell>
          <cell r="M41">
            <v>0.74116597918612392</v>
          </cell>
          <cell r="N41">
            <v>2.454109397696278</v>
          </cell>
          <cell r="O41">
            <v>1.7018826196678949</v>
          </cell>
          <cell r="P41">
            <v>13418.1011501309</v>
          </cell>
          <cell r="Q41">
            <v>12794.482959249921</v>
          </cell>
          <cell r="R41">
            <v>0.6973287533903012</v>
          </cell>
          <cell r="S41">
            <v>0.6633507655362807</v>
          </cell>
          <cell r="T41">
            <v>573433.62371452118</v>
          </cell>
          <cell r="U41">
            <v>29.552826113664111</v>
          </cell>
          <cell r="V41">
            <v>857380.69527559157</v>
          </cell>
          <cell r="W41">
            <v>44.345596906760697</v>
          </cell>
          <cell r="X41">
            <v>1168958.4887400051</v>
          </cell>
          <cell r="Y41">
            <v>60.345831181290983</v>
          </cell>
          <cell r="Z41">
            <v>0.29116423783884637</v>
          </cell>
          <cell r="AA41">
            <v>57793.492504379567</v>
          </cell>
          <cell r="AB41">
            <v>132497.59274183869</v>
          </cell>
          <cell r="AC41">
            <v>152.8033929243949</v>
          </cell>
          <cell r="AD41">
            <v>121.66646736640099</v>
          </cell>
          <cell r="AE41">
            <v>150.4577342469691</v>
          </cell>
          <cell r="AF41">
            <v>373.41308872562939</v>
          </cell>
          <cell r="AG41">
            <v>168.79003018314981</v>
          </cell>
          <cell r="AH41">
            <v>111.4918340980407</v>
          </cell>
          <cell r="AI41">
            <v>90.957858576618193</v>
          </cell>
          <cell r="AJ41">
            <v>151.50058127245899</v>
          </cell>
          <cell r="AK41">
            <v>105.0893111963303</v>
          </cell>
          <cell r="AL41">
            <v>202.09591155915231</v>
          </cell>
          <cell r="AM41">
            <v>173.59890445836291</v>
          </cell>
          <cell r="AN41">
            <v>162.15609111524751</v>
          </cell>
          <cell r="AO41">
            <v>156.66896600364791</v>
          </cell>
          <cell r="AP41">
            <v>152.3834459171394</v>
          </cell>
          <cell r="AQ41">
            <v>44.695048675344673</v>
          </cell>
          <cell r="AR41">
            <v>130.6317698209582</v>
          </cell>
          <cell r="AS41">
            <v>114.02515483302361</v>
          </cell>
          <cell r="AT41">
            <v>3234065.732810121</v>
          </cell>
          <cell r="AX41">
            <v>147.02116737747039</v>
          </cell>
        </row>
        <row r="42">
          <cell r="B42">
            <v>37731.129784725017</v>
          </cell>
          <cell r="C42">
            <v>16283.41231731629</v>
          </cell>
          <cell r="D42">
            <v>57633.143928623977</v>
          </cell>
          <cell r="E42">
            <v>16822.84574266916</v>
          </cell>
          <cell r="F42">
            <v>913536.11470001715</v>
          </cell>
          <cell r="G42">
            <v>251.6989950813153</v>
          </cell>
          <cell r="H42">
            <v>374.61057901625742</v>
          </cell>
          <cell r="I42">
            <v>154.2899414800373</v>
          </cell>
          <cell r="J42">
            <v>10686.1653693399</v>
          </cell>
          <cell r="K42">
            <v>47022.545159718567</v>
          </cell>
          <cell r="L42">
            <v>33413.02554484061</v>
          </cell>
          <cell r="M42">
            <v>0.52175909436860213</v>
          </cell>
          <cell r="N42">
            <v>2.3564424458855129</v>
          </cell>
          <cell r="O42">
            <v>1.7676498534874741</v>
          </cell>
          <cell r="P42">
            <v>13156.290596680201</v>
          </cell>
          <cell r="Q42">
            <v>12992.02950934798</v>
          </cell>
          <cell r="R42">
            <v>0.6265831599212659</v>
          </cell>
          <cell r="S42">
            <v>0.64171221897025221</v>
          </cell>
          <cell r="T42">
            <v>562235.40601705865</v>
          </cell>
          <cell r="U42">
            <v>27.12830522487295</v>
          </cell>
          <cell r="V42">
            <v>880208.43013858027</v>
          </cell>
          <cell r="W42">
            <v>44.296849788304563</v>
          </cell>
          <cell r="X42">
            <v>1198634.315640534</v>
          </cell>
          <cell r="Y42">
            <v>60.355149994963242</v>
          </cell>
          <cell r="Z42">
            <v>0.30510904786263232</v>
          </cell>
          <cell r="AA42">
            <v>58309.165549457633</v>
          </cell>
          <cell r="AB42">
            <v>125173.0459785195</v>
          </cell>
          <cell r="AC42">
            <v>145.0349164511768</v>
          </cell>
          <cell r="AD42">
            <v>119.2401968718287</v>
          </cell>
          <cell r="AE42">
            <v>147.77702900902111</v>
          </cell>
          <cell r="AF42">
            <v>349.13733049796878</v>
          </cell>
          <cell r="AG42">
            <v>167.32444812279081</v>
          </cell>
          <cell r="AH42">
            <v>63.535765780090927</v>
          </cell>
          <cell r="AI42">
            <v>89.364536540695241</v>
          </cell>
          <cell r="AJ42">
            <v>147.2099179853877</v>
          </cell>
          <cell r="AK42">
            <v>104.5823464500978</v>
          </cell>
          <cell r="AL42">
            <v>188.44176276073571</v>
          </cell>
          <cell r="AM42">
            <v>184.82133221755331</v>
          </cell>
          <cell r="AN42">
            <v>170.51853636034329</v>
          </cell>
          <cell r="AO42">
            <v>153.27834584328289</v>
          </cell>
          <cell r="AP42">
            <v>135.55730594838059</v>
          </cell>
          <cell r="AQ42">
            <v>46.403756533320227</v>
          </cell>
          <cell r="AR42">
            <v>131.6492369245461</v>
          </cell>
          <cell r="AS42">
            <v>112.0900896245227</v>
          </cell>
          <cell r="AT42">
            <v>3445885.4561996851</v>
          </cell>
          <cell r="AX42">
            <v>145.51559756105999</v>
          </cell>
        </row>
        <row r="43">
          <cell r="B43">
            <v>38300.209312424107</v>
          </cell>
          <cell r="C43">
            <v>12889.695811938131</v>
          </cell>
          <cell r="D43">
            <v>57590.958263189532</v>
          </cell>
          <cell r="E43">
            <v>17253.49004859351</v>
          </cell>
          <cell r="F43">
            <v>897264.88355079864</v>
          </cell>
          <cell r="G43">
            <v>251.54289675396629</v>
          </cell>
          <cell r="H43">
            <v>365.42148474354411</v>
          </cell>
          <cell r="I43">
            <v>142.3984752465459</v>
          </cell>
          <cell r="J43">
            <v>8525.2866157480494</v>
          </cell>
          <cell r="K43">
            <v>48289.259577084798</v>
          </cell>
          <cell r="L43">
            <v>34065.311484436003</v>
          </cell>
          <cell r="M43">
            <v>0.43074188269939928</v>
          </cell>
          <cell r="N43">
            <v>2.3687985897473931</v>
          </cell>
          <cell r="O43">
            <v>1.6937073800016109</v>
          </cell>
          <cell r="P43">
            <v>15192.63571799282</v>
          </cell>
          <cell r="Q43">
            <v>13874.478401560111</v>
          </cell>
          <cell r="R43">
            <v>0.71287908089942742</v>
          </cell>
          <cell r="S43">
            <v>0.66413865224027901</v>
          </cell>
          <cell r="T43">
            <v>644002.64120212209</v>
          </cell>
          <cell r="U43">
            <v>30.33571142388751</v>
          </cell>
          <cell r="V43">
            <v>892278.81363097508</v>
          </cell>
          <cell r="W43">
            <v>43.466967339969258</v>
          </cell>
          <cell r="X43">
            <v>1204534.313406708</v>
          </cell>
          <cell r="Y43">
            <v>59.275173813513717</v>
          </cell>
          <cell r="Z43">
            <v>0.28484644648518198</v>
          </cell>
          <cell r="AA43">
            <v>59908.26910598512</v>
          </cell>
          <cell r="AB43">
            <v>121943.04370380921</v>
          </cell>
          <cell r="AC43">
            <v>151.65822850164469</v>
          </cell>
          <cell r="AD43">
            <v>119.4840464539848</v>
          </cell>
          <cell r="AE43">
            <v>146.86017605955701</v>
          </cell>
          <cell r="AF43">
            <v>347.89479987164083</v>
          </cell>
          <cell r="AG43">
            <v>169.07122482299329</v>
          </cell>
          <cell r="AH43">
            <v>94.215349351481862</v>
          </cell>
          <cell r="AI43">
            <v>89.398229744244361</v>
          </cell>
          <cell r="AJ43">
            <v>149.22383819194059</v>
          </cell>
          <cell r="AK43">
            <v>105.42169886539629</v>
          </cell>
          <cell r="AL43">
            <v>191.81009851042779</v>
          </cell>
          <cell r="AM43">
            <v>180.58727843535669</v>
          </cell>
          <cell r="AN43">
            <v>166.6552354634166</v>
          </cell>
          <cell r="AO43">
            <v>150.7416038177692</v>
          </cell>
          <cell r="AP43">
            <v>138.72020194761259</v>
          </cell>
          <cell r="AQ43">
            <v>44.76299962317627</v>
          </cell>
          <cell r="AR43">
            <v>132.1262144572637</v>
          </cell>
          <cell r="AS43">
            <v>107.7568483489934</v>
          </cell>
          <cell r="AT43">
            <v>3446633.5265328102</v>
          </cell>
          <cell r="AX43">
            <v>145.35584026596149</v>
          </cell>
        </row>
        <row r="44">
          <cell r="B44">
            <v>38124.7452830576</v>
          </cell>
          <cell r="C44">
            <v>14785.013150414081</v>
          </cell>
          <cell r="D44">
            <v>53531.080927148323</v>
          </cell>
          <cell r="E44">
            <v>17537.4938414184</v>
          </cell>
          <cell r="F44">
            <v>850914.56463232555</v>
          </cell>
          <cell r="G44">
            <v>265.14198394574072</v>
          </cell>
          <cell r="H44">
            <v>346.0882627401092</v>
          </cell>
          <cell r="I44">
            <v>137.06079549836269</v>
          </cell>
          <cell r="J44">
            <v>9859.7162826321619</v>
          </cell>
          <cell r="K44">
            <v>48270.115916799783</v>
          </cell>
          <cell r="L44">
            <v>35054.541376075453</v>
          </cell>
          <cell r="M44">
            <v>0.45007877182516959</v>
          </cell>
          <cell r="N44">
            <v>2.2957257876863841</v>
          </cell>
          <cell r="O44">
            <v>1.6466085658318781</v>
          </cell>
          <cell r="P44">
            <v>16345.46655223836</v>
          </cell>
          <cell r="Q44">
            <v>15731.728199891269</v>
          </cell>
          <cell r="R44">
            <v>0.75396303754727312</v>
          </cell>
          <cell r="S44">
            <v>0.73348331762938179</v>
          </cell>
          <cell r="T44">
            <v>704403.46168386319</v>
          </cell>
          <cell r="U44">
            <v>32.748131563026341</v>
          </cell>
          <cell r="V44">
            <v>906814.47128674726</v>
          </cell>
          <cell r="W44">
            <v>43.557010209945886</v>
          </cell>
          <cell r="X44">
            <v>1242423.3664712219</v>
          </cell>
          <cell r="Y44">
            <v>59.012226762381808</v>
          </cell>
          <cell r="Z44">
            <v>0.2590243600013441</v>
          </cell>
          <cell r="AA44">
            <v>56319.795073109643</v>
          </cell>
          <cell r="AB44">
            <v>116122.1022255069</v>
          </cell>
          <cell r="AC44">
            <v>148.16302832725509</v>
          </cell>
          <cell r="AD44">
            <v>116.9773927044097</v>
          </cell>
          <cell r="AE44">
            <v>147.25869898076019</v>
          </cell>
          <cell r="AF44">
            <v>345.63178395957578</v>
          </cell>
          <cell r="AG44">
            <v>167.23975526350179</v>
          </cell>
          <cell r="AH44">
            <v>80.729671890243182</v>
          </cell>
          <cell r="AI44">
            <v>89.069488288869138</v>
          </cell>
          <cell r="AJ44">
            <v>139.36133902679461</v>
          </cell>
          <cell r="AK44">
            <v>105.0365777526615</v>
          </cell>
          <cell r="AL44">
            <v>193.6572145726995</v>
          </cell>
          <cell r="AM44">
            <v>173.89901491600239</v>
          </cell>
          <cell r="AN44">
            <v>165.0885753838734</v>
          </cell>
          <cell r="AO44">
            <v>150.3730995630668</v>
          </cell>
          <cell r="AP44">
            <v>138.24588018997929</v>
          </cell>
          <cell r="AQ44">
            <v>45.746458251709107</v>
          </cell>
          <cell r="AR44">
            <v>131.50076544327959</v>
          </cell>
          <cell r="AS44">
            <v>107.02331242404949</v>
          </cell>
          <cell r="AT44">
            <v>3333350.0187757481</v>
          </cell>
          <cell r="AX44">
            <v>143.19185880876171</v>
          </cell>
        </row>
        <row r="45">
          <cell r="B45">
            <v>38446.803419116542</v>
          </cell>
          <cell r="C45">
            <v>15170.228713409721</v>
          </cell>
          <cell r="D45">
            <v>60205.073319106057</v>
          </cell>
          <cell r="E45">
            <v>17371.047712586162</v>
          </cell>
          <cell r="F45">
            <v>961763.43720829044</v>
          </cell>
          <cell r="G45">
            <v>223.37042216249381</v>
          </cell>
          <cell r="H45">
            <v>299.80465022256101</v>
          </cell>
          <cell r="I45">
            <v>133.98952055120799</v>
          </cell>
          <cell r="J45">
            <v>9471.8242659584976</v>
          </cell>
          <cell r="K45">
            <v>48909.118838990456</v>
          </cell>
          <cell r="L45">
            <v>34711.24181463258</v>
          </cell>
          <cell r="M45">
            <v>0.43993007331582568</v>
          </cell>
          <cell r="N45">
            <v>2.315043017315408</v>
          </cell>
          <cell r="O45">
            <v>1.6051678816308439</v>
          </cell>
          <cell r="P45">
            <v>16110.4545422014</v>
          </cell>
          <cell r="Q45">
            <v>16311.963644465701</v>
          </cell>
          <cell r="R45">
            <v>0.75207529385837923</v>
          </cell>
          <cell r="S45">
            <v>0.75546528046420991</v>
          </cell>
          <cell r="T45">
            <v>698657.67482409021</v>
          </cell>
          <cell r="U45">
            <v>32.773055572140407</v>
          </cell>
          <cell r="V45">
            <v>925696.5563215022</v>
          </cell>
          <cell r="W45">
            <v>43.899604939594909</v>
          </cell>
          <cell r="X45">
            <v>1261921.717287055</v>
          </cell>
          <cell r="Y45">
            <v>60.078116023567603</v>
          </cell>
          <cell r="Z45">
            <v>0.25065318374137452</v>
          </cell>
          <cell r="AA45">
            <v>61791.956281354927</v>
          </cell>
          <cell r="AB45">
            <v>129118.41585697301</v>
          </cell>
          <cell r="AC45">
            <v>155.1041016313377</v>
          </cell>
          <cell r="AD45">
            <v>119.2712065507049</v>
          </cell>
          <cell r="AE45">
            <v>148.88275531917071</v>
          </cell>
          <cell r="AF45">
            <v>364.42501361919233</v>
          </cell>
          <cell r="AG45">
            <v>171.11228800481541</v>
          </cell>
          <cell r="AH45">
            <v>95.302265896361163</v>
          </cell>
          <cell r="AI45">
            <v>89.011035962038576</v>
          </cell>
          <cell r="AJ45">
            <v>132.5129997040315</v>
          </cell>
          <cell r="AK45">
            <v>100.3315044300728</v>
          </cell>
          <cell r="AL45">
            <v>198.29997402149289</v>
          </cell>
          <cell r="AM45">
            <v>180.90934363157189</v>
          </cell>
          <cell r="AN45">
            <v>144.87425781844141</v>
          </cell>
          <cell r="AO45">
            <v>156.91988056101459</v>
          </cell>
          <cell r="AP45">
            <v>138.0138582595967</v>
          </cell>
          <cell r="AQ45">
            <v>40.914990133775447</v>
          </cell>
          <cell r="AR45">
            <v>130.75009190297419</v>
          </cell>
          <cell r="AS45">
            <v>108.1450669701393</v>
          </cell>
          <cell r="AT45">
            <v>3420976.9678291222</v>
          </cell>
          <cell r="AX45">
            <v>145.10263090757809</v>
          </cell>
        </row>
        <row r="46">
          <cell r="B46">
            <v>36137.49417309105</v>
          </cell>
          <cell r="C46">
            <v>14925.1631089561</v>
          </cell>
          <cell r="D46">
            <v>62565.278677352653</v>
          </cell>
          <cell r="E46">
            <v>16646.29336050108</v>
          </cell>
          <cell r="F46">
            <v>906614.11965156987</v>
          </cell>
          <cell r="G46">
            <v>177.53397146272761</v>
          </cell>
          <cell r="H46">
            <v>293.97140689646858</v>
          </cell>
          <cell r="I46">
            <v>125.21200840049219</v>
          </cell>
          <cell r="J46">
            <v>10774.498401603631</v>
          </cell>
          <cell r="K46">
            <v>52157.515308740993</v>
          </cell>
          <cell r="L46">
            <v>36733.041459571738</v>
          </cell>
          <cell r="M46">
            <v>0.50730648415333657</v>
          </cell>
          <cell r="N46">
            <v>2.4524049375347818</v>
          </cell>
          <cell r="O46">
            <v>1.720647919159022</v>
          </cell>
          <cell r="P46">
            <v>16348.637265716079</v>
          </cell>
          <cell r="Q46">
            <v>16278.74010748436</v>
          </cell>
          <cell r="R46">
            <v>0.75743073753037282</v>
          </cell>
          <cell r="S46">
            <v>0.77662425098229804</v>
          </cell>
          <cell r="T46">
            <v>717145.90259764425</v>
          </cell>
          <cell r="U46">
            <v>33.000237261242518</v>
          </cell>
          <cell r="V46">
            <v>925998.72698794492</v>
          </cell>
          <cell r="W46">
            <v>43.856676529387371</v>
          </cell>
          <cell r="X46">
            <v>1281424.779006243</v>
          </cell>
          <cell r="Y46">
            <v>59.683829664305641</v>
          </cell>
          <cell r="Z46">
            <v>0.2334318016257472</v>
          </cell>
          <cell r="AA46">
            <v>60722.376508412381</v>
          </cell>
          <cell r="AB46">
            <v>123173.9202469673</v>
          </cell>
          <cell r="AC46">
            <v>152.89679595190799</v>
          </cell>
          <cell r="AD46">
            <v>118.59319226113629</v>
          </cell>
          <cell r="AE46">
            <v>144.9873732549822</v>
          </cell>
          <cell r="AF46">
            <v>335.66461922755838</v>
          </cell>
          <cell r="AG46">
            <v>171.26697862675559</v>
          </cell>
          <cell r="AH46">
            <v>92.555854150311518</v>
          </cell>
          <cell r="AI46">
            <v>88.598851378135251</v>
          </cell>
          <cell r="AJ46">
            <v>146.82884440550811</v>
          </cell>
          <cell r="AK46">
            <v>105.1071222780625</v>
          </cell>
          <cell r="AL46">
            <v>188.27956291453069</v>
          </cell>
          <cell r="AM46">
            <v>179.3385462308899</v>
          </cell>
          <cell r="AN46">
            <v>149.09830193942</v>
          </cell>
          <cell r="AO46">
            <v>154.23094445076359</v>
          </cell>
          <cell r="AP46">
            <v>130.4787173646979</v>
          </cell>
          <cell r="AQ46">
            <v>43.717215147225012</v>
          </cell>
          <cell r="AR46">
            <v>131.4137975951551</v>
          </cell>
          <cell r="AS46">
            <v>112.8134471444771</v>
          </cell>
          <cell r="AT46">
            <v>3532133.8737368728</v>
          </cell>
          <cell r="AX46">
            <v>145.63534597662459</v>
          </cell>
        </row>
        <row r="47">
          <cell r="B47">
            <v>34329.15930494108</v>
          </cell>
          <cell r="C47">
            <v>12172.6788361131</v>
          </cell>
          <cell r="D47">
            <v>59693.035458322804</v>
          </cell>
          <cell r="E47">
            <v>17076.09400830929</v>
          </cell>
          <cell r="F47">
            <v>795976.42556789319</v>
          </cell>
          <cell r="G47">
            <v>222.99690371479861</v>
          </cell>
          <cell r="H47">
            <v>333.99888230157899</v>
          </cell>
          <cell r="I47">
            <v>133.60516263079251</v>
          </cell>
          <cell r="J47">
            <v>9998.1399015763127</v>
          </cell>
          <cell r="K47">
            <v>49699.867248521929</v>
          </cell>
          <cell r="L47">
            <v>36960.142849032331</v>
          </cell>
          <cell r="M47">
            <v>0.45812570356433291</v>
          </cell>
          <cell r="N47">
            <v>2.3035095596598718</v>
          </cell>
          <cell r="O47">
            <v>1.6509109566714351</v>
          </cell>
          <cell r="P47">
            <v>16905.99439142054</v>
          </cell>
          <cell r="Q47">
            <v>17156.9187937483</v>
          </cell>
          <cell r="R47">
            <v>0.78991489529831582</v>
          </cell>
          <cell r="S47">
            <v>0.77220682091551729</v>
          </cell>
          <cell r="T47">
            <v>730888.9672314421</v>
          </cell>
          <cell r="U47">
            <v>34.532021668267276</v>
          </cell>
          <cell r="V47">
            <v>973515.21788017859</v>
          </cell>
          <cell r="W47">
            <v>44.272251569587397</v>
          </cell>
          <cell r="X47">
            <v>1337157.4669138261</v>
          </cell>
          <cell r="Y47">
            <v>60.702590433092951</v>
          </cell>
          <cell r="Z47">
            <v>0.23092091019271049</v>
          </cell>
          <cell r="AA47">
            <v>57166.262115426121</v>
          </cell>
          <cell r="AB47">
            <v>115036.8522537118</v>
          </cell>
          <cell r="AC47">
            <v>147.73687166111279</v>
          </cell>
          <cell r="AD47">
            <v>118.5381147174898</v>
          </cell>
          <cell r="AE47">
            <v>148.92164048306361</v>
          </cell>
          <cell r="AF47">
            <v>304.93013412193818</v>
          </cell>
          <cell r="AG47">
            <v>162.9353689136384</v>
          </cell>
          <cell r="AH47">
            <v>91.453730657556079</v>
          </cell>
          <cell r="AI47">
            <v>88.504914714802084</v>
          </cell>
          <cell r="AJ47">
            <v>148.86700077115111</v>
          </cell>
          <cell r="AK47">
            <v>102.0045202968797</v>
          </cell>
          <cell r="AL47">
            <v>197.41079152867829</v>
          </cell>
          <cell r="AM47">
            <v>164.69789659470231</v>
          </cell>
          <cell r="AN47">
            <v>164.02059915536529</v>
          </cell>
          <cell r="AO47">
            <v>157.7014394146679</v>
          </cell>
          <cell r="AP47">
            <v>124.1547011583952</v>
          </cell>
          <cell r="AQ47">
            <v>41.216188724390051</v>
          </cell>
          <cell r="AR47">
            <v>130.00121798684131</v>
          </cell>
          <cell r="AS47">
            <v>115.07224888086471</v>
          </cell>
          <cell r="AT47">
            <v>3526715.9083580431</v>
          </cell>
          <cell r="AX47">
            <v>142.83138091527539</v>
          </cell>
        </row>
        <row r="48">
          <cell r="B48">
            <v>41578.481474060303</v>
          </cell>
          <cell r="C48">
            <v>18790.407467660829</v>
          </cell>
          <cell r="D48">
            <v>65434.259752852988</v>
          </cell>
          <cell r="E48">
            <v>21110.804162121702</v>
          </cell>
          <cell r="F48">
            <v>958000.81227126124</v>
          </cell>
          <cell r="G48">
            <v>230.7032273448126</v>
          </cell>
          <cell r="H48">
            <v>348.56293721702463</v>
          </cell>
          <cell r="I48">
            <v>149.87376191689259</v>
          </cell>
          <cell r="J48">
            <v>11338.764820477239</v>
          </cell>
          <cell r="K48">
            <v>53104.088723000219</v>
          </cell>
          <cell r="L48">
            <v>39301.992976388443</v>
          </cell>
          <cell r="M48">
            <v>0.51489768810207903</v>
          </cell>
          <cell r="N48">
            <v>2.4427472809744382</v>
          </cell>
          <cell r="O48">
            <v>1.7180696331299521</v>
          </cell>
          <cell r="P48">
            <v>17329.237058724189</v>
          </cell>
          <cell r="Q48">
            <v>16430.74082041805</v>
          </cell>
          <cell r="R48">
            <v>0.75324922828031138</v>
          </cell>
          <cell r="S48">
            <v>0.7235359763929724</v>
          </cell>
          <cell r="T48">
            <v>750165.18060297309</v>
          </cell>
          <cell r="U48">
            <v>32.863045996304372</v>
          </cell>
          <cell r="V48">
            <v>996149.36337643734</v>
          </cell>
          <cell r="W48">
            <v>44.345741933874109</v>
          </cell>
          <cell r="X48">
            <v>1370514.6653033691</v>
          </cell>
          <cell r="Y48">
            <v>61.174944880622292</v>
          </cell>
          <cell r="Z48">
            <v>0.2190550006751468</v>
          </cell>
          <cell r="AA48">
            <v>60402.653545446607</v>
          </cell>
          <cell r="AB48">
            <v>129869.641219457</v>
          </cell>
          <cell r="AC48">
            <v>153.2140993198866</v>
          </cell>
          <cell r="AD48">
            <v>122.4472996188496</v>
          </cell>
          <cell r="AE48">
            <v>150.89959117610849</v>
          </cell>
          <cell r="AF48">
            <v>390.70072905373331</v>
          </cell>
          <cell r="AG48">
            <v>169.79076150227749</v>
          </cell>
          <cell r="AH48">
            <v>91.397268680310773</v>
          </cell>
          <cell r="AI48">
            <v>88.133736225480902</v>
          </cell>
          <cell r="AJ48">
            <v>142.53044370761219</v>
          </cell>
          <cell r="AK48">
            <v>104.8223778544227</v>
          </cell>
          <cell r="AL48">
            <v>198.42515926417661</v>
          </cell>
          <cell r="AM48">
            <v>186.37524103226929</v>
          </cell>
          <cell r="AN48">
            <v>160.5102805338723</v>
          </cell>
          <cell r="AO48">
            <v>163.20826217294879</v>
          </cell>
          <cell r="AP48">
            <v>148.70048500534509</v>
          </cell>
          <cell r="AQ48">
            <v>43.78107119771591</v>
          </cell>
          <cell r="AR48">
            <v>133.3618112380741</v>
          </cell>
          <cell r="AS48">
            <v>115.26606628754</v>
          </cell>
          <cell r="AT48">
            <v>3665824.5841132328</v>
          </cell>
          <cell r="AX48">
            <v>146.38115239819089</v>
          </cell>
        </row>
        <row r="49">
          <cell r="B49">
            <v>48931.536582995897</v>
          </cell>
          <cell r="C49">
            <v>20425.262669565331</v>
          </cell>
          <cell r="D49">
            <v>65272.896229249323</v>
          </cell>
          <cell r="E49">
            <v>18593.985806471159</v>
          </cell>
          <cell r="F49">
            <v>979062.75646830339</v>
          </cell>
          <cell r="G49">
            <v>219.95372765779669</v>
          </cell>
          <cell r="H49">
            <v>350.79524231119461</v>
          </cell>
          <cell r="I49">
            <v>132.92445721308789</v>
          </cell>
          <cell r="J49">
            <v>10990.6037085273</v>
          </cell>
          <cell r="K49">
            <v>55800.299493232807</v>
          </cell>
          <cell r="L49">
            <v>40052.427526193977</v>
          </cell>
          <cell r="M49">
            <v>0.47870428524574649</v>
          </cell>
          <cell r="N49">
            <v>2.4475329492969968</v>
          </cell>
          <cell r="O49">
            <v>1.7772427002972759</v>
          </cell>
          <cell r="P49">
            <v>17169.770190639221</v>
          </cell>
          <cell r="Q49">
            <v>17164.19907366129</v>
          </cell>
          <cell r="R49">
            <v>0.80015303566387108</v>
          </cell>
          <cell r="S49">
            <v>0.75323818080144234</v>
          </cell>
          <cell r="T49">
            <v>744092.83711371222</v>
          </cell>
          <cell r="U49">
            <v>35.139827261240519</v>
          </cell>
          <cell r="V49">
            <v>1024852.667878993</v>
          </cell>
          <cell r="W49">
            <v>45.270638530271853</v>
          </cell>
          <cell r="X49">
            <v>1419861.658343144</v>
          </cell>
          <cell r="Y49">
            <v>63.214998826498871</v>
          </cell>
          <cell r="Z49">
            <v>0.1969396967495872</v>
          </cell>
          <cell r="AA49">
            <v>61210.2801108157</v>
          </cell>
          <cell r="AB49">
            <v>11798.27420178007</v>
          </cell>
          <cell r="AC49">
            <v>156.25563617099741</v>
          </cell>
          <cell r="AD49">
            <v>123.2590521556571</v>
          </cell>
          <cell r="AE49">
            <v>150.3942607127056</v>
          </cell>
          <cell r="AF49">
            <v>386.36907615553491</v>
          </cell>
          <cell r="AG49">
            <v>175.0438522240855</v>
          </cell>
          <cell r="AH49">
            <v>92.996012223418234</v>
          </cell>
          <cell r="AI49">
            <v>87.303151832942916</v>
          </cell>
          <cell r="AJ49">
            <v>145.86317279528271</v>
          </cell>
          <cell r="AK49">
            <v>102.2142845544045</v>
          </cell>
          <cell r="AL49">
            <v>196.65313817372299</v>
          </cell>
          <cell r="AM49">
            <v>190.61209490910329</v>
          </cell>
          <cell r="AN49">
            <v>164.11842863247389</v>
          </cell>
          <cell r="AO49">
            <v>153.040584908912</v>
          </cell>
          <cell r="AP49">
            <v>174.95797525422071</v>
          </cell>
          <cell r="AQ49">
            <v>42.783928977947028</v>
          </cell>
          <cell r="AR49">
            <v>135.6147282339025</v>
          </cell>
          <cell r="AS49">
            <v>115.04323917331899</v>
          </cell>
          <cell r="AT49">
            <v>4342661.5718603749</v>
          </cell>
          <cell r="AX49">
            <v>147.1348897718147</v>
          </cell>
        </row>
        <row r="50">
          <cell r="B50">
            <v>46661.346491864722</v>
          </cell>
          <cell r="C50">
            <v>20212.614180640259</v>
          </cell>
          <cell r="D50">
            <v>63522.361986784628</v>
          </cell>
          <cell r="E50">
            <v>16176.542370916561</v>
          </cell>
          <cell r="F50">
            <v>947086.70176048449</v>
          </cell>
          <cell r="G50">
            <v>240.96811211418051</v>
          </cell>
          <cell r="H50">
            <v>355.94791257651713</v>
          </cell>
          <cell r="I50">
            <v>168.68478892280999</v>
          </cell>
          <cell r="J50">
            <v>12270.331036707939</v>
          </cell>
          <cell r="K50">
            <v>54041.98731373615</v>
          </cell>
          <cell r="L50">
            <v>42482.593757728093</v>
          </cell>
          <cell r="M50">
            <v>0.52907412612612914</v>
          </cell>
          <cell r="N50">
            <v>2.3874139267329322</v>
          </cell>
          <cell r="O50">
            <v>1.918395676195161</v>
          </cell>
          <cell r="P50">
            <v>17828.32767269187</v>
          </cell>
          <cell r="Q50">
            <v>18043.846191080789</v>
          </cell>
          <cell r="R50">
            <v>0.83455733282602307</v>
          </cell>
          <cell r="S50">
            <v>0.83697248654094669</v>
          </cell>
          <cell r="T50">
            <v>808663.77845700493</v>
          </cell>
          <cell r="U50">
            <v>36.450246162817081</v>
          </cell>
          <cell r="V50">
            <v>1033119.129832588</v>
          </cell>
          <cell r="W50">
            <v>44.864088488366349</v>
          </cell>
          <cell r="X50">
            <v>1456757.8296827539</v>
          </cell>
          <cell r="Y50">
            <v>62.970693366322557</v>
          </cell>
          <cell r="Z50">
            <v>0.20134791774739511</v>
          </cell>
          <cell r="AA50">
            <v>59779.728397688137</v>
          </cell>
          <cell r="AB50">
            <v>136787.2192138751</v>
          </cell>
          <cell r="AC50">
            <v>152.95621403559139</v>
          </cell>
          <cell r="AD50">
            <v>123.3251676627212</v>
          </cell>
          <cell r="AE50">
            <v>154.0505105906241</v>
          </cell>
          <cell r="AF50">
            <v>402.33775029400931</v>
          </cell>
          <cell r="AG50">
            <v>168.14690311666189</v>
          </cell>
          <cell r="AH50">
            <v>97.212540792944168</v>
          </cell>
          <cell r="AI50">
            <v>88.446270109892296</v>
          </cell>
          <cell r="AJ50">
            <v>145.93611775377241</v>
          </cell>
          <cell r="AK50">
            <v>104.9308145110971</v>
          </cell>
          <cell r="AL50">
            <v>200.6336632253707</v>
          </cell>
          <cell r="AM50">
            <v>183.7248975459394</v>
          </cell>
          <cell r="AN50">
            <v>165.57081278130661</v>
          </cell>
          <cell r="AO50">
            <v>158.51006710806459</v>
          </cell>
          <cell r="AP50">
            <v>168.50557317764321</v>
          </cell>
          <cell r="AQ50">
            <v>42.568851596016927</v>
          </cell>
          <cell r="AR50">
            <v>136.53464235021451</v>
          </cell>
          <cell r="AS50">
            <v>116.23671236374101</v>
          </cell>
          <cell r="AT50">
            <v>3521666.2968359948</v>
          </cell>
          <cell r="AX50">
            <v>146.64977991190361</v>
          </cell>
        </row>
        <row r="51">
          <cell r="B51">
            <v>28294.974038431879</v>
          </cell>
          <cell r="C51">
            <v>14796.23416722499</v>
          </cell>
          <cell r="D51">
            <v>69171.468458813746</v>
          </cell>
          <cell r="E51">
            <v>16503.90365507028</v>
          </cell>
          <cell r="F51">
            <v>931934.71404381364</v>
          </cell>
          <cell r="G51">
            <v>238.99026926773541</v>
          </cell>
          <cell r="H51">
            <v>340.80977023128582</v>
          </cell>
          <cell r="I51">
            <v>160.27923876223869</v>
          </cell>
          <cell r="J51">
            <v>8876.9906680239128</v>
          </cell>
          <cell r="K51">
            <v>56279.975478475208</v>
          </cell>
          <cell r="L51">
            <v>41379.519378416648</v>
          </cell>
          <cell r="M51">
            <v>0.37446000668969243</v>
          </cell>
          <cell r="N51">
            <v>2.3951807780724419</v>
          </cell>
          <cell r="O51">
            <v>1.707446526128654</v>
          </cell>
          <cell r="P51">
            <v>18259.261255506619</v>
          </cell>
          <cell r="Q51">
            <v>18386.130117150249</v>
          </cell>
          <cell r="R51">
            <v>0.81870673359371515</v>
          </cell>
          <cell r="S51">
            <v>0.80641576920832347</v>
          </cell>
          <cell r="T51">
            <v>808728.44747992128</v>
          </cell>
          <cell r="U51">
            <v>35.775556094129414</v>
          </cell>
          <cell r="V51">
            <v>1060185.4822358279</v>
          </cell>
          <cell r="W51">
            <v>45.04906851515797</v>
          </cell>
          <cell r="X51">
            <v>1482886.214470261</v>
          </cell>
          <cell r="Y51">
            <v>62.74544610954748</v>
          </cell>
          <cell r="Z51">
            <v>0.21481014846751481</v>
          </cell>
          <cell r="AA51">
            <v>60178.085330629488</v>
          </cell>
          <cell r="AB51">
            <v>135551.54012731259</v>
          </cell>
          <cell r="AC51">
            <v>144.78060045969389</v>
          </cell>
          <cell r="AD51">
            <v>116.8039569982555</v>
          </cell>
          <cell r="AE51">
            <v>147.15611321298201</v>
          </cell>
          <cell r="AF51">
            <v>337.59293687920052</v>
          </cell>
          <cell r="AG51">
            <v>162.24546636675399</v>
          </cell>
          <cell r="AH51">
            <v>86.800186773748379</v>
          </cell>
          <cell r="AI51">
            <v>88.603369325886291</v>
          </cell>
          <cell r="AJ51">
            <v>144.6235577149975</v>
          </cell>
          <cell r="AK51">
            <v>100.6880399040142</v>
          </cell>
          <cell r="AL51">
            <v>191.6199844776045</v>
          </cell>
          <cell r="AM51">
            <v>182.60164536086549</v>
          </cell>
          <cell r="AN51">
            <v>157.62776764671909</v>
          </cell>
          <cell r="AO51">
            <v>154.0299853701417</v>
          </cell>
          <cell r="AP51">
            <v>98.305489174630395</v>
          </cell>
          <cell r="AQ51">
            <v>42.284345620428731</v>
          </cell>
          <cell r="AR51">
            <v>136.25067993542041</v>
          </cell>
          <cell r="AS51">
            <v>116.50966558473699</v>
          </cell>
          <cell r="AT51">
            <v>3603171.9924851768</v>
          </cell>
          <cell r="AX51">
            <v>144.53480040823041</v>
          </cell>
        </row>
        <row r="52">
          <cell r="B52">
            <v>36691.964922879342</v>
          </cell>
          <cell r="C52">
            <v>14918.874697570331</v>
          </cell>
          <cell r="D52">
            <v>67955.564886797365</v>
          </cell>
          <cell r="E52">
            <v>17283.53205826203</v>
          </cell>
          <cell r="F52">
            <v>786919.69295424467</v>
          </cell>
          <cell r="G52">
            <v>335.69742436670379</v>
          </cell>
          <cell r="H52">
            <v>378.03406417124722</v>
          </cell>
          <cell r="I52">
            <v>179.9839341407727</v>
          </cell>
          <cell r="J52">
            <v>12843.267411695489</v>
          </cell>
          <cell r="K52">
            <v>55786.49339853799</v>
          </cell>
          <cell r="L52">
            <v>42970.643310294909</v>
          </cell>
          <cell r="M52">
            <v>0.51293054815188799</v>
          </cell>
          <cell r="N52">
            <v>2.215582212629863</v>
          </cell>
          <cell r="O52">
            <v>1.7826134237474569</v>
          </cell>
          <cell r="P52">
            <v>19924.510360502809</v>
          </cell>
          <cell r="Q52">
            <v>18868.853424583809</v>
          </cell>
          <cell r="R52">
            <v>0.85097572203947014</v>
          </cell>
          <cell r="S52">
            <v>0.81622035392378922</v>
          </cell>
          <cell r="T52">
            <v>853729.25374936417</v>
          </cell>
          <cell r="U52">
            <v>36.720168220821932</v>
          </cell>
          <cell r="V52">
            <v>1099786.1844397569</v>
          </cell>
          <cell r="W52">
            <v>45.355504235330613</v>
          </cell>
          <cell r="X52">
            <v>1508933.81655825</v>
          </cell>
          <cell r="Y52">
            <v>62.921124495114277</v>
          </cell>
          <cell r="Z52">
            <v>0.2016124434302845</v>
          </cell>
          <cell r="AA52">
            <v>65302.083837971142</v>
          </cell>
          <cell r="AB52">
            <v>150946.2085972043</v>
          </cell>
          <cell r="AC52">
            <v>156.3510923323548</v>
          </cell>
          <cell r="AD52">
            <v>112.6382128920728</v>
          </cell>
          <cell r="AE52">
            <v>153.03976255581631</v>
          </cell>
          <cell r="AF52">
            <v>378.55936838066037</v>
          </cell>
          <cell r="AG52">
            <v>169.40265754654629</v>
          </cell>
          <cell r="AH52">
            <v>95.724660221122988</v>
          </cell>
          <cell r="AI52">
            <v>88.900136189520552</v>
          </cell>
          <cell r="AJ52">
            <v>149.7658617916928</v>
          </cell>
          <cell r="AK52">
            <v>101.10888332922261</v>
          </cell>
          <cell r="AL52">
            <v>202.7726285296537</v>
          </cell>
          <cell r="AM52">
            <v>195.2870498343467</v>
          </cell>
          <cell r="AN52">
            <v>173.57353218708039</v>
          </cell>
          <cell r="AO52">
            <v>156.34970169258901</v>
          </cell>
          <cell r="AP52">
            <v>130.81935469121109</v>
          </cell>
          <cell r="AQ52">
            <v>41.634871924522869</v>
          </cell>
          <cell r="AR52">
            <v>138.43032398898001</v>
          </cell>
          <cell r="AS52">
            <v>116.13405839048271</v>
          </cell>
          <cell r="AT52">
            <v>3578775.503205196</v>
          </cell>
          <cell r="AX52">
            <v>148.01584991391351</v>
          </cell>
        </row>
        <row r="53">
          <cell r="B53">
            <v>34750.312688109967</v>
          </cell>
          <cell r="C53">
            <v>17166.38926035021</v>
          </cell>
          <cell r="D53">
            <v>69666.906868851336</v>
          </cell>
          <cell r="E53">
            <v>17827.927998427811</v>
          </cell>
          <cell r="F53">
            <v>968365.53794710268</v>
          </cell>
          <cell r="G53">
            <v>339.02351274372052</v>
          </cell>
          <cell r="H53">
            <v>375.41510613117799</v>
          </cell>
          <cell r="I53">
            <v>172.2767619798467</v>
          </cell>
          <cell r="J53">
            <v>10862.87337406105</v>
          </cell>
          <cell r="K53">
            <v>60274.460944303479</v>
          </cell>
          <cell r="L53">
            <v>43128.293856839809</v>
          </cell>
          <cell r="M53">
            <v>0.44796541612759683</v>
          </cell>
          <cell r="N53">
            <v>2.435164447000135</v>
          </cell>
          <cell r="O53">
            <v>1.702013164369913</v>
          </cell>
          <cell r="P53">
            <v>21365.257759187811</v>
          </cell>
          <cell r="Q53">
            <v>20603.257337493011</v>
          </cell>
          <cell r="R53">
            <v>0.87235253603552265</v>
          </cell>
          <cell r="S53">
            <v>0.83583812935235502</v>
          </cell>
          <cell r="T53">
            <v>915553.56453138508</v>
          </cell>
          <cell r="U53">
            <v>37.49718290632331</v>
          </cell>
          <cell r="V53">
            <v>1116142.010538453</v>
          </cell>
          <cell r="W53">
            <v>45.752598294199643</v>
          </cell>
          <cell r="X53">
            <v>1560347.9930977109</v>
          </cell>
          <cell r="Y53">
            <v>63.075190699884487</v>
          </cell>
          <cell r="Z53">
            <v>0.16559739395436621</v>
          </cell>
          <cell r="AA53">
            <v>59193.380916370617</v>
          </cell>
          <cell r="AB53">
            <v>133890.1652725201</v>
          </cell>
          <cell r="AC53">
            <v>146.32813215982139</v>
          </cell>
          <cell r="AD53">
            <v>105.9859246937128</v>
          </cell>
          <cell r="AE53">
            <v>152.73653737804739</v>
          </cell>
          <cell r="AF53">
            <v>371.36881931337427</v>
          </cell>
          <cell r="AG53">
            <v>165.51150342272209</v>
          </cell>
          <cell r="AH53">
            <v>90.139315113023585</v>
          </cell>
          <cell r="AI53">
            <v>88.90116537626227</v>
          </cell>
          <cell r="AJ53">
            <v>144.85111230964131</v>
          </cell>
          <cell r="AK53">
            <v>104.8120915946653</v>
          </cell>
          <cell r="AL53">
            <v>196.46622149547329</v>
          </cell>
          <cell r="AM53">
            <v>186.67980250169921</v>
          </cell>
          <cell r="AN53">
            <v>173.99847253345311</v>
          </cell>
          <cell r="AO53">
            <v>149.87512779878429</v>
          </cell>
          <cell r="AP53">
            <v>124.87325771023259</v>
          </cell>
          <cell r="AQ53">
            <v>47.064954185007927</v>
          </cell>
          <cell r="AR53">
            <v>139.46647103426429</v>
          </cell>
          <cell r="AS53">
            <v>116.7540543984436</v>
          </cell>
          <cell r="AT53">
            <v>3586331.3846030021</v>
          </cell>
          <cell r="AX53">
            <v>146.49393173607979</v>
          </cell>
        </row>
        <row r="54">
          <cell r="B54">
            <v>41253.227846554793</v>
          </cell>
          <cell r="C54">
            <v>18145.194703068959</v>
          </cell>
          <cell r="D54">
            <v>78086.277301211288</v>
          </cell>
          <cell r="E54">
            <v>17404.819823154259</v>
          </cell>
          <cell r="F54">
            <v>1017140.462747972</v>
          </cell>
          <cell r="G54">
            <v>327.39139543385528</v>
          </cell>
          <cell r="H54">
            <v>385.04090785089812</v>
          </cell>
          <cell r="I54">
            <v>181.61149209661249</v>
          </cell>
          <cell r="J54">
            <v>8366.3435070388623</v>
          </cell>
          <cell r="K54">
            <v>60394.692266744983</v>
          </cell>
          <cell r="L54">
            <v>39727.902193243281</v>
          </cell>
          <cell r="M54">
            <v>0.3734365788319487</v>
          </cell>
          <cell r="N54">
            <v>2.424404867252401</v>
          </cell>
          <cell r="O54">
            <v>1.766706771714122</v>
          </cell>
          <cell r="P54">
            <v>23087.138752804771</v>
          </cell>
          <cell r="Q54">
            <v>21729.911937523571</v>
          </cell>
          <cell r="R54">
            <v>0.89162463621753774</v>
          </cell>
          <cell r="S54">
            <v>0.86184844178939235</v>
          </cell>
          <cell r="T54">
            <v>982569.19344509987</v>
          </cell>
          <cell r="U54">
            <v>38.353890112905773</v>
          </cell>
          <cell r="V54">
            <v>1123456.786627895</v>
          </cell>
          <cell r="W54">
            <v>45.728654681196531</v>
          </cell>
          <cell r="X54">
            <v>1557461.171703191</v>
          </cell>
          <cell r="Y54">
            <v>63.560819724819673</v>
          </cell>
          <cell r="Z54">
            <v>0.20114421707109009</v>
          </cell>
          <cell r="AA54">
            <v>60457.340565449653</v>
          </cell>
          <cell r="AB54">
            <v>143557.39622504881</v>
          </cell>
          <cell r="AC54">
            <v>153.36910300856221</v>
          </cell>
          <cell r="AD54">
            <v>117.6364391226024</v>
          </cell>
          <cell r="AE54">
            <v>154.87837224546561</v>
          </cell>
          <cell r="AF54">
            <v>403.30113597604679</v>
          </cell>
          <cell r="AG54">
            <v>171.1133818699532</v>
          </cell>
          <cell r="AH54">
            <v>90.810751300906986</v>
          </cell>
          <cell r="AI54">
            <v>88.621183601783869</v>
          </cell>
          <cell r="AJ54">
            <v>144.7143198277933</v>
          </cell>
          <cell r="AK54">
            <v>103.0328246585732</v>
          </cell>
          <cell r="AL54">
            <v>206.311732663089</v>
          </cell>
          <cell r="AM54">
            <v>192.3513206674873</v>
          </cell>
          <cell r="AN54">
            <v>178.02658983611781</v>
          </cell>
          <cell r="AO54">
            <v>154.67428862494319</v>
          </cell>
          <cell r="AP54">
            <v>148.65965935166321</v>
          </cell>
          <cell r="AQ54">
            <v>48.574889014252392</v>
          </cell>
          <cell r="AR54">
            <v>139.0017546617953</v>
          </cell>
          <cell r="AS54">
            <v>116.77265304831801</v>
          </cell>
          <cell r="AT54">
            <v>3685875.2527319212</v>
          </cell>
          <cell r="AX54">
            <v>152.4792743024615</v>
          </cell>
        </row>
        <row r="55">
          <cell r="B55">
            <v>42342.880891809858</v>
          </cell>
          <cell r="C55">
            <v>18974.331806374961</v>
          </cell>
          <cell r="D55">
            <v>74454.060225207664</v>
          </cell>
          <cell r="E55">
            <v>22480.48821056166</v>
          </cell>
          <cell r="F55">
            <v>1035876.164523336</v>
          </cell>
          <cell r="G55">
            <v>280.5525942879853</v>
          </cell>
          <cell r="H55">
            <v>373.91761575707591</v>
          </cell>
          <cell r="I55">
            <v>181.4753684099075</v>
          </cell>
          <cell r="J55">
            <v>10359.697071625849</v>
          </cell>
          <cell r="K55">
            <v>61812.968028615876</v>
          </cell>
          <cell r="L55">
            <v>41694.932134131202</v>
          </cell>
          <cell r="M55">
            <v>0.42830923412451188</v>
          </cell>
          <cell r="N55">
            <v>2.474481960257306</v>
          </cell>
          <cell r="O55">
            <v>1.789391911377201</v>
          </cell>
          <cell r="P55">
            <v>23758.302249792108</v>
          </cell>
          <cell r="Q55">
            <v>21805.333807509342</v>
          </cell>
          <cell r="R55">
            <v>0.89798868710163526</v>
          </cell>
          <cell r="S55">
            <v>0.86482937706220109</v>
          </cell>
          <cell r="T55">
            <v>1014401.648239293</v>
          </cell>
          <cell r="U55">
            <v>38.544408879190122</v>
          </cell>
          <cell r="V55">
            <v>1185168.9006146931</v>
          </cell>
          <cell r="W55">
            <v>46.455143470401417</v>
          </cell>
          <cell r="X55">
            <v>1582970.7741795429</v>
          </cell>
          <cell r="Y55">
            <v>64.957588178633699</v>
          </cell>
          <cell r="Z55">
            <v>0.19965929876205021</v>
          </cell>
          <cell r="AA55">
            <v>63507.452432751386</v>
          </cell>
          <cell r="AB55">
            <v>152318.77825084521</v>
          </cell>
          <cell r="AC55">
            <v>152.83502832491661</v>
          </cell>
          <cell r="AD55">
            <v>120.22251011102919</v>
          </cell>
          <cell r="AE55">
            <v>160.03133252719979</v>
          </cell>
          <cell r="AF55">
            <v>427.15422990843769</v>
          </cell>
          <cell r="AG55">
            <v>169.30106475357721</v>
          </cell>
          <cell r="AH55">
            <v>96.511598796695381</v>
          </cell>
          <cell r="AI55">
            <v>89.245843959345478</v>
          </cell>
          <cell r="AJ55">
            <v>146.67759735653291</v>
          </cell>
          <cell r="AK55">
            <v>104.93767238659851</v>
          </cell>
          <cell r="AL55">
            <v>215.2790128231091</v>
          </cell>
          <cell r="AM55">
            <v>201.5876397628337</v>
          </cell>
          <cell r="AN55">
            <v>175.91686318850739</v>
          </cell>
          <cell r="AO55">
            <v>158.5130220612802</v>
          </cell>
          <cell r="AP55">
            <v>152.73564104294061</v>
          </cell>
          <cell r="AQ55">
            <v>44.076298534056157</v>
          </cell>
          <cell r="AR55">
            <v>138.4148732409854</v>
          </cell>
          <cell r="AS55">
            <v>115.4621090650915</v>
          </cell>
          <cell r="AT55">
            <v>3488906.147545178</v>
          </cell>
          <cell r="AX55">
            <v>152.98777986969591</v>
          </cell>
        </row>
        <row r="56">
          <cell r="B56">
            <v>39148.99497778745</v>
          </cell>
          <cell r="C56">
            <v>15529.43344078769</v>
          </cell>
          <cell r="D56">
            <v>73934.098812362368</v>
          </cell>
          <cell r="E56">
            <v>17825.963938519009</v>
          </cell>
          <cell r="F56">
            <v>1036552.291997035</v>
          </cell>
          <cell r="G56">
            <v>242.52122602244049</v>
          </cell>
          <cell r="H56">
            <v>384.61322637836003</v>
          </cell>
          <cell r="I56">
            <v>190.5055117853083</v>
          </cell>
          <cell r="J56">
            <v>12077.6819412082</v>
          </cell>
          <cell r="K56">
            <v>64891.88699673846</v>
          </cell>
          <cell r="L56">
            <v>50079.748854482503</v>
          </cell>
          <cell r="M56">
            <v>0.45846552941045088</v>
          </cell>
          <cell r="N56">
            <v>2.5230144266468768</v>
          </cell>
          <cell r="O56">
            <v>1.9077689769581829</v>
          </cell>
          <cell r="P56">
            <v>21643.84161154912</v>
          </cell>
          <cell r="Q56">
            <v>22901.552435732701</v>
          </cell>
          <cell r="R56">
            <v>0.83406134970577372</v>
          </cell>
          <cell r="S56">
            <v>0.86794246998315761</v>
          </cell>
          <cell r="T56">
            <v>984698.9101886272</v>
          </cell>
          <cell r="U56">
            <v>36.644533731090277</v>
          </cell>
          <cell r="V56">
            <v>1152978.917855317</v>
          </cell>
          <cell r="W56">
            <v>46.141799244820866</v>
          </cell>
          <cell r="X56">
            <v>1669142.5397132421</v>
          </cell>
          <cell r="Y56">
            <v>64.615078772567685</v>
          </cell>
          <cell r="Z56">
            <v>0.19801746915828089</v>
          </cell>
          <cell r="AA56">
            <v>59648.846437844113</v>
          </cell>
          <cell r="AB56">
            <v>148133.44230430061</v>
          </cell>
          <cell r="AC56">
            <v>151.36875330833939</v>
          </cell>
          <cell r="AD56">
            <v>122.8795791621782</v>
          </cell>
          <cell r="AE56">
            <v>158.33770590682661</v>
          </cell>
          <cell r="AF56">
            <v>381.36697842307922</v>
          </cell>
          <cell r="AG56">
            <v>168.83626213884651</v>
          </cell>
          <cell r="AH56">
            <v>87.102979967622034</v>
          </cell>
          <cell r="AI56">
            <v>89.152139957510357</v>
          </cell>
          <cell r="AJ56">
            <v>149.84683452752321</v>
          </cell>
          <cell r="AK56">
            <v>102.3821450479505</v>
          </cell>
          <cell r="AL56">
            <v>208.69134024860091</v>
          </cell>
          <cell r="AM56">
            <v>201.58725695471841</v>
          </cell>
          <cell r="AN56">
            <v>178.11587179323769</v>
          </cell>
          <cell r="AO56">
            <v>164.85956249234101</v>
          </cell>
          <cell r="AP56">
            <v>140.37128611731239</v>
          </cell>
          <cell r="AQ56">
            <v>43.294701461764802</v>
          </cell>
          <cell r="AR56">
            <v>140.45088384397039</v>
          </cell>
          <cell r="AS56">
            <v>116.73041284252599</v>
          </cell>
          <cell r="AT56">
            <v>3761951.081466448</v>
          </cell>
          <cell r="AX56">
            <v>149.8463711865175</v>
          </cell>
        </row>
        <row r="57">
          <cell r="B57">
            <v>39794.750854647493</v>
          </cell>
          <cell r="C57">
            <v>16031.25873623561</v>
          </cell>
          <cell r="D57">
            <v>71958.830033408987</v>
          </cell>
          <cell r="E57">
            <v>20489.693411040909</v>
          </cell>
          <cell r="F57">
            <v>1008009.307594102</v>
          </cell>
          <cell r="G57">
            <v>250.1192669152079</v>
          </cell>
          <cell r="H57">
            <v>383.12342134390951</v>
          </cell>
          <cell r="I57">
            <v>182.25052548848839</v>
          </cell>
          <cell r="J57">
            <v>14287.80055076594</v>
          </cell>
          <cell r="K57">
            <v>67114.619356398616</v>
          </cell>
          <cell r="L57">
            <v>45264.858568883239</v>
          </cell>
          <cell r="M57">
            <v>0.53613464669349831</v>
          </cell>
          <cell r="N57">
            <v>2.5731964421525579</v>
          </cell>
          <cell r="O57">
            <v>1.728980294141401</v>
          </cell>
          <cell r="P57">
            <v>24622.21002612984</v>
          </cell>
          <cell r="Q57">
            <v>24260.333284122418</v>
          </cell>
          <cell r="R57">
            <v>0.90835338123059406</v>
          </cell>
          <cell r="S57">
            <v>0.90576559452056926</v>
          </cell>
          <cell r="T57">
            <v>1026195.32086764</v>
          </cell>
          <cell r="U57">
            <v>38.170286185565622</v>
          </cell>
          <cell r="V57">
            <v>1193538.5011960969</v>
          </cell>
          <cell r="W57">
            <v>46.31713793784634</v>
          </cell>
          <cell r="X57">
            <v>1649852.8508649969</v>
          </cell>
          <cell r="Y57">
            <v>64.879354255647655</v>
          </cell>
          <cell r="Z57">
            <v>0.20832350761114141</v>
          </cell>
          <cell r="AA57">
            <v>59196.363184101378</v>
          </cell>
          <cell r="AB57">
            <v>2653.6793215363432</v>
          </cell>
          <cell r="AC57">
            <v>151.49669329712799</v>
          </cell>
          <cell r="AD57">
            <v>120.18320854168221</v>
          </cell>
          <cell r="AE57">
            <v>159.6234096508708</v>
          </cell>
          <cell r="AF57">
            <v>385.51223429550771</v>
          </cell>
          <cell r="AG57">
            <v>167.91687164136121</v>
          </cell>
          <cell r="AH57">
            <v>92.420594821182476</v>
          </cell>
          <cell r="AI57">
            <v>89.170633483116546</v>
          </cell>
          <cell r="AJ57">
            <v>148.74625384874761</v>
          </cell>
          <cell r="AK57">
            <v>103.7587545689845</v>
          </cell>
          <cell r="AL57">
            <v>210.01359713779871</v>
          </cell>
          <cell r="AM57">
            <v>200.2159286393713</v>
          </cell>
          <cell r="AN57">
            <v>178.61002111343291</v>
          </cell>
          <cell r="AO57">
            <v>161.95481131115221</v>
          </cell>
          <cell r="AP57">
            <v>141.53226499294769</v>
          </cell>
          <cell r="AQ57">
            <v>46.304997740889618</v>
          </cell>
          <cell r="AR57">
            <v>140.7771268343534</v>
          </cell>
          <cell r="AS57">
            <v>116.5456978089331</v>
          </cell>
          <cell r="AT57">
            <v>3538777.0091665369</v>
          </cell>
          <cell r="AX57">
            <v>149.78431125634549</v>
          </cell>
        </row>
        <row r="58">
          <cell r="B58">
            <v>42236.935071638152</v>
          </cell>
          <cell r="C58">
            <v>18310.674427829879</v>
          </cell>
          <cell r="D58">
            <v>73109.637247604755</v>
          </cell>
          <cell r="E58">
            <v>23759.43514533796</v>
          </cell>
          <cell r="F58">
            <v>1049430.990646597</v>
          </cell>
          <cell r="G58">
            <v>267.67231304221468</v>
          </cell>
          <cell r="H58">
            <v>401.04182573690241</v>
          </cell>
          <cell r="I58">
            <v>192.4806119706731</v>
          </cell>
          <cell r="J58">
            <v>10878.47570492695</v>
          </cell>
          <cell r="K58">
            <v>65941.110443192243</v>
          </cell>
          <cell r="L58">
            <v>55471.866704898937</v>
          </cell>
          <cell r="M58">
            <v>0.41938225648064881</v>
          </cell>
          <cell r="N58">
            <v>2.5196773761763001</v>
          </cell>
          <cell r="O58">
            <v>2.074792040934669</v>
          </cell>
          <cell r="P58">
            <v>25144.41413811428</v>
          </cell>
          <cell r="Q58">
            <v>24422.694136935759</v>
          </cell>
          <cell r="R58">
            <v>0.92434820924021388</v>
          </cell>
          <cell r="S58">
            <v>0.92916814205350262</v>
          </cell>
          <cell r="T58">
            <v>1022056.209092443</v>
          </cell>
          <cell r="U58">
            <v>38.205659556700041</v>
          </cell>
          <cell r="V58">
            <v>1173894.816210228</v>
          </cell>
          <cell r="W58">
            <v>46.529550740684549</v>
          </cell>
          <cell r="X58">
            <v>1703027.3684808421</v>
          </cell>
          <cell r="Y58">
            <v>64.258060774574318</v>
          </cell>
          <cell r="Z58">
            <v>0.19867290187587319</v>
          </cell>
          <cell r="AA58">
            <v>57604.528474878301</v>
          </cell>
          <cell r="AB58">
            <v>152639.88809317321</v>
          </cell>
          <cell r="AC58">
            <v>150.84275723575621</v>
          </cell>
          <cell r="AD58">
            <v>119.0357914838784</v>
          </cell>
          <cell r="AE58">
            <v>163.3947603014978</v>
          </cell>
          <cell r="AF58">
            <v>403.15770157139588</v>
          </cell>
          <cell r="AG58">
            <v>165.77741438202321</v>
          </cell>
          <cell r="AH58">
            <v>103.15587991779751</v>
          </cell>
          <cell r="AI58">
            <v>88.965391358520449</v>
          </cell>
          <cell r="AJ58">
            <v>151.01937175924439</v>
          </cell>
          <cell r="AK58">
            <v>104.1290159184106</v>
          </cell>
          <cell r="AL58">
            <v>221.3800502488489</v>
          </cell>
          <cell r="AM58">
            <v>202.1442061451969</v>
          </cell>
          <cell r="AN58">
            <v>185.00600915439111</v>
          </cell>
          <cell r="AO58">
            <v>155.6282956121735</v>
          </cell>
          <cell r="AP58">
            <v>151.18741146439459</v>
          </cell>
          <cell r="AQ58">
            <v>51.845231828778438</v>
          </cell>
          <cell r="AR58">
            <v>143.1444802966881</v>
          </cell>
          <cell r="AS58">
            <v>119.9524268116985</v>
          </cell>
          <cell r="AT58">
            <v>3298928.1771126208</v>
          </cell>
          <cell r="AX58">
            <v>151.03581894200551</v>
          </cell>
        </row>
        <row r="59">
          <cell r="B59">
            <v>40847.174279226798</v>
          </cell>
          <cell r="C59">
            <v>20480.67669481401</v>
          </cell>
          <cell r="D59">
            <v>77509.750563765905</v>
          </cell>
          <cell r="E59">
            <v>22162.061937132359</v>
          </cell>
          <cell r="F59">
            <v>1032389.381702135</v>
          </cell>
          <cell r="G59">
            <v>300.2168769643863</v>
          </cell>
          <cell r="H59">
            <v>416.614794448265</v>
          </cell>
          <cell r="I59">
            <v>203.36633791761719</v>
          </cell>
          <cell r="J59">
            <v>9729.2550869506158</v>
          </cell>
          <cell r="K59">
            <v>67708.118455582793</v>
          </cell>
          <cell r="L59">
            <v>50764.186306004107</v>
          </cell>
          <cell r="M59">
            <v>0.40461631041075019</v>
          </cell>
          <cell r="N59">
            <v>2.6200407339528522</v>
          </cell>
          <cell r="O59">
            <v>1.8668253984133341</v>
          </cell>
          <cell r="P59">
            <v>27972.977232902751</v>
          </cell>
          <cell r="Q59">
            <v>27387.186767737261</v>
          </cell>
          <cell r="R59">
            <v>1.049016354261421</v>
          </cell>
          <cell r="S59">
            <v>0.99875648502593994</v>
          </cell>
          <cell r="T59">
            <v>1176571.651251747</v>
          </cell>
          <cell r="U59">
            <v>44.708343048163691</v>
          </cell>
          <cell r="V59">
            <v>1249643.590927077</v>
          </cell>
          <cell r="W59">
            <v>46.3424405086636</v>
          </cell>
          <cell r="X59">
            <v>1765012.2573141281</v>
          </cell>
          <cell r="Y59">
            <v>65.139268677137849</v>
          </cell>
          <cell r="Z59">
            <v>0.22061130959716119</v>
          </cell>
          <cell r="AA59">
            <v>58645.869549245079</v>
          </cell>
          <cell r="AB59">
            <v>152895.70010017231</v>
          </cell>
          <cell r="AC59">
            <v>149.2795185079265</v>
          </cell>
          <cell r="AD59">
            <v>117.2885044028656</v>
          </cell>
          <cell r="AE59">
            <v>153.98235689036241</v>
          </cell>
          <cell r="AF59">
            <v>377.93594143623102</v>
          </cell>
          <cell r="AG59">
            <v>167.6784668881993</v>
          </cell>
          <cell r="AH59">
            <v>86.361730829886369</v>
          </cell>
          <cell r="AI59">
            <v>88.910140704048985</v>
          </cell>
          <cell r="AJ59">
            <v>147.1667121514752</v>
          </cell>
          <cell r="AK59">
            <v>89.964039555162529</v>
          </cell>
          <cell r="AL59">
            <v>202.89951755978919</v>
          </cell>
          <cell r="AM59">
            <v>198.5245644262497</v>
          </cell>
          <cell r="AN59">
            <v>184.18415566534881</v>
          </cell>
          <cell r="AO59">
            <v>152.61216154167909</v>
          </cell>
          <cell r="AP59">
            <v>146.65819372728041</v>
          </cell>
          <cell r="AQ59">
            <v>46.340199914308918</v>
          </cell>
          <cell r="AR59">
            <v>147.18785296068259</v>
          </cell>
          <cell r="AS59">
            <v>120.2804867594043</v>
          </cell>
          <cell r="AT59">
            <v>3356342.9915514039</v>
          </cell>
          <cell r="AX59">
            <v>150.8423741226506</v>
          </cell>
        </row>
        <row r="60">
          <cell r="B60">
            <v>40312.381657573103</v>
          </cell>
          <cell r="C60">
            <v>16362.629509532209</v>
          </cell>
          <cell r="D60">
            <v>82524.072063223968</v>
          </cell>
          <cell r="E60">
            <v>24766.58345208177</v>
          </cell>
          <cell r="F60">
            <v>1132882.718483733</v>
          </cell>
          <cell r="G60">
            <v>289.99389002406292</v>
          </cell>
          <cell r="H60">
            <v>419.02805412792651</v>
          </cell>
          <cell r="I60">
            <v>201.67264520001609</v>
          </cell>
          <cell r="J60">
            <v>12351.67165999437</v>
          </cell>
          <cell r="K60">
            <v>75545.955894613347</v>
          </cell>
          <cell r="L60">
            <v>50213.014975370927</v>
          </cell>
          <cell r="M60">
            <v>0.45830359212783162</v>
          </cell>
          <cell r="N60">
            <v>2.8392367510844032</v>
          </cell>
          <cell r="O60">
            <v>1.7985317084549199</v>
          </cell>
          <cell r="P60">
            <v>27199.0009553983</v>
          </cell>
          <cell r="Q60">
            <v>27409.88762734519</v>
          </cell>
          <cell r="R60">
            <v>0.9741642646302946</v>
          </cell>
          <cell r="S60">
            <v>0.99467199641097648</v>
          </cell>
          <cell r="T60">
            <v>1147672.63617253</v>
          </cell>
          <cell r="U60">
            <v>41.532688050295967</v>
          </cell>
          <cell r="V60">
            <v>1285677.910111536</v>
          </cell>
          <cell r="W60">
            <v>46.252161284354962</v>
          </cell>
          <cell r="X60">
            <v>1755179.2398705829</v>
          </cell>
          <cell r="Y60">
            <v>64.072145886759287</v>
          </cell>
          <cell r="Z60">
            <v>0.2200485376387849</v>
          </cell>
          <cell r="AA60">
            <v>61509.494636412572</v>
          </cell>
          <cell r="AB60">
            <v>159623.4821686674</v>
          </cell>
          <cell r="AC60">
            <v>154.23658908653809</v>
          </cell>
          <cell r="AD60">
            <v>116.7960345686961</v>
          </cell>
          <cell r="AE60">
            <v>157.58350374562281</v>
          </cell>
          <cell r="AF60">
            <v>368.30194788214823</v>
          </cell>
          <cell r="AG60">
            <v>171.49454592629499</v>
          </cell>
          <cell r="AH60">
            <v>93.339206001409821</v>
          </cell>
          <cell r="AI60">
            <v>89.09796918958564</v>
          </cell>
          <cell r="AJ60">
            <v>121.7749814562071</v>
          </cell>
          <cell r="AK60">
            <v>100.97162792750279</v>
          </cell>
          <cell r="AL60">
            <v>207.13010912875771</v>
          </cell>
          <cell r="AM60">
            <v>216.145074506219</v>
          </cell>
          <cell r="AN60">
            <v>189.2048315135176</v>
          </cell>
          <cell r="AO60">
            <v>151.93540734056899</v>
          </cell>
          <cell r="AP60">
            <v>144.57853951879659</v>
          </cell>
          <cell r="AQ60">
            <v>51.770780307603033</v>
          </cell>
          <cell r="AR60">
            <v>149.17862804138761</v>
          </cell>
          <cell r="AS60">
            <v>120.4808311600794</v>
          </cell>
          <cell r="AT60">
            <v>3317965.5717275441</v>
          </cell>
          <cell r="AX60">
            <v>153.53895749393919</v>
          </cell>
        </row>
        <row r="61">
          <cell r="B61">
            <v>42568.770852166817</v>
          </cell>
          <cell r="C61">
            <v>17999.328233677741</v>
          </cell>
          <cell r="D61">
            <v>82299.610063409797</v>
          </cell>
          <cell r="E61">
            <v>24403.236506153829</v>
          </cell>
          <cell r="F61">
            <v>1060044.9267228821</v>
          </cell>
          <cell r="G61">
            <v>302.33791703989641</v>
          </cell>
          <cell r="H61">
            <v>424.60797941456678</v>
          </cell>
          <cell r="I61">
            <v>204.41128288225079</v>
          </cell>
          <cell r="J61">
            <v>11902.105506640981</v>
          </cell>
          <cell r="K61">
            <v>75715.518218715442</v>
          </cell>
          <cell r="L61">
            <v>50653.238287206281</v>
          </cell>
          <cell r="M61">
            <v>0.4204280988685507</v>
          </cell>
          <cell r="N61">
            <v>2.6402013845943668</v>
          </cell>
          <cell r="O61">
            <v>1.7731816525953501</v>
          </cell>
          <cell r="P61">
            <v>29804.566804648381</v>
          </cell>
          <cell r="Q61">
            <v>28292.75238487629</v>
          </cell>
          <cell r="R61">
            <v>1.1061421521998731</v>
          </cell>
          <cell r="S61">
            <v>0.99606631624091069</v>
          </cell>
          <cell r="T61">
            <v>1272506.1850712691</v>
          </cell>
          <cell r="U61">
            <v>48.059178691038177</v>
          </cell>
          <cell r="V61">
            <v>1315508.537530652</v>
          </cell>
          <cell r="W61">
            <v>46.139151954696722</v>
          </cell>
          <cell r="X61">
            <v>1841592.714265903</v>
          </cell>
          <cell r="Y61">
            <v>65.42958182679331</v>
          </cell>
          <cell r="Z61">
            <v>0.21806873865826831</v>
          </cell>
          <cell r="AA61">
            <v>57209.72366922853</v>
          </cell>
          <cell r="AB61">
            <v>157298.31831330509</v>
          </cell>
          <cell r="AC61">
            <v>148.85505770615831</v>
          </cell>
          <cell r="AD61">
            <v>116.7897478822937</v>
          </cell>
          <cell r="AE61">
            <v>160.6336651763074</v>
          </cell>
          <cell r="AF61">
            <v>382.91387719517701</v>
          </cell>
          <cell r="AG61">
            <v>166.54105965940039</v>
          </cell>
          <cell r="AH61">
            <v>90.577782702058627</v>
          </cell>
          <cell r="AI61">
            <v>87.863054221491666</v>
          </cell>
          <cell r="AJ61">
            <v>130.09882120782021</v>
          </cell>
          <cell r="AK61">
            <v>104.88742092510419</v>
          </cell>
          <cell r="AL61">
            <v>215.70196962199779</v>
          </cell>
          <cell r="AM61">
            <v>204.84669472896729</v>
          </cell>
          <cell r="AN61">
            <v>191.229501044861</v>
          </cell>
          <cell r="AO61">
            <v>154.29123513798521</v>
          </cell>
          <cell r="AP61">
            <v>152.21126010050341</v>
          </cell>
          <cell r="AQ61">
            <v>42.384923346548412</v>
          </cell>
          <cell r="AR61">
            <v>145.9021465514742</v>
          </cell>
          <cell r="AS61">
            <v>117.834839252845</v>
          </cell>
          <cell r="AT61">
            <v>3043160.9593117461</v>
          </cell>
          <cell r="AX61">
            <v>151.4072204899602</v>
          </cell>
        </row>
        <row r="62">
          <cell r="B62">
            <v>39901.452972188687</v>
          </cell>
          <cell r="C62">
            <v>20264.668777178489</v>
          </cell>
          <cell r="D62">
            <v>72735.738444112765</v>
          </cell>
          <cell r="E62">
            <v>14877.90519955858</v>
          </cell>
          <cell r="F62">
            <v>1121625.7922270319</v>
          </cell>
          <cell r="G62">
            <v>337.69047173587131</v>
          </cell>
          <cell r="H62">
            <v>407.43278057024412</v>
          </cell>
          <cell r="I62">
            <v>191.63173883881299</v>
          </cell>
          <cell r="J62">
            <v>14224.18045466281</v>
          </cell>
          <cell r="K62">
            <v>77013.106114283597</v>
          </cell>
          <cell r="L62">
            <v>49805.219590037188</v>
          </cell>
          <cell r="M62">
            <v>0.45276544958332471</v>
          </cell>
          <cell r="N62">
            <v>2.79556402582896</v>
          </cell>
          <cell r="O62">
            <v>1.7139009093043931</v>
          </cell>
          <cell r="P62">
            <v>32561.544634536502</v>
          </cell>
          <cell r="Q62">
            <v>31414.2541370709</v>
          </cell>
          <cell r="R62">
            <v>1.1942313749511499</v>
          </cell>
          <cell r="S62">
            <v>1.144093147272891</v>
          </cell>
          <cell r="T62">
            <v>1420193.3098674261</v>
          </cell>
          <cell r="U62">
            <v>51.25103945813035</v>
          </cell>
          <cell r="V62">
            <v>1361783.6764964359</v>
          </cell>
          <cell r="W62">
            <v>46.895541740027873</v>
          </cell>
          <cell r="X62">
            <v>1918452.265768609</v>
          </cell>
          <cell r="Y62">
            <v>65.88280165098098</v>
          </cell>
          <cell r="Z62">
            <v>0.22997903117895929</v>
          </cell>
          <cell r="AA62">
            <v>56620.041336808201</v>
          </cell>
          <cell r="AB62">
            <v>157114.6084698489</v>
          </cell>
          <cell r="AC62">
            <v>153.57090201219421</v>
          </cell>
          <cell r="AD62">
            <v>116.5557659716554</v>
          </cell>
          <cell r="AE62">
            <v>158.96308722995909</v>
          </cell>
          <cell r="AF62">
            <v>358.95075912995401</v>
          </cell>
          <cell r="AG62">
            <v>171.48158747371161</v>
          </cell>
          <cell r="AH62">
            <v>91.701551577910763</v>
          </cell>
          <cell r="AI62">
            <v>88.645061525164863</v>
          </cell>
          <cell r="AJ62">
            <v>151.17593576741911</v>
          </cell>
          <cell r="AK62">
            <v>99.602985351712718</v>
          </cell>
          <cell r="AL62">
            <v>207.7326758903219</v>
          </cell>
          <cell r="AM62">
            <v>209.56254358198569</v>
          </cell>
          <cell r="AN62">
            <v>187.86978855372641</v>
          </cell>
          <cell r="AO62">
            <v>151.71056415950059</v>
          </cell>
          <cell r="AP62">
            <v>142.59041020011719</v>
          </cell>
          <cell r="AQ62">
            <v>43.302182196273947</v>
          </cell>
          <cell r="AR62">
            <v>148.55663951258279</v>
          </cell>
          <cell r="AS62">
            <v>115.9204964607172</v>
          </cell>
          <cell r="AT62">
            <v>3306407.1888282672</v>
          </cell>
          <cell r="AX62">
            <v>151.43138712568901</v>
          </cell>
        </row>
        <row r="63">
          <cell r="B63">
            <v>39955.350324159808</v>
          </cell>
          <cell r="C63">
            <v>20762.94647255075</v>
          </cell>
          <cell r="D63">
            <v>76727.917976951547</v>
          </cell>
          <cell r="E63">
            <v>15763.670538990251</v>
          </cell>
          <cell r="F63">
            <v>1063118.004815439</v>
          </cell>
          <cell r="G63">
            <v>342.67010340002253</v>
          </cell>
          <cell r="H63">
            <v>445.61603502393001</v>
          </cell>
          <cell r="I63">
            <v>240.0623984743053</v>
          </cell>
          <cell r="J63">
            <v>15832.951333005851</v>
          </cell>
          <cell r="K63">
            <v>83090.994780305846</v>
          </cell>
          <cell r="L63">
            <v>52976.926135227637</v>
          </cell>
          <cell r="M63">
            <v>0.54401369882594885</v>
          </cell>
          <cell r="N63">
            <v>2.804871142000291</v>
          </cell>
          <cell r="O63">
            <v>1.7356389958623419</v>
          </cell>
          <cell r="P63">
            <v>32286.515351423921</v>
          </cell>
          <cell r="Q63">
            <v>30138.657118292929</v>
          </cell>
          <cell r="R63">
            <v>1.1306235727585841</v>
          </cell>
          <cell r="S63">
            <v>1.0434064585435321</v>
          </cell>
          <cell r="T63">
            <v>1393258.0939726259</v>
          </cell>
          <cell r="U63">
            <v>49.063820171891351</v>
          </cell>
          <cell r="V63">
            <v>1374912.2834363889</v>
          </cell>
          <cell r="W63">
            <v>46.120252826261918</v>
          </cell>
          <cell r="X63">
            <v>1938008.7852837669</v>
          </cell>
          <cell r="Y63">
            <v>65.060337866439241</v>
          </cell>
          <cell r="Z63">
            <v>0.25337777691462388</v>
          </cell>
          <cell r="AA63">
            <v>56980.62370407609</v>
          </cell>
          <cell r="AB63">
            <v>148944.64839488571</v>
          </cell>
          <cell r="AC63">
            <v>151.17720125837951</v>
          </cell>
          <cell r="AD63">
            <v>120.26316094644081</v>
          </cell>
          <cell r="AE63">
            <v>157.19446527749679</v>
          </cell>
          <cell r="AF63">
            <v>356.76965373354318</v>
          </cell>
          <cell r="AG63">
            <v>170.41660292369579</v>
          </cell>
          <cell r="AH63">
            <v>89.114708288367169</v>
          </cell>
          <cell r="AI63">
            <v>88.314250468045302</v>
          </cell>
          <cell r="AJ63">
            <v>153.03186121886409</v>
          </cell>
          <cell r="AK63">
            <v>99.986025313603363</v>
          </cell>
          <cell r="AL63">
            <v>202.25431548774051</v>
          </cell>
          <cell r="AM63">
            <v>205.87039668783939</v>
          </cell>
          <cell r="AN63">
            <v>196.1609370043972</v>
          </cell>
          <cell r="AO63">
            <v>145.74831622981119</v>
          </cell>
          <cell r="AP63">
            <v>143.93227568215841</v>
          </cell>
          <cell r="AQ63">
            <v>44.533088571699317</v>
          </cell>
          <cell r="AR63">
            <v>149.7607773137112</v>
          </cell>
          <cell r="AS63">
            <v>115.073543974497</v>
          </cell>
          <cell r="AT63">
            <v>3198751.576110105</v>
          </cell>
          <cell r="AX63">
            <v>150.43149335322079</v>
          </cell>
        </row>
        <row r="64">
          <cell r="B64">
            <v>47967.468920222847</v>
          </cell>
          <cell r="C64">
            <v>25806.40894683855</v>
          </cell>
          <cell r="D64">
            <v>79500.004607128329</v>
          </cell>
          <cell r="E64">
            <v>16764.927702241581</v>
          </cell>
          <cell r="F64">
            <v>1055933.258473926</v>
          </cell>
          <cell r="G64">
            <v>344.80686908977663</v>
          </cell>
          <cell r="H64">
            <v>467.38013976140149</v>
          </cell>
          <cell r="I64">
            <v>267.00674243921839</v>
          </cell>
          <cell r="J64">
            <v>13357.47319860602</v>
          </cell>
          <cell r="K64">
            <v>85480.065374071637</v>
          </cell>
          <cell r="L64">
            <v>61161.950812154028</v>
          </cell>
          <cell r="M64">
            <v>0.39641698660639563</v>
          </cell>
          <cell r="N64">
            <v>2.712340750939604</v>
          </cell>
          <cell r="O64">
            <v>2.0033490414956989</v>
          </cell>
          <cell r="P64">
            <v>30877.211506670461</v>
          </cell>
          <cell r="Q64">
            <v>31236.323441776909</v>
          </cell>
          <cell r="R64">
            <v>1.0467006136958681</v>
          </cell>
          <cell r="S64">
            <v>1.089075942783704</v>
          </cell>
          <cell r="T64">
            <v>1309320.0298231889</v>
          </cell>
          <cell r="U64">
            <v>45.417344393027292</v>
          </cell>
          <cell r="V64">
            <v>1387746.5400519141</v>
          </cell>
          <cell r="W64">
            <v>45.193025727714478</v>
          </cell>
          <cell r="X64">
            <v>1998175.183506086</v>
          </cell>
          <cell r="Y64">
            <v>65.88682725415164</v>
          </cell>
          <cell r="Z64">
            <v>0.2476428341490258</v>
          </cell>
          <cell r="AA64">
            <v>60439.731157641982</v>
          </cell>
          <cell r="AB64">
            <v>153067.8576120917</v>
          </cell>
          <cell r="AC64">
            <v>157.70178108708549</v>
          </cell>
          <cell r="AD64">
            <v>120.392288906998</v>
          </cell>
          <cell r="AE64">
            <v>159.94429361091059</v>
          </cell>
          <cell r="AF64">
            <v>379.3619945265317</v>
          </cell>
          <cell r="AG64">
            <v>167.22913508766959</v>
          </cell>
          <cell r="AH64">
            <v>93.988821299160904</v>
          </cell>
          <cell r="AI64">
            <v>84.439366367248283</v>
          </cell>
          <cell r="AJ64">
            <v>154.36447147793069</v>
          </cell>
          <cell r="AK64">
            <v>100.2506855645218</v>
          </cell>
          <cell r="AL64">
            <v>207.50547267144469</v>
          </cell>
          <cell r="AM64">
            <v>201.7165750941088</v>
          </cell>
          <cell r="AN64">
            <v>200.5573118056991</v>
          </cell>
          <cell r="AO64">
            <v>146.2288861845324</v>
          </cell>
          <cell r="AP64">
            <v>172.92076085222541</v>
          </cell>
          <cell r="AQ64">
            <v>44.647060787570453</v>
          </cell>
          <cell r="AR64">
            <v>149.4927632264756</v>
          </cell>
          <cell r="AS64">
            <v>114.74364293579499</v>
          </cell>
          <cell r="AT64">
            <v>3251822.4516479908</v>
          </cell>
          <cell r="AX64">
            <v>151.24616293545989</v>
          </cell>
        </row>
        <row r="65">
          <cell r="B65">
            <v>42654.916393054787</v>
          </cell>
          <cell r="C65">
            <v>19372.608279076379</v>
          </cell>
          <cell r="D65">
            <v>75446.099211363369</v>
          </cell>
          <cell r="E65">
            <v>16708.574793549691</v>
          </cell>
          <cell r="F65">
            <v>1021464.807400582</v>
          </cell>
          <cell r="G65">
            <v>321.34543261546412</v>
          </cell>
          <cell r="H65">
            <v>452.2402005756889</v>
          </cell>
          <cell r="I65">
            <v>217.12204662018959</v>
          </cell>
          <cell r="J65">
            <v>15918.152888457629</v>
          </cell>
          <cell r="K65">
            <v>84081.858639462065</v>
          </cell>
          <cell r="L65">
            <v>56834.04341376495</v>
          </cell>
          <cell r="M65">
            <v>0.49489105844061893</v>
          </cell>
          <cell r="N65">
            <v>2.698742997689715</v>
          </cell>
          <cell r="O65">
            <v>1.8312461920934819</v>
          </cell>
          <cell r="P65">
            <v>32037.508605352708</v>
          </cell>
          <cell r="Q65">
            <v>31818.15939063477</v>
          </cell>
          <cell r="R65">
            <v>1.0272509470165569</v>
          </cell>
          <cell r="S65">
            <v>1.027045236590838</v>
          </cell>
          <cell r="T65">
            <v>1400244.611450111</v>
          </cell>
          <cell r="U65">
            <v>45.264375751543952</v>
          </cell>
          <cell r="V65">
            <v>1351673.970282679</v>
          </cell>
          <cell r="W65">
            <v>45.341863948190891</v>
          </cell>
          <cell r="X65">
            <v>1974787.2227929391</v>
          </cell>
          <cell r="Y65">
            <v>63.817450991506391</v>
          </cell>
          <cell r="Z65">
            <v>0.18942381131723079</v>
          </cell>
          <cell r="AA65">
            <v>59775.477161218078</v>
          </cell>
          <cell r="AB65">
            <v>152187.48351808399</v>
          </cell>
          <cell r="AC65">
            <v>151.21402789906699</v>
          </cell>
          <cell r="AD65">
            <v>116.8486088837025</v>
          </cell>
          <cell r="AE65">
            <v>158.6256500519072</v>
          </cell>
          <cell r="AF65">
            <v>365.68706712052079</v>
          </cell>
          <cell r="AG65">
            <v>170.20453327192439</v>
          </cell>
          <cell r="AH65">
            <v>91.36021262769961</v>
          </cell>
          <cell r="AI65">
            <v>85.703388171093181</v>
          </cell>
          <cell r="AJ65">
            <v>154.55867104318801</v>
          </cell>
          <cell r="AK65">
            <v>101.17699888930029</v>
          </cell>
          <cell r="AL65">
            <v>216.52158938667759</v>
          </cell>
          <cell r="AM65">
            <v>195.56772292276571</v>
          </cell>
          <cell r="AN65">
            <v>196.6403006381519</v>
          </cell>
          <cell r="AO65">
            <v>145.84411494788</v>
          </cell>
          <cell r="AP65">
            <v>154.88991870774649</v>
          </cell>
          <cell r="AQ65">
            <v>40.85005543279788</v>
          </cell>
          <cell r="AR65">
            <v>149.29088043094211</v>
          </cell>
          <cell r="AS65">
            <v>115.8109842963688</v>
          </cell>
          <cell r="AT65">
            <v>2917805.904567624</v>
          </cell>
          <cell r="AX65">
            <v>146.14775080293879</v>
          </cell>
        </row>
        <row r="66">
          <cell r="B66">
            <v>41706.701838691013</v>
          </cell>
          <cell r="C66">
            <v>19747.159858761999</v>
          </cell>
          <cell r="D66">
            <v>75921.45676188037</v>
          </cell>
          <cell r="E66">
            <v>14215.08770841677</v>
          </cell>
          <cell r="F66">
            <v>1000234.701851615</v>
          </cell>
          <cell r="G66">
            <v>304.56704770644723</v>
          </cell>
          <cell r="H66">
            <v>428.43478660435341</v>
          </cell>
          <cell r="I66">
            <v>195.87760303840699</v>
          </cell>
          <cell r="J66">
            <v>11939.311585262431</v>
          </cell>
          <cell r="K66">
            <v>86751.241955752062</v>
          </cell>
          <cell r="L66">
            <v>60342.139487829467</v>
          </cell>
          <cell r="M66">
            <v>0.45248175214125341</v>
          </cell>
          <cell r="N66">
            <v>2.747050491963607</v>
          </cell>
          <cell r="O66">
            <v>2.0505553239246752</v>
          </cell>
          <cell r="P66">
            <v>29626.566910608679</v>
          </cell>
          <cell r="Q66">
            <v>30178.821720545729</v>
          </cell>
          <cell r="R66">
            <v>0.90138968037272771</v>
          </cell>
          <cell r="S66">
            <v>0.93984527014767327</v>
          </cell>
          <cell r="T66">
            <v>1280055.3772431519</v>
          </cell>
          <cell r="U66">
            <v>39.568260277858641</v>
          </cell>
          <cell r="V66">
            <v>1453168.9512198151</v>
          </cell>
          <cell r="W66">
            <v>46.552878698571703</v>
          </cell>
          <cell r="X66">
            <v>2048971.189419169</v>
          </cell>
          <cell r="Y66">
            <v>66.650233504473405</v>
          </cell>
          <cell r="Z66">
            <v>0.30950018167874987</v>
          </cell>
          <cell r="AA66">
            <v>59511.754223469223</v>
          </cell>
          <cell r="AB66">
            <v>149892.18933126231</v>
          </cell>
          <cell r="AC66">
            <v>149.60330683507709</v>
          </cell>
          <cell r="AD66">
            <v>117.0320265088817</v>
          </cell>
          <cell r="AE66">
            <v>153.87972307703239</v>
          </cell>
          <cell r="AF66">
            <v>357.00817333556921</v>
          </cell>
          <cell r="AG66">
            <v>167.51420845785751</v>
          </cell>
          <cell r="AH66">
            <v>89.753409645263218</v>
          </cell>
          <cell r="AI66">
            <v>87.913687222526406</v>
          </cell>
          <cell r="AJ66">
            <v>158.33659314626519</v>
          </cell>
          <cell r="AK66">
            <v>98.195303924654411</v>
          </cell>
          <cell r="AL66">
            <v>194.93998943038551</v>
          </cell>
          <cell r="AM66">
            <v>189.10564590609459</v>
          </cell>
          <cell r="AN66">
            <v>187.718785668853</v>
          </cell>
          <cell r="AO66">
            <v>144.45988459558299</v>
          </cell>
          <cell r="AP66">
            <v>151.1576624394441</v>
          </cell>
          <cell r="AQ66">
            <v>38.247962590973387</v>
          </cell>
          <cell r="AR66">
            <v>140.61810695156419</v>
          </cell>
          <cell r="AS66">
            <v>115.1353466617833</v>
          </cell>
          <cell r="AT66">
            <v>2847711.9056184511</v>
          </cell>
          <cell r="AX66">
            <v>146.36498587502561</v>
          </cell>
        </row>
        <row r="67">
          <cell r="B67">
            <v>38221.984693837912</v>
          </cell>
          <cell r="C67">
            <v>22820.974786155959</v>
          </cell>
          <cell r="D67">
            <v>49962.136361376201</v>
          </cell>
          <cell r="E67">
            <v>12735.828625134831</v>
          </cell>
          <cell r="F67">
            <v>999375.37006187637</v>
          </cell>
          <cell r="G67">
            <v>295.46996358012689</v>
          </cell>
          <cell r="H67">
            <v>415.74128209029101</v>
          </cell>
          <cell r="I67">
            <v>208.21552162251999</v>
          </cell>
          <cell r="J67">
            <v>17932.476233940961</v>
          </cell>
          <cell r="K67">
            <v>91209.492193200116</v>
          </cell>
          <cell r="L67">
            <v>65752.297014540905</v>
          </cell>
          <cell r="M67">
            <v>0.54992987031079299</v>
          </cell>
          <cell r="N67">
            <v>2.7993500876730608</v>
          </cell>
          <cell r="O67">
            <v>2.1648556748803021</v>
          </cell>
          <cell r="P67">
            <v>28619.277874361709</v>
          </cell>
          <cell r="Q67">
            <v>28737.511475738971</v>
          </cell>
          <cell r="R67">
            <v>0.83607837521081285</v>
          </cell>
          <cell r="S67">
            <v>0.88278764073649285</v>
          </cell>
          <cell r="T67">
            <v>1281333.326588104</v>
          </cell>
          <cell r="U67">
            <v>36.928394089372922</v>
          </cell>
          <cell r="V67">
            <v>1582722.554612967</v>
          </cell>
          <cell r="W67">
            <v>47.248894728496438</v>
          </cell>
          <cell r="X67">
            <v>2086193.7941459799</v>
          </cell>
          <cell r="Y67">
            <v>67.097021930384898</v>
          </cell>
          <cell r="Z67">
            <v>0.3178181129620985</v>
          </cell>
          <cell r="AA67">
            <v>58298.232908059254</v>
          </cell>
          <cell r="AB67">
            <v>147151.78511262391</v>
          </cell>
          <cell r="AC67">
            <v>148.48041481050191</v>
          </cell>
          <cell r="AD67">
            <v>112.90886748921</v>
          </cell>
          <cell r="AE67">
            <v>150.76858305170421</v>
          </cell>
          <cell r="AF67">
            <v>352.25571880744297</v>
          </cell>
          <cell r="AG67">
            <v>163.99635387405559</v>
          </cell>
          <cell r="AH67">
            <v>92.763601655414917</v>
          </cell>
          <cell r="AI67">
            <v>87.116190934476336</v>
          </cell>
          <cell r="AJ67">
            <v>154.60721592502091</v>
          </cell>
          <cell r="AK67">
            <v>88.332797119969129</v>
          </cell>
          <cell r="AL67">
            <v>193.4167992821599</v>
          </cell>
          <cell r="AM67">
            <v>194.9286306615131</v>
          </cell>
          <cell r="AN67">
            <v>183.83179652319541</v>
          </cell>
          <cell r="AO67">
            <v>143.15766001678929</v>
          </cell>
          <cell r="AP67">
            <v>138.083833465407</v>
          </cell>
          <cell r="AQ67">
            <v>37.256753432529067</v>
          </cell>
          <cell r="AR67">
            <v>135.4230285621791</v>
          </cell>
          <cell r="AS67">
            <v>111.6312918115059</v>
          </cell>
          <cell r="AT67">
            <v>2927367.1254520132</v>
          </cell>
          <cell r="AX67">
            <v>142.99231049372909</v>
          </cell>
        </row>
        <row r="68">
          <cell r="B68">
            <v>43341.070957548</v>
          </cell>
          <cell r="C68">
            <v>25699.415731906389</v>
          </cell>
          <cell r="D68">
            <v>48298.586462953637</v>
          </cell>
          <cell r="E68">
            <v>10768.40791633454</v>
          </cell>
          <cell r="F68">
            <v>973883.1380315898</v>
          </cell>
          <cell r="G68">
            <v>313.92978663045102</v>
          </cell>
          <cell r="H68">
            <v>441.17780394453189</v>
          </cell>
          <cell r="I68">
            <v>211.0590571005537</v>
          </cell>
          <cell r="J68">
            <v>15976.071034224071</v>
          </cell>
          <cell r="K68">
            <v>91521.96320193728</v>
          </cell>
          <cell r="L68">
            <v>60859.227853777513</v>
          </cell>
          <cell r="M68">
            <v>0.46182962704683173</v>
          </cell>
          <cell r="N68">
            <v>2.6917394256459022</v>
          </cell>
          <cell r="O68">
            <v>1.7485751160788281</v>
          </cell>
          <cell r="P68">
            <v>28046.64091772601</v>
          </cell>
          <cell r="Q68">
            <v>28261.62035443819</v>
          </cell>
          <cell r="R68">
            <v>0.83344940941514356</v>
          </cell>
          <cell r="S68">
            <v>0.82540576977685653</v>
          </cell>
          <cell r="T68">
            <v>1324346.8889089569</v>
          </cell>
          <cell r="U68">
            <v>36.271681830487182</v>
          </cell>
          <cell r="V68">
            <v>1410863.5376463169</v>
          </cell>
          <cell r="W68">
            <v>44.399834097653738</v>
          </cell>
          <cell r="X68">
            <v>1992882.37398644</v>
          </cell>
          <cell r="Y68">
            <v>60.516519444926153</v>
          </cell>
          <cell r="Z68">
            <v>0.34620195213991528</v>
          </cell>
          <cell r="AA68">
            <v>59340.990951863103</v>
          </cell>
          <cell r="AB68">
            <v>143043.6247121279</v>
          </cell>
          <cell r="AC68">
            <v>149.20175870154301</v>
          </cell>
          <cell r="AD68">
            <v>113.00134073590679</v>
          </cell>
          <cell r="AE68">
            <v>147.67223651480921</v>
          </cell>
          <cell r="AF68">
            <v>375.82792332466062</v>
          </cell>
          <cell r="AG68">
            <v>166.17270677962321</v>
          </cell>
          <cell r="AH68">
            <v>88.4315447418508</v>
          </cell>
          <cell r="AI68">
            <v>86.754030661230715</v>
          </cell>
          <cell r="AJ68">
            <v>152.6712188777478</v>
          </cell>
          <cell r="AK68">
            <v>85.556573484250222</v>
          </cell>
          <cell r="AL68">
            <v>182.17631143963121</v>
          </cell>
          <cell r="AM68">
            <v>189.74855706675419</v>
          </cell>
          <cell r="AN68">
            <v>194.81379227397341</v>
          </cell>
          <cell r="AO68">
            <v>143.81054437312409</v>
          </cell>
          <cell r="AP68">
            <v>155.64051551443731</v>
          </cell>
          <cell r="AQ68">
            <v>37.693298450042427</v>
          </cell>
          <cell r="AR68">
            <v>135.02112382868299</v>
          </cell>
          <cell r="AS68">
            <v>108.89435656478059</v>
          </cell>
          <cell r="AT68">
            <v>2973111.574640628</v>
          </cell>
          <cell r="AX68">
            <v>144.2132331030061</v>
          </cell>
        </row>
        <row r="69">
          <cell r="B69">
            <v>44330.758523781347</v>
          </cell>
          <cell r="C69">
            <v>26841.937962672371</v>
          </cell>
          <cell r="D69">
            <v>46802.510388980227</v>
          </cell>
          <cell r="E69">
            <v>11051.334853325239</v>
          </cell>
          <cell r="F69">
            <v>983022.36165675125</v>
          </cell>
          <cell r="G69">
            <v>317.40302489267629</v>
          </cell>
          <cell r="H69">
            <v>422.75693599929878</v>
          </cell>
          <cell r="I69">
            <v>203.0366437926096</v>
          </cell>
          <cell r="J69">
            <v>20623.61130800219</v>
          </cell>
          <cell r="K69">
            <v>93470.747920308757</v>
          </cell>
          <cell r="L69">
            <v>63175.057992712151</v>
          </cell>
          <cell r="M69">
            <v>0.50422181654448139</v>
          </cell>
          <cell r="N69">
            <v>2.659425329558764</v>
          </cell>
          <cell r="O69">
            <v>1.7933169359246359</v>
          </cell>
          <cell r="P69">
            <v>29518.170398773971</v>
          </cell>
          <cell r="Q69">
            <v>28219.169405033979</v>
          </cell>
          <cell r="R69">
            <v>0.82329597215386352</v>
          </cell>
          <cell r="S69">
            <v>0.81256511851316182</v>
          </cell>
          <cell r="T69">
            <v>1341142.346115276</v>
          </cell>
          <cell r="U69">
            <v>36.689494051370872</v>
          </cell>
          <cell r="V69">
            <v>1477238.323215283</v>
          </cell>
          <cell r="W69">
            <v>42.662335758812027</v>
          </cell>
          <cell r="X69">
            <v>2193368.4054512829</v>
          </cell>
          <cell r="Y69">
            <v>64.391924438951634</v>
          </cell>
          <cell r="Z69">
            <v>0.35549506990817131</v>
          </cell>
          <cell r="AA69">
            <v>60610.005479636951</v>
          </cell>
          <cell r="AB69">
            <v>146252.69835681489</v>
          </cell>
          <cell r="AC69">
            <v>146.5530574131383</v>
          </cell>
          <cell r="AD69">
            <v>113.4023205832795</v>
          </cell>
          <cell r="AE69">
            <v>141.18930220173471</v>
          </cell>
          <cell r="AF69">
            <v>355.09069375145532</v>
          </cell>
          <cell r="AG69">
            <v>164.14200139578449</v>
          </cell>
          <cell r="AH69">
            <v>86.413798352324037</v>
          </cell>
          <cell r="AI69">
            <v>86.292427051234966</v>
          </cell>
          <cell r="AJ69">
            <v>153.8242094343837</v>
          </cell>
          <cell r="AK69">
            <v>97.739917795553822</v>
          </cell>
          <cell r="AL69">
            <v>152.92561685989051</v>
          </cell>
          <cell r="AM69">
            <v>190.71245491438069</v>
          </cell>
          <cell r="AN69">
            <v>190.5469904069646</v>
          </cell>
          <cell r="AO69">
            <v>140.20796352527819</v>
          </cell>
          <cell r="AP69">
            <v>157.42990110250361</v>
          </cell>
          <cell r="AQ69">
            <v>34.876041109668947</v>
          </cell>
          <cell r="AR69">
            <v>135.23088809006239</v>
          </cell>
          <cell r="AS69">
            <v>107.9280936165319</v>
          </cell>
          <cell r="AT69">
            <v>2886752.9839368812</v>
          </cell>
          <cell r="AX69">
            <v>146.74669656673831</v>
          </cell>
        </row>
        <row r="70">
          <cell r="B70">
            <v>33320.027370451236</v>
          </cell>
          <cell r="C70">
            <v>20920.068342920229</v>
          </cell>
          <cell r="D70">
            <v>40952.583297888523</v>
          </cell>
          <cell r="E70">
            <v>7376.1159714963796</v>
          </cell>
          <cell r="F70">
            <v>929759.41385795129</v>
          </cell>
          <cell r="G70">
            <v>307.69456326519838</v>
          </cell>
          <cell r="H70">
            <v>418.9568397654354</v>
          </cell>
          <cell r="I70">
            <v>192.82790983592</v>
          </cell>
          <cell r="J70">
            <v>22465.566495807681</v>
          </cell>
          <cell r="K70">
            <v>100400.0685495276</v>
          </cell>
          <cell r="L70">
            <v>65158.537052173328</v>
          </cell>
          <cell r="M70">
            <v>0.5711675579224601</v>
          </cell>
          <cell r="N70">
            <v>2.7424254953458829</v>
          </cell>
          <cell r="O70">
            <v>1.715735630345238</v>
          </cell>
          <cell r="P70">
            <v>31994.49449180963</v>
          </cell>
          <cell r="Q70">
            <v>31214.08315805225</v>
          </cell>
          <cell r="R70">
            <v>0.84497465681279005</v>
          </cell>
          <cell r="S70">
            <v>0.85977578602978</v>
          </cell>
          <cell r="T70">
            <v>1361815.21974804</v>
          </cell>
          <cell r="U70">
            <v>38.33393854722398</v>
          </cell>
          <cell r="V70">
            <v>1519233.9849876389</v>
          </cell>
          <cell r="W70">
            <v>43.541422203028837</v>
          </cell>
          <cell r="X70">
            <v>2194869.3525401279</v>
          </cell>
          <cell r="Y70">
            <v>59.229094585964198</v>
          </cell>
          <cell r="Z70">
            <v>0.40315107979767428</v>
          </cell>
          <cell r="AA70">
            <v>57692.55223181023</v>
          </cell>
          <cell r="AB70">
            <v>134970.17029047309</v>
          </cell>
          <cell r="AC70">
            <v>143.25823098154211</v>
          </cell>
          <cell r="AD70">
            <v>106.00778668330589</v>
          </cell>
          <cell r="AE70">
            <v>147.9824015885676</v>
          </cell>
          <cell r="AF70">
            <v>322.02213791930632</v>
          </cell>
          <cell r="AG70">
            <v>162.61038237991289</v>
          </cell>
          <cell r="AH70">
            <v>81.269489822597208</v>
          </cell>
          <cell r="AI70">
            <v>86.425804858337358</v>
          </cell>
          <cell r="AJ70">
            <v>150.73442106487681</v>
          </cell>
          <cell r="AK70">
            <v>95.814804258358706</v>
          </cell>
          <cell r="AL70">
            <v>183.4402013569626</v>
          </cell>
          <cell r="AM70">
            <v>186.5250606009642</v>
          </cell>
          <cell r="AN70">
            <v>187.73114444833459</v>
          </cell>
          <cell r="AO70">
            <v>139.65329604494769</v>
          </cell>
          <cell r="AP70">
            <v>119.4920646378514</v>
          </cell>
          <cell r="AQ70">
            <v>34.398670060494382</v>
          </cell>
          <cell r="AR70">
            <v>131.3332090796516</v>
          </cell>
          <cell r="AS70">
            <v>107.2650314373161</v>
          </cell>
          <cell r="AT70">
            <v>3002777.087260833</v>
          </cell>
          <cell r="AX70">
            <v>143.58966836528609</v>
          </cell>
        </row>
        <row r="71">
          <cell r="B71">
            <v>34584.299091730332</v>
          </cell>
          <cell r="C71">
            <v>20993.245395465259</v>
          </cell>
          <cell r="D71">
            <v>38824.156917639622</v>
          </cell>
          <cell r="E71">
            <v>8649.1767663562277</v>
          </cell>
          <cell r="F71">
            <v>933760.86920437519</v>
          </cell>
          <cell r="G71">
            <v>299.87791181927832</v>
          </cell>
          <cell r="H71">
            <v>424.22629249847932</v>
          </cell>
          <cell r="I71">
            <v>195.52835909728779</v>
          </cell>
          <cell r="J71">
            <v>21734.561525096062</v>
          </cell>
          <cell r="K71">
            <v>107786.9106565527</v>
          </cell>
          <cell r="L71">
            <v>65215.975750160629</v>
          </cell>
          <cell r="M71">
            <v>0.63316291257957436</v>
          </cell>
          <cell r="N71">
            <v>2.8425452773995512</v>
          </cell>
          <cell r="O71">
            <v>1.6729122428918299</v>
          </cell>
          <cell r="P71">
            <v>30332.716643446362</v>
          </cell>
          <cell r="Q71">
            <v>31344.01531794171</v>
          </cell>
          <cell r="R71">
            <v>0.77651213774843619</v>
          </cell>
          <cell r="S71">
            <v>0.76205575876086729</v>
          </cell>
          <cell r="T71">
            <v>1339718.662649747</v>
          </cell>
          <cell r="U71">
            <v>34.764273969800698</v>
          </cell>
          <cell r="V71">
            <v>1444685.798070665</v>
          </cell>
          <cell r="W71">
            <v>37.610503146456743</v>
          </cell>
          <cell r="X71">
            <v>2203660.0663383128</v>
          </cell>
          <cell r="Y71">
            <v>54.454559352360327</v>
          </cell>
          <cell r="Z71">
            <v>0.51175960063616976</v>
          </cell>
          <cell r="AA71">
            <v>61760.738628666462</v>
          </cell>
          <cell r="AB71">
            <v>138129.13513398939</v>
          </cell>
          <cell r="AC71">
            <v>151.09242182456481</v>
          </cell>
          <cell r="AD71">
            <v>104.2625167677861</v>
          </cell>
          <cell r="AE71">
            <v>150.81425867720489</v>
          </cell>
          <cell r="AF71">
            <v>339.41794453835712</v>
          </cell>
          <cell r="AG71">
            <v>167.1827126626707</v>
          </cell>
          <cell r="AH71">
            <v>99.951504697822799</v>
          </cell>
          <cell r="AI71">
            <v>85.185033700974216</v>
          </cell>
          <cell r="AJ71">
            <v>151.1719354438994</v>
          </cell>
          <cell r="AK71">
            <v>96.967398766927531</v>
          </cell>
          <cell r="AL71">
            <v>185.84981945666399</v>
          </cell>
          <cell r="AM71">
            <v>182.05050856074061</v>
          </cell>
          <cell r="AN71">
            <v>189.2660761449244</v>
          </cell>
          <cell r="AO71">
            <v>139.66482492704881</v>
          </cell>
          <cell r="AP71">
            <v>123.8506287468069</v>
          </cell>
          <cell r="AQ71">
            <v>28.441824701341911</v>
          </cell>
          <cell r="AR71">
            <v>127.08714724156749</v>
          </cell>
          <cell r="AS71">
            <v>105.2088254418564</v>
          </cell>
          <cell r="AT71">
            <v>3161361.194563434</v>
          </cell>
          <cell r="AX71">
            <v>144.20531456409469</v>
          </cell>
        </row>
        <row r="72">
          <cell r="B72">
            <v>32673.393435512549</v>
          </cell>
          <cell r="C72">
            <v>24297.53267647258</v>
          </cell>
          <cell r="D72">
            <v>37070.300770555092</v>
          </cell>
          <cell r="E72">
            <v>10011.949416027541</v>
          </cell>
          <cell r="F72">
            <v>939437.60291077336</v>
          </cell>
          <cell r="G72">
            <v>310.07568097657492</v>
          </cell>
          <cell r="H72">
            <v>439.62568040455437</v>
          </cell>
          <cell r="I72">
            <v>206.21410879606259</v>
          </cell>
          <cell r="J72">
            <v>25253.201037487652</v>
          </cell>
          <cell r="K72">
            <v>98334.971410366707</v>
          </cell>
          <cell r="L72">
            <v>64544.084162039922</v>
          </cell>
          <cell r="M72">
            <v>0.6242792175222005</v>
          </cell>
          <cell r="N72">
            <v>2.518835359044433</v>
          </cell>
          <cell r="O72">
            <v>1.7009366804780881</v>
          </cell>
          <cell r="P72">
            <v>30602.300529690219</v>
          </cell>
          <cell r="Q72">
            <v>30430.461045507691</v>
          </cell>
          <cell r="R72">
            <v>0.76524494000557164</v>
          </cell>
          <cell r="S72">
            <v>0.75868402551165437</v>
          </cell>
          <cell r="T72">
            <v>1380200.113495226</v>
          </cell>
          <cell r="U72">
            <v>33.740050330635682</v>
          </cell>
          <cell r="V72">
            <v>1458587.8296146609</v>
          </cell>
          <cell r="W72">
            <v>34.167940847393233</v>
          </cell>
          <cell r="X72">
            <v>2231998.804831441</v>
          </cell>
          <cell r="Y72">
            <v>54.962347934908777</v>
          </cell>
          <cell r="Z72">
            <v>0.49593193358388432</v>
          </cell>
          <cell r="AA72">
            <v>61005.656051105463</v>
          </cell>
          <cell r="AB72">
            <v>130629.3277181062</v>
          </cell>
          <cell r="AC72">
            <v>146.686561123845</v>
          </cell>
          <cell r="AD72">
            <v>102.18519002447201</v>
          </cell>
          <cell r="AE72">
            <v>147.73069794093959</v>
          </cell>
          <cell r="AF72">
            <v>331.6392503441752</v>
          </cell>
          <cell r="AG72">
            <v>165.42448641921649</v>
          </cell>
          <cell r="AH72">
            <v>83.497723360722091</v>
          </cell>
          <cell r="AI72">
            <v>85.92143560943407</v>
          </cell>
          <cell r="AJ72">
            <v>150.63427679488419</v>
          </cell>
          <cell r="AK72">
            <v>95.258239322538202</v>
          </cell>
          <cell r="AL72">
            <v>182.00607901318651</v>
          </cell>
          <cell r="AM72">
            <v>186.65325272887421</v>
          </cell>
          <cell r="AN72">
            <v>194.196676589379</v>
          </cell>
          <cell r="AO72">
            <v>138.8500857925836</v>
          </cell>
          <cell r="AP72">
            <v>117.05957185632749</v>
          </cell>
          <cell r="AQ72">
            <v>32.629483985412293</v>
          </cell>
          <cell r="AR72">
            <v>126.9909433614841</v>
          </cell>
          <cell r="AS72">
            <v>105.0213206832272</v>
          </cell>
          <cell r="AT72">
            <v>3207771.273742646</v>
          </cell>
          <cell r="AX72">
            <v>142.8634555755315</v>
          </cell>
        </row>
        <row r="73">
          <cell r="B73">
            <v>30340.603949829809</v>
          </cell>
          <cell r="C73">
            <v>21846.919077022379</v>
          </cell>
          <cell r="D73">
            <v>40240.619723694617</v>
          </cell>
          <cell r="E73">
            <v>8985.037234831816</v>
          </cell>
          <cell r="F73">
            <v>898659.47173463798</v>
          </cell>
          <cell r="G73">
            <v>305.27504747208491</v>
          </cell>
          <cell r="H73">
            <v>395.60927427936991</v>
          </cell>
          <cell r="I73">
            <v>157.74920775403581</v>
          </cell>
          <cell r="J73">
            <v>27418.82340579501</v>
          </cell>
          <cell r="K73">
            <v>104067.48387252841</v>
          </cell>
          <cell r="L73">
            <v>71863.221666587895</v>
          </cell>
          <cell r="M73">
            <v>0.68440453910602506</v>
          </cell>
          <cell r="N73">
            <v>2.4886689409074618</v>
          </cell>
          <cell r="O73">
            <v>1.6753482883304269</v>
          </cell>
          <cell r="P73">
            <v>29159.340357795121</v>
          </cell>
          <cell r="Q73">
            <v>30258.616168634071</v>
          </cell>
          <cell r="R73">
            <v>0.7459519149616014</v>
          </cell>
          <cell r="S73">
            <v>0.72831458628813528</v>
          </cell>
          <cell r="T73">
            <v>1230416.3584573921</v>
          </cell>
          <cell r="U73">
            <v>32.22173732676881</v>
          </cell>
          <cell r="V73">
            <v>1511002.8829578171</v>
          </cell>
          <cell r="W73">
            <v>34.722319384222068</v>
          </cell>
          <cell r="X73">
            <v>2249132.79669515</v>
          </cell>
          <cell r="Y73">
            <v>53.649611129608751</v>
          </cell>
          <cell r="Z73">
            <v>0.46080076146938781</v>
          </cell>
          <cell r="AA73">
            <v>59392.112275957843</v>
          </cell>
          <cell r="AB73">
            <v>126303.66974166399</v>
          </cell>
          <cell r="AC73">
            <v>144.36734830872939</v>
          </cell>
          <cell r="AD73">
            <v>100.6432475856999</v>
          </cell>
          <cell r="AE73">
            <v>142.7167838887643</v>
          </cell>
          <cell r="AF73">
            <v>314.65964376844988</v>
          </cell>
          <cell r="AG73">
            <v>162.540830424874</v>
          </cell>
          <cell r="AH73">
            <v>83.759153567172035</v>
          </cell>
          <cell r="AI73">
            <v>86.379569868066383</v>
          </cell>
          <cell r="AJ73">
            <v>146.68083141711119</v>
          </cell>
          <cell r="AK73">
            <v>95.379401040746743</v>
          </cell>
          <cell r="AL73">
            <v>173.44441062749181</v>
          </cell>
          <cell r="AM73">
            <v>178.0718568558957</v>
          </cell>
          <cell r="AN73">
            <v>179.00105382224271</v>
          </cell>
          <cell r="AO73">
            <v>139.0912837447699</v>
          </cell>
          <cell r="AP73">
            <v>107.92976030835131</v>
          </cell>
          <cell r="AQ73">
            <v>35.473350973545848</v>
          </cell>
          <cell r="AR73">
            <v>124.3503896396323</v>
          </cell>
          <cell r="AS73">
            <v>104.5849607927604</v>
          </cell>
          <cell r="AT73">
            <v>3155576.7903916072</v>
          </cell>
          <cell r="AX73">
            <v>140.8700959017211</v>
          </cell>
        </row>
        <row r="74">
          <cell r="B74">
            <v>31204.344449665012</v>
          </cell>
          <cell r="C74">
            <v>16759.345454118851</v>
          </cell>
          <cell r="D74">
            <v>35610.424525259783</v>
          </cell>
          <cell r="E74">
            <v>9475.0557331439813</v>
          </cell>
          <cell r="F74">
            <v>910637.67780678754</v>
          </cell>
          <cell r="G74">
            <v>273.00650052444962</v>
          </cell>
          <cell r="H74">
            <v>426.00736688142462</v>
          </cell>
          <cell r="I74">
            <v>193.1408509699946</v>
          </cell>
          <cell r="J74">
            <v>31848.448378063509</v>
          </cell>
          <cell r="K74">
            <v>101644.5322446489</v>
          </cell>
          <cell r="L74">
            <v>75057.773271550628</v>
          </cell>
          <cell r="M74">
            <v>0.65314058538519204</v>
          </cell>
          <cell r="N74">
            <v>2.5014870626495669</v>
          </cell>
          <cell r="O74">
            <v>1.7092432059973139</v>
          </cell>
          <cell r="P74">
            <v>33878.522343195553</v>
          </cell>
          <cell r="Q74">
            <v>31499.70713747988</v>
          </cell>
          <cell r="R74">
            <v>0.80868829453826141</v>
          </cell>
          <cell r="S74">
            <v>0.75744762299633195</v>
          </cell>
          <cell r="T74">
            <v>1451100.6452310551</v>
          </cell>
          <cell r="U74">
            <v>34.348927406308981</v>
          </cell>
          <cell r="V74">
            <v>1509551.392130729</v>
          </cell>
          <cell r="W74">
            <v>34.350285183003152</v>
          </cell>
          <cell r="X74">
            <v>2264421.419779622</v>
          </cell>
          <cell r="Y74">
            <v>51.679901706035523</v>
          </cell>
          <cell r="Z74">
            <v>0.4541662250314592</v>
          </cell>
          <cell r="AA74">
            <v>62641.380656193098</v>
          </cell>
          <cell r="AB74">
            <v>141656.87405631461</v>
          </cell>
          <cell r="AC74">
            <v>146.565989154921</v>
          </cell>
          <cell r="AD74">
            <v>100.3150852111897</v>
          </cell>
          <cell r="AE74">
            <v>140.12357159507931</v>
          </cell>
          <cell r="AF74">
            <v>326.19171686933078</v>
          </cell>
          <cell r="AG74">
            <v>165.66623195054871</v>
          </cell>
          <cell r="AH74">
            <v>82.992931637169534</v>
          </cell>
          <cell r="AI74">
            <v>85.587981638657112</v>
          </cell>
          <cell r="AJ74">
            <v>149.54988607995779</v>
          </cell>
          <cell r="AK74">
            <v>94.834700956545021</v>
          </cell>
          <cell r="AL74">
            <v>167.34602727644091</v>
          </cell>
          <cell r="AM74">
            <v>179.14731296199071</v>
          </cell>
          <cell r="AN74">
            <v>184.90366012182611</v>
          </cell>
          <cell r="AO74">
            <v>137.07396606343011</v>
          </cell>
          <cell r="AP74">
            <v>112.7833056731197</v>
          </cell>
          <cell r="AQ74">
            <v>31.534749427844229</v>
          </cell>
          <cell r="AR74">
            <v>122.4761545260809</v>
          </cell>
          <cell r="AS74">
            <v>103.1005694199695</v>
          </cell>
          <cell r="AT74">
            <v>3156119.4762512119</v>
          </cell>
          <cell r="AX74">
            <v>142.0342964618271</v>
          </cell>
        </row>
        <row r="75">
          <cell r="B75">
            <v>32105.773664645702</v>
          </cell>
          <cell r="C75">
            <v>20112.57158114218</v>
          </cell>
          <cell r="D75">
            <v>32694.254015816099</v>
          </cell>
          <cell r="E75">
            <v>8257.4519174761517</v>
          </cell>
          <cell r="F75">
            <v>1061246.8809774299</v>
          </cell>
          <cell r="G75">
            <v>279.1191693323467</v>
          </cell>
          <cell r="H75">
            <v>343.09163494890021</v>
          </cell>
          <cell r="I75">
            <v>188.82086463930091</v>
          </cell>
          <cell r="J75">
            <v>28170.359309457392</v>
          </cell>
          <cell r="K75">
            <v>111232.1997390241</v>
          </cell>
          <cell r="L75">
            <v>79172.292766135884</v>
          </cell>
          <cell r="M75">
            <v>0.67869781392192619</v>
          </cell>
          <cell r="N75">
            <v>2.514134956212644</v>
          </cell>
          <cell r="O75">
            <v>1.7310532822038089</v>
          </cell>
          <cell r="P75">
            <v>34882.258609025746</v>
          </cell>
          <cell r="Q75">
            <v>34537.895198335842</v>
          </cell>
          <cell r="R75">
            <v>0.79113298936519527</v>
          </cell>
          <cell r="S75">
            <v>0.76520670572226157</v>
          </cell>
          <cell r="T75">
            <v>1434077.83778599</v>
          </cell>
          <cell r="U75">
            <v>33.722018409884903</v>
          </cell>
          <cell r="V75">
            <v>1561442.0942845319</v>
          </cell>
          <cell r="W75">
            <v>34.218035605148224</v>
          </cell>
          <cell r="X75">
            <v>2364629.755474166</v>
          </cell>
          <cell r="Y75">
            <v>51.252179486891613</v>
          </cell>
          <cell r="Z75">
            <v>0.40270318504847707</v>
          </cell>
          <cell r="AA75">
            <v>63034.700787986112</v>
          </cell>
          <cell r="AB75">
            <v>151185.02804006331</v>
          </cell>
          <cell r="AC75">
            <v>147.59633969216549</v>
          </cell>
          <cell r="AD75">
            <v>101.989180583818</v>
          </cell>
          <cell r="AE75">
            <v>148.33917868473591</v>
          </cell>
          <cell r="AF75">
            <v>339.48574788674188</v>
          </cell>
          <cell r="AG75">
            <v>164.73310939224089</v>
          </cell>
          <cell r="AH75">
            <v>92.786368396685134</v>
          </cell>
          <cell r="AI75">
            <v>85.921405512001826</v>
          </cell>
          <cell r="AJ75">
            <v>147.23645686757129</v>
          </cell>
          <cell r="AK75">
            <v>88.662300004042734</v>
          </cell>
          <cell r="AL75">
            <v>183.0823633106771</v>
          </cell>
          <cell r="AM75">
            <v>205.26733233114089</v>
          </cell>
          <cell r="AN75">
            <v>156.65841099842871</v>
          </cell>
          <cell r="AO75">
            <v>137.24040616925501</v>
          </cell>
          <cell r="AP75">
            <v>115.0160361571825</v>
          </cell>
          <cell r="AQ75">
            <v>35.784457192000673</v>
          </cell>
          <cell r="AR75">
            <v>123.5806143745221</v>
          </cell>
          <cell r="AS75">
            <v>102.7210222773144</v>
          </cell>
          <cell r="AT75">
            <v>3052337.3631689842</v>
          </cell>
          <cell r="AX75">
            <v>143.2561368607783</v>
          </cell>
        </row>
        <row r="76">
          <cell r="B76">
            <v>25936.90099742723</v>
          </cell>
          <cell r="C76">
            <v>19288.3217174071</v>
          </cell>
          <cell r="D76">
            <v>33800.013940486562</v>
          </cell>
          <cell r="E76">
            <v>7500.2160646380817</v>
          </cell>
          <cell r="F76">
            <v>900507.16470503621</v>
          </cell>
          <cell r="G76">
            <v>276.80498510242342</v>
          </cell>
          <cell r="H76">
            <v>398.01760903652149</v>
          </cell>
          <cell r="I76">
            <v>191.36615114961239</v>
          </cell>
          <cell r="J76">
            <v>27059.47350016471</v>
          </cell>
          <cell r="K76">
            <v>118207.5418402176</v>
          </cell>
          <cell r="L76">
            <v>77504.867800750333</v>
          </cell>
          <cell r="M76">
            <v>0.67649077471371588</v>
          </cell>
          <cell r="N76">
            <v>2.3836212256695419</v>
          </cell>
          <cell r="O76">
            <v>1.6700285784229201</v>
          </cell>
          <cell r="P76">
            <v>34724.424806322517</v>
          </cell>
          <cell r="Q76">
            <v>33957.124471305797</v>
          </cell>
          <cell r="R76">
            <v>0.7449000504884703</v>
          </cell>
          <cell r="S76">
            <v>0.76179499266024875</v>
          </cell>
          <cell r="T76">
            <v>1388937.7626344259</v>
          </cell>
          <cell r="U76">
            <v>32.249362166631236</v>
          </cell>
          <cell r="V76">
            <v>1569701.906912107</v>
          </cell>
          <cell r="W76">
            <v>32.817979909295708</v>
          </cell>
          <cell r="X76">
            <v>2410766.6635258328</v>
          </cell>
          <cell r="Y76">
            <v>50.525547849903937</v>
          </cell>
          <cell r="Z76">
            <v>0.44369103447396241</v>
          </cell>
          <cell r="AA76">
            <v>59609.439851631207</v>
          </cell>
          <cell r="AB76">
            <v>126933.8525356357</v>
          </cell>
          <cell r="AC76">
            <v>145.74697606981971</v>
          </cell>
          <cell r="AD76">
            <v>91.097330786377213</v>
          </cell>
          <cell r="AE76">
            <v>142.13534903439449</v>
          </cell>
          <cell r="AF76">
            <v>306.69437785688848</v>
          </cell>
          <cell r="AG76">
            <v>151.945420949105</v>
          </cell>
          <cell r="AH76">
            <v>80.617775763111553</v>
          </cell>
          <cell r="AI76">
            <v>84.403554481154046</v>
          </cell>
          <cell r="AJ76">
            <v>145.56800968030069</v>
          </cell>
          <cell r="AK76">
            <v>99.353742900335575</v>
          </cell>
          <cell r="AL76">
            <v>176.52137259540689</v>
          </cell>
          <cell r="AM76">
            <v>181.16336841734969</v>
          </cell>
          <cell r="AN76">
            <v>174.53023667957081</v>
          </cell>
          <cell r="AO76">
            <v>129.96160191082689</v>
          </cell>
          <cell r="AP76">
            <v>92.119668462769738</v>
          </cell>
          <cell r="AQ76">
            <v>35.304649682625843</v>
          </cell>
          <cell r="AR76">
            <v>120.7522151319089</v>
          </cell>
          <cell r="AS76">
            <v>102.33686676002139</v>
          </cell>
          <cell r="AT76">
            <v>3129624.5380212618</v>
          </cell>
          <cell r="AX76">
            <v>139.8686523956533</v>
          </cell>
        </row>
        <row r="77">
          <cell r="B77">
            <v>27971.877055111301</v>
          </cell>
          <cell r="C77">
            <v>21079.341816653861</v>
          </cell>
          <cell r="D77">
            <v>30869.013290162118</v>
          </cell>
          <cell r="E77">
            <v>6875.1201648295573</v>
          </cell>
          <cell r="F77">
            <v>936644.68215926143</v>
          </cell>
          <cell r="G77">
            <v>278.38229352994102</v>
          </cell>
          <cell r="H77">
            <v>416.98878630250749</v>
          </cell>
          <cell r="I77">
            <v>192.03032808402369</v>
          </cell>
          <cell r="J77">
            <v>35750.444705776208</v>
          </cell>
          <cell r="K77">
            <v>117295.3502035502</v>
          </cell>
          <cell r="L77">
            <v>91678.91335872437</v>
          </cell>
          <cell r="M77">
            <v>0.6893421217491591</v>
          </cell>
          <cell r="N77">
            <v>2.455406837381144</v>
          </cell>
          <cell r="O77">
            <v>1.959889048015055</v>
          </cell>
          <cell r="P77">
            <v>33827.931756248887</v>
          </cell>
          <cell r="Q77">
            <v>34234.902401386142</v>
          </cell>
          <cell r="R77">
            <v>0.69683706585683669</v>
          </cell>
          <cell r="S77">
            <v>0.70065075747143946</v>
          </cell>
          <cell r="T77">
            <v>1457636.2855478071</v>
          </cell>
          <cell r="U77">
            <v>30.27404075316554</v>
          </cell>
          <cell r="V77">
            <v>1492857.920385605</v>
          </cell>
          <cell r="W77">
            <v>33.541213793874299</v>
          </cell>
          <cell r="X77">
            <v>2406272.5226446921</v>
          </cell>
          <cell r="Y77">
            <v>50.535267031884601</v>
          </cell>
          <cell r="Z77">
            <v>0.44774530912525778</v>
          </cell>
          <cell r="AA77">
            <v>62414.414684642317</v>
          </cell>
          <cell r="AB77">
            <v>143050.37693892949</v>
          </cell>
          <cell r="AC77">
            <v>149.0431429387616</v>
          </cell>
          <cell r="AD77">
            <v>97.373683081309551</v>
          </cell>
          <cell r="AE77">
            <v>143.41187702272981</v>
          </cell>
          <cell r="AF77">
            <v>314.44740959152188</v>
          </cell>
          <cell r="AG77">
            <v>169.982402146146</v>
          </cell>
          <cell r="AH77">
            <v>84.170260764607903</v>
          </cell>
          <cell r="AI77">
            <v>85.600514186471543</v>
          </cell>
          <cell r="AJ77">
            <v>145.25771189327691</v>
          </cell>
          <cell r="AK77">
            <v>93.870982789055461</v>
          </cell>
          <cell r="AL77">
            <v>171.02965206100691</v>
          </cell>
          <cell r="AM77">
            <v>188.83983960926381</v>
          </cell>
          <cell r="AN77">
            <v>185.42294840132979</v>
          </cell>
          <cell r="AO77">
            <v>136.96539670575811</v>
          </cell>
          <cell r="AP77">
            <v>100.72403185961269</v>
          </cell>
          <cell r="AQ77">
            <v>35.700734542653272</v>
          </cell>
          <cell r="AR77">
            <v>119.59873490533219</v>
          </cell>
          <cell r="AS77">
            <v>101.8143725430064</v>
          </cell>
          <cell r="AT77">
            <v>3299847.0299941609</v>
          </cell>
          <cell r="AX77">
            <v>143.8042063146606</v>
          </cell>
        </row>
        <row r="78">
          <cell r="B78">
            <v>25718.101507339419</v>
          </cell>
          <cell r="C78">
            <v>20517.182858395139</v>
          </cell>
          <cell r="D78">
            <v>30318.668960517829</v>
          </cell>
          <cell r="E78">
            <v>5343.9172279129489</v>
          </cell>
          <cell r="F78">
            <v>1054891.24699365</v>
          </cell>
          <cell r="G78">
            <v>277.03566127897273</v>
          </cell>
          <cell r="H78">
            <v>401.31533097953212</v>
          </cell>
          <cell r="I78">
            <v>202.15198411468671</v>
          </cell>
          <cell r="J78">
            <v>40353.348280803773</v>
          </cell>
          <cell r="K78">
            <v>127761.05258644999</v>
          </cell>
          <cell r="L78">
            <v>107230.35744735719</v>
          </cell>
          <cell r="M78">
            <v>0.86298497320408507</v>
          </cell>
          <cell r="N78">
            <v>2.5326457597067562</v>
          </cell>
          <cell r="O78">
            <v>2.237368199867956</v>
          </cell>
          <cell r="P78">
            <v>35523.932313513047</v>
          </cell>
          <cell r="Q78">
            <v>34742.715203725413</v>
          </cell>
          <cell r="R78">
            <v>0.68912039341645015</v>
          </cell>
          <cell r="S78">
            <v>0.68042403990640343</v>
          </cell>
          <cell r="T78">
            <v>1531382.891287677</v>
          </cell>
          <cell r="U78">
            <v>29.818767019450981</v>
          </cell>
          <cell r="V78">
            <v>1661832.505180344</v>
          </cell>
          <cell r="W78">
            <v>33.7105921989126</v>
          </cell>
          <cell r="X78">
            <v>2378612.3839757862</v>
          </cell>
          <cell r="Y78">
            <v>50.681188817356237</v>
          </cell>
          <cell r="Z78">
            <v>0.53589303953699685</v>
          </cell>
          <cell r="AA78">
            <v>64830.615897560121</v>
          </cell>
          <cell r="AB78">
            <v>141979.13160366571</v>
          </cell>
          <cell r="AC78">
            <v>153.0611981247626</v>
          </cell>
          <cell r="AD78">
            <v>92.407746955699082</v>
          </cell>
          <cell r="AE78">
            <v>147.19016909703129</v>
          </cell>
          <cell r="AF78">
            <v>309.1741312980771</v>
          </cell>
          <cell r="AG78">
            <v>171.56827732803001</v>
          </cell>
          <cell r="AH78">
            <v>90.72840346786208</v>
          </cell>
          <cell r="AI78">
            <v>88.095810982514024</v>
          </cell>
          <cell r="AJ78">
            <v>150.79570874956309</v>
          </cell>
          <cell r="AK78">
            <v>98.917193179897367</v>
          </cell>
          <cell r="AL78">
            <v>181.44735059873929</v>
          </cell>
          <cell r="AM78">
            <v>181.56009150051739</v>
          </cell>
          <cell r="AN78">
            <v>182.60608931622801</v>
          </cell>
          <cell r="AO78">
            <v>134.91708749194299</v>
          </cell>
          <cell r="AP78">
            <v>92.525960396896934</v>
          </cell>
          <cell r="AQ78">
            <v>38.588257968063282</v>
          </cell>
          <cell r="AR78">
            <v>118.4538453309432</v>
          </cell>
          <cell r="AS78">
            <v>101.3777865494045</v>
          </cell>
          <cell r="AT78">
            <v>3164689.593502813</v>
          </cell>
          <cell r="AX78">
            <v>151.76971674374289</v>
          </cell>
        </row>
        <row r="79">
          <cell r="B79">
            <v>22190.840862343121</v>
          </cell>
          <cell r="C79">
            <v>17664.704392632211</v>
          </cell>
          <cell r="D79">
            <v>32970.432757186922</v>
          </cell>
          <cell r="E79">
            <v>7309.2065615522552</v>
          </cell>
          <cell r="F79">
            <v>893488.93369822099</v>
          </cell>
          <cell r="G79">
            <v>271.90619319261839</v>
          </cell>
          <cell r="H79">
            <v>410.88969640513932</v>
          </cell>
          <cell r="I79">
            <v>189.32593100343939</v>
          </cell>
          <cell r="J79">
            <v>35856.539014793598</v>
          </cell>
          <cell r="K79">
            <v>125112.0688918548</v>
          </cell>
          <cell r="L79">
            <v>107997.90936223191</v>
          </cell>
          <cell r="M79">
            <v>0.75537216782975936</v>
          </cell>
          <cell r="N79">
            <v>2.4750964670842279</v>
          </cell>
          <cell r="O79">
            <v>2.1561680190905328</v>
          </cell>
          <cell r="P79">
            <v>45007.559487461127</v>
          </cell>
          <cell r="Q79">
            <v>37306.400079024686</v>
          </cell>
          <cell r="R79">
            <v>0.85884599498194159</v>
          </cell>
          <cell r="S79">
            <v>0.7301989754754572</v>
          </cell>
          <cell r="T79">
            <v>1942310.025005023</v>
          </cell>
          <cell r="U79">
            <v>36.669943949618407</v>
          </cell>
          <cell r="V79">
            <v>1769566.5069183081</v>
          </cell>
          <cell r="W79">
            <v>33.529789191876311</v>
          </cell>
          <cell r="X79">
            <v>2359624.2496183179</v>
          </cell>
          <cell r="Y79">
            <v>50.023394447422334</v>
          </cell>
          <cell r="Z79">
            <v>0.52564924820958958</v>
          </cell>
          <cell r="AA79">
            <v>58741.903495030849</v>
          </cell>
          <cell r="AB79">
            <v>136882.60573919141</v>
          </cell>
          <cell r="AC79">
            <v>147.05846736457039</v>
          </cell>
          <cell r="AD79">
            <v>91.920951541653352</v>
          </cell>
          <cell r="AE79">
            <v>141.797861612601</v>
          </cell>
          <cell r="AF79">
            <v>286.8551998248376</v>
          </cell>
          <cell r="AG79">
            <v>166.7978704351809</v>
          </cell>
          <cell r="AH79">
            <v>78.32019030047168</v>
          </cell>
          <cell r="AI79">
            <v>86.147329277749364</v>
          </cell>
          <cell r="AJ79">
            <v>147.23227000492719</v>
          </cell>
          <cell r="AK79">
            <v>96.820402297896237</v>
          </cell>
          <cell r="AL79">
            <v>167.78725490369581</v>
          </cell>
          <cell r="AM79">
            <v>180.89756878816871</v>
          </cell>
          <cell r="AN79">
            <v>185.8545524324351</v>
          </cell>
          <cell r="AO79">
            <v>134.9973168458628</v>
          </cell>
          <cell r="AP79">
            <v>80.285745788004249</v>
          </cell>
          <cell r="AQ79">
            <v>41.516355121991161</v>
          </cell>
          <cell r="AR79">
            <v>122.02554840205551</v>
          </cell>
          <cell r="AS79">
            <v>101.2702382925163</v>
          </cell>
          <cell r="AT79">
            <v>3907956.368458936</v>
          </cell>
          <cell r="AX79">
            <v>143.04247165017321</v>
          </cell>
        </row>
        <row r="80">
          <cell r="B80">
            <v>24006.19880866586</v>
          </cell>
          <cell r="C80">
            <v>19848.037335212161</v>
          </cell>
          <cell r="D80">
            <v>41709.495471390772</v>
          </cell>
          <cell r="E80">
            <v>8117.8674139125824</v>
          </cell>
          <cell r="F80">
            <v>1012036.304568323</v>
          </cell>
          <cell r="G80">
            <v>230.8703985748665</v>
          </cell>
          <cell r="H80">
            <v>390.83764369625351</v>
          </cell>
          <cell r="I80">
            <v>183.1549766734075</v>
          </cell>
          <cell r="J80">
            <v>42836.929033132408</v>
          </cell>
          <cell r="K80">
            <v>129311.7389242465</v>
          </cell>
          <cell r="L80">
            <v>102420.77211689651</v>
          </cell>
          <cell r="M80">
            <v>0.8276336469244967</v>
          </cell>
          <cell r="N80">
            <v>2.489802254194545</v>
          </cell>
          <cell r="O80">
            <v>1.94593953585725</v>
          </cell>
          <cell r="P80">
            <v>37297.934592694393</v>
          </cell>
          <cell r="Q80">
            <v>41340.203334192651</v>
          </cell>
          <cell r="R80">
            <v>0.74937434475535936</v>
          </cell>
          <cell r="S80">
            <v>0.78604083597107122</v>
          </cell>
          <cell r="T80">
            <v>1884569.642952933</v>
          </cell>
          <cell r="U80">
            <v>32.595130951199927</v>
          </cell>
          <cell r="V80">
            <v>1574935.7948916799</v>
          </cell>
          <cell r="W80">
            <v>33.694048740821259</v>
          </cell>
          <cell r="X80">
            <v>2442949.0676177982</v>
          </cell>
          <cell r="Y80">
            <v>49.641526172173727</v>
          </cell>
          <cell r="Z80">
            <v>0.49294664902305108</v>
          </cell>
          <cell r="AA80">
            <v>66331.842063916585</v>
          </cell>
          <cell r="AB80">
            <v>156581.01684206829</v>
          </cell>
          <cell r="AC80">
            <v>158.73473881851729</v>
          </cell>
          <cell r="AD80">
            <v>101.1839427829494</v>
          </cell>
          <cell r="AE80">
            <v>148.28482193666551</v>
          </cell>
          <cell r="AF80">
            <v>284.48600511854733</v>
          </cell>
          <cell r="AG80">
            <v>178.349129025948</v>
          </cell>
          <cell r="AH80">
            <v>90.40562383193236</v>
          </cell>
          <cell r="AI80">
            <v>86.021866152626743</v>
          </cell>
          <cell r="AJ80">
            <v>141.57543925674179</v>
          </cell>
          <cell r="AK80">
            <v>98.580416421821752</v>
          </cell>
          <cell r="AL80">
            <v>191.31418735000489</v>
          </cell>
          <cell r="AM80">
            <v>185.36769020736389</v>
          </cell>
          <cell r="AN80">
            <v>176.84349280887179</v>
          </cell>
          <cell r="AO80">
            <v>147.49428663030369</v>
          </cell>
          <cell r="AP80">
            <v>85.29859099230886</v>
          </cell>
          <cell r="AQ80">
            <v>45.653602192194832</v>
          </cell>
          <cell r="AR80">
            <v>125.7337060148449</v>
          </cell>
          <cell r="AS80">
            <v>102.2017296466239</v>
          </cell>
          <cell r="AT80">
            <v>4040730.76478273</v>
          </cell>
          <cell r="AX80">
            <v>145.020887396597</v>
          </cell>
        </row>
        <row r="81">
          <cell r="B81">
            <v>26458.87923050582</v>
          </cell>
          <cell r="C81">
            <v>17400.747870509531</v>
          </cell>
          <cell r="D81">
            <v>33461.76152711593</v>
          </cell>
          <cell r="E81">
            <v>8574.103185603748</v>
          </cell>
          <cell r="F81">
            <v>926295.40917896712</v>
          </cell>
          <cell r="G81">
            <v>221.06580637532599</v>
          </cell>
          <cell r="H81">
            <v>402.64388642776612</v>
          </cell>
          <cell r="I81">
            <v>193.9969977093171</v>
          </cell>
          <cell r="J81">
            <v>64531.319792947019</v>
          </cell>
          <cell r="K81">
            <v>142101.92501475339</v>
          </cell>
          <cell r="L81">
            <v>93518.574146240484</v>
          </cell>
          <cell r="M81">
            <v>1.049980282749847</v>
          </cell>
          <cell r="N81">
            <v>2.4987960895760781</v>
          </cell>
          <cell r="O81">
            <v>1.6701436416057289</v>
          </cell>
          <cell r="P81">
            <v>22684.645305555288</v>
          </cell>
          <cell r="Q81">
            <v>31227.27820836641</v>
          </cell>
          <cell r="R81">
            <v>0.42065353294024388</v>
          </cell>
          <cell r="S81">
            <v>0.61251574044117796</v>
          </cell>
          <cell r="T81">
            <v>1033351.7061989791</v>
          </cell>
          <cell r="U81">
            <v>18.075358506098819</v>
          </cell>
          <cell r="V81">
            <v>1830465.5318617909</v>
          </cell>
          <cell r="W81">
            <v>33.358361872884089</v>
          </cell>
          <cell r="X81">
            <v>2671455.5109557109</v>
          </cell>
          <cell r="Y81">
            <v>50.317006310725233</v>
          </cell>
          <cell r="Z81">
            <v>0.563937818376686</v>
          </cell>
          <cell r="AA81">
            <v>62586.951384509091</v>
          </cell>
          <cell r="AB81">
            <v>146205.11086012461</v>
          </cell>
          <cell r="AC81">
            <v>153.4237503745878</v>
          </cell>
          <cell r="AD81">
            <v>93.665615433974466</v>
          </cell>
          <cell r="AE81">
            <v>148.6295315240755</v>
          </cell>
          <cell r="AF81">
            <v>295.67028076083102</v>
          </cell>
          <cell r="AG81">
            <v>173.22115732414221</v>
          </cell>
          <cell r="AH81">
            <v>86.988965063250845</v>
          </cell>
          <cell r="AI81">
            <v>85.68594170719031</v>
          </cell>
          <cell r="AJ81">
            <v>146.69504762347199</v>
          </cell>
          <cell r="AK81">
            <v>100.785011329055</v>
          </cell>
          <cell r="AL81">
            <v>170.33445060593661</v>
          </cell>
          <cell r="AM81">
            <v>184.1866660642402</v>
          </cell>
          <cell r="AN81">
            <v>179.4969139558018</v>
          </cell>
          <cell r="AO81">
            <v>135.97532815807219</v>
          </cell>
          <cell r="AP81">
            <v>93.269296672785757</v>
          </cell>
          <cell r="AQ81">
            <v>40.450192880941238</v>
          </cell>
          <cell r="AR81">
            <v>117.36422379184491</v>
          </cell>
          <cell r="AS81">
            <v>101.2091381808446</v>
          </cell>
          <cell r="AT81">
            <v>4018623.0914069829</v>
          </cell>
          <cell r="AX81">
            <v>141.54557133099851</v>
          </cell>
        </row>
        <row r="82">
          <cell r="B82">
            <v>23301.28441082807</v>
          </cell>
          <cell r="C82">
            <v>18700.883225556201</v>
          </cell>
          <cell r="D82">
            <v>25643.851007435751</v>
          </cell>
          <cell r="E82">
            <v>7893.695714849775</v>
          </cell>
          <cell r="F82">
            <v>851290.41101200157</v>
          </cell>
          <cell r="G82">
            <v>260.63714223381072</v>
          </cell>
          <cell r="H82">
            <v>394.89041881311732</v>
          </cell>
          <cell r="I82">
            <v>180.58201328282519</v>
          </cell>
          <cell r="J82">
            <v>49389.478396448591</v>
          </cell>
          <cell r="K82">
            <v>137270.65368715071</v>
          </cell>
          <cell r="L82">
            <v>93387.906246483049</v>
          </cell>
          <cell r="M82">
            <v>0.78782731675879414</v>
          </cell>
          <cell r="N82">
            <v>2.385691367816237</v>
          </cell>
          <cell r="O82">
            <v>1.580263605925976</v>
          </cell>
          <cell r="P82">
            <v>25849.44415477143</v>
          </cell>
          <cell r="Q82">
            <v>26610.03150270374</v>
          </cell>
          <cell r="R82">
            <v>0.46885210161876911</v>
          </cell>
          <cell r="S82">
            <v>0.50690845976081822</v>
          </cell>
          <cell r="T82">
            <v>1089801.9215600251</v>
          </cell>
          <cell r="U82">
            <v>19.716020569132489</v>
          </cell>
          <cell r="V82">
            <v>1741047.358499418</v>
          </cell>
          <cell r="W82">
            <v>33.30487752662016</v>
          </cell>
          <cell r="X82">
            <v>2732761.7460145261</v>
          </cell>
          <cell r="Y82">
            <v>48.585750529103279</v>
          </cell>
          <cell r="Z82">
            <v>0.59242188562594233</v>
          </cell>
          <cell r="AA82">
            <v>63844.30855182228</v>
          </cell>
          <cell r="AB82">
            <v>143658.54983036121</v>
          </cell>
          <cell r="AC82">
            <v>149.98335965321519</v>
          </cell>
          <cell r="AD82">
            <v>98.201589169453669</v>
          </cell>
          <cell r="AE82">
            <v>143.92556760423619</v>
          </cell>
          <cell r="AF82">
            <v>283.39403697647259</v>
          </cell>
          <cell r="AG82">
            <v>169.9669907502838</v>
          </cell>
          <cell r="AH82">
            <v>86.084886724438022</v>
          </cell>
          <cell r="AI82">
            <v>85.491330593635112</v>
          </cell>
          <cell r="AJ82">
            <v>144.22005402577381</v>
          </cell>
          <cell r="AK82">
            <v>98.430878404395372</v>
          </cell>
          <cell r="AL82">
            <v>175.95275712046501</v>
          </cell>
          <cell r="AM82">
            <v>170.2262476289645</v>
          </cell>
          <cell r="AN82">
            <v>175.49978314906519</v>
          </cell>
          <cell r="AO82">
            <v>140.84250905312729</v>
          </cell>
          <cell r="AP82">
            <v>84.072654917425254</v>
          </cell>
          <cell r="AQ82">
            <v>42.190486234561142</v>
          </cell>
          <cell r="AR82">
            <v>115.14728154234091</v>
          </cell>
          <cell r="AS82">
            <v>100.4701068351872</v>
          </cell>
          <cell r="AT82">
            <v>3205782.428519933</v>
          </cell>
          <cell r="AX82">
            <v>140.44520954082051</v>
          </cell>
        </row>
        <row r="83">
          <cell r="B83">
            <v>27292.140036152359</v>
          </cell>
          <cell r="C83">
            <v>18054.876543637009</v>
          </cell>
          <cell r="D83">
            <v>27455.057328294781</v>
          </cell>
          <cell r="E83">
            <v>9160.9711475849217</v>
          </cell>
          <cell r="F83">
            <v>835856.89489560004</v>
          </cell>
          <cell r="G83">
            <v>251.77666098390301</v>
          </cell>
          <cell r="H83">
            <v>363.87504086145231</v>
          </cell>
          <cell r="I83">
            <v>204.04682928154409</v>
          </cell>
          <cell r="J83">
            <v>51609.864283249357</v>
          </cell>
          <cell r="K83">
            <v>143392.3789155538</v>
          </cell>
          <cell r="L83">
            <v>80644.180755311943</v>
          </cell>
          <cell r="M83">
            <v>0.95636040265162148</v>
          </cell>
          <cell r="N83">
            <v>2.490558458795753</v>
          </cell>
          <cell r="O83">
            <v>1.3842154030316529</v>
          </cell>
          <cell r="P83">
            <v>35689.140483622279</v>
          </cell>
          <cell r="Q83">
            <v>36059.136402621327</v>
          </cell>
          <cell r="R83">
            <v>0.61860895433240792</v>
          </cell>
          <cell r="S83">
            <v>0.55638765941529433</v>
          </cell>
          <cell r="T83">
            <v>1411699.2043031701</v>
          </cell>
          <cell r="U83">
            <v>26.141061269102671</v>
          </cell>
          <cell r="V83">
            <v>1888599.839049632</v>
          </cell>
          <cell r="W83">
            <v>33.376145636842281</v>
          </cell>
          <cell r="X83">
            <v>2851933.587409494</v>
          </cell>
          <cell r="Y83">
            <v>46.17278125128405</v>
          </cell>
          <cell r="Z83">
            <v>0.56073365610115955</v>
          </cell>
          <cell r="AA83">
            <v>64888.710428967701</v>
          </cell>
          <cell r="AB83">
            <v>147056.3693238876</v>
          </cell>
          <cell r="AC83">
            <v>151.6204232063763</v>
          </cell>
          <cell r="AD83">
            <v>102.1473567832556</v>
          </cell>
          <cell r="AE83">
            <v>151.36160397382011</v>
          </cell>
          <cell r="AF83">
            <v>300.21531039386412</v>
          </cell>
          <cell r="AG83">
            <v>172.88088632485639</v>
          </cell>
          <cell r="AH83">
            <v>84.370286591913015</v>
          </cell>
          <cell r="AI83">
            <v>85.436885094903744</v>
          </cell>
          <cell r="AJ83">
            <v>147.56071111553999</v>
          </cell>
          <cell r="AK83">
            <v>99.409065514574849</v>
          </cell>
          <cell r="AL83">
            <v>191.20990224244551</v>
          </cell>
          <cell r="AM83">
            <v>172.61123977406641</v>
          </cell>
          <cell r="AN83">
            <v>174.0064544556034</v>
          </cell>
          <cell r="AO83">
            <v>142.50068913470429</v>
          </cell>
          <cell r="AP83">
            <v>98.096452942038283</v>
          </cell>
          <cell r="AQ83">
            <v>40.598894507140017</v>
          </cell>
          <cell r="AR83">
            <v>116.1421907844538</v>
          </cell>
          <cell r="AS83">
            <v>100.4656825642337</v>
          </cell>
          <cell r="AT83">
            <v>3877708.6594429361</v>
          </cell>
          <cell r="AX83">
            <v>144.04083009700389</v>
          </cell>
        </row>
        <row r="84">
          <cell r="B84">
            <v>22547.96143028696</v>
          </cell>
          <cell r="C84">
            <v>16952.716219961439</v>
          </cell>
          <cell r="D84">
            <v>26058.933525794379</v>
          </cell>
          <cell r="E84">
            <v>7492.6921887977733</v>
          </cell>
          <cell r="F84">
            <v>803376.01198689174</v>
          </cell>
          <cell r="G84">
            <v>239.09001551589679</v>
          </cell>
          <cell r="H84">
            <v>339.50121469989188</v>
          </cell>
          <cell r="I84">
            <v>160.1251609072109</v>
          </cell>
          <cell r="J84">
            <v>72937.23588376191</v>
          </cell>
          <cell r="K84">
            <v>145394.1701941583</v>
          </cell>
          <cell r="L84">
            <v>83286.325378301728</v>
          </cell>
          <cell r="M84">
            <v>1.1877723321401961</v>
          </cell>
          <cell r="N84">
            <v>2.443122171425105</v>
          </cell>
          <cell r="O84">
            <v>1.5203852615080731</v>
          </cell>
          <cell r="P84">
            <v>30558.056745200451</v>
          </cell>
          <cell r="Q84">
            <v>31156.989584375049</v>
          </cell>
          <cell r="R84">
            <v>0.53858928102447312</v>
          </cell>
          <cell r="S84">
            <v>0.53917777748443985</v>
          </cell>
          <cell r="T84">
            <v>1456663.9275515489</v>
          </cell>
          <cell r="U84">
            <v>23.131955032299139</v>
          </cell>
          <cell r="V84">
            <v>1977627.2365578271</v>
          </cell>
          <cell r="W84">
            <v>29.95901763422691</v>
          </cell>
          <cell r="X84">
            <v>2984004.2752423459</v>
          </cell>
          <cell r="Y84">
            <v>45.828048552263503</v>
          </cell>
          <cell r="Z84">
            <v>0.43821449991406253</v>
          </cell>
          <cell r="AA84">
            <v>62290.838043226453</v>
          </cell>
          <cell r="AB84">
            <v>150769.90855780081</v>
          </cell>
          <cell r="AC84">
            <v>147.3854792078952</v>
          </cell>
          <cell r="AD84">
            <v>104.49898032120601</v>
          </cell>
          <cell r="AE84">
            <v>145.22807060771621</v>
          </cell>
          <cell r="AF84">
            <v>253.131424712567</v>
          </cell>
          <cell r="AG84">
            <v>167.09470160699999</v>
          </cell>
          <cell r="AH84">
            <v>82.184294119712362</v>
          </cell>
          <cell r="AI84">
            <v>84.723203248969924</v>
          </cell>
          <cell r="AJ84">
            <v>147.00073378795059</v>
          </cell>
          <cell r="AK84">
            <v>102.3770894120571</v>
          </cell>
          <cell r="AL84">
            <v>184.9962214914772</v>
          </cell>
          <cell r="AM84">
            <v>167.7808029787906</v>
          </cell>
          <cell r="AN84">
            <v>164.669848191847</v>
          </cell>
          <cell r="AO84">
            <v>145.96052188229231</v>
          </cell>
          <cell r="AP84">
            <v>81.898864177676089</v>
          </cell>
          <cell r="AQ84">
            <v>41.72503450080756</v>
          </cell>
          <cell r="AR84">
            <v>115.5082030666904</v>
          </cell>
          <cell r="AS84">
            <v>99.37709915537836</v>
          </cell>
          <cell r="AT84">
            <v>3104143.5832252358</v>
          </cell>
          <cell r="AX84">
            <v>140.87203627030621</v>
          </cell>
        </row>
        <row r="85">
          <cell r="B85">
            <v>25277.786712310361</v>
          </cell>
          <cell r="C85">
            <v>17932.891387810709</v>
          </cell>
          <cell r="D85">
            <v>22953.024608734941</v>
          </cell>
          <cell r="E85">
            <v>4565.21324909738</v>
          </cell>
          <cell r="F85">
            <v>829833.86614111473</v>
          </cell>
          <cell r="G85">
            <v>182.918036283774</v>
          </cell>
          <cell r="H85">
            <v>353.12212438860621</v>
          </cell>
          <cell r="I85">
            <v>149.69031750638871</v>
          </cell>
          <cell r="J85">
            <v>80679.716597822582</v>
          </cell>
          <cell r="K85">
            <v>138792.28573029311</v>
          </cell>
          <cell r="L85">
            <v>100442.3870286172</v>
          </cell>
          <cell r="M85">
            <v>1.3368663570506201</v>
          </cell>
          <cell r="N85">
            <v>2.1890584679366372</v>
          </cell>
          <cell r="O85">
            <v>1.4867149359263481</v>
          </cell>
          <cell r="P85">
            <v>39027.004284422088</v>
          </cell>
          <cell r="Q85">
            <v>36379.129306930838</v>
          </cell>
          <cell r="R85">
            <v>0.64491791477327709</v>
          </cell>
          <cell r="S85">
            <v>0.57558440283857681</v>
          </cell>
          <cell r="T85">
            <v>1728346.470065746</v>
          </cell>
          <cell r="U85">
            <v>27.924311563063199</v>
          </cell>
          <cell r="V85">
            <v>2171883.737943735</v>
          </cell>
          <cell r="W85">
            <v>31.52712405361892</v>
          </cell>
          <cell r="X85">
            <v>2972858.9843369131</v>
          </cell>
          <cell r="Y85">
            <v>45.644682654014559</v>
          </cell>
          <cell r="Z85">
            <v>0.38560012251212161</v>
          </cell>
          <cell r="AA85">
            <v>66023.363172196128</v>
          </cell>
          <cell r="AB85">
            <v>144391.6812889986</v>
          </cell>
          <cell r="AC85">
            <v>150.92058508529789</v>
          </cell>
          <cell r="AD85">
            <v>100.5888122823078</v>
          </cell>
          <cell r="AE85">
            <v>149.73825280893081</v>
          </cell>
          <cell r="AF85">
            <v>273.32808673487358</v>
          </cell>
          <cell r="AG85">
            <v>171.49718658693419</v>
          </cell>
          <cell r="AH85">
            <v>80.804943780717721</v>
          </cell>
          <cell r="AI85">
            <v>84.973800528547457</v>
          </cell>
          <cell r="AJ85">
            <v>147.21897043983151</v>
          </cell>
          <cell r="AK85">
            <v>97.559970815956191</v>
          </cell>
          <cell r="AL85">
            <v>192.3497210121136</v>
          </cell>
          <cell r="AM85">
            <v>169.24345772727139</v>
          </cell>
          <cell r="AN85">
            <v>163.98877766011461</v>
          </cell>
          <cell r="AO85">
            <v>140.8719417886243</v>
          </cell>
          <cell r="AP85">
            <v>81.315541921412432</v>
          </cell>
          <cell r="AQ85">
            <v>41.868151089417793</v>
          </cell>
          <cell r="AR85">
            <v>114.1779250705148</v>
          </cell>
          <cell r="AS85">
            <v>98.295773766944933</v>
          </cell>
          <cell r="AT85">
            <v>3271189.8167175129</v>
          </cell>
          <cell r="AX85">
            <v>140.09593171134651</v>
          </cell>
        </row>
        <row r="86">
          <cell r="B86">
            <v>38891.685518892918</v>
          </cell>
          <cell r="C86">
            <v>18168.932987841941</v>
          </cell>
          <cell r="D86">
            <v>29236.619310106431</v>
          </cell>
          <cell r="E86">
            <v>9024.3694804396528</v>
          </cell>
          <cell r="F86">
            <v>833692.44484300388</v>
          </cell>
          <cell r="G86">
            <v>235.39412891381261</v>
          </cell>
          <cell r="H86">
            <v>336.68651824312462</v>
          </cell>
          <cell r="I86">
            <v>156.4234419064361</v>
          </cell>
          <cell r="J86">
            <v>52481.140577165883</v>
          </cell>
          <cell r="K86">
            <v>153073.07095577501</v>
          </cell>
          <cell r="L86">
            <v>101585.61366090221</v>
          </cell>
          <cell r="M86">
            <v>0.70972622967821031</v>
          </cell>
          <cell r="N86">
            <v>2.4322021111878311</v>
          </cell>
          <cell r="O86">
            <v>1.5289304046681369</v>
          </cell>
          <cell r="P86">
            <v>38252.532696477523</v>
          </cell>
          <cell r="Q86">
            <v>39688.550357975822</v>
          </cell>
          <cell r="R86">
            <v>0.57489188503872179</v>
          </cell>
          <cell r="S86">
            <v>0.59741734963278648</v>
          </cell>
          <cell r="T86">
            <v>1754352.0215429079</v>
          </cell>
          <cell r="U86">
            <v>25.260921910225171</v>
          </cell>
          <cell r="V86">
            <v>2274423.6107978672</v>
          </cell>
          <cell r="W86">
            <v>33.739451680650888</v>
          </cell>
          <cell r="X86">
            <v>3511166.7642298969</v>
          </cell>
          <cell r="Y86">
            <v>51.931875230985263</v>
          </cell>
          <cell r="Z86">
            <v>0.35400966784750387</v>
          </cell>
          <cell r="AA86">
            <v>65071.419581818693</v>
          </cell>
          <cell r="AB86">
            <v>152516.42783934099</v>
          </cell>
          <cell r="AC86">
            <v>151.1968109901442</v>
          </cell>
          <cell r="AD86">
            <v>101.4225941761221</v>
          </cell>
          <cell r="AE86">
            <v>150.47175516292549</v>
          </cell>
          <cell r="AF86">
            <v>373.58611136644708</v>
          </cell>
          <cell r="AG86">
            <v>171.26585709355669</v>
          </cell>
          <cell r="AH86">
            <v>85.198292549802005</v>
          </cell>
          <cell r="AI86">
            <v>86.135674581201485</v>
          </cell>
          <cell r="AJ86">
            <v>143.9927674498262</v>
          </cell>
          <cell r="AK86">
            <v>98.359558368596694</v>
          </cell>
          <cell r="AL86">
            <v>196.824735626592</v>
          </cell>
          <cell r="AM86">
            <v>169.3094767247392</v>
          </cell>
          <cell r="AN86">
            <v>161.99926148917311</v>
          </cell>
          <cell r="AO86">
            <v>139.31280035278999</v>
          </cell>
          <cell r="AP86">
            <v>139.35873732685479</v>
          </cell>
          <cell r="AQ86">
            <v>41.81812489967043</v>
          </cell>
          <cell r="AR86">
            <v>116.9341089991718</v>
          </cell>
          <cell r="AS86">
            <v>102.3509003057201</v>
          </cell>
          <cell r="AT86">
            <v>3063380.875104791</v>
          </cell>
          <cell r="AX86">
            <v>140.86556652123019</v>
          </cell>
        </row>
        <row r="87">
          <cell r="B87">
            <v>26406.726095158181</v>
          </cell>
          <cell r="C87">
            <v>18968.711445514549</v>
          </cell>
          <cell r="D87">
            <v>29379.218941367599</v>
          </cell>
          <cell r="E87">
            <v>8348.1621841054948</v>
          </cell>
          <cell r="F87">
            <v>828180.61436118477</v>
          </cell>
          <cell r="G87">
            <v>260.20069930737191</v>
          </cell>
          <cell r="H87">
            <v>372.35605222046388</v>
          </cell>
          <cell r="I87">
            <v>164.8760390388376</v>
          </cell>
          <cell r="J87">
            <v>33105.480782898638</v>
          </cell>
          <cell r="K87">
            <v>152477.5692118303</v>
          </cell>
          <cell r="L87">
            <v>105009.4550961987</v>
          </cell>
          <cell r="M87">
            <v>0.55560726816553641</v>
          </cell>
          <cell r="N87">
            <v>2.3115404194392459</v>
          </cell>
          <cell r="O87">
            <v>1.5474044372505631</v>
          </cell>
          <cell r="P87">
            <v>36169.451377266247</v>
          </cell>
          <cell r="Q87">
            <v>37957.206331453221</v>
          </cell>
          <cell r="R87">
            <v>0.54401433884023254</v>
          </cell>
          <cell r="S87">
            <v>0.5465341212479824</v>
          </cell>
          <cell r="T87">
            <v>1496530.4340033471</v>
          </cell>
          <cell r="U87">
            <v>23.66819356899169</v>
          </cell>
          <cell r="V87">
            <v>2359590.1228709258</v>
          </cell>
          <cell r="W87">
            <v>34.247799289127613</v>
          </cell>
          <cell r="X87">
            <v>3748320.619441669</v>
          </cell>
          <cell r="Y87">
            <v>53.772163759760822</v>
          </cell>
          <cell r="Z87">
            <v>0.35856753652647561</v>
          </cell>
          <cell r="AA87">
            <v>63531.577868487868</v>
          </cell>
          <cell r="AB87">
            <v>141063.82568130639</v>
          </cell>
          <cell r="AC87">
            <v>150.76953591068579</v>
          </cell>
          <cell r="AD87">
            <v>99.881318299741821</v>
          </cell>
          <cell r="AE87">
            <v>151.07903698794871</v>
          </cell>
          <cell r="AF87">
            <v>286.2608782072341</v>
          </cell>
          <cell r="AG87">
            <v>172.28096107514969</v>
          </cell>
          <cell r="AH87">
            <v>80.526677116829177</v>
          </cell>
          <cell r="AI87">
            <v>85.174201317686553</v>
          </cell>
          <cell r="AJ87">
            <v>149.00724819281831</v>
          </cell>
          <cell r="AK87">
            <v>98.622907880590702</v>
          </cell>
          <cell r="AL87">
            <v>185.9548487191442</v>
          </cell>
          <cell r="AM87">
            <v>167.227720068189</v>
          </cell>
          <cell r="AN87">
            <v>170.1827697623367</v>
          </cell>
          <cell r="AO87">
            <v>136.45712530248619</v>
          </cell>
          <cell r="AP87">
            <v>95.256820018521353</v>
          </cell>
          <cell r="AQ87">
            <v>42.276777841249228</v>
          </cell>
          <cell r="AR87">
            <v>110.173914519845</v>
          </cell>
          <cell r="AS87">
            <v>105.2688260566585</v>
          </cell>
          <cell r="AT87">
            <v>3270488.9550658171</v>
          </cell>
          <cell r="AX87">
            <v>139.8948645238531</v>
          </cell>
        </row>
        <row r="88">
          <cell r="B88">
            <v>13887.866926188601</v>
          </cell>
          <cell r="C88">
            <v>12502.536213703541</v>
          </cell>
          <cell r="D88">
            <v>18187.004654847358</v>
          </cell>
          <cell r="E88">
            <v>3774.960588312063</v>
          </cell>
          <cell r="F88">
            <v>477860.99963790091</v>
          </cell>
          <cell r="G88">
            <v>211.1610417615978</v>
          </cell>
          <cell r="H88">
            <v>295.37256440450813</v>
          </cell>
          <cell r="I88">
            <v>134.1179937562022</v>
          </cell>
          <cell r="J88">
            <v>37032.97176030936</v>
          </cell>
          <cell r="K88">
            <v>147338.9952155491</v>
          </cell>
          <cell r="L88">
            <v>101343.77225840421</v>
          </cell>
          <cell r="M88">
            <v>0.65969262233019121</v>
          </cell>
          <cell r="N88">
            <v>1.9971533893153799</v>
          </cell>
          <cell r="O88">
            <v>1.5110714053432259</v>
          </cell>
          <cell r="P88">
            <v>26600.568079615241</v>
          </cell>
          <cell r="Q88">
            <v>31139.7836334237</v>
          </cell>
          <cell r="R88">
            <v>0.38912157973709532</v>
          </cell>
          <cell r="S88">
            <v>0.46741132825829118</v>
          </cell>
          <cell r="T88">
            <v>993263.55309541896</v>
          </cell>
          <cell r="U88">
            <v>16.410771554825931</v>
          </cell>
          <cell r="V88">
            <v>2473681.3369306428</v>
          </cell>
          <cell r="W88">
            <v>35.408489686040873</v>
          </cell>
          <cell r="X88">
            <v>4200426.5205751201</v>
          </cell>
          <cell r="Y88">
            <v>59.193699860453158</v>
          </cell>
          <cell r="Z88">
            <v>0.31744201811103678</v>
          </cell>
          <cell r="AA88">
            <v>61996.341556252919</v>
          </cell>
          <cell r="AB88">
            <v>93922.262933839462</v>
          </cell>
          <cell r="AC88">
            <v>147.1088928476191</v>
          </cell>
          <cell r="AD88">
            <v>75.41393306880704</v>
          </cell>
          <cell r="AE88">
            <v>125.8678985625522</v>
          </cell>
          <cell r="AF88">
            <v>203.88171707059709</v>
          </cell>
          <cell r="AG88">
            <v>152.3183439547015</v>
          </cell>
          <cell r="AH88">
            <v>80.030933435766372</v>
          </cell>
          <cell r="AI88">
            <v>85.05585886435523</v>
          </cell>
          <cell r="AJ88">
            <v>141.93258330373061</v>
          </cell>
          <cell r="AK88">
            <v>90.81313993677098</v>
          </cell>
          <cell r="AL88">
            <v>169.6380145200458</v>
          </cell>
          <cell r="AM88">
            <v>99.965514520314358</v>
          </cell>
          <cell r="AN88">
            <v>139.67507323727409</v>
          </cell>
          <cell r="AO88">
            <v>110.8834971564409</v>
          </cell>
          <cell r="AP88">
            <v>49.137632987517691</v>
          </cell>
          <cell r="AQ88">
            <v>41.654840169434017</v>
          </cell>
          <cell r="AR88">
            <v>100.3380450080039</v>
          </cell>
          <cell r="AS88">
            <v>104.9507273613855</v>
          </cell>
          <cell r="AT88">
            <v>2993120.3250366328</v>
          </cell>
          <cell r="AX88">
            <v>122.9807052286849</v>
          </cell>
        </row>
        <row r="89">
          <cell r="B89">
            <v>-1383.269258019704</v>
          </cell>
          <cell r="C89">
            <v>3016.0141191904249</v>
          </cell>
          <cell r="D89">
            <v>9218.2005076110472</v>
          </cell>
          <cell r="E89">
            <v>2267.2426182111981</v>
          </cell>
          <cell r="F89">
            <v>424017.62945949292</v>
          </cell>
          <cell r="G89">
            <v>114.0095807553497</v>
          </cell>
          <cell r="H89">
            <v>123.7720438487581</v>
          </cell>
          <cell r="I89">
            <v>7.4575241578499991</v>
          </cell>
          <cell r="J89">
            <v>43671.506830846818</v>
          </cell>
          <cell r="K89">
            <v>124292.3191523291</v>
          </cell>
          <cell r="L89">
            <v>95698.042688899208</v>
          </cell>
          <cell r="M89">
            <v>0.59560120768151636</v>
          </cell>
          <cell r="N89">
            <v>1.8036154928418009</v>
          </cell>
          <cell r="O89">
            <v>1.4537264298802051</v>
          </cell>
          <cell r="P89">
            <v>37807.503207352398</v>
          </cell>
          <cell r="Q89">
            <v>34722.767314855198</v>
          </cell>
          <cell r="R89">
            <v>0.56701994221044227</v>
          </cell>
          <cell r="S89">
            <v>0.49569592746902619</v>
          </cell>
          <cell r="T89">
            <v>1722711.455534267</v>
          </cell>
          <cell r="U89">
            <v>23.961744170293791</v>
          </cell>
          <cell r="V89">
            <v>2581079.2406804408</v>
          </cell>
          <cell r="W89">
            <v>40.157252201145923</v>
          </cell>
          <cell r="X89">
            <v>4435759.0925141722</v>
          </cell>
          <cell r="Y89">
            <v>63.667944705079783</v>
          </cell>
          <cell r="Z89">
            <v>0.16102684641738019</v>
          </cell>
          <cell r="AA89">
            <v>70678.224448629917</v>
          </cell>
          <cell r="AB89">
            <v>28592.005125052889</v>
          </cell>
          <cell r="AC89">
            <v>134.7836725173506</v>
          </cell>
          <cell r="AD89">
            <v>54.041835512022303</v>
          </cell>
          <cell r="AE89">
            <v>96.96872836027579</v>
          </cell>
          <cell r="AF89">
            <v>44.400144842366117</v>
          </cell>
          <cell r="AG89">
            <v>164.8087302556988</v>
          </cell>
          <cell r="AH89">
            <v>37.106258616582913</v>
          </cell>
          <cell r="AI89">
            <v>85.110942887105153</v>
          </cell>
          <cell r="AJ89">
            <v>123.30466902521</v>
          </cell>
          <cell r="AK89">
            <v>61.831729538089881</v>
          </cell>
          <cell r="AL89">
            <v>140.04370563762629</v>
          </cell>
          <cell r="AM89">
            <v>68.917181480421149</v>
          </cell>
          <cell r="AN89">
            <v>68.021781738053406</v>
          </cell>
          <cell r="AO89">
            <v>84.655611458746407</v>
          </cell>
          <cell r="AP89">
            <v>-6.3068648455452418</v>
          </cell>
          <cell r="AQ89">
            <v>41.341670657054131</v>
          </cell>
          <cell r="AR89">
            <v>91.937751909104549</v>
          </cell>
          <cell r="AS89">
            <v>103.25738323991639</v>
          </cell>
          <cell r="AT89">
            <v>3055406.6042236639</v>
          </cell>
          <cell r="AX89">
            <v>106.1499393750703</v>
          </cell>
        </row>
        <row r="90">
          <cell r="B90">
            <v>1050.6115977643251</v>
          </cell>
          <cell r="C90">
            <v>2076.2317431340261</v>
          </cell>
          <cell r="D90">
            <v>23287.945291688051</v>
          </cell>
          <cell r="E90">
            <v>1998.16534218471</v>
          </cell>
          <cell r="F90">
            <v>735012.62913622288</v>
          </cell>
          <cell r="G90">
            <v>76.324151271725</v>
          </cell>
          <cell r="H90">
            <v>191.04224765113781</v>
          </cell>
          <cell r="I90">
            <v>94.566813712904036</v>
          </cell>
          <cell r="J90">
            <v>20846.578236586829</v>
          </cell>
          <cell r="K90">
            <v>135927.15256537209</v>
          </cell>
          <cell r="L90">
            <v>113172.6350276002</v>
          </cell>
          <cell r="M90">
            <v>0.32776342419200782</v>
          </cell>
          <cell r="N90">
            <v>1.866753254399842</v>
          </cell>
          <cell r="O90">
            <v>1.5812794399097041</v>
          </cell>
          <cell r="P90">
            <v>37543.701690269569</v>
          </cell>
          <cell r="Q90">
            <v>40461.941362933569</v>
          </cell>
          <cell r="R90">
            <v>0.55325646927229488</v>
          </cell>
          <cell r="S90">
            <v>0.5655403547633594</v>
          </cell>
          <cell r="T90">
            <v>1720406.7485798791</v>
          </cell>
          <cell r="U90">
            <v>23.436679757782439</v>
          </cell>
          <cell r="V90">
            <v>3137519.1839240482</v>
          </cell>
          <cell r="W90">
            <v>42.508497068451312</v>
          </cell>
          <cell r="X90">
            <v>4528775.523073894</v>
          </cell>
          <cell r="Y90">
            <v>66.622858940226109</v>
          </cell>
          <cell r="Z90">
            <v>0.2389641247822282</v>
          </cell>
          <cell r="AA90">
            <v>59775.942375795777</v>
          </cell>
          <cell r="AB90">
            <v>70878.796028795026</v>
          </cell>
          <cell r="AC90">
            <v>146.00724513094099</v>
          </cell>
          <cell r="AD90">
            <v>65.155116662053302</v>
          </cell>
          <cell r="AE90">
            <v>112.5184321298938</v>
          </cell>
          <cell r="AF90">
            <v>90.913149712918866</v>
          </cell>
          <cell r="AG90">
            <v>166.65553117843521</v>
          </cell>
          <cell r="AH90">
            <v>76.488995419863542</v>
          </cell>
          <cell r="AI90">
            <v>84.548514379186699</v>
          </cell>
          <cell r="AJ90">
            <v>140.1385366356308</v>
          </cell>
          <cell r="AK90">
            <v>71.371963435321959</v>
          </cell>
          <cell r="AL90">
            <v>151.75687303153919</v>
          </cell>
          <cell r="AM90">
            <v>108.179989846493</v>
          </cell>
          <cell r="AN90">
            <v>89.473689487456397</v>
          </cell>
          <cell r="AO90">
            <v>102.72942390737499</v>
          </cell>
          <cell r="AP90">
            <v>2.8919890589908088</v>
          </cell>
          <cell r="AQ90">
            <v>40.511980227405282</v>
          </cell>
          <cell r="AR90">
            <v>104.3774609433612</v>
          </cell>
          <cell r="AS90">
            <v>99.757701656453136</v>
          </cell>
          <cell r="AT90">
            <v>3199188.5039884979</v>
          </cell>
          <cell r="AX90">
            <v>119.6647825978463</v>
          </cell>
        </row>
        <row r="91">
          <cell r="B91">
            <v>12879.486713939081</v>
          </cell>
          <cell r="C91">
            <v>6390.3908151528558</v>
          </cell>
          <cell r="D91">
            <v>21103.709801503821</v>
          </cell>
          <cell r="E91">
            <v>7901.8704461307061</v>
          </cell>
          <cell r="F91">
            <v>832705.39823453012</v>
          </cell>
          <cell r="G91">
            <v>146.55697881760679</v>
          </cell>
          <cell r="H91">
            <v>234.62286736688489</v>
          </cell>
          <cell r="I91">
            <v>122.06024816757279</v>
          </cell>
          <cell r="J91">
            <v>38597.860675526259</v>
          </cell>
          <cell r="K91">
            <v>130907.1614991629</v>
          </cell>
          <cell r="L91">
            <v>117679.7472000681</v>
          </cell>
          <cell r="M91">
            <v>0.63934262272484321</v>
          </cell>
          <cell r="N91">
            <v>1.922064202407725</v>
          </cell>
          <cell r="O91">
            <v>1.597037579251535</v>
          </cell>
          <cell r="P91">
            <v>39838.456826084926</v>
          </cell>
          <cell r="Q91">
            <v>39283.255888335087</v>
          </cell>
          <cell r="R91">
            <v>0.57378672554219401</v>
          </cell>
          <cell r="S91">
            <v>0.54368218320430384</v>
          </cell>
          <cell r="T91">
            <v>1823801.9369559761</v>
          </cell>
          <cell r="U91">
            <v>24.12987146027595</v>
          </cell>
          <cell r="V91">
            <v>3274995.4458108</v>
          </cell>
          <cell r="W91">
            <v>43.915813541523043</v>
          </cell>
          <cell r="X91">
            <v>4754155.2961275131</v>
          </cell>
          <cell r="Y91">
            <v>67.887722879376753</v>
          </cell>
          <cell r="Z91">
            <v>0.30984181653094378</v>
          </cell>
          <cell r="AA91">
            <v>63800.856867131159</v>
          </cell>
          <cell r="AB91">
            <v>139792.6591037013</v>
          </cell>
          <cell r="AC91">
            <v>160.8882616976322</v>
          </cell>
          <cell r="AD91">
            <v>76.228141797902708</v>
          </cell>
          <cell r="AE91">
            <v>127.4459024319091</v>
          </cell>
          <cell r="AF91">
            <v>185.21461882900209</v>
          </cell>
          <cell r="AG91">
            <v>173.44728545715111</v>
          </cell>
          <cell r="AH91">
            <v>118.21259184551479</v>
          </cell>
          <cell r="AI91">
            <v>84.123865474520358</v>
          </cell>
          <cell r="AJ91">
            <v>142.2990951449404</v>
          </cell>
          <cell r="AK91">
            <v>89.494658551118036</v>
          </cell>
          <cell r="AL91">
            <v>163.82760837105499</v>
          </cell>
          <cell r="AM91">
            <v>168.42661709844069</v>
          </cell>
          <cell r="AN91">
            <v>108.18152138111751</v>
          </cell>
          <cell r="AO91">
            <v>112.5086976957701</v>
          </cell>
          <cell r="AP91">
            <v>47.074248881897773</v>
          </cell>
          <cell r="AQ91">
            <v>40.038055127591157</v>
          </cell>
          <cell r="AR91">
            <v>112.0411898201249</v>
          </cell>
          <cell r="AS91">
            <v>98.211409595092888</v>
          </cell>
          <cell r="AT91">
            <v>3173576.9834943959</v>
          </cell>
          <cell r="AX91">
            <v>124.73999138665179</v>
          </cell>
        </row>
        <row r="92">
          <cell r="B92">
            <v>24110.540190353171</v>
          </cell>
          <cell r="C92">
            <v>9887.753788265296</v>
          </cell>
          <cell r="D92">
            <v>25756.266501388229</v>
          </cell>
          <cell r="E92">
            <v>8747.4847678524347</v>
          </cell>
          <cell r="F92">
            <v>860267.7625366092</v>
          </cell>
          <cell r="G92">
            <v>294.80182942853003</v>
          </cell>
          <cell r="H92">
            <v>297.88989583160372</v>
          </cell>
          <cell r="I92">
            <v>127.7118804097656</v>
          </cell>
          <cell r="J92">
            <v>45958.499256879521</v>
          </cell>
          <cell r="K92">
            <v>130007.74370372431</v>
          </cell>
          <cell r="L92">
            <v>112699.46855283339</v>
          </cell>
          <cell r="M92">
            <v>0.64265205053438945</v>
          </cell>
          <cell r="N92">
            <v>1.928204639674709</v>
          </cell>
          <cell r="O92">
            <v>1.577533622993025</v>
          </cell>
          <cell r="P92">
            <v>67386.468263831048</v>
          </cell>
          <cell r="Q92">
            <v>43831.4771829167</v>
          </cell>
          <cell r="R92">
            <v>0.60486040420191123</v>
          </cell>
          <cell r="S92">
            <v>0.59033872469727144</v>
          </cell>
          <cell r="T92">
            <v>2189700.0589009249</v>
          </cell>
          <cell r="U92">
            <v>25.63933028669722</v>
          </cell>
          <cell r="V92">
            <v>3084690.6002841098</v>
          </cell>
          <cell r="W92">
            <v>43.856818995833322</v>
          </cell>
          <cell r="X92">
            <v>4936866.0871626837</v>
          </cell>
          <cell r="Y92">
            <v>69.014979317681266</v>
          </cell>
          <cell r="Z92">
            <v>0.30426665748543291</v>
          </cell>
          <cell r="AA92">
            <v>61647.711743169668</v>
          </cell>
          <cell r="AB92">
            <v>137448.14077931369</v>
          </cell>
          <cell r="AC92">
            <v>151.5037884613287</v>
          </cell>
          <cell r="AD92">
            <v>97.999862171419196</v>
          </cell>
          <cell r="AE92">
            <v>138.65564732356879</v>
          </cell>
          <cell r="AF92">
            <v>255.8670603793741</v>
          </cell>
          <cell r="AG92">
            <v>173.13999220556599</v>
          </cell>
          <cell r="AH92">
            <v>77.231496571958019</v>
          </cell>
          <cell r="AI92">
            <v>85.120684882723936</v>
          </cell>
          <cell r="AJ92">
            <v>140.51872187934899</v>
          </cell>
          <cell r="AK92">
            <v>90.676200670778954</v>
          </cell>
          <cell r="AL92">
            <v>183.44405314846821</v>
          </cell>
          <cell r="AM92">
            <v>169.1658911118638</v>
          </cell>
          <cell r="AN92">
            <v>130.08287610999321</v>
          </cell>
          <cell r="AO92">
            <v>135.87795453693369</v>
          </cell>
          <cell r="AP92">
            <v>87.088602894964339</v>
          </cell>
          <cell r="AQ92">
            <v>39.573607317027559</v>
          </cell>
          <cell r="AR92">
            <v>119.2503650713135</v>
          </cell>
          <cell r="AS92">
            <v>96.891777438192619</v>
          </cell>
          <cell r="AT92">
            <v>3156251.96331556</v>
          </cell>
          <cell r="AX92">
            <v>125.6202385310599</v>
          </cell>
        </row>
        <row r="93">
          <cell r="B93">
            <v>21928.625051458301</v>
          </cell>
          <cell r="C93">
            <v>11846.55187618697</v>
          </cell>
          <cell r="D93">
            <v>25943.77929975171</v>
          </cell>
          <cell r="E93">
            <v>8419.6654508142983</v>
          </cell>
          <cell r="F93">
            <v>803308.29649166111</v>
          </cell>
          <cell r="G93">
            <v>267.02629808277351</v>
          </cell>
          <cell r="H93">
            <v>306.89922198049072</v>
          </cell>
          <cell r="I93">
            <v>101.903894676655</v>
          </cell>
          <cell r="J93">
            <v>66061.169806222024</v>
          </cell>
          <cell r="K93">
            <v>165985.37791108689</v>
          </cell>
          <cell r="L93">
            <v>129112.1364366718</v>
          </cell>
          <cell r="M93">
            <v>0.71996816057510538</v>
          </cell>
          <cell r="N93">
            <v>2.009387327197357</v>
          </cell>
          <cell r="O93">
            <v>1.6145421232513959</v>
          </cell>
          <cell r="P93">
            <v>39890.313964067711</v>
          </cell>
          <cell r="Q93">
            <v>43294.884743787683</v>
          </cell>
          <cell r="R93">
            <v>0.56908990915347868</v>
          </cell>
          <cell r="S93">
            <v>0.64165935076406899</v>
          </cell>
          <cell r="T93">
            <v>1328546.0943326191</v>
          </cell>
          <cell r="U93">
            <v>24.048887478107261</v>
          </cell>
          <cell r="V93">
            <v>3413295.881650879</v>
          </cell>
          <cell r="W93">
            <v>44.006889275195611</v>
          </cell>
          <cell r="X93">
            <v>5223648.2740468672</v>
          </cell>
          <cell r="Y93">
            <v>68.17047736573798</v>
          </cell>
          <cell r="Z93">
            <v>0.30407385205040588</v>
          </cell>
          <cell r="AA93">
            <v>62243.165072199081</v>
          </cell>
          <cell r="AB93">
            <v>141013.08371769491</v>
          </cell>
          <cell r="AC93">
            <v>148.61540117647891</v>
          </cell>
          <cell r="AD93">
            <v>86.361081062093788</v>
          </cell>
          <cell r="AE93">
            <v>146.47065945614591</v>
          </cell>
          <cell r="AF93">
            <v>246.72804316334151</v>
          </cell>
          <cell r="AG93">
            <v>168.2977402051086</v>
          </cell>
          <cell r="AH93">
            <v>83.031966375354855</v>
          </cell>
          <cell r="AI93">
            <v>85.425586413120072</v>
          </cell>
          <cell r="AJ93">
            <v>138.63169220843881</v>
          </cell>
          <cell r="AK93">
            <v>88.000800637027851</v>
          </cell>
          <cell r="AL93">
            <v>193.45272129347541</v>
          </cell>
          <cell r="AM93">
            <v>164.6550362404021</v>
          </cell>
          <cell r="AN93">
            <v>133.1419725180632</v>
          </cell>
          <cell r="AO93">
            <v>123.45359148197051</v>
          </cell>
          <cell r="AP93">
            <v>78.203356286584977</v>
          </cell>
          <cell r="AQ93">
            <v>39.91277748172444</v>
          </cell>
          <cell r="AR93">
            <v>120.7936025326691</v>
          </cell>
          <cell r="AS93">
            <v>96.227033798533341</v>
          </cell>
          <cell r="AT93">
            <v>3305095.4617819572</v>
          </cell>
          <cell r="AX93">
            <v>125.71894504620001</v>
          </cell>
        </row>
        <row r="94">
          <cell r="B94">
            <v>26869.758107498252</v>
          </cell>
          <cell r="C94">
            <v>14219.980632844899</v>
          </cell>
          <cell r="D94">
            <v>34037.437146578668</v>
          </cell>
          <cell r="E94">
            <v>9019.4788563461025</v>
          </cell>
          <cell r="F94">
            <v>935685.83434004406</v>
          </cell>
          <cell r="G94">
            <v>166.04241922539521</v>
          </cell>
          <cell r="H94">
            <v>347.69217454730369</v>
          </cell>
          <cell r="I94">
            <v>101.5238728592111</v>
          </cell>
          <cell r="J94">
            <v>65485.673565695492</v>
          </cell>
          <cell r="K94">
            <v>172716.05110351811</v>
          </cell>
          <cell r="L94">
            <v>134445.18701452759</v>
          </cell>
          <cell r="M94">
            <v>0.79448819899854861</v>
          </cell>
          <cell r="N94">
            <v>2.137572928744877</v>
          </cell>
          <cell r="O94">
            <v>1.637303646592932</v>
          </cell>
          <cell r="P94">
            <v>34438.321167605507</v>
          </cell>
          <cell r="Q94">
            <v>39650.231510588557</v>
          </cell>
          <cell r="R94">
            <v>0.50904238577984218</v>
          </cell>
          <cell r="S94">
            <v>0.56342059519158005</v>
          </cell>
          <cell r="T94">
            <v>1605686.2800945551</v>
          </cell>
          <cell r="U94">
            <v>21.21121937639818</v>
          </cell>
          <cell r="V94">
            <v>3281078.3582601398</v>
          </cell>
          <cell r="W94">
            <v>43.795836329642903</v>
          </cell>
          <cell r="X94">
            <v>5237430.7589845341</v>
          </cell>
          <cell r="Y94">
            <v>67.868118711273027</v>
          </cell>
          <cell r="Z94">
            <v>0.29183903301491543</v>
          </cell>
          <cell r="AA94">
            <v>62607.495352729471</v>
          </cell>
          <cell r="AB94">
            <v>147195.14563185151</v>
          </cell>
          <cell r="AC94">
            <v>152.60915030260909</v>
          </cell>
          <cell r="AD94">
            <v>101.262760214548</v>
          </cell>
          <cell r="AE94">
            <v>152.1872109186553</v>
          </cell>
          <cell r="AF94">
            <v>273.78968093539419</v>
          </cell>
          <cell r="AG94">
            <v>172.842455254513</v>
          </cell>
          <cell r="AH94">
            <v>86.263180592903609</v>
          </cell>
          <cell r="AI94">
            <v>85.115967404611737</v>
          </cell>
          <cell r="AJ94">
            <v>141.57408740552901</v>
          </cell>
          <cell r="AK94">
            <v>77.538475685384753</v>
          </cell>
          <cell r="AL94">
            <v>195.74070354631471</v>
          </cell>
          <cell r="AM94">
            <v>189.63742204418679</v>
          </cell>
          <cell r="AN94">
            <v>143.9457588391378</v>
          </cell>
          <cell r="AO94">
            <v>136.91645191967251</v>
          </cell>
          <cell r="AP94">
            <v>95.388017903715919</v>
          </cell>
          <cell r="AQ94">
            <v>39.248028087941407</v>
          </cell>
          <cell r="AR94">
            <v>122.8051564245378</v>
          </cell>
          <cell r="AS94">
            <v>96.916474781967523</v>
          </cell>
          <cell r="AT94">
            <v>3120445.5546406028</v>
          </cell>
          <cell r="AX94">
            <v>131.6571508866289</v>
          </cell>
        </row>
        <row r="95">
          <cell r="B95">
            <v>24161.727119216761</v>
          </cell>
          <cell r="C95">
            <v>12482.368780082021</v>
          </cell>
          <cell r="D95">
            <v>33136.428027462738</v>
          </cell>
          <cell r="E95">
            <v>9037.4488237419537</v>
          </cell>
          <cell r="F95">
            <v>963462.5183857705</v>
          </cell>
          <cell r="G95">
            <v>247.83320981352921</v>
          </cell>
          <cell r="H95">
            <v>360.68924016047572</v>
          </cell>
          <cell r="I95">
            <v>146.41754277335309</v>
          </cell>
          <cell r="J95">
            <v>49248.779034457257</v>
          </cell>
          <cell r="K95">
            <v>192257.9966033744</v>
          </cell>
          <cell r="L95">
            <v>139375.01381822021</v>
          </cell>
          <cell r="M95">
            <v>0.70868521293537301</v>
          </cell>
          <cell r="N95">
            <v>2.3458872219438369</v>
          </cell>
          <cell r="O95">
            <v>1.748251592277102</v>
          </cell>
          <cell r="P95">
            <v>42426.460408125873</v>
          </cell>
          <cell r="Q95">
            <v>58083.880914717643</v>
          </cell>
          <cell r="R95">
            <v>0.56063450936494208</v>
          </cell>
          <cell r="S95">
            <v>0.5839244676733335</v>
          </cell>
          <cell r="T95">
            <v>1754608.32319725</v>
          </cell>
          <cell r="U95">
            <v>23.62418404529652</v>
          </cell>
          <cell r="V95">
            <v>3425731.6247602468</v>
          </cell>
          <cell r="W95">
            <v>43.037820486094049</v>
          </cell>
          <cell r="X95">
            <v>5445419.1198824774</v>
          </cell>
          <cell r="Y95">
            <v>63.869630068894111</v>
          </cell>
          <cell r="Z95">
            <v>0.32199744778866451</v>
          </cell>
          <cell r="AA95">
            <v>61528.676281047803</v>
          </cell>
          <cell r="AB95">
            <v>149598.53528897261</v>
          </cell>
          <cell r="AC95">
            <v>153.8508227591941</v>
          </cell>
          <cell r="AD95">
            <v>102.6593647907695</v>
          </cell>
          <cell r="AE95">
            <v>149.89304292247911</v>
          </cell>
          <cell r="AF95">
            <v>255.61316563282031</v>
          </cell>
          <cell r="AG95">
            <v>173.2650473697436</v>
          </cell>
          <cell r="AH95">
            <v>90.844102405469272</v>
          </cell>
          <cell r="AI95">
            <v>85.384448071872328</v>
          </cell>
          <cell r="AJ95">
            <v>131.1785926392335</v>
          </cell>
          <cell r="AK95">
            <v>81.00784916721345</v>
          </cell>
          <cell r="AL95">
            <v>191.24104554037541</v>
          </cell>
          <cell r="AM95">
            <v>190.93922427101401</v>
          </cell>
          <cell r="AN95">
            <v>156.00869496525391</v>
          </cell>
          <cell r="AO95">
            <v>140.38199875953981</v>
          </cell>
          <cell r="AP95">
            <v>86.629390968373727</v>
          </cell>
          <cell r="AQ95">
            <v>37.255040572751277</v>
          </cell>
          <cell r="AR95">
            <v>125.7135983713051</v>
          </cell>
          <cell r="AS95">
            <v>97.721459938923743</v>
          </cell>
          <cell r="AT95">
            <v>3157424.754467323</v>
          </cell>
          <cell r="AX95">
            <v>134.83378700583819</v>
          </cell>
        </row>
        <row r="96">
          <cell r="B96">
            <v>27132.675571767741</v>
          </cell>
          <cell r="C96">
            <v>9970.8825170628588</v>
          </cell>
          <cell r="D96">
            <v>32269.713972890091</v>
          </cell>
          <cell r="E96">
            <v>10645.280571329829</v>
          </cell>
          <cell r="F96">
            <v>1076860.641332</v>
          </cell>
          <cell r="G96">
            <v>198.96040317638401</v>
          </cell>
          <cell r="H96">
            <v>372.58599796003648</v>
          </cell>
          <cell r="I96">
            <v>143.9969809946214</v>
          </cell>
          <cell r="J96">
            <v>98860.068032689596</v>
          </cell>
          <cell r="K96">
            <v>196707.33820140021</v>
          </cell>
          <cell r="L96">
            <v>144362.40276838691</v>
          </cell>
          <cell r="M96">
            <v>0.79565120412251744</v>
          </cell>
          <cell r="N96">
            <v>2.3751407975874641</v>
          </cell>
          <cell r="O96">
            <v>1.9294404170838539</v>
          </cell>
          <cell r="P96">
            <v>43971.184704341671</v>
          </cell>
          <cell r="Q96">
            <v>44821.971028873872</v>
          </cell>
          <cell r="R96">
            <v>0.61725939399917729</v>
          </cell>
          <cell r="S96">
            <v>0.56815086437192241</v>
          </cell>
          <cell r="T96">
            <v>2279586.047553855</v>
          </cell>
          <cell r="U96">
            <v>25.865386901587499</v>
          </cell>
          <cell r="V96">
            <v>3584585.5777125121</v>
          </cell>
          <cell r="W96">
            <v>38.817584786076758</v>
          </cell>
          <cell r="X96">
            <v>5546548.0661346652</v>
          </cell>
          <cell r="Y96">
            <v>63.118359186293603</v>
          </cell>
          <cell r="Z96">
            <v>0.30042376248711111</v>
          </cell>
          <cell r="AA96">
            <v>62226.534214422201</v>
          </cell>
          <cell r="AB96">
            <v>133180.00494292751</v>
          </cell>
          <cell r="AC96">
            <v>152.22908042295151</v>
          </cell>
          <cell r="AD96">
            <v>103.06076681059</v>
          </cell>
          <cell r="AE96">
            <v>153.33417899289611</v>
          </cell>
          <cell r="AF96">
            <v>288.79276190146459</v>
          </cell>
          <cell r="AG96">
            <v>172.2341195420581</v>
          </cell>
          <cell r="AH96">
            <v>85.872723569440012</v>
          </cell>
          <cell r="AI96">
            <v>85.208786333243907</v>
          </cell>
          <cell r="AJ96">
            <v>142.25787232464819</v>
          </cell>
          <cell r="AK96">
            <v>89.756188391372476</v>
          </cell>
          <cell r="AL96">
            <v>186.9346454369323</v>
          </cell>
          <cell r="AM96">
            <v>210.85334968591209</v>
          </cell>
          <cell r="AN96">
            <v>162.745044399671</v>
          </cell>
          <cell r="AO96">
            <v>142.62967796845541</v>
          </cell>
          <cell r="AP96">
            <v>96.793498186578248</v>
          </cell>
          <cell r="AQ96">
            <v>39.910499294043689</v>
          </cell>
          <cell r="AR96">
            <v>132.7533745044754</v>
          </cell>
          <cell r="AS96">
            <v>97.118600066519761</v>
          </cell>
          <cell r="AT96">
            <v>3313508.5544501231</v>
          </cell>
          <cell r="AX96">
            <v>135.2586158339578</v>
          </cell>
        </row>
        <row r="97">
          <cell r="B97">
            <v>40742.63708000831</v>
          </cell>
          <cell r="C97">
            <v>17514.610530708462</v>
          </cell>
          <cell r="D97">
            <v>32628.787609144409</v>
          </cell>
          <cell r="E97">
            <v>9361.1264639067795</v>
          </cell>
          <cell r="F97">
            <v>1079006.0580825559</v>
          </cell>
          <cell r="G97">
            <v>247.10618781682871</v>
          </cell>
          <cell r="H97">
            <v>397.9282400583462</v>
          </cell>
          <cell r="I97">
            <v>195.21247309087099</v>
          </cell>
          <cell r="J97">
            <v>50992.469543564162</v>
          </cell>
          <cell r="K97">
            <v>205607.05713894821</v>
          </cell>
          <cell r="L97">
            <v>168857.57564031289</v>
          </cell>
          <cell r="M97">
            <v>0.68420509236845106</v>
          </cell>
          <cell r="N97">
            <v>2.3900917461770841</v>
          </cell>
          <cell r="O97">
            <v>1.775002759115887</v>
          </cell>
          <cell r="P97">
            <v>43921.61324311739</v>
          </cell>
          <cell r="Q97">
            <v>49747.445552618621</v>
          </cell>
          <cell r="R97">
            <v>0.56262228145904503</v>
          </cell>
          <cell r="S97">
            <v>0.57662369045554773</v>
          </cell>
          <cell r="T97">
            <v>2112472.1181888459</v>
          </cell>
          <cell r="U97">
            <v>23.684697031164191</v>
          </cell>
          <cell r="V97">
            <v>3525101.8106647348</v>
          </cell>
          <cell r="W97">
            <v>39.899250902481548</v>
          </cell>
          <cell r="X97">
            <v>4949390.9930298533</v>
          </cell>
          <cell r="Y97">
            <v>62.974271373365013</v>
          </cell>
          <cell r="Z97">
            <v>0.32051468987571108</v>
          </cell>
          <cell r="AA97">
            <v>62005.060265459397</v>
          </cell>
          <cell r="AB97">
            <v>144763.83621832871</v>
          </cell>
          <cell r="AC97">
            <v>144.57002441817411</v>
          </cell>
          <cell r="AD97">
            <v>107.1877730262478</v>
          </cell>
          <cell r="AE97">
            <v>155.51551965050641</v>
          </cell>
          <cell r="AF97">
            <v>378.12234633576821</v>
          </cell>
          <cell r="AG97">
            <v>160.8211500278338</v>
          </cell>
          <cell r="AH97">
            <v>88.665875170332441</v>
          </cell>
          <cell r="AI97">
            <v>85.497762646940615</v>
          </cell>
          <cell r="AJ97">
            <v>145.358956145907</v>
          </cell>
          <cell r="AK97">
            <v>90.745294191110474</v>
          </cell>
          <cell r="AL97">
            <v>195.71868917217839</v>
          </cell>
          <cell r="AM97">
            <v>207.43223967840029</v>
          </cell>
          <cell r="AN97">
            <v>171.94160465242649</v>
          </cell>
          <cell r="AO97">
            <v>144.26229261176181</v>
          </cell>
          <cell r="AP97">
            <v>134.17537424337189</v>
          </cell>
          <cell r="AQ97">
            <v>39.125181108231963</v>
          </cell>
          <cell r="AR97">
            <v>128.19322766822791</v>
          </cell>
          <cell r="AS97">
            <v>96.474088560485256</v>
          </cell>
          <cell r="AT97">
            <v>1260965.9471455971</v>
          </cell>
          <cell r="AX97">
            <v>137.38351712724219</v>
          </cell>
        </row>
        <row r="98">
          <cell r="B98">
            <v>43603.142354820833</v>
          </cell>
          <cell r="C98">
            <v>22508.364882200211</v>
          </cell>
          <cell r="D98">
            <v>32035.247222226859</v>
          </cell>
          <cell r="E98">
            <v>9856.7405660380664</v>
          </cell>
          <cell r="F98">
            <v>997379.46057345346</v>
          </cell>
          <cell r="G98">
            <v>254.68941953929669</v>
          </cell>
          <cell r="H98">
            <v>392.29396007123478</v>
          </cell>
          <cell r="I98">
            <v>216.90032127911149</v>
          </cell>
          <cell r="J98">
            <v>119452.40031683681</v>
          </cell>
          <cell r="K98">
            <v>212344.91853721961</v>
          </cell>
          <cell r="L98">
            <v>155665.8339227665</v>
          </cell>
          <cell r="M98">
            <v>1.2577274292359979</v>
          </cell>
          <cell r="N98">
            <v>2.4031442338500648</v>
          </cell>
          <cell r="O98">
            <v>1.7207202616069079</v>
          </cell>
          <cell r="P98">
            <v>45848.954959743212</v>
          </cell>
          <cell r="Q98">
            <v>50364.864343428453</v>
          </cell>
          <cell r="R98">
            <v>0.49071804751220521</v>
          </cell>
          <cell r="S98">
            <v>0.52322932158264202</v>
          </cell>
          <cell r="T98">
            <v>2309010.053474938</v>
          </cell>
          <cell r="U98">
            <v>20.87593555052889</v>
          </cell>
          <cell r="V98">
            <v>3564766.96129716</v>
          </cell>
          <cell r="W98">
            <v>40.188828788875959</v>
          </cell>
          <cell r="X98">
            <v>5315394.3942014007</v>
          </cell>
          <cell r="Y98">
            <v>63.974192596959099</v>
          </cell>
          <cell r="Z98">
            <v>0.34236926326255912</v>
          </cell>
          <cell r="AA98">
            <v>60715.721501284082</v>
          </cell>
          <cell r="AB98">
            <v>137081.91074882611</v>
          </cell>
          <cell r="AC98">
            <v>155.0127286898061</v>
          </cell>
          <cell r="AD98">
            <v>115.3665415004623</v>
          </cell>
          <cell r="AE98">
            <v>156.6362134206544</v>
          </cell>
          <cell r="AF98">
            <v>385.40666961653449</v>
          </cell>
          <cell r="AG98">
            <v>173.83049918929021</v>
          </cell>
          <cell r="AH98">
            <v>89.896549505221557</v>
          </cell>
          <cell r="AI98">
            <v>86.200006395417574</v>
          </cell>
          <cell r="AJ98">
            <v>124.6726434912872</v>
          </cell>
          <cell r="AK98">
            <v>94.532610183619752</v>
          </cell>
          <cell r="AL98">
            <v>196.0090639920713</v>
          </cell>
          <cell r="AM98">
            <v>192.08811362631661</v>
          </cell>
          <cell r="AN98">
            <v>171.4265698660198</v>
          </cell>
          <cell r="AO98">
            <v>151.41939404758409</v>
          </cell>
          <cell r="AP98">
            <v>155.41268879495249</v>
          </cell>
          <cell r="AQ98">
            <v>37.200554863155347</v>
          </cell>
          <cell r="AR98">
            <v>128.6112146092035</v>
          </cell>
          <cell r="AS98">
            <v>95.280033711614735</v>
          </cell>
          <cell r="AT98">
            <v>4035342.098748506</v>
          </cell>
          <cell r="AX98">
            <v>138.40203152894969</v>
          </cell>
        </row>
        <row r="99">
          <cell r="B99">
            <v>23380.711497800541</v>
          </cell>
          <cell r="C99">
            <v>16902.780090262069</v>
          </cell>
          <cell r="D99">
            <v>28931.225324910421</v>
          </cell>
          <cell r="E99">
            <v>9227.6261423594005</v>
          </cell>
          <cell r="F99">
            <v>959889.13949845522</v>
          </cell>
          <cell r="G99">
            <v>266.23226785190298</v>
          </cell>
          <cell r="H99">
            <v>376.31402106532647</v>
          </cell>
          <cell r="I99">
            <v>162.61804037124779</v>
          </cell>
          <cell r="J99">
            <v>80494.915826578101</v>
          </cell>
          <cell r="K99">
            <v>224310.14668238329</v>
          </cell>
          <cell r="L99">
            <v>161076.2403414537</v>
          </cell>
          <cell r="M99">
            <v>0.9384821174074075</v>
          </cell>
          <cell r="N99">
            <v>2.4416410732112839</v>
          </cell>
          <cell r="O99">
            <v>1.718776778205185</v>
          </cell>
          <cell r="P99">
            <v>48314.687473747923</v>
          </cell>
          <cell r="Q99">
            <v>51503.959138749153</v>
          </cell>
          <cell r="R99">
            <v>0.53802485567138492</v>
          </cell>
          <cell r="S99">
            <v>0.52158161031537553</v>
          </cell>
          <cell r="T99">
            <v>2070025.23975797</v>
          </cell>
          <cell r="U99">
            <v>22.718822045307189</v>
          </cell>
          <cell r="V99">
            <v>3599959.4493736718</v>
          </cell>
          <cell r="W99">
            <v>39.503552709174912</v>
          </cell>
          <cell r="X99">
            <v>6323056.2601860119</v>
          </cell>
          <cell r="Y99">
            <v>63.362206869014152</v>
          </cell>
          <cell r="Z99">
            <v>0.36198038950397482</v>
          </cell>
          <cell r="AA99">
            <v>61995.469487469243</v>
          </cell>
          <cell r="AB99">
            <v>142924.91788137241</v>
          </cell>
          <cell r="AC99">
            <v>156.73255685171131</v>
          </cell>
          <cell r="AD99">
            <v>106.8066625270361</v>
          </cell>
          <cell r="AE99">
            <v>150.10098071716291</v>
          </cell>
          <cell r="AF99">
            <v>294.08503359409809</v>
          </cell>
          <cell r="AG99">
            <v>175.64628238469021</v>
          </cell>
          <cell r="AH99">
            <v>93.714813130208285</v>
          </cell>
          <cell r="AI99">
            <v>85.985157823471042</v>
          </cell>
          <cell r="AJ99">
            <v>139.39145598375649</v>
          </cell>
          <cell r="AK99">
            <v>91.927692566388274</v>
          </cell>
          <cell r="AL99">
            <v>167.22714999611239</v>
          </cell>
          <cell r="AM99">
            <v>193.15291669408259</v>
          </cell>
          <cell r="AN99">
            <v>166.44956221970099</v>
          </cell>
          <cell r="AO99">
            <v>152.58285082891771</v>
          </cell>
          <cell r="AP99">
            <v>84.425279866883315</v>
          </cell>
          <cell r="AQ99">
            <v>37.444319702714921</v>
          </cell>
          <cell r="AR99">
            <v>126.1909949038613</v>
          </cell>
          <cell r="AS99">
            <v>96.903356655331791</v>
          </cell>
          <cell r="AT99">
            <v>3486376.8246882372</v>
          </cell>
          <cell r="AX99">
            <v>137.42459326644851</v>
          </cell>
        </row>
        <row r="100">
          <cell r="B100">
            <v>35917.309233138862</v>
          </cell>
          <cell r="C100">
            <v>21113.474101959331</v>
          </cell>
          <cell r="D100">
            <v>30212.237956497142</v>
          </cell>
          <cell r="E100">
            <v>9947.1245776039032</v>
          </cell>
          <cell r="F100">
            <v>969825.05693634332</v>
          </cell>
          <cell r="G100">
            <v>288.65595633394588</v>
          </cell>
          <cell r="H100">
            <v>433.28071823236661</v>
          </cell>
          <cell r="I100">
            <v>165.4330742250196</v>
          </cell>
          <cell r="J100">
            <v>85058.612831230741</v>
          </cell>
          <cell r="K100">
            <v>259712.71414560129</v>
          </cell>
          <cell r="L100">
            <v>166293.76578124831</v>
          </cell>
          <cell r="M100">
            <v>1.094573936219345</v>
          </cell>
          <cell r="N100">
            <v>2.5143245480014169</v>
          </cell>
          <cell r="O100">
            <v>1.7826366303170449</v>
          </cell>
          <cell r="P100">
            <v>49551.821511372742</v>
          </cell>
          <cell r="Q100">
            <v>53530.255648295213</v>
          </cell>
          <cell r="R100">
            <v>0.53337392738266565</v>
          </cell>
          <cell r="S100">
            <v>0.55760707680320198</v>
          </cell>
          <cell r="T100">
            <v>2023335.6689128641</v>
          </cell>
          <cell r="U100">
            <v>22.461596164303579</v>
          </cell>
          <cell r="V100">
            <v>3920678.726949424</v>
          </cell>
          <cell r="W100">
            <v>39.345587291175072</v>
          </cell>
          <cell r="X100">
            <v>6555122.1845184863</v>
          </cell>
          <cell r="Y100">
            <v>63.762387020856522</v>
          </cell>
          <cell r="Z100">
            <v>0.36735090602876957</v>
          </cell>
          <cell r="AA100">
            <v>62507.85408553484</v>
          </cell>
          <cell r="AB100">
            <v>152070.84384375939</v>
          </cell>
          <cell r="AC100">
            <v>168.34131598694731</v>
          </cell>
          <cell r="AD100">
            <v>113.8611583077118</v>
          </cell>
          <cell r="AE100">
            <v>158.757920766334</v>
          </cell>
          <cell r="AF100">
            <v>399.2558690746647</v>
          </cell>
          <cell r="AG100">
            <v>175.97081087841599</v>
          </cell>
          <cell r="AH100">
            <v>108.1818008911315</v>
          </cell>
          <cell r="AI100">
            <v>85.89701015072842</v>
          </cell>
          <cell r="AJ100">
            <v>154.4631957492978</v>
          </cell>
          <cell r="AK100">
            <v>94.276043815055019</v>
          </cell>
          <cell r="AL100">
            <v>207.77717153692291</v>
          </cell>
          <cell r="AM100">
            <v>195.0947388250535</v>
          </cell>
          <cell r="AN100">
            <v>179.4574566461678</v>
          </cell>
          <cell r="AO100">
            <v>157.30119430220219</v>
          </cell>
          <cell r="AP100">
            <v>129.8942145553842</v>
          </cell>
          <cell r="AQ100">
            <v>38.664638134616567</v>
          </cell>
          <cell r="AR100">
            <v>127.29297330717191</v>
          </cell>
          <cell r="AS100">
            <v>96.899226331450009</v>
          </cell>
          <cell r="AT100">
            <v>3692534.259661458</v>
          </cell>
          <cell r="AX100">
            <v>140.49634737197519</v>
          </cell>
        </row>
        <row r="101">
          <cell r="B101">
            <v>28954.517508910911</v>
          </cell>
          <cell r="C101">
            <v>16078.322040216761</v>
          </cell>
          <cell r="D101">
            <v>30057.450978072251</v>
          </cell>
          <cell r="E101">
            <v>8759.1805405855794</v>
          </cell>
          <cell r="F101">
            <v>972078.18429666338</v>
          </cell>
          <cell r="G101">
            <v>289.61689047400938</v>
          </cell>
          <cell r="H101">
            <v>391.13379622763279</v>
          </cell>
          <cell r="I101">
            <v>175.25670583049239</v>
          </cell>
          <cell r="J101">
            <v>109154.64195051719</v>
          </cell>
          <cell r="K101">
            <v>243618.29833416131</v>
          </cell>
          <cell r="L101">
            <v>171310.85136070129</v>
          </cell>
          <cell r="M101">
            <v>1.069088511937337</v>
          </cell>
          <cell r="N101">
            <v>2.4082548715066241</v>
          </cell>
          <cell r="O101">
            <v>1.787204747471459</v>
          </cell>
          <cell r="P101">
            <v>51971.687293398703</v>
          </cell>
          <cell r="Q101">
            <v>56251.913043202767</v>
          </cell>
          <cell r="R101">
            <v>0.56448082440480385</v>
          </cell>
          <cell r="S101">
            <v>0.55584968148870284</v>
          </cell>
          <cell r="T101">
            <v>2619902.344185357</v>
          </cell>
          <cell r="U101">
            <v>23.794582614469888</v>
          </cell>
          <cell r="V101">
            <v>3889803.1754842862</v>
          </cell>
          <cell r="W101">
            <v>40.343465109309342</v>
          </cell>
          <cell r="X101">
            <v>6697022.4917671084</v>
          </cell>
          <cell r="Y101">
            <v>64.167536567520756</v>
          </cell>
          <cell r="Z101">
            <v>0.33489644135644359</v>
          </cell>
          <cell r="AA101">
            <v>61874.052167162998</v>
          </cell>
          <cell r="AB101">
            <v>138784.8098925307</v>
          </cell>
          <cell r="AC101">
            <v>157.1819144215722</v>
          </cell>
          <cell r="AD101">
            <v>135.62208325958181</v>
          </cell>
          <cell r="AE101">
            <v>156.7309642507249</v>
          </cell>
          <cell r="AF101">
            <v>266.79307810860701</v>
          </cell>
          <cell r="AG101">
            <v>178.37940206586751</v>
          </cell>
          <cell r="AH101">
            <v>91.04260850071357</v>
          </cell>
          <cell r="AI101">
            <v>85.757995676201261</v>
          </cell>
          <cell r="AJ101">
            <v>147.17473165615019</v>
          </cell>
          <cell r="AK101">
            <v>94.110202483441398</v>
          </cell>
          <cell r="AL101">
            <v>201.62883262098259</v>
          </cell>
          <cell r="AM101">
            <v>194.7726141986995</v>
          </cell>
          <cell r="AN101">
            <v>165.36765810611601</v>
          </cell>
          <cell r="AO101">
            <v>178.5049296074969</v>
          </cell>
          <cell r="AP101">
            <v>105.45479441846889</v>
          </cell>
          <cell r="AQ101">
            <v>37.565892965624393</v>
          </cell>
          <cell r="AR101">
            <v>128.2196580326428</v>
          </cell>
          <cell r="AS101">
            <v>97.486610492113897</v>
          </cell>
          <cell r="AT101">
            <v>3592451.4795981599</v>
          </cell>
          <cell r="AX101">
            <v>139.37275716400319</v>
          </cell>
        </row>
        <row r="102">
          <cell r="B102">
            <v>32040.88631439098</v>
          </cell>
          <cell r="C102">
            <v>18785.75335868715</v>
          </cell>
          <cell r="D102">
            <v>28916.864673606739</v>
          </cell>
          <cell r="E102">
            <v>9108.1119110492291</v>
          </cell>
          <cell r="F102">
            <v>982184.08680338133</v>
          </cell>
          <cell r="G102">
            <v>280.62975243850087</v>
          </cell>
          <cell r="H102">
            <v>386.80271298479602</v>
          </cell>
          <cell r="I102">
            <v>173.67704208484309</v>
          </cell>
          <cell r="J102">
            <v>93813.89768546226</v>
          </cell>
          <cell r="K102">
            <v>247664.3344012663</v>
          </cell>
          <cell r="L102">
            <v>177326.65604343711</v>
          </cell>
          <cell r="M102">
            <v>0.89828203890523439</v>
          </cell>
          <cell r="N102">
            <v>2.3527618269518351</v>
          </cell>
          <cell r="O102">
            <v>1.661826008567258</v>
          </cell>
          <cell r="P102">
            <v>54588.114385154557</v>
          </cell>
          <cell r="Q102">
            <v>58294.969642249896</v>
          </cell>
          <cell r="R102">
            <v>0.58558139711865431</v>
          </cell>
          <cell r="S102">
            <v>0.55816783158813776</v>
          </cell>
          <cell r="T102">
            <v>2672968.8904424841</v>
          </cell>
          <cell r="U102">
            <v>24.67343358065915</v>
          </cell>
          <cell r="V102">
            <v>3957465.2692178078</v>
          </cell>
          <cell r="W102">
            <v>40.114496148549563</v>
          </cell>
          <cell r="X102">
            <v>6516667.3051096229</v>
          </cell>
          <cell r="Y102">
            <v>64.516273674460962</v>
          </cell>
          <cell r="Z102">
            <v>0.33567665120860879</v>
          </cell>
          <cell r="AA102">
            <v>62005.551511381607</v>
          </cell>
          <cell r="AB102">
            <v>91166.914058544033</v>
          </cell>
          <cell r="AC102">
            <v>153.6852011598842</v>
          </cell>
          <cell r="AD102">
            <v>117.77625905524179</v>
          </cell>
          <cell r="AE102">
            <v>154.96932310119419</v>
          </cell>
          <cell r="AF102">
            <v>317.09973433118603</v>
          </cell>
          <cell r="AG102">
            <v>172.7319887211913</v>
          </cell>
          <cell r="AH102">
            <v>88.244442073310111</v>
          </cell>
          <cell r="AI102">
            <v>85.76020064285467</v>
          </cell>
          <cell r="AJ102">
            <v>147.3124234737648</v>
          </cell>
          <cell r="AK102">
            <v>95.001600085359883</v>
          </cell>
          <cell r="AL102">
            <v>197.95494227907361</v>
          </cell>
          <cell r="AM102">
            <v>175.20254997314231</v>
          </cell>
          <cell r="AN102">
            <v>168.13487514214509</v>
          </cell>
          <cell r="AO102">
            <v>157.1370681120583</v>
          </cell>
          <cell r="AP102">
            <v>116.4936417699399</v>
          </cell>
          <cell r="AQ102">
            <v>37.365400886040867</v>
          </cell>
          <cell r="AR102">
            <v>127.96507535699131</v>
          </cell>
          <cell r="AS102">
            <v>96.155030418287566</v>
          </cell>
          <cell r="AT102">
            <v>3418572.1013573911</v>
          </cell>
          <cell r="AX102">
            <v>140.77155982982441</v>
          </cell>
        </row>
        <row r="103">
          <cell r="B103">
            <v>36096.745409124211</v>
          </cell>
          <cell r="C103">
            <v>21812.289378066929</v>
          </cell>
          <cell r="D103">
            <v>25337.98912856061</v>
          </cell>
          <cell r="E103">
            <v>8204.6423493178063</v>
          </cell>
          <cell r="F103">
            <v>984506.70023205853</v>
          </cell>
          <cell r="G103">
            <v>275.21323097749462</v>
          </cell>
          <cell r="H103">
            <v>389.60374142836929</v>
          </cell>
          <cell r="I103">
            <v>179.68050063464531</v>
          </cell>
          <cell r="J103">
            <v>94890.563021880283</v>
          </cell>
          <cell r="K103">
            <v>243710.99608247049</v>
          </cell>
          <cell r="L103">
            <v>186391.14631780269</v>
          </cell>
          <cell r="M103">
            <v>1.010341959780277</v>
          </cell>
          <cell r="N103">
            <v>2.3834528252444991</v>
          </cell>
          <cell r="O103">
            <v>1.650525488946321</v>
          </cell>
          <cell r="P103">
            <v>94217.692232129892</v>
          </cell>
          <cell r="Q103">
            <v>61927.75541100675</v>
          </cell>
          <cell r="R103">
            <v>0.63700916512469319</v>
          </cell>
          <cell r="S103">
            <v>0.5662025286844875</v>
          </cell>
          <cell r="T103">
            <v>2818920.4744251431</v>
          </cell>
          <cell r="U103">
            <v>26.618501042698441</v>
          </cell>
          <cell r="V103">
            <v>4516664.6785980565</v>
          </cell>
          <cell r="W103">
            <v>39.820870025453139</v>
          </cell>
          <cell r="X103">
            <v>7006043.1151453294</v>
          </cell>
          <cell r="Y103">
            <v>64.463483349522761</v>
          </cell>
          <cell r="Z103">
            <v>0.34390087712133061</v>
          </cell>
          <cell r="AA103">
            <v>60165.484538974299</v>
          </cell>
          <cell r="AB103">
            <v>148857.18695999219</v>
          </cell>
          <cell r="AC103">
            <v>159.324387069046</v>
          </cell>
          <cell r="AD103">
            <v>119.5317188386968</v>
          </cell>
          <cell r="AE103">
            <v>157.97805421411019</v>
          </cell>
          <cell r="AF103">
            <v>341.61812183408352</v>
          </cell>
          <cell r="AG103">
            <v>179.772537471943</v>
          </cell>
          <cell r="AH103">
            <v>90.321509984667514</v>
          </cell>
          <cell r="AI103">
            <v>85.655515718480402</v>
          </cell>
          <cell r="AJ103">
            <v>143.66609109780549</v>
          </cell>
          <cell r="AK103">
            <v>96.613402956685633</v>
          </cell>
          <cell r="AL103">
            <v>204.12061859278489</v>
          </cell>
          <cell r="AM103">
            <v>197.56439951993801</v>
          </cell>
          <cell r="AN103">
            <v>168.19345525868519</v>
          </cell>
          <cell r="AO103">
            <v>156.19562689656379</v>
          </cell>
          <cell r="AP103">
            <v>131.92890314096579</v>
          </cell>
          <cell r="AQ103">
            <v>34.7156918301473</v>
          </cell>
          <cell r="AR103">
            <v>126.8005954757818</v>
          </cell>
          <cell r="AS103">
            <v>95.472163344304292</v>
          </cell>
          <cell r="AT103">
            <v>3502258.066160874</v>
          </cell>
          <cell r="AX103">
            <v>142.2369154857181</v>
          </cell>
        </row>
        <row r="104">
          <cell r="B104">
            <v>34259.677785378663</v>
          </cell>
          <cell r="C104">
            <v>24197.286128149441</v>
          </cell>
          <cell r="D104">
            <v>28164.937846714642</v>
          </cell>
          <cell r="E104">
            <v>8821.6145636518613</v>
          </cell>
          <cell r="F104">
            <v>1023765.868529978</v>
          </cell>
          <cell r="G104">
            <v>357.59628095327753</v>
          </cell>
          <cell r="H104">
            <v>404.18812486759879</v>
          </cell>
          <cell r="I104">
            <v>202.21319926814081</v>
          </cell>
          <cell r="J104">
            <v>102117.0209864645</v>
          </cell>
          <cell r="K104">
            <v>244477.19838704169</v>
          </cell>
          <cell r="L104">
            <v>188292.01095383271</v>
          </cell>
          <cell r="M104">
            <v>0.94581986057503709</v>
          </cell>
          <cell r="N104">
            <v>2.401142349937333</v>
          </cell>
          <cell r="O104">
            <v>1.74645231661846</v>
          </cell>
          <cell r="P104">
            <v>99475.040008918877</v>
          </cell>
          <cell r="Q104">
            <v>64406.934717931646</v>
          </cell>
          <cell r="R104">
            <v>0.56071803956997845</v>
          </cell>
          <cell r="S104">
            <v>0.58672894250798058</v>
          </cell>
          <cell r="T104">
            <v>2924705.3948149569</v>
          </cell>
          <cell r="U104">
            <v>23.315218902630111</v>
          </cell>
          <cell r="V104">
            <v>4409492.7548477063</v>
          </cell>
          <cell r="W104">
            <v>39.879931863279893</v>
          </cell>
          <cell r="X104">
            <v>7130819.9198555863</v>
          </cell>
          <cell r="Y104">
            <v>64.34695525175205</v>
          </cell>
          <cell r="Z104">
            <v>0.34005838897547341</v>
          </cell>
          <cell r="AA104">
            <v>62292.689992836371</v>
          </cell>
          <cell r="AB104">
            <v>139526.03892718401</v>
          </cell>
          <cell r="AC104">
            <v>157.33345823525519</v>
          </cell>
          <cell r="AD104">
            <v>136.11212984300789</v>
          </cell>
          <cell r="AE104">
            <v>156.28614328322931</v>
          </cell>
          <cell r="AF104">
            <v>336.62505528604572</v>
          </cell>
          <cell r="AG104">
            <v>177.46313815655921</v>
          </cell>
          <cell r="AH104">
            <v>89.847140397857089</v>
          </cell>
          <cell r="AI104">
            <v>85.680427141295013</v>
          </cell>
          <cell r="AJ104">
            <v>153.06709024395991</v>
          </cell>
          <cell r="AK104">
            <v>96.009413149916824</v>
          </cell>
          <cell r="AL104">
            <v>198.79063958670801</v>
          </cell>
          <cell r="AM104">
            <v>202.7371099056443</v>
          </cell>
          <cell r="AN104">
            <v>174.50316808396471</v>
          </cell>
          <cell r="AO104">
            <v>181.4258836411384</v>
          </cell>
          <cell r="AP104">
            <v>124.7110295861759</v>
          </cell>
          <cell r="AQ104">
            <v>39.067055935479381</v>
          </cell>
          <cell r="AR104">
            <v>129.90926559986241</v>
          </cell>
          <cell r="AS104">
            <v>97.573551806111524</v>
          </cell>
          <cell r="AT104">
            <v>3506339.7320255921</v>
          </cell>
          <cell r="AX104">
            <v>140.74883238766381</v>
          </cell>
        </row>
        <row r="105">
          <cell r="B105">
            <v>33851.662011419772</v>
          </cell>
          <cell r="C105">
            <v>22475.084566243779</v>
          </cell>
          <cell r="D105">
            <v>26776.318998969651</v>
          </cell>
          <cell r="E105">
            <v>9297.0177624703629</v>
          </cell>
          <cell r="F105">
            <v>989817.8238767524</v>
          </cell>
          <cell r="G105">
            <v>327.23539907314421</v>
          </cell>
          <cell r="H105">
            <v>400.15234581683978</v>
          </cell>
          <cell r="I105">
            <v>178.73901823197201</v>
          </cell>
          <cell r="J105">
            <v>130634.6613498846</v>
          </cell>
          <cell r="K105">
            <v>295980.13329016918</v>
          </cell>
          <cell r="L105">
            <v>215645.4140209964</v>
          </cell>
          <cell r="M105">
            <v>1.005678615127866</v>
          </cell>
          <cell r="N105">
            <v>2.4067286944877591</v>
          </cell>
          <cell r="O105">
            <v>1.788568837267476</v>
          </cell>
          <cell r="P105">
            <v>61837.537248881607</v>
          </cell>
          <cell r="Q105">
            <v>54480.519493024993</v>
          </cell>
          <cell r="R105">
            <v>0.62424850227851403</v>
          </cell>
          <cell r="S105">
            <v>0.59687560067610868</v>
          </cell>
          <cell r="T105">
            <v>1871485.306812915</v>
          </cell>
          <cell r="U105">
            <v>25.90980748885384</v>
          </cell>
          <cell r="V105">
            <v>4834852.5221037846</v>
          </cell>
          <cell r="W105">
            <v>40.566068704387582</v>
          </cell>
          <cell r="X105">
            <v>7774817.3073163629</v>
          </cell>
          <cell r="Y105">
            <v>65.886137140366017</v>
          </cell>
          <cell r="Z105">
            <v>0.34025414196107201</v>
          </cell>
          <cell r="AA105">
            <v>62020.024813158001</v>
          </cell>
          <cell r="AB105">
            <v>140454.04349372879</v>
          </cell>
          <cell r="AC105">
            <v>157.2627775514232</v>
          </cell>
          <cell r="AD105">
            <v>119.09377781762009</v>
          </cell>
          <cell r="AE105">
            <v>159.10156954518331</v>
          </cell>
          <cell r="AF105">
            <v>337.0476752019274</v>
          </cell>
          <cell r="AG105">
            <v>177.47689588097239</v>
          </cell>
          <cell r="AH105">
            <v>89.179107209936817</v>
          </cell>
          <cell r="AI105">
            <v>85.771788938145079</v>
          </cell>
          <cell r="AJ105">
            <v>149.20055541881339</v>
          </cell>
          <cell r="AK105">
            <v>96.938340596271942</v>
          </cell>
          <cell r="AL105">
            <v>202.0076414788696</v>
          </cell>
          <cell r="AM105">
            <v>198.28543538181259</v>
          </cell>
          <cell r="AN105">
            <v>174.1373466203485</v>
          </cell>
          <cell r="AO105">
            <v>157.96447525748599</v>
          </cell>
          <cell r="AP105">
            <v>124.1392486692659</v>
          </cell>
          <cell r="AQ105">
            <v>38.348436578273073</v>
          </cell>
          <cell r="AR105">
            <v>130.78195136659389</v>
          </cell>
          <cell r="AS105">
            <v>97.783432090098813</v>
          </cell>
          <cell r="AT105">
            <v>3420744.9578593541</v>
          </cell>
          <cell r="AX105">
            <v>141.41718495391871</v>
          </cell>
        </row>
        <row r="106">
          <cell r="B106">
            <v>37233.050887069381</v>
          </cell>
          <cell r="C106">
            <v>20108.30159459346</v>
          </cell>
          <cell r="D106">
            <v>23525.70347620696</v>
          </cell>
          <cell r="E106">
            <v>9544.7586316420966</v>
          </cell>
          <cell r="F106">
            <v>1001189.274982578</v>
          </cell>
          <cell r="G106">
            <v>308.13573361266731</v>
          </cell>
          <cell r="H106">
            <v>421.92561995647219</v>
          </cell>
          <cell r="I106">
            <v>196.76681823461479</v>
          </cell>
          <cell r="J106">
            <v>107802.8058567573</v>
          </cell>
          <cell r="K106">
            <v>309614.3815780147</v>
          </cell>
          <cell r="L106">
            <v>243303.06191439799</v>
          </cell>
          <cell r="M106">
            <v>0.88987701198771818</v>
          </cell>
          <cell r="N106">
            <v>2.5007250258074381</v>
          </cell>
          <cell r="O106">
            <v>1.804284777448274</v>
          </cell>
          <cell r="P106">
            <v>66039.578444012164</v>
          </cell>
          <cell r="Q106">
            <v>70798.321792846909</v>
          </cell>
          <cell r="R106">
            <v>0.65516037914413572</v>
          </cell>
          <cell r="S106">
            <v>0.63920177037970116</v>
          </cell>
          <cell r="T106">
            <v>3142543.6272702329</v>
          </cell>
          <cell r="U106">
            <v>27.5008444287717</v>
          </cell>
          <cell r="V106">
            <v>4760446.3256026059</v>
          </cell>
          <cell r="W106">
            <v>40.339785604979582</v>
          </cell>
          <cell r="X106">
            <v>7663250.5719179679</v>
          </cell>
          <cell r="Y106">
            <v>65.303565774160802</v>
          </cell>
          <cell r="Z106">
            <v>0.33105769913097138</v>
          </cell>
          <cell r="AA106">
            <v>61968.453824642616</v>
          </cell>
          <cell r="AB106">
            <v>149194.6554807651</v>
          </cell>
          <cell r="AC106">
            <v>160.34895278397599</v>
          </cell>
          <cell r="AD106">
            <v>122.1033044244038</v>
          </cell>
          <cell r="AE106">
            <v>159.76100370218921</v>
          </cell>
          <cell r="AF106">
            <v>358.58010377796978</v>
          </cell>
          <cell r="AG106">
            <v>181.0672630520007</v>
          </cell>
          <cell r="AH106">
            <v>90.790374396213764</v>
          </cell>
          <cell r="AI106">
            <v>86.175458362381619</v>
          </cell>
          <cell r="AJ106">
            <v>150.64875985170099</v>
          </cell>
          <cell r="AK106">
            <v>98.326517803921519</v>
          </cell>
          <cell r="AL106">
            <v>203.7551261035494</v>
          </cell>
          <cell r="AM106">
            <v>202.39649041759091</v>
          </cell>
          <cell r="AN106">
            <v>177.9410014742711</v>
          </cell>
          <cell r="AO106">
            <v>158.77058869764991</v>
          </cell>
          <cell r="AP106">
            <v>137.6484973198497</v>
          </cell>
          <cell r="AQ106">
            <v>39.183869687066107</v>
          </cell>
          <cell r="AR106">
            <v>131.83194901698019</v>
          </cell>
          <cell r="AS106">
            <v>98.297401118968082</v>
          </cell>
          <cell r="AT106">
            <v>3629221.1274254988</v>
          </cell>
          <cell r="AX106">
            <v>144.2759959667128</v>
          </cell>
        </row>
        <row r="107">
          <cell r="B107">
            <v>36813.870397957588</v>
          </cell>
          <cell r="C107">
            <v>21946.48951838207</v>
          </cell>
          <cell r="D107">
            <v>24268.741245368201</v>
          </cell>
          <cell r="E107">
            <v>8530.9693194911397</v>
          </cell>
          <cell r="F107">
            <v>1038206.481404952</v>
          </cell>
          <cell r="G107">
            <v>297.90826778296798</v>
          </cell>
          <cell r="H107">
            <v>414.64693637455957</v>
          </cell>
          <cell r="I107">
            <v>201.2071528562625</v>
          </cell>
          <cell r="J107">
            <v>111380.0807611467</v>
          </cell>
          <cell r="K107">
            <v>302645.26644207642</v>
          </cell>
          <cell r="L107">
            <v>209717.96602119631</v>
          </cell>
          <cell r="M107">
            <v>1.011406434781029</v>
          </cell>
          <cell r="N107">
            <v>2.3322051592085198</v>
          </cell>
          <cell r="O107">
            <v>1.7808361895286899</v>
          </cell>
          <cell r="P107">
            <v>75491.639813447109</v>
          </cell>
          <cell r="Q107">
            <v>100229.8185082424</v>
          </cell>
          <cell r="R107">
            <v>0.67808299033466168</v>
          </cell>
          <cell r="S107">
            <v>0.67785708603594574</v>
          </cell>
          <cell r="T107">
            <v>3254088.4134542351</v>
          </cell>
          <cell r="U107">
            <v>28.602500142176119</v>
          </cell>
          <cell r="V107">
            <v>5036916.7473923136</v>
          </cell>
          <cell r="W107">
            <v>40.806391624564782</v>
          </cell>
          <cell r="X107">
            <v>8316151.9830912473</v>
          </cell>
          <cell r="Y107">
            <v>64.418010901832901</v>
          </cell>
          <cell r="Z107">
            <v>0.32750366698692529</v>
          </cell>
          <cell r="AA107">
            <v>62383.148113310017</v>
          </cell>
          <cell r="AB107">
            <v>138721.81693921459</v>
          </cell>
          <cell r="AC107">
            <v>154.88510814869511</v>
          </cell>
          <cell r="AD107">
            <v>122.3132772404844</v>
          </cell>
          <cell r="AE107">
            <v>157.59113629505541</v>
          </cell>
          <cell r="AF107">
            <v>337.02556211263021</v>
          </cell>
          <cell r="AG107">
            <v>175.72419819122641</v>
          </cell>
          <cell r="AH107">
            <v>84.337325503263514</v>
          </cell>
          <cell r="AI107">
            <v>85.735296938183467</v>
          </cell>
          <cell r="AJ107">
            <v>148.42964880297529</v>
          </cell>
          <cell r="AK107">
            <v>101.8586500278366</v>
          </cell>
          <cell r="AL107">
            <v>198.2677499135068</v>
          </cell>
          <cell r="AM107">
            <v>204.63192785411661</v>
          </cell>
          <cell r="AN107">
            <v>178.43517133700689</v>
          </cell>
          <cell r="AO107">
            <v>156.33914759690481</v>
          </cell>
          <cell r="AP107">
            <v>135.97254502736911</v>
          </cell>
          <cell r="AQ107">
            <v>39.245565477345529</v>
          </cell>
          <cell r="AR107">
            <v>131.7469965435551</v>
          </cell>
          <cell r="AS107">
            <v>97.982421733195153</v>
          </cell>
          <cell r="AT107">
            <v>3412583.2400891948</v>
          </cell>
          <cell r="AX107">
            <v>143.6889814925245</v>
          </cell>
        </row>
        <row r="108">
          <cell r="B108">
            <v>40030.59536145904</v>
          </cell>
          <cell r="C108">
            <v>30445.434056990311</v>
          </cell>
          <cell r="D108">
            <v>27711.339529938559</v>
          </cell>
          <cell r="E108">
            <v>8807.2636500648823</v>
          </cell>
          <cell r="F108">
            <v>1081172.8174983719</v>
          </cell>
          <cell r="G108">
            <v>305.11836978292979</v>
          </cell>
          <cell r="H108">
            <v>429.68970903308241</v>
          </cell>
          <cell r="I108">
            <v>197.3874087985063</v>
          </cell>
          <cell r="J108">
            <v>186302.26921994201</v>
          </cell>
          <cell r="K108">
            <v>324074.88634891761</v>
          </cell>
          <cell r="L108">
            <v>216101.97348773101</v>
          </cell>
          <cell r="M108">
            <v>0.99787412112909957</v>
          </cell>
          <cell r="N108">
            <v>2.5100700404766569</v>
          </cell>
          <cell r="O108">
            <v>1.8508806799530471</v>
          </cell>
          <cell r="P108">
            <v>53840.239622778863</v>
          </cell>
          <cell r="Q108">
            <v>77769.468585113253</v>
          </cell>
          <cell r="R108">
            <v>0.53490657137561715</v>
          </cell>
          <cell r="S108">
            <v>0.62473719652819582</v>
          </cell>
          <cell r="T108">
            <v>3345161.5646687322</v>
          </cell>
          <cell r="U108">
            <v>22.207467121135629</v>
          </cell>
          <cell r="V108">
            <v>5412870.2265365887</v>
          </cell>
          <cell r="W108">
            <v>39.9264260270592</v>
          </cell>
          <cell r="X108">
            <v>8943248.0719650574</v>
          </cell>
          <cell r="Y108">
            <v>66.729795880399877</v>
          </cell>
          <cell r="Z108">
            <v>0.32462848845957221</v>
          </cell>
          <cell r="AA108">
            <v>61710.89009404496</v>
          </cell>
          <cell r="AB108">
            <v>156973.4208626578</v>
          </cell>
          <cell r="AC108">
            <v>161.1512328730534</v>
          </cell>
          <cell r="AD108">
            <v>123.3462498116244</v>
          </cell>
          <cell r="AE108">
            <v>160.5937236756937</v>
          </cell>
          <cell r="AF108">
            <v>359.49096464138148</v>
          </cell>
          <cell r="AG108">
            <v>180.13443340898209</v>
          </cell>
          <cell r="AH108">
            <v>96.750757965064736</v>
          </cell>
          <cell r="AI108">
            <v>86.359219585701538</v>
          </cell>
          <cell r="AJ108">
            <v>151.68506624801429</v>
          </cell>
          <cell r="AK108">
            <v>100.2938653770435</v>
          </cell>
          <cell r="AL108">
            <v>212.71768795247661</v>
          </cell>
          <cell r="AM108">
            <v>210.92858397710049</v>
          </cell>
          <cell r="AN108">
            <v>183.54239104295431</v>
          </cell>
          <cell r="AO108">
            <v>156.15187947244721</v>
          </cell>
          <cell r="AP108">
            <v>147.71112697352751</v>
          </cell>
          <cell r="AQ108">
            <v>38.216732603302752</v>
          </cell>
          <cell r="AR108">
            <v>134.4478161680934</v>
          </cell>
          <cell r="AS108">
            <v>99.365388772188197</v>
          </cell>
          <cell r="AT108">
            <v>3386535.2452923199</v>
          </cell>
          <cell r="AX108">
            <v>146.69936236507041</v>
          </cell>
        </row>
        <row r="109">
          <cell r="B109">
            <v>50430.337242427428</v>
          </cell>
          <cell r="C109">
            <v>21843.256415034939</v>
          </cell>
          <cell r="D109">
            <v>28486.332422212221</v>
          </cell>
          <cell r="E109">
            <v>9487.79096736871</v>
          </cell>
          <cell r="F109">
            <v>1128425.1513122551</v>
          </cell>
          <cell r="G109">
            <v>313.12809682294909</v>
          </cell>
          <cell r="H109">
            <v>434.06737508680197</v>
          </cell>
          <cell r="I109">
            <v>203.6114030334202</v>
          </cell>
          <cell r="J109">
            <v>121206.4008325991</v>
          </cell>
          <cell r="K109">
            <v>340528.6816858119</v>
          </cell>
          <cell r="L109">
            <v>265071.32506673649</v>
          </cell>
          <cell r="M109">
            <v>0.98468572392043363</v>
          </cell>
          <cell r="N109">
            <v>2.6686357596140149</v>
          </cell>
          <cell r="O109">
            <v>1.8056251753775949</v>
          </cell>
          <cell r="P109">
            <v>74238.387158530255</v>
          </cell>
          <cell r="Q109">
            <v>82151.986101001545</v>
          </cell>
          <cell r="R109">
            <v>0.59823948033346563</v>
          </cell>
          <cell r="S109">
            <v>0.58177722454948821</v>
          </cell>
          <cell r="T109">
            <v>3501239.5892969929</v>
          </cell>
          <cell r="U109">
            <v>24.858588425323589</v>
          </cell>
          <cell r="V109">
            <v>5357557.886420643</v>
          </cell>
          <cell r="W109">
            <v>40.161355722955768</v>
          </cell>
          <cell r="X109">
            <v>7673195.3575579459</v>
          </cell>
          <cell r="Y109">
            <v>66.960679240488432</v>
          </cell>
          <cell r="Z109">
            <v>0.34112227174851811</v>
          </cell>
          <cell r="AA109">
            <v>61834.413615436279</v>
          </cell>
          <cell r="AB109">
            <v>156549.14967221959</v>
          </cell>
          <cell r="AC109">
            <v>162.66179410484619</v>
          </cell>
          <cell r="AD109">
            <v>135.2235521445146</v>
          </cell>
          <cell r="AE109">
            <v>158.06005673013721</v>
          </cell>
          <cell r="AF109">
            <v>400.37006175288502</v>
          </cell>
          <cell r="AG109">
            <v>181.5664060824738</v>
          </cell>
          <cell r="AH109">
            <v>95.959669707990315</v>
          </cell>
          <cell r="AI109">
            <v>87.494674988821131</v>
          </cell>
          <cell r="AJ109">
            <v>148.39290318136619</v>
          </cell>
          <cell r="AK109">
            <v>98.766389341346851</v>
          </cell>
          <cell r="AL109">
            <v>190.92384907649179</v>
          </cell>
          <cell r="AM109">
            <v>209.42588094938719</v>
          </cell>
          <cell r="AN109">
            <v>185.1042692570889</v>
          </cell>
          <cell r="AO109">
            <v>164.85849512880591</v>
          </cell>
          <cell r="AP109">
            <v>173.95517787630729</v>
          </cell>
          <cell r="AQ109">
            <v>38.085916794869277</v>
          </cell>
          <cell r="AR109">
            <v>133.42559860181359</v>
          </cell>
          <cell r="AS109">
            <v>98.191715451393875</v>
          </cell>
          <cell r="AT109">
            <v>3274735.860285386</v>
          </cell>
          <cell r="AX109">
            <v>150.30999009523609</v>
          </cell>
        </row>
        <row r="110">
          <cell r="B110">
            <v>40074.015816043822</v>
          </cell>
          <cell r="C110">
            <v>21232.93503371927</v>
          </cell>
          <cell r="D110">
            <v>27953.11656846627</v>
          </cell>
          <cell r="E110">
            <v>8963.8607000459178</v>
          </cell>
          <cell r="F110">
            <v>996436.16071887675</v>
          </cell>
          <cell r="G110">
            <v>319.15200593829798</v>
          </cell>
          <cell r="H110">
            <v>357.96522886706072</v>
          </cell>
          <cell r="I110">
            <v>185.79889111943189</v>
          </cell>
          <cell r="J110">
            <v>126527.70456078929</v>
          </cell>
          <cell r="K110">
            <v>343270.57790745958</v>
          </cell>
          <cell r="L110">
            <v>242811.68588108939</v>
          </cell>
          <cell r="M110">
            <v>0.92184460621191022</v>
          </cell>
          <cell r="N110">
            <v>2.4375997249593269</v>
          </cell>
          <cell r="O110">
            <v>1.826828674176467</v>
          </cell>
          <cell r="P110">
            <v>88852.188598912457</v>
          </cell>
          <cell r="Q110">
            <v>89505.850719132141</v>
          </cell>
          <cell r="R110">
            <v>0.59131597119966006</v>
          </cell>
          <cell r="S110">
            <v>0.57763256766206972</v>
          </cell>
          <cell r="T110">
            <v>4532936.3802663414</v>
          </cell>
          <cell r="U110">
            <v>24.504057342472841</v>
          </cell>
          <cell r="V110">
            <v>5605458.3179551046</v>
          </cell>
          <cell r="W110">
            <v>41.842252290568929</v>
          </cell>
          <cell r="X110">
            <v>8089109.1596565563</v>
          </cell>
          <cell r="Y110">
            <v>66.522279417164242</v>
          </cell>
          <cell r="Z110">
            <v>0.3880775827259324</v>
          </cell>
          <cell r="AA110">
            <v>56661.621946963627</v>
          </cell>
          <cell r="AB110">
            <v>125370.12181624561</v>
          </cell>
          <cell r="AC110">
            <v>153.52176752872549</v>
          </cell>
          <cell r="AD110">
            <v>118.5025118550324</v>
          </cell>
          <cell r="AE110">
            <v>157.75921099248191</v>
          </cell>
          <cell r="AF110">
            <v>353.86059730854601</v>
          </cell>
          <cell r="AG110">
            <v>171.6144124677603</v>
          </cell>
          <cell r="AH110">
            <v>89.95442623929452</v>
          </cell>
          <cell r="AI110">
            <v>85.683734150204714</v>
          </cell>
          <cell r="AJ110">
            <v>140.34847243538991</v>
          </cell>
          <cell r="AK110">
            <v>94.755168423856929</v>
          </cell>
          <cell r="AL110">
            <v>206.95271635081619</v>
          </cell>
          <cell r="AM110">
            <v>184.0290377185664</v>
          </cell>
          <cell r="AN110">
            <v>162.9644295962897</v>
          </cell>
          <cell r="AO110">
            <v>154.8848131549336</v>
          </cell>
          <cell r="AP110">
            <v>147.69200619186839</v>
          </cell>
          <cell r="AQ110">
            <v>39.153644430394337</v>
          </cell>
          <cell r="AR110">
            <v>131.74700029507451</v>
          </cell>
          <cell r="AS110">
            <v>98.792808276074581</v>
          </cell>
          <cell r="AT110">
            <v>3356523.940009668</v>
          </cell>
          <cell r="AX110">
            <v>146.8042426771822</v>
          </cell>
        </row>
        <row r="111">
          <cell r="B111">
            <v>41179.588801842823</v>
          </cell>
          <cell r="C111">
            <v>23749.029967851911</v>
          </cell>
          <cell r="D111">
            <v>28330.318934763531</v>
          </cell>
          <cell r="E111">
            <v>8867.1273303466751</v>
          </cell>
          <cell r="F111">
            <v>1100016.4145534961</v>
          </cell>
          <cell r="G111">
            <v>269.51984813462332</v>
          </cell>
          <cell r="H111">
            <v>373.73810463324088</v>
          </cell>
          <cell r="I111">
            <v>192.41309932363731</v>
          </cell>
          <cell r="J111">
            <v>132154.4948856174</v>
          </cell>
          <cell r="K111">
            <v>349695.8291256646</v>
          </cell>
          <cell r="L111">
            <v>257649.56225121109</v>
          </cell>
          <cell r="M111">
            <v>1.0476416383073139</v>
          </cell>
          <cell r="N111">
            <v>2.512103820572718</v>
          </cell>
          <cell r="O111">
            <v>1.871397978650938</v>
          </cell>
          <cell r="P111">
            <v>83697.752195289271</v>
          </cell>
          <cell r="Q111">
            <v>93283.344150027086</v>
          </cell>
          <cell r="R111">
            <v>0.61928879645016854</v>
          </cell>
          <cell r="S111">
            <v>0.6104573690063394</v>
          </cell>
          <cell r="T111">
            <v>3707686.7717153351</v>
          </cell>
          <cell r="U111">
            <v>25.908589364225129</v>
          </cell>
          <cell r="V111">
            <v>5512914.4204773279</v>
          </cell>
          <cell r="W111">
            <v>39.579194268034868</v>
          </cell>
          <cell r="X111">
            <v>9654900.0017200056</v>
          </cell>
          <cell r="Y111">
            <v>64.952727292324127</v>
          </cell>
          <cell r="Z111">
            <v>0.41809497851715699</v>
          </cell>
          <cell r="AA111">
            <v>62702.414419774519</v>
          </cell>
          <cell r="AB111">
            <v>141759.1743040437</v>
          </cell>
          <cell r="AC111">
            <v>161.47481099533121</v>
          </cell>
          <cell r="AD111">
            <v>130.82424589100799</v>
          </cell>
          <cell r="AE111">
            <v>162.11966589876161</v>
          </cell>
          <cell r="AF111">
            <v>352.66524977075028</v>
          </cell>
          <cell r="AG111">
            <v>181.97659332753679</v>
          </cell>
          <cell r="AH111">
            <v>90.364764670986261</v>
          </cell>
          <cell r="AI111">
            <v>85.839575461998564</v>
          </cell>
          <cell r="AJ111">
            <v>150.4625868316237</v>
          </cell>
          <cell r="AK111">
            <v>84.713851530152127</v>
          </cell>
          <cell r="AL111">
            <v>208.32377151652369</v>
          </cell>
          <cell r="AM111">
            <v>208.24892686740759</v>
          </cell>
          <cell r="AN111">
            <v>168.4627603401799</v>
          </cell>
          <cell r="AO111">
            <v>161.43134633923239</v>
          </cell>
          <cell r="AP111">
            <v>151.04545480267919</v>
          </cell>
          <cell r="AQ111">
            <v>39.732240462463928</v>
          </cell>
          <cell r="AR111">
            <v>134.2613464087284</v>
          </cell>
          <cell r="AS111">
            <v>97.933911264458033</v>
          </cell>
          <cell r="AT111">
            <v>3347676.24401019</v>
          </cell>
          <cell r="AX111">
            <v>149.71986838897121</v>
          </cell>
        </row>
        <row r="112">
          <cell r="B112">
            <v>41589.854825748247</v>
          </cell>
          <cell r="C112">
            <v>22942.178027960879</v>
          </cell>
          <cell r="D112">
            <v>30933.426849103049</v>
          </cell>
          <cell r="E112">
            <v>8677.9173873510954</v>
          </cell>
          <cell r="F112">
            <v>1051346.2327817201</v>
          </cell>
          <cell r="G112">
            <v>291.9881415756654</v>
          </cell>
          <cell r="H112">
            <v>422.59497840129859</v>
          </cell>
          <cell r="I112">
            <v>198.71159695141</v>
          </cell>
          <cell r="J112">
            <v>187747.45165764939</v>
          </cell>
          <cell r="K112">
            <v>395107.26276326057</v>
          </cell>
          <cell r="L112">
            <v>251615.46790801341</v>
          </cell>
          <cell r="M112">
            <v>1.290123667747259</v>
          </cell>
          <cell r="N112">
            <v>2.5224944795995059</v>
          </cell>
          <cell r="O112">
            <v>1.8597277717521279</v>
          </cell>
          <cell r="P112">
            <v>91070.671392430784</v>
          </cell>
          <cell r="Q112">
            <v>94981.043247625552</v>
          </cell>
          <cell r="R112">
            <v>0.65223991832081063</v>
          </cell>
          <cell r="S112">
            <v>0.66009577126036489</v>
          </cell>
          <cell r="T112">
            <v>3824464.6878704941</v>
          </cell>
          <cell r="U112">
            <v>27.261171795105689</v>
          </cell>
          <cell r="V112">
            <v>5923782.7568855947</v>
          </cell>
          <cell r="W112">
            <v>38.792097145822439</v>
          </cell>
          <cell r="X112">
            <v>9774129.6070721932</v>
          </cell>
          <cell r="Y112">
            <v>63.305285234604817</v>
          </cell>
          <cell r="Z112">
            <v>0.44848342863153878</v>
          </cell>
          <cell r="AA112">
            <v>64271.48002244113</v>
          </cell>
          <cell r="AB112">
            <v>131514.61126188701</v>
          </cell>
          <cell r="AC112">
            <v>169.4822172205495</v>
          </cell>
          <cell r="AD112">
            <v>138.20168304063981</v>
          </cell>
          <cell r="AE112">
            <v>158.10345840027071</v>
          </cell>
          <cell r="AF112">
            <v>362.71507707580082</v>
          </cell>
          <cell r="AG112">
            <v>181.5074765670864</v>
          </cell>
          <cell r="AH112">
            <v>94.820518140626376</v>
          </cell>
          <cell r="AI112">
            <v>85.977551444853603</v>
          </cell>
          <cell r="AJ112">
            <v>152.5142408540604</v>
          </cell>
          <cell r="AK112">
            <v>91.715249478799379</v>
          </cell>
          <cell r="AL112">
            <v>204.31557182114651</v>
          </cell>
          <cell r="AM112">
            <v>210.6287517583277</v>
          </cell>
          <cell r="AN112">
            <v>181.30758041203319</v>
          </cell>
          <cell r="AO112">
            <v>175.34191611183289</v>
          </cell>
          <cell r="AP112">
            <v>151.87116032438959</v>
          </cell>
          <cell r="AQ112">
            <v>37.662698685785202</v>
          </cell>
          <cell r="AR112">
            <v>134.50845068317801</v>
          </cell>
          <cell r="AS112">
            <v>97.325185927922305</v>
          </cell>
          <cell r="AT112">
            <v>3254688.527652909</v>
          </cell>
          <cell r="AX112">
            <v>148.16268757801771</v>
          </cell>
        </row>
        <row r="113">
          <cell r="B113">
            <v>43595.685318343472</v>
          </cell>
          <cell r="C113">
            <v>27528.104485217871</v>
          </cell>
          <cell r="D113">
            <v>30417.218095752651</v>
          </cell>
          <cell r="E113">
            <v>9959.9634077578812</v>
          </cell>
          <cell r="F113">
            <v>1076558.0099483191</v>
          </cell>
          <cell r="G113">
            <v>267.59891256431769</v>
          </cell>
          <cell r="H113">
            <v>409.51564434889542</v>
          </cell>
          <cell r="I113">
            <v>181.86167947338581</v>
          </cell>
          <cell r="J113">
            <v>144239.70663545679</v>
          </cell>
          <cell r="K113">
            <v>409965.14865143492</v>
          </cell>
          <cell r="L113">
            <v>291713.45320809289</v>
          </cell>
          <cell r="M113">
            <v>0.91638396124575916</v>
          </cell>
          <cell r="N113">
            <v>2.564588328814811</v>
          </cell>
          <cell r="O113">
            <v>1.937714135723134</v>
          </cell>
          <cell r="P113">
            <v>88180.824943947853</v>
          </cell>
          <cell r="Q113">
            <v>97689.811082281623</v>
          </cell>
          <cell r="R113">
            <v>0.61570052198658332</v>
          </cell>
          <cell r="S113">
            <v>0.64278079772864627</v>
          </cell>
          <cell r="T113">
            <v>3360821.8384884452</v>
          </cell>
          <cell r="U113">
            <v>25.910473387242849</v>
          </cell>
          <cell r="V113">
            <v>5860555.7828063462</v>
          </cell>
          <cell r="W113">
            <v>38.222562705702963</v>
          </cell>
          <cell r="X113">
            <v>10602621.76933928</v>
          </cell>
          <cell r="Y113">
            <v>62.378739426941593</v>
          </cell>
          <cell r="Z113">
            <v>0.45386999841342168</v>
          </cell>
          <cell r="AA113">
            <v>62595.454290382637</v>
          </cell>
          <cell r="AB113">
            <v>139790.5502970189</v>
          </cell>
          <cell r="AC113">
            <v>160.02507568603301</v>
          </cell>
          <cell r="AD113">
            <v>131.49388070594441</v>
          </cell>
          <cell r="AE113">
            <v>158.11845764358819</v>
          </cell>
          <cell r="AF113">
            <v>364.45654121596738</v>
          </cell>
          <cell r="AG113">
            <v>180.9995614518981</v>
          </cell>
          <cell r="AH113">
            <v>92.287072087891616</v>
          </cell>
          <cell r="AI113">
            <v>85.976013633835777</v>
          </cell>
          <cell r="AJ113">
            <v>151.10738921910581</v>
          </cell>
          <cell r="AK113">
            <v>102.4419581716209</v>
          </cell>
          <cell r="AL113">
            <v>201.0153348868366</v>
          </cell>
          <cell r="AM113">
            <v>208.84344995667669</v>
          </cell>
          <cell r="AN113">
            <v>168.51361320780859</v>
          </cell>
          <cell r="AO113">
            <v>162.95104307917629</v>
          </cell>
          <cell r="AP113">
            <v>159.5712320507848</v>
          </cell>
          <cell r="AQ113">
            <v>38.040824099581933</v>
          </cell>
          <cell r="AR113">
            <v>134.14457685653599</v>
          </cell>
          <cell r="AS113">
            <v>97.261753981161576</v>
          </cell>
          <cell r="AT113">
            <v>3384870.7730535199</v>
          </cell>
          <cell r="AX113">
            <v>148.86572967800581</v>
          </cell>
        </row>
        <row r="114">
          <cell r="B114">
            <v>43364.911768355872</v>
          </cell>
          <cell r="C114">
            <v>25900.47290351952</v>
          </cell>
          <cell r="D114">
            <v>31735.17296970086</v>
          </cell>
          <cell r="E114">
            <v>9670.3246705144666</v>
          </cell>
          <cell r="F114">
            <v>1142475.593414539</v>
          </cell>
          <cell r="G114">
            <v>312.1456324635281</v>
          </cell>
          <cell r="H114">
            <v>437.82200558402093</v>
          </cell>
          <cell r="I114">
            <v>196.29467598189481</v>
          </cell>
          <cell r="J114">
            <v>150682.12039017581</v>
          </cell>
          <cell r="K114">
            <v>424860.9476764857</v>
          </cell>
          <cell r="L114">
            <v>386009.39473785122</v>
          </cell>
          <cell r="M114">
            <v>0.84126418407353287</v>
          </cell>
          <cell r="N114">
            <v>2.6029996559091568</v>
          </cell>
          <cell r="O114">
            <v>2.168858632671109</v>
          </cell>
          <cell r="P114">
            <v>81125.850917539734</v>
          </cell>
          <cell r="Q114">
            <v>78852.133898062588</v>
          </cell>
          <cell r="R114">
            <v>0.55000569123782117</v>
          </cell>
          <cell r="S114">
            <v>0.56864619778125236</v>
          </cell>
          <cell r="T114">
            <v>4070388.528644789</v>
          </cell>
          <cell r="U114">
            <v>23.333401233359229</v>
          </cell>
          <cell r="V114">
            <v>5918514.6070817914</v>
          </cell>
          <cell r="W114">
            <v>38.087314010821309</v>
          </cell>
          <cell r="X114">
            <v>10597007.490846019</v>
          </cell>
          <cell r="Y114">
            <v>62.342430462439197</v>
          </cell>
          <cell r="Z114">
            <v>0.43438972878463078</v>
          </cell>
          <cell r="AA114">
            <v>62464.487881604189</v>
          </cell>
          <cell r="AB114">
            <v>134821.25278493951</v>
          </cell>
          <cell r="AC114">
            <v>165.48373742302161</v>
          </cell>
          <cell r="AD114">
            <v>147.1470207014452</v>
          </cell>
          <cell r="AE114">
            <v>161.78469726924951</v>
          </cell>
          <cell r="AF114">
            <v>349.70604643018351</v>
          </cell>
          <cell r="AG114">
            <v>184.11433287096619</v>
          </cell>
          <cell r="AH114">
            <v>99.68964499552385</v>
          </cell>
          <cell r="AI114">
            <v>86.063556969107594</v>
          </cell>
          <cell r="AJ114">
            <v>162.24565665379791</v>
          </cell>
          <cell r="AK114">
            <v>102.82054723425441</v>
          </cell>
          <cell r="AL114">
            <v>204.38941416951499</v>
          </cell>
          <cell r="AM114">
            <v>213.3628663433301</v>
          </cell>
          <cell r="AN114">
            <v>191.21553603715881</v>
          </cell>
          <cell r="AO114">
            <v>178.40759113648511</v>
          </cell>
          <cell r="AP114">
            <v>159.11686125167591</v>
          </cell>
          <cell r="AQ114">
            <v>38.140390436994508</v>
          </cell>
          <cell r="AR114">
            <v>134.88665939813561</v>
          </cell>
          <cell r="AS114">
            <v>98.027374937703641</v>
          </cell>
          <cell r="AT114">
            <v>3278285.7802560632</v>
          </cell>
          <cell r="AX114">
            <v>154.1034141444494</v>
          </cell>
        </row>
        <row r="115">
          <cell r="B115">
            <v>43496.70889377295</v>
          </cell>
          <cell r="C115">
            <v>31298.577990743299</v>
          </cell>
          <cell r="D115">
            <v>31916.812787678991</v>
          </cell>
          <cell r="E115">
            <v>11077.33922147569</v>
          </cell>
          <cell r="F115">
            <v>1096187.81893173</v>
          </cell>
          <cell r="G115">
            <v>295.20278949904008</v>
          </cell>
          <cell r="H115">
            <v>453.18125475014813</v>
          </cell>
          <cell r="I115">
            <v>215.33253879762751</v>
          </cell>
          <cell r="J115">
            <v>125159.81445105041</v>
          </cell>
          <cell r="K115">
            <v>439880.15745809127</v>
          </cell>
          <cell r="L115">
            <v>428711.87004391052</v>
          </cell>
          <cell r="M115">
            <v>0.71814865896399493</v>
          </cell>
          <cell r="N115">
            <v>2.597467336088187</v>
          </cell>
          <cell r="O115">
            <v>2.2482907169485959</v>
          </cell>
          <cell r="P115">
            <v>151980.60125700291</v>
          </cell>
          <cell r="Q115">
            <v>81051.072750052641</v>
          </cell>
          <cell r="R115">
            <v>0.62768149254524086</v>
          </cell>
          <cell r="S115">
            <v>0.45615155365923249</v>
          </cell>
          <cell r="T115">
            <v>3919235.9299041489</v>
          </cell>
          <cell r="U115">
            <v>26.314243789913359</v>
          </cell>
          <cell r="V115">
            <v>6992973.3828402841</v>
          </cell>
          <cell r="W115">
            <v>38.066281302229847</v>
          </cell>
          <cell r="X115">
            <v>11551020.31179307</v>
          </cell>
          <cell r="Y115">
            <v>64.087451122092503</v>
          </cell>
          <cell r="Z115">
            <v>0.4631713856380667</v>
          </cell>
          <cell r="AA115">
            <v>64094.322217041852</v>
          </cell>
          <cell r="AB115">
            <v>138894.56850719891</v>
          </cell>
          <cell r="AC115">
            <v>160.9890712062564</v>
          </cell>
          <cell r="AD115">
            <v>137.03855960139421</v>
          </cell>
          <cell r="AE115">
            <v>162.87848496017301</v>
          </cell>
          <cell r="AF115">
            <v>362.76371005636082</v>
          </cell>
          <cell r="AG115">
            <v>181.13059591490719</v>
          </cell>
          <cell r="AH115">
            <v>95.855129146309551</v>
          </cell>
          <cell r="AI115">
            <v>86.026175590603728</v>
          </cell>
          <cell r="AJ115">
            <v>156.78569770886941</v>
          </cell>
          <cell r="AK115">
            <v>104.71842852098121</v>
          </cell>
          <cell r="AL115">
            <v>207.0503337716635</v>
          </cell>
          <cell r="AM115">
            <v>214.33295544006401</v>
          </cell>
          <cell r="AN115">
            <v>192.33394957523049</v>
          </cell>
          <cell r="AO115">
            <v>168.85192019189321</v>
          </cell>
          <cell r="AP115">
            <v>159.3791845484196</v>
          </cell>
          <cell r="AQ115">
            <v>39.15817562966383</v>
          </cell>
          <cell r="AR115">
            <v>135.62867083346219</v>
          </cell>
          <cell r="AS115">
            <v>98.427554986814684</v>
          </cell>
          <cell r="AT115">
            <v>3352140.48519286</v>
          </cell>
          <cell r="AX115">
            <v>156.4433462531407</v>
          </cell>
        </row>
        <row r="116">
          <cell r="B116">
            <v>45405.593802258169</v>
          </cell>
          <cell r="C116">
            <v>23123.43599965037</v>
          </cell>
          <cell r="D116">
            <v>33054.145174925638</v>
          </cell>
          <cell r="E116">
            <v>10088.69866514067</v>
          </cell>
          <cell r="F116">
            <v>1106764.997259438</v>
          </cell>
          <cell r="G116">
            <v>293.78416304905312</v>
          </cell>
          <cell r="H116">
            <v>446.44128970597899</v>
          </cell>
          <cell r="I116">
            <v>241.07837257877529</v>
          </cell>
          <cell r="J116">
            <v>164095.16891605579</v>
          </cell>
          <cell r="K116">
            <v>455101.28134466958</v>
          </cell>
          <cell r="L116">
            <v>400588.68433484167</v>
          </cell>
          <cell r="M116">
            <v>0.85357987549255387</v>
          </cell>
          <cell r="N116">
            <v>2.572033057651617</v>
          </cell>
          <cell r="O116">
            <v>2.173521274593472</v>
          </cell>
          <cell r="P116">
            <v>176005.89386553151</v>
          </cell>
          <cell r="Q116">
            <v>111735.7916481592</v>
          </cell>
          <cell r="R116">
            <v>0.65945122141346446</v>
          </cell>
          <cell r="S116">
            <v>0.61013808557360794</v>
          </cell>
          <cell r="T116">
            <v>5653240.989974428</v>
          </cell>
          <cell r="U116">
            <v>27.799508052591349</v>
          </cell>
          <cell r="V116">
            <v>7232608.486289571</v>
          </cell>
          <cell r="W116">
            <v>37.131664810994202</v>
          </cell>
          <cell r="X116">
            <v>11934111.083988041</v>
          </cell>
          <cell r="Y116">
            <v>62.045926212742593</v>
          </cell>
          <cell r="Z116">
            <v>0.48207548920742238</v>
          </cell>
          <cell r="AA116">
            <v>61991.571913149499</v>
          </cell>
          <cell r="AB116">
            <v>133279.40225299491</v>
          </cell>
          <cell r="AC116">
            <v>161.44448984949489</v>
          </cell>
          <cell r="AD116">
            <v>133.54603466459039</v>
          </cell>
          <cell r="AE116">
            <v>160.1051827189801</v>
          </cell>
          <cell r="AF116">
            <v>386.58463527903268</v>
          </cell>
          <cell r="AG116">
            <v>181.88336969137299</v>
          </cell>
          <cell r="AH116">
            <v>102.7831212325855</v>
          </cell>
          <cell r="AI116">
            <v>85.92499430264256</v>
          </cell>
          <cell r="AJ116">
            <v>152.25995818198609</v>
          </cell>
          <cell r="AK116">
            <v>103.2260052747172</v>
          </cell>
          <cell r="AL116">
            <v>196.204925585887</v>
          </cell>
          <cell r="AM116">
            <v>217.73852424289711</v>
          </cell>
          <cell r="AN116">
            <v>193.03389416340309</v>
          </cell>
          <cell r="AO116">
            <v>163.6999125187229</v>
          </cell>
          <cell r="AP116">
            <v>165.74988677768471</v>
          </cell>
          <cell r="AQ116">
            <v>35.525640424162702</v>
          </cell>
          <cell r="AR116">
            <v>134.71842893324731</v>
          </cell>
          <cell r="AS116">
            <v>96.755096279974524</v>
          </cell>
          <cell r="AT116">
            <v>3233072.5602954058</v>
          </cell>
          <cell r="AX116">
            <v>151.30145220292351</v>
          </cell>
        </row>
        <row r="117">
          <cell r="B117">
            <v>48463.448910886233</v>
          </cell>
          <cell r="C117">
            <v>28802.429390898658</v>
          </cell>
          <cell r="D117">
            <v>31650.858519058631</v>
          </cell>
          <cell r="E117">
            <v>9258.2116121915442</v>
          </cell>
          <cell r="F117">
            <v>1137705.2328056679</v>
          </cell>
          <cell r="G117">
            <v>290.77978121009022</v>
          </cell>
          <cell r="H117">
            <v>440.19779613705668</v>
          </cell>
          <cell r="I117">
            <v>204.56158643262631</v>
          </cell>
          <cell r="J117">
            <v>175791.9134677127</v>
          </cell>
          <cell r="K117">
            <v>537203.41885024717</v>
          </cell>
          <cell r="L117">
            <v>401974.5773809462</v>
          </cell>
          <cell r="M117">
            <v>0.73612447539797032</v>
          </cell>
          <cell r="N117">
            <v>2.553567691394282</v>
          </cell>
          <cell r="O117">
            <v>1.870003269791519</v>
          </cell>
          <cell r="P117">
            <v>113911.29472432339</v>
          </cell>
          <cell r="Q117">
            <v>123039.85997625539</v>
          </cell>
          <cell r="R117">
            <v>0.66668184039867273</v>
          </cell>
          <cell r="S117">
            <v>0.66130452795239181</v>
          </cell>
          <cell r="T117">
            <v>4431681.3135864343</v>
          </cell>
          <cell r="U117">
            <v>28.034080447796669</v>
          </cell>
          <cell r="V117">
            <v>7485053.4065843681</v>
          </cell>
          <cell r="W117">
            <v>35.637473992195922</v>
          </cell>
          <cell r="X117">
            <v>12384617.586125599</v>
          </cell>
          <cell r="Y117">
            <v>58.993414835997307</v>
          </cell>
          <cell r="Z117">
            <v>0.58087257833834405</v>
          </cell>
          <cell r="AA117">
            <v>63058.652206384628</v>
          </cell>
          <cell r="AB117">
            <v>128477.2522222752</v>
          </cell>
          <cell r="AC117">
            <v>163.90421423292059</v>
          </cell>
          <cell r="AD117">
            <v>138.008289457009</v>
          </cell>
          <cell r="AE117">
            <v>160.36193519010689</v>
          </cell>
          <cell r="AF117">
            <v>385.32136080049168</v>
          </cell>
          <cell r="AG117">
            <v>182.75848558780811</v>
          </cell>
          <cell r="AH117">
            <v>100.321377956017</v>
          </cell>
          <cell r="AI117">
            <v>86.287354915628526</v>
          </cell>
          <cell r="AJ117">
            <v>141.56439948300249</v>
          </cell>
          <cell r="AK117">
            <v>103.6925140658649</v>
          </cell>
          <cell r="AL117">
            <v>192.64561090080201</v>
          </cell>
          <cell r="AM117">
            <v>215.99569423693879</v>
          </cell>
          <cell r="AN117">
            <v>190.94011452896399</v>
          </cell>
          <cell r="AO117">
            <v>163.44195407219101</v>
          </cell>
          <cell r="AP117">
            <v>178.14444390618669</v>
          </cell>
          <cell r="AQ117">
            <v>35.63777882911328</v>
          </cell>
          <cell r="AR117">
            <v>134.1568402814093</v>
          </cell>
          <cell r="AS117">
            <v>96.879249013611926</v>
          </cell>
          <cell r="AT117">
            <v>3086020.843106573</v>
          </cell>
          <cell r="AX117">
            <v>151.4089503633727</v>
          </cell>
        </row>
        <row r="118">
          <cell r="B118">
            <v>45875.188903838127</v>
          </cell>
          <cell r="C118">
            <v>28977.109580666991</v>
          </cell>
          <cell r="D118">
            <v>31390.92188194038</v>
          </cell>
          <cell r="E118">
            <v>10409.830337330281</v>
          </cell>
          <cell r="F118">
            <v>1105364.544515844</v>
          </cell>
          <cell r="G118">
            <v>277.18821543833718</v>
          </cell>
          <cell r="H118">
            <v>407.86066872757942</v>
          </cell>
          <cell r="I118">
            <v>186.4295993520083</v>
          </cell>
          <cell r="J118">
            <v>452893.23055865878</v>
          </cell>
          <cell r="K118">
            <v>573157.66221687733</v>
          </cell>
          <cell r="L118">
            <v>490871.65272240911</v>
          </cell>
          <cell r="M118">
            <v>2.2444026487349111</v>
          </cell>
          <cell r="N118">
            <v>2.5257664352316</v>
          </cell>
          <cell r="O118">
            <v>2.0686295886000319</v>
          </cell>
          <cell r="P118">
            <v>117145.0441145847</v>
          </cell>
          <cell r="Q118">
            <v>130740.7721175176</v>
          </cell>
          <cell r="R118">
            <v>0.65477861575498797</v>
          </cell>
          <cell r="S118">
            <v>0.65675000135977757</v>
          </cell>
          <cell r="T118">
            <v>6545043.4242878752</v>
          </cell>
          <cell r="U118">
            <v>28.095114675933399</v>
          </cell>
          <cell r="V118">
            <v>7748010.5164892413</v>
          </cell>
          <cell r="W118">
            <v>35.516098017712217</v>
          </cell>
          <cell r="X118">
            <v>12818122.60884361</v>
          </cell>
          <cell r="Y118">
            <v>59.473965042798177</v>
          </cell>
          <cell r="Z118">
            <v>0.61606602368038588</v>
          </cell>
          <cell r="AA118">
            <v>65416.925286379992</v>
          </cell>
          <cell r="AB118">
            <v>127409.5138640064</v>
          </cell>
          <cell r="AC118">
            <v>162.22335936992201</v>
          </cell>
          <cell r="AD118">
            <v>135.27560629773569</v>
          </cell>
          <cell r="AE118">
            <v>148.63469579116051</v>
          </cell>
          <cell r="AF118">
            <v>371.14514081615857</v>
          </cell>
          <cell r="AG118">
            <v>180.85650545798089</v>
          </cell>
          <cell r="AH118">
            <v>97.456878720487168</v>
          </cell>
          <cell r="AI118">
            <v>86.327073183181852</v>
          </cell>
          <cell r="AJ118">
            <v>141.08156537433891</v>
          </cell>
          <cell r="AK118">
            <v>101.7493886554722</v>
          </cell>
          <cell r="AL118">
            <v>169.7440580739235</v>
          </cell>
          <cell r="AM118">
            <v>214.24083917609181</v>
          </cell>
          <cell r="AN118">
            <v>182.63180737247609</v>
          </cell>
          <cell r="AO118">
            <v>162.92074265642299</v>
          </cell>
          <cell r="AP118">
            <v>168.50077133563531</v>
          </cell>
          <cell r="AQ118">
            <v>36.468949579360093</v>
          </cell>
          <cell r="AR118">
            <v>132.26769100873969</v>
          </cell>
          <cell r="AS118">
            <v>96.60779423980388</v>
          </cell>
          <cell r="AT118">
            <v>2607272.791209796</v>
          </cell>
          <cell r="AX118">
            <v>151.3780760986327</v>
          </cell>
        </row>
        <row r="119">
          <cell r="B119">
            <v>47686.350434823849</v>
          </cell>
          <cell r="C119">
            <v>31638.202868688659</v>
          </cell>
          <cell r="D119">
            <v>31453.064873976891</v>
          </cell>
          <cell r="E119">
            <v>11396.74469878437</v>
          </cell>
          <cell r="F119">
            <v>1034459.3326869491</v>
          </cell>
          <cell r="G119">
            <v>248.28564325903039</v>
          </cell>
          <cell r="H119">
            <v>452.25178537625351</v>
          </cell>
          <cell r="I119">
            <v>187.47010044713821</v>
          </cell>
          <cell r="J119">
            <v>150446.98430011849</v>
          </cell>
          <cell r="K119">
            <v>630212.50256139028</v>
          </cell>
          <cell r="L119">
            <v>484676.41919075837</v>
          </cell>
          <cell r="M119">
            <v>0.70612614946733776</v>
          </cell>
          <cell r="N119">
            <v>2.5599816383583782</v>
          </cell>
          <cell r="O119">
            <v>2.1957084407884579</v>
          </cell>
          <cell r="P119">
            <v>137723.44230027121</v>
          </cell>
          <cell r="Q119">
            <v>168314.68386170629</v>
          </cell>
          <cell r="R119">
            <v>0.64887443812767753</v>
          </cell>
          <cell r="S119">
            <v>0.64593762039356006</v>
          </cell>
          <cell r="T119">
            <v>6040727.4412771706</v>
          </cell>
          <cell r="U119">
            <v>27.573886470987389</v>
          </cell>
          <cell r="V119">
            <v>8017661.2724611256</v>
          </cell>
          <cell r="W119">
            <v>34.062937190163922</v>
          </cell>
          <cell r="X119">
            <v>13380960.27047975</v>
          </cell>
          <cell r="Y119">
            <v>55.468332856186301</v>
          </cell>
          <cell r="Z119">
            <v>0.64698478005283655</v>
          </cell>
          <cell r="AA119">
            <v>59982.052981764216</v>
          </cell>
          <cell r="AB119">
            <v>114219.27957100559</v>
          </cell>
          <cell r="AC119">
            <v>159.2453903772178</v>
          </cell>
          <cell r="AD119">
            <v>133.0687027779731</v>
          </cell>
          <cell r="AE119">
            <v>144.94936796368009</v>
          </cell>
          <cell r="AF119">
            <v>392.45160804289031</v>
          </cell>
          <cell r="AG119">
            <v>178.7053433044498</v>
          </cell>
          <cell r="AH119">
            <v>95.227741453063985</v>
          </cell>
          <cell r="AI119">
            <v>86.126089519670458</v>
          </cell>
          <cell r="AJ119">
            <v>154.44022366895311</v>
          </cell>
          <cell r="AK119">
            <v>101.0707121314187</v>
          </cell>
          <cell r="AL119">
            <v>167.1482909644505</v>
          </cell>
          <cell r="AM119">
            <v>194.99026933672519</v>
          </cell>
          <cell r="AN119">
            <v>195.72714455794079</v>
          </cell>
          <cell r="AO119">
            <v>161.478732843492</v>
          </cell>
          <cell r="AP119">
            <v>174.70715257699089</v>
          </cell>
          <cell r="AQ119">
            <v>34.57344919345951</v>
          </cell>
          <cell r="AR119">
            <v>131.22627178625311</v>
          </cell>
          <cell r="AS119">
            <v>95.142441493217831</v>
          </cell>
          <cell r="AT119">
            <v>2783288.275412607</v>
          </cell>
          <cell r="AX119">
            <v>149.78543623250809</v>
          </cell>
        </row>
        <row r="120">
          <cell r="B120">
            <v>45928.462013795339</v>
          </cell>
          <cell r="C120">
            <v>27508.10289371519</v>
          </cell>
          <cell r="D120">
            <v>36450.208486130563</v>
          </cell>
          <cell r="E120">
            <v>11478.53120253118</v>
          </cell>
          <cell r="F120">
            <v>1080992.016034273</v>
          </cell>
          <cell r="G120">
            <v>289.75646080026672</v>
          </cell>
          <cell r="H120">
            <v>438.37935929500162</v>
          </cell>
          <cell r="I120">
            <v>192.83322294967991</v>
          </cell>
          <cell r="J120">
            <v>192213.5686015703</v>
          </cell>
          <cell r="K120">
            <v>632353.25385660084</v>
          </cell>
          <cell r="L120">
            <v>509334.53930852562</v>
          </cell>
          <cell r="M120">
            <v>0.58595295122985469</v>
          </cell>
          <cell r="N120">
            <v>2.5416992893721702</v>
          </cell>
          <cell r="O120">
            <v>2.1583385958785741</v>
          </cell>
          <cell r="P120">
            <v>129933.22927235749</v>
          </cell>
          <cell r="Q120">
            <v>138006.3324203052</v>
          </cell>
          <cell r="R120">
            <v>0.55547249327579129</v>
          </cell>
          <cell r="S120">
            <v>0.5559658835188831</v>
          </cell>
          <cell r="T120">
            <v>7162956.37602612</v>
          </cell>
          <cell r="U120">
            <v>23.10778054944937</v>
          </cell>
          <cell r="V120">
            <v>8303552.9915836388</v>
          </cell>
          <cell r="W120">
            <v>32.050617264895543</v>
          </cell>
          <cell r="X120">
            <v>13626295.753394799</v>
          </cell>
          <cell r="Y120">
            <v>56.261479241055767</v>
          </cell>
          <cell r="Z120">
            <v>0.67776701761988944</v>
          </cell>
          <cell r="AA120">
            <v>64788.577162809321</v>
          </cell>
          <cell r="AB120">
            <v>132190.6225669717</v>
          </cell>
          <cell r="AC120">
            <v>163.94513301384319</v>
          </cell>
          <cell r="AD120">
            <v>130.42579598044449</v>
          </cell>
          <cell r="AE120">
            <v>150.21612576256811</v>
          </cell>
          <cell r="AF120">
            <v>370.63125107982751</v>
          </cell>
          <cell r="AG120">
            <v>183.19693920340799</v>
          </cell>
          <cell r="AH120">
            <v>95.569737692396899</v>
          </cell>
          <cell r="AI120">
            <v>86.071447519038927</v>
          </cell>
          <cell r="AJ120">
            <v>149.10665711508</v>
          </cell>
          <cell r="AK120">
            <v>100.5754366774439</v>
          </cell>
          <cell r="AL120">
            <v>173.37263702613251</v>
          </cell>
          <cell r="AM120">
            <v>223.14027214111459</v>
          </cell>
          <cell r="AN120">
            <v>193.00736505711711</v>
          </cell>
          <cell r="AO120">
            <v>157.04177875896451</v>
          </cell>
          <cell r="AP120">
            <v>168.46090966939181</v>
          </cell>
          <cell r="AQ120">
            <v>33.138005123210291</v>
          </cell>
          <cell r="AR120">
            <v>131.33070640984971</v>
          </cell>
          <cell r="AS120">
            <v>97.07289273266116</v>
          </cell>
          <cell r="AT120">
            <v>3605749.134272092</v>
          </cell>
          <cell r="AX120">
            <v>150.3358943073639</v>
          </cell>
        </row>
        <row r="121">
          <cell r="B121">
            <v>47153.699407755223</v>
          </cell>
          <cell r="C121">
            <v>24686.348173641079</v>
          </cell>
          <cell r="D121">
            <v>29558.46216793155</v>
          </cell>
          <cell r="E121">
            <v>10440.01608440207</v>
          </cell>
          <cell r="F121">
            <v>1035010.617879675</v>
          </cell>
          <cell r="G121">
            <v>345.45570089368198</v>
          </cell>
          <cell r="H121">
            <v>464.63261799895332</v>
          </cell>
          <cell r="I121">
            <v>210.95421117317849</v>
          </cell>
          <cell r="J121">
            <v>282794.6907269666</v>
          </cell>
          <cell r="K121">
            <v>643730.56073996564</v>
          </cell>
          <cell r="L121">
            <v>571804.51499643095</v>
          </cell>
          <cell r="M121">
            <v>1.116455283112491</v>
          </cell>
          <cell r="N121">
            <v>2.5748012199026209</v>
          </cell>
          <cell r="O121">
            <v>2.1119160288402572</v>
          </cell>
          <cell r="P121">
            <v>191461.64905276761</v>
          </cell>
          <cell r="Q121">
            <v>176097.5894475118</v>
          </cell>
          <cell r="R121">
            <v>0.73305226312380323</v>
          </cell>
          <cell r="S121">
            <v>0.58048744104012306</v>
          </cell>
          <cell r="T121">
            <v>8527424.7746509779</v>
          </cell>
          <cell r="U121">
            <v>30.42527067577349</v>
          </cell>
          <cell r="V121">
            <v>8561411.0186214279</v>
          </cell>
          <cell r="W121">
            <v>32.826779563367673</v>
          </cell>
          <cell r="X121">
            <v>14070579.86257787</v>
          </cell>
          <cell r="Y121">
            <v>58.005804957038087</v>
          </cell>
          <cell r="Z121">
            <v>0.73619421505646221</v>
          </cell>
          <cell r="AA121">
            <v>64028.942228549808</v>
          </cell>
          <cell r="AB121">
            <v>123598.1686369614</v>
          </cell>
          <cell r="AC121">
            <v>159.65552126711719</v>
          </cell>
          <cell r="AD121">
            <v>125.6194344571318</v>
          </cell>
          <cell r="AE121">
            <v>153.07618739238961</v>
          </cell>
          <cell r="AF121">
            <v>374.36228119019682</v>
          </cell>
          <cell r="AG121">
            <v>178.2102532784194</v>
          </cell>
          <cell r="AH121">
            <v>93.133355752886018</v>
          </cell>
          <cell r="AI121">
            <v>87.350101298807417</v>
          </cell>
          <cell r="AJ121">
            <v>150.22592760210239</v>
          </cell>
          <cell r="AK121">
            <v>105.5965071392289</v>
          </cell>
          <cell r="AL121">
            <v>176.52586600069981</v>
          </cell>
          <cell r="AM121">
            <v>227.77680987161139</v>
          </cell>
          <cell r="AN121">
            <v>203.91077025261359</v>
          </cell>
          <cell r="AO121">
            <v>153.32378063362319</v>
          </cell>
          <cell r="AP121">
            <v>164.688600239039</v>
          </cell>
          <cell r="AQ121">
            <v>36.034360378172188</v>
          </cell>
          <cell r="AR121">
            <v>134.69354606889311</v>
          </cell>
          <cell r="AS121">
            <v>97.088003191291733</v>
          </cell>
          <cell r="AT121">
            <v>2821208.7242713911</v>
          </cell>
          <cell r="AX121">
            <v>148.76530624677139</v>
          </cell>
        </row>
        <row r="122">
          <cell r="B122">
            <v>48259.608376552816</v>
          </cell>
          <cell r="C122">
            <v>23632.477025418961</v>
          </cell>
          <cell r="D122">
            <v>32739.10239194056</v>
          </cell>
          <cell r="E122">
            <v>10296.669596619329</v>
          </cell>
          <cell r="F122">
            <v>1068118.2280760331</v>
          </cell>
          <cell r="G122">
            <v>317.59513507990891</v>
          </cell>
          <cell r="H122">
            <v>445.21060078273422</v>
          </cell>
          <cell r="I122">
            <v>212.1508718694094</v>
          </cell>
          <cell r="J122">
            <v>125596.0857532809</v>
          </cell>
          <cell r="K122">
            <v>717403.98250491184</v>
          </cell>
          <cell r="L122">
            <v>474758.34172976261</v>
          </cell>
          <cell r="M122">
            <v>0.57660971204900557</v>
          </cell>
          <cell r="N122">
            <v>2.407891599147308</v>
          </cell>
          <cell r="O122">
            <v>1.8138608711092059</v>
          </cell>
          <cell r="P122">
            <v>253002.23137068711</v>
          </cell>
          <cell r="Q122">
            <v>244541.54773338221</v>
          </cell>
          <cell r="R122">
            <v>0.7902461588020232</v>
          </cell>
          <cell r="S122">
            <v>0.75901043411183167</v>
          </cell>
          <cell r="T122">
            <v>11826102.53037475</v>
          </cell>
          <cell r="U122">
            <v>32.91743793192741</v>
          </cell>
          <cell r="V122">
            <v>8834477.1942257788</v>
          </cell>
          <cell r="W122">
            <v>33.024009053923407</v>
          </cell>
          <cell r="X122">
            <v>14514701.73883027</v>
          </cell>
          <cell r="Y122">
            <v>56.65713048786828</v>
          </cell>
          <cell r="Z122">
            <v>0.74644092335672474</v>
          </cell>
          <cell r="AA122">
            <v>62106.785900528281</v>
          </cell>
          <cell r="AB122">
            <v>134984.98516787979</v>
          </cell>
          <cell r="AC122">
            <v>161.68802108024721</v>
          </cell>
          <cell r="AD122">
            <v>128.860309389554</v>
          </cell>
          <cell r="AE122">
            <v>155.19777529038211</v>
          </cell>
          <cell r="AF122">
            <v>384.80157785203443</v>
          </cell>
          <cell r="AG122">
            <v>182.03416720617309</v>
          </cell>
          <cell r="AH122">
            <v>88.589795296029038</v>
          </cell>
          <cell r="AI122">
            <v>86.14735438849975</v>
          </cell>
          <cell r="AJ122">
            <v>155.39413110248361</v>
          </cell>
          <cell r="AK122">
            <v>103.9263292055996</v>
          </cell>
          <cell r="AL122">
            <v>173.34039151871701</v>
          </cell>
          <cell r="AM122">
            <v>229.3805908564089</v>
          </cell>
          <cell r="AN122">
            <v>195.65975145218269</v>
          </cell>
          <cell r="AO122">
            <v>156.93203656386311</v>
          </cell>
          <cell r="AP122">
            <v>176.8008784487312</v>
          </cell>
          <cell r="AQ122">
            <v>36.88744109762451</v>
          </cell>
          <cell r="AR122">
            <v>135.30614214139001</v>
          </cell>
          <cell r="AS122">
            <v>95.918574230688492</v>
          </cell>
          <cell r="AT122">
            <v>2728551.772045841</v>
          </cell>
          <cell r="AX122">
            <v>149.7883952782222</v>
          </cell>
        </row>
        <row r="123">
          <cell r="B123">
            <v>50198.540833567997</v>
          </cell>
          <cell r="C123">
            <v>33568.629516738729</v>
          </cell>
          <cell r="D123">
            <v>32945.767412656867</v>
          </cell>
          <cell r="E123">
            <v>11724.43266062898</v>
          </cell>
          <cell r="F123">
            <v>1048228.905082835</v>
          </cell>
          <cell r="G123">
            <v>312.39935138332851</v>
          </cell>
          <cell r="H123">
            <v>405.67840163008788</v>
          </cell>
          <cell r="I123">
            <v>194.74209011090201</v>
          </cell>
          <cell r="J123">
            <v>81244.89419955379</v>
          </cell>
          <cell r="K123">
            <v>708466.42629134038</v>
          </cell>
          <cell r="L123">
            <v>480552.29332582263</v>
          </cell>
          <cell r="M123">
            <v>0.39404486520337578</v>
          </cell>
          <cell r="N123">
            <v>2.5058789357763911</v>
          </cell>
          <cell r="O123">
            <v>1.757358520066675</v>
          </cell>
          <cell r="P123">
            <v>241051.69709158511</v>
          </cell>
          <cell r="Q123">
            <v>257274.8765718088</v>
          </cell>
          <cell r="R123">
            <v>0.84195005271428869</v>
          </cell>
          <cell r="S123">
            <v>0.83401691660889365</v>
          </cell>
          <cell r="T123">
            <v>10040185.94257162</v>
          </cell>
          <cell r="U123">
            <v>35.287554732783299</v>
          </cell>
          <cell r="V123">
            <v>9108638.0271301921</v>
          </cell>
          <cell r="W123">
            <v>32.518578172071123</v>
          </cell>
          <cell r="X123">
            <v>16793302.562807929</v>
          </cell>
          <cell r="Y123">
            <v>57.380996033494753</v>
          </cell>
          <cell r="Z123">
            <v>0.76322176263591035</v>
          </cell>
          <cell r="AA123">
            <v>60616.693587693488</v>
          </cell>
          <cell r="AB123">
            <v>130887.5511346221</v>
          </cell>
          <cell r="AC123">
            <v>158.2885723463863</v>
          </cell>
          <cell r="AD123">
            <v>131.69139244492979</v>
          </cell>
          <cell r="AE123">
            <v>154.80519638528091</v>
          </cell>
          <cell r="AF123">
            <v>385.08074312504169</v>
          </cell>
          <cell r="AG123">
            <v>175.90291078932449</v>
          </cell>
          <cell r="AH123">
            <v>94.889068548195553</v>
          </cell>
          <cell r="AI123">
            <v>87.326379255087318</v>
          </cell>
          <cell r="AJ123">
            <v>152.65721149721671</v>
          </cell>
          <cell r="AK123">
            <v>107.6243762780082</v>
          </cell>
          <cell r="AL123">
            <v>157.33116529898521</v>
          </cell>
          <cell r="AM123">
            <v>229.38512268785999</v>
          </cell>
          <cell r="AN123">
            <v>187.05563657171101</v>
          </cell>
          <cell r="AO123">
            <v>152.83136880672819</v>
          </cell>
          <cell r="AP123">
            <v>183.78887415291311</v>
          </cell>
          <cell r="AQ123">
            <v>35.748010093746963</v>
          </cell>
          <cell r="AR123">
            <v>135.12275290412879</v>
          </cell>
          <cell r="AS123">
            <v>96.213439790002212</v>
          </cell>
          <cell r="AT123">
            <v>2344749.5341574661</v>
          </cell>
          <cell r="AX123">
            <v>149.1478206902537</v>
          </cell>
        </row>
        <row r="124">
          <cell r="B124">
            <v>57814.007597713717</v>
          </cell>
          <cell r="C124">
            <v>31190.375660515641</v>
          </cell>
          <cell r="D124">
            <v>36782.484032309672</v>
          </cell>
          <cell r="E124">
            <v>11761.70481668938</v>
          </cell>
          <cell r="F124">
            <v>1145084.568483344</v>
          </cell>
          <cell r="G124">
            <v>295.00048845204202</v>
          </cell>
          <cell r="H124">
            <v>421.66433825530669</v>
          </cell>
          <cell r="I124">
            <v>202.29932389855091</v>
          </cell>
          <cell r="J124">
            <v>155741.67706484269</v>
          </cell>
          <cell r="K124">
            <v>853694.03907944821</v>
          </cell>
          <cell r="L124">
            <v>474002.23843378288</v>
          </cell>
          <cell r="M124">
            <v>0.50763821429790723</v>
          </cell>
          <cell r="N124">
            <v>2.8170532627151981</v>
          </cell>
          <cell r="O124">
            <v>1.7886600317805039</v>
          </cell>
          <cell r="P124">
            <v>245780.6897107572</v>
          </cell>
          <cell r="Q124">
            <v>241123.6901132777</v>
          </cell>
          <cell r="R124">
            <v>0.82754073788557281</v>
          </cell>
          <cell r="S124">
            <v>0.8173310976874032</v>
          </cell>
          <cell r="T124">
            <v>9808428.8150755037</v>
          </cell>
          <cell r="U124">
            <v>34.8564991448185</v>
          </cell>
          <cell r="V124">
            <v>9884867.6419284381</v>
          </cell>
          <cell r="W124">
            <v>31.62423921983347</v>
          </cell>
          <cell r="X124">
            <v>17112334.19070331</v>
          </cell>
          <cell r="Y124">
            <v>55.34764130851341</v>
          </cell>
          <cell r="Z124">
            <v>0.77103368842777475</v>
          </cell>
          <cell r="AA124">
            <v>64088.253228120331</v>
          </cell>
          <cell r="AB124">
            <v>145676.42387663701</v>
          </cell>
          <cell r="AC124">
            <v>171.85741306150169</v>
          </cell>
          <cell r="AD124">
            <v>135.53269897411161</v>
          </cell>
          <cell r="AE124">
            <v>161.43261993100251</v>
          </cell>
          <cell r="AF124">
            <v>437.85385659782452</v>
          </cell>
          <cell r="AG124">
            <v>184.5742011417228</v>
          </cell>
          <cell r="AH124">
            <v>106.4759875381046</v>
          </cell>
          <cell r="AI124">
            <v>86.091188618404345</v>
          </cell>
          <cell r="AJ124">
            <v>154.39641126079911</v>
          </cell>
          <cell r="AK124">
            <v>109.829259781768</v>
          </cell>
          <cell r="AL124">
            <v>179.21326488787761</v>
          </cell>
          <cell r="AM124">
            <v>253.3982360339935</v>
          </cell>
          <cell r="AN124">
            <v>189.12542338768921</v>
          </cell>
          <cell r="AO124">
            <v>156.09500804417519</v>
          </cell>
          <cell r="AP124">
            <v>210.684619412334</v>
          </cell>
          <cell r="AQ124">
            <v>39.56403070192858</v>
          </cell>
          <cell r="AR124">
            <v>136.2753077355253</v>
          </cell>
          <cell r="AS124">
            <v>97.197676662945739</v>
          </cell>
          <cell r="AT124">
            <v>2466879.2248808378</v>
          </cell>
          <cell r="AX124">
            <v>151.3705231333312</v>
          </cell>
        </row>
        <row r="125">
          <cell r="B125">
            <v>53885.457124220971</v>
          </cell>
          <cell r="C125">
            <v>31061.5331449818</v>
          </cell>
          <cell r="D125">
            <v>32824.998002395652</v>
          </cell>
          <cell r="E125">
            <v>12074.35696580106</v>
          </cell>
          <cell r="F125">
            <v>1051385.3749367869</v>
          </cell>
          <cell r="G125">
            <v>297.01802371508211</v>
          </cell>
          <cell r="H125">
            <v>474.19247653684539</v>
          </cell>
          <cell r="I125">
            <v>186.40503839548799</v>
          </cell>
          <cell r="J125">
            <v>126783.4431997857</v>
          </cell>
          <cell r="K125">
            <v>899002.70365628542</v>
          </cell>
          <cell r="L125">
            <v>525776.5674177435</v>
          </cell>
          <cell r="M125">
            <v>0.4147572263392974</v>
          </cell>
          <cell r="N125">
            <v>2.7244254414372699</v>
          </cell>
          <cell r="O125">
            <v>1.773707778578169</v>
          </cell>
          <cell r="P125">
            <v>296663.68809971079</v>
          </cell>
          <cell r="Q125">
            <v>281018.13622426352</v>
          </cell>
          <cell r="R125">
            <v>0.96004469305734685</v>
          </cell>
          <cell r="S125">
            <v>0.89865858195863701</v>
          </cell>
          <cell r="T125">
            <v>11415275.05280941</v>
          </cell>
          <cell r="U125">
            <v>40.189410743214523</v>
          </cell>
          <cell r="V125">
            <v>9666915.3647317328</v>
          </cell>
          <cell r="W125">
            <v>30.083190952783461</v>
          </cell>
          <cell r="X125">
            <v>19374817.517919149</v>
          </cell>
          <cell r="Y125">
            <v>55.610184720899312</v>
          </cell>
          <cell r="Z125">
            <v>0.77067176310565777</v>
          </cell>
          <cell r="AA125">
            <v>61091.30611097566</v>
          </cell>
          <cell r="AB125">
            <v>137540.7663782638</v>
          </cell>
          <cell r="AC125">
            <v>162.3147074839093</v>
          </cell>
          <cell r="AD125">
            <v>132.73180770806499</v>
          </cell>
          <cell r="AE125">
            <v>160.12479490364501</v>
          </cell>
          <cell r="AF125">
            <v>399.70950423404099</v>
          </cell>
          <cell r="AG125">
            <v>178.54541036617559</v>
          </cell>
          <cell r="AH125">
            <v>108.3249192169467</v>
          </cell>
          <cell r="AI125">
            <v>86.291134431434884</v>
          </cell>
          <cell r="AJ125">
            <v>153.63192810304429</v>
          </cell>
          <cell r="AK125">
            <v>108.327383106883</v>
          </cell>
          <cell r="AL125">
            <v>180.04054332941479</v>
          </cell>
          <cell r="AM125">
            <v>227.69375986376099</v>
          </cell>
          <cell r="AN125">
            <v>199.07270370272229</v>
          </cell>
          <cell r="AO125">
            <v>151.8021617151133</v>
          </cell>
          <cell r="AP125">
            <v>196.84285844593859</v>
          </cell>
          <cell r="AQ125">
            <v>39.518543831471931</v>
          </cell>
          <cell r="AR125">
            <v>136.17997276144879</v>
          </cell>
          <cell r="AS125">
            <v>96.320148949287059</v>
          </cell>
          <cell r="AT125">
            <v>2588704.5699579609</v>
          </cell>
          <cell r="AX125">
            <v>142.35305206185129</v>
          </cell>
        </row>
        <row r="126">
          <cell r="B126">
            <v>49579.281213858718</v>
          </cell>
          <cell r="C126">
            <v>29126.823735103539</v>
          </cell>
          <cell r="D126">
            <v>34516.327347194303</v>
          </cell>
          <cell r="E126">
            <v>12651.161439389451</v>
          </cell>
          <cell r="F126">
            <v>1113152.469839104</v>
          </cell>
          <cell r="G126">
            <v>283.71909809046008</v>
          </cell>
          <cell r="H126">
            <v>428.33279682589682</v>
          </cell>
          <cell r="I126">
            <v>228.10702485314059</v>
          </cell>
          <cell r="J126">
            <v>259981.52878102841</v>
          </cell>
          <cell r="K126">
            <v>1017861.948786146</v>
          </cell>
          <cell r="L126">
            <v>743319.60958689707</v>
          </cell>
          <cell r="M126">
            <v>0.5876666846715457</v>
          </cell>
          <cell r="N126">
            <v>3.0093438200465128</v>
          </cell>
          <cell r="O126">
            <v>1.66293692730896</v>
          </cell>
          <cell r="P126">
            <v>326549.79544380162</v>
          </cell>
          <cell r="Q126">
            <v>301273.79928163579</v>
          </cell>
          <cell r="R126">
            <v>0.9497835962163238</v>
          </cell>
          <cell r="S126">
            <v>0.92304476353825049</v>
          </cell>
          <cell r="T126">
            <v>14536800.44974298</v>
          </cell>
          <cell r="U126">
            <v>40.054826769063631</v>
          </cell>
          <cell r="V126">
            <v>9941578.5866986606</v>
          </cell>
          <cell r="W126">
            <v>29.272247785666099</v>
          </cell>
          <cell r="X126">
            <v>19850670.74257192</v>
          </cell>
          <cell r="Y126">
            <v>54.978515503823367</v>
          </cell>
          <cell r="Z126">
            <v>0.88922082557610294</v>
          </cell>
          <cell r="AA126">
            <v>62578.399655748683</v>
          </cell>
          <cell r="AB126">
            <v>139146.78738948031</v>
          </cell>
          <cell r="AC126">
            <v>163.16984258684451</v>
          </cell>
          <cell r="AD126">
            <v>133.5593997637838</v>
          </cell>
          <cell r="AE126">
            <v>157.9182737979859</v>
          </cell>
          <cell r="AF126">
            <v>374.12839178559233</v>
          </cell>
          <cell r="AG126">
            <v>181.79042777458639</v>
          </cell>
          <cell r="AH126">
            <v>96.112095562034995</v>
          </cell>
          <cell r="AI126">
            <v>86.329751440185731</v>
          </cell>
          <cell r="AJ126">
            <v>168.75002765106231</v>
          </cell>
          <cell r="AK126">
            <v>108.31074588316569</v>
          </cell>
          <cell r="AL126">
            <v>174.39930949289129</v>
          </cell>
          <cell r="AM126">
            <v>232.48507048672991</v>
          </cell>
          <cell r="AN126">
            <v>189.94944019363041</v>
          </cell>
          <cell r="AO126">
            <v>151.5809889379868</v>
          </cell>
          <cell r="AP126">
            <v>181.5213013813287</v>
          </cell>
          <cell r="AQ126">
            <v>40.036546191738402</v>
          </cell>
          <cell r="AR126">
            <v>137.0862490309602</v>
          </cell>
          <cell r="AS126">
            <v>95.883201745644413</v>
          </cell>
          <cell r="AT126">
            <v>2779079.2576899212</v>
          </cell>
          <cell r="AX126">
            <v>142.937690618239</v>
          </cell>
        </row>
        <row r="127">
          <cell r="B127">
            <v>50158.298959592241</v>
          </cell>
          <cell r="C127">
            <v>23770.423193845349</v>
          </cell>
          <cell r="D127">
            <v>37575.914922604767</v>
          </cell>
          <cell r="E127">
            <v>12310.312668590819</v>
          </cell>
          <cell r="F127">
            <v>1075308.5420114079</v>
          </cell>
          <cell r="G127">
            <v>314.32740707861473</v>
          </cell>
          <cell r="H127">
            <v>418.5191176532656</v>
          </cell>
          <cell r="I127">
            <v>227.90989860119171</v>
          </cell>
          <cell r="J127">
            <v>260086.14060970681</v>
          </cell>
          <cell r="K127">
            <v>1124103.446209966</v>
          </cell>
          <cell r="L127">
            <v>777292.20635120466</v>
          </cell>
          <cell r="M127">
            <v>0.58616650945832793</v>
          </cell>
          <cell r="N127">
            <v>2.9914154361102829</v>
          </cell>
          <cell r="O127">
            <v>1.7728358834058791</v>
          </cell>
          <cell r="P127">
            <v>523016.58434399072</v>
          </cell>
          <cell r="Q127">
            <v>386776.58705578308</v>
          </cell>
          <cell r="R127">
            <v>1.254032435671937</v>
          </cell>
          <cell r="S127">
            <v>1.0439231233033821</v>
          </cell>
          <cell r="T127">
            <v>18147447.381103739</v>
          </cell>
          <cell r="U127">
            <v>52.905116009424127</v>
          </cell>
          <cell r="V127">
            <v>11299409.240200309</v>
          </cell>
          <cell r="W127">
            <v>29.318721201912851</v>
          </cell>
          <cell r="X127">
            <v>20870746.696138911</v>
          </cell>
          <cell r="Y127">
            <v>53.454641236603521</v>
          </cell>
          <cell r="Z127">
            <v>0.90999403748073793</v>
          </cell>
          <cell r="AA127">
            <v>63890.309526240322</v>
          </cell>
          <cell r="AB127">
            <v>143703.824272964</v>
          </cell>
          <cell r="AC127">
            <v>161.70041302676549</v>
          </cell>
          <cell r="AD127">
            <v>131.94744463637201</v>
          </cell>
          <cell r="AE127">
            <v>160.21004715446949</v>
          </cell>
          <cell r="AF127">
            <v>367.23082548456563</v>
          </cell>
          <cell r="AG127">
            <v>178.31530364383281</v>
          </cell>
          <cell r="AH127">
            <v>106.1380652484869</v>
          </cell>
          <cell r="AI127">
            <v>86.119275692933883</v>
          </cell>
          <cell r="AJ127">
            <v>165.5992452283848</v>
          </cell>
          <cell r="AK127">
            <v>105.526925463312</v>
          </cell>
          <cell r="AL127">
            <v>183.64813137805029</v>
          </cell>
          <cell r="AM127">
            <v>234.86874000813521</v>
          </cell>
          <cell r="AN127">
            <v>194.71990051105979</v>
          </cell>
          <cell r="AO127">
            <v>149.25125459012509</v>
          </cell>
          <cell r="AP127">
            <v>183.63978805889889</v>
          </cell>
          <cell r="AQ127">
            <v>42.456773437432872</v>
          </cell>
          <cell r="AR127">
            <v>143.21527377232351</v>
          </cell>
          <cell r="AS127">
            <v>96.266478737036465</v>
          </cell>
          <cell r="AT127">
            <v>2489079.587920181</v>
          </cell>
          <cell r="AX127">
            <v>148.92761391768491</v>
          </cell>
        </row>
        <row r="128">
          <cell r="B128">
            <v>50924.978048114281</v>
          </cell>
          <cell r="C128">
            <v>28848.15291336201</v>
          </cell>
          <cell r="D128">
            <v>34768.718549509031</v>
          </cell>
          <cell r="E128">
            <v>12102.342941353199</v>
          </cell>
          <cell r="F128">
            <v>1014434.801344906</v>
          </cell>
          <cell r="G128">
            <v>267.58027441900708</v>
          </cell>
          <cell r="H128">
            <v>341.31572531900838</v>
          </cell>
          <cell r="I128">
            <v>175.22269928470939</v>
          </cell>
          <cell r="J128">
            <v>174660.02705284109</v>
          </cell>
          <cell r="K128">
            <v>1142876.0112080961</v>
          </cell>
          <cell r="L128">
            <v>702774.93553633185</v>
          </cell>
          <cell r="M128">
            <v>0.35632622145714071</v>
          </cell>
          <cell r="N128">
            <v>2.8993197002903779</v>
          </cell>
          <cell r="O128">
            <v>1.8192097105406519</v>
          </cell>
          <cell r="P128">
            <v>511000.42324985942</v>
          </cell>
          <cell r="Q128">
            <v>456599.71955524298</v>
          </cell>
          <cell r="R128">
            <v>1.1642374794834489</v>
          </cell>
          <cell r="S128">
            <v>1.178017445322044</v>
          </cell>
          <cell r="T128">
            <v>20262006.579844739</v>
          </cell>
          <cell r="U128">
            <v>49.562646812095238</v>
          </cell>
          <cell r="V128">
            <v>11905237.94431754</v>
          </cell>
          <cell r="W128">
            <v>28.909331519620029</v>
          </cell>
          <cell r="X128">
            <v>22331493.54143374</v>
          </cell>
          <cell r="Y128">
            <v>54.283022476994852</v>
          </cell>
          <cell r="Z128">
            <v>0.89615650247345746</v>
          </cell>
          <cell r="AA128">
            <v>58147.098305926389</v>
          </cell>
          <cell r="AB128">
            <v>136731.02461756839</v>
          </cell>
          <cell r="AC128">
            <v>151.0106870261956</v>
          </cell>
          <cell r="AD128">
            <v>122.3727800888919</v>
          </cell>
          <cell r="AE128">
            <v>157.11663486136629</v>
          </cell>
          <cell r="AF128">
            <v>370.94954384790549</v>
          </cell>
          <cell r="AG128">
            <v>172.6651523534203</v>
          </cell>
          <cell r="AH128">
            <v>87.427778719397892</v>
          </cell>
          <cell r="AI128">
            <v>86.407305569652408</v>
          </cell>
          <cell r="AJ128">
            <v>164.994629187919</v>
          </cell>
          <cell r="AK128">
            <v>108.01469332596329</v>
          </cell>
          <cell r="AL128">
            <v>177.78634570023959</v>
          </cell>
          <cell r="AM128">
            <v>226.94613692823259</v>
          </cell>
          <cell r="AN128">
            <v>161.9132037820246</v>
          </cell>
          <cell r="AO128">
            <v>134.81865548739771</v>
          </cell>
          <cell r="AP128">
            <v>186.1133294304995</v>
          </cell>
          <cell r="AQ128">
            <v>44.602096828190668</v>
          </cell>
          <cell r="AR128">
            <v>138.88884022731989</v>
          </cell>
          <cell r="AS128">
            <v>100.1431672817393</v>
          </cell>
          <cell r="AT128">
            <v>2371005.792904722</v>
          </cell>
          <cell r="AX128">
            <v>148.79264147565999</v>
          </cell>
        </row>
        <row r="129">
          <cell r="B129">
            <v>58437.146316422193</v>
          </cell>
          <cell r="C129">
            <v>24501.112100315419</v>
          </cell>
          <cell r="D129">
            <v>32852.747309009203</v>
          </cell>
          <cell r="E129">
            <v>12575.44585053899</v>
          </cell>
          <cell r="F129">
            <v>1129464.8346464729</v>
          </cell>
          <cell r="G129">
            <v>278.94429548608832</v>
          </cell>
          <cell r="H129">
            <v>403.92055417890492</v>
          </cell>
          <cell r="I129">
            <v>174.066192411809</v>
          </cell>
          <cell r="J129">
            <v>287602.32833435951</v>
          </cell>
          <cell r="K129">
            <v>1400385.563307194</v>
          </cell>
          <cell r="L129">
            <v>846688.85400014813</v>
          </cell>
          <cell r="M129">
            <v>0.58968346880532574</v>
          </cell>
          <cell r="N129">
            <v>3.023793298185931</v>
          </cell>
          <cell r="O129">
            <v>1.800299193463639</v>
          </cell>
          <cell r="P129">
            <v>625012.19490633428</v>
          </cell>
          <cell r="Q129">
            <v>541800.73085716413</v>
          </cell>
          <cell r="R129">
            <v>1.5261975489738371</v>
          </cell>
          <cell r="S129">
            <v>1.268319332643175</v>
          </cell>
          <cell r="T129">
            <v>26256254.788612831</v>
          </cell>
          <cell r="U129">
            <v>64.596630412120817</v>
          </cell>
          <cell r="V129">
            <v>13241008.34074836</v>
          </cell>
          <cell r="W129">
            <v>28.21894271616415</v>
          </cell>
          <cell r="X129">
            <v>24533585.19580584</v>
          </cell>
          <cell r="Y129">
            <v>52.930362674272871</v>
          </cell>
          <cell r="Z129">
            <v>0.94323797479381422</v>
          </cell>
          <cell r="AA129">
            <v>63814.074751431668</v>
          </cell>
          <cell r="AB129">
            <v>146435.43787620839</v>
          </cell>
          <cell r="AC129">
            <v>161.88718928627199</v>
          </cell>
          <cell r="AD129">
            <v>142.7702406051296</v>
          </cell>
          <cell r="AE129">
            <v>158.8655838078615</v>
          </cell>
          <cell r="AF129">
            <v>376.82520181902453</v>
          </cell>
          <cell r="AG129">
            <v>178.18318781824749</v>
          </cell>
          <cell r="AH129">
            <v>106.4227385480385</v>
          </cell>
          <cell r="AI129">
            <v>86.322541187974423</v>
          </cell>
          <cell r="AJ129">
            <v>168.24235461451511</v>
          </cell>
          <cell r="AK129">
            <v>92.423923498466962</v>
          </cell>
          <cell r="AL129">
            <v>178.32129111867869</v>
          </cell>
          <cell r="AM129">
            <v>239.54126557825381</v>
          </cell>
          <cell r="AN129">
            <v>183.6056104149028</v>
          </cell>
          <cell r="AO129">
            <v>151.81750168769031</v>
          </cell>
          <cell r="AP129">
            <v>210.2733583368327</v>
          </cell>
          <cell r="AQ129">
            <v>42.767083171125229</v>
          </cell>
          <cell r="AR129">
            <v>145.11059279774551</v>
          </cell>
          <cell r="AS129">
            <v>95.82130181358356</v>
          </cell>
          <cell r="AT129">
            <v>2035304.7842947999</v>
          </cell>
          <cell r="AX129">
            <v>152.07779626123721</v>
          </cell>
        </row>
        <row r="130">
          <cell r="B130">
            <v>50406.996480990063</v>
          </cell>
          <cell r="C130">
            <v>27722.473027720331</v>
          </cell>
          <cell r="D130">
            <v>39074.382757147192</v>
          </cell>
          <cell r="E130">
            <v>11917.01895061878</v>
          </cell>
          <cell r="F130">
            <v>1012821.51036232</v>
          </cell>
          <cell r="G130">
            <v>300.76332387054089</v>
          </cell>
          <cell r="H130">
            <v>416.42145227770737</v>
          </cell>
          <cell r="I130">
            <v>179.5026042753563</v>
          </cell>
          <cell r="J130">
            <v>248189.1427784487</v>
          </cell>
          <cell r="K130">
            <v>1629237.500303569</v>
          </cell>
          <cell r="L130">
            <v>881464.96114564454</v>
          </cell>
          <cell r="M130">
            <v>0.58417421009748938</v>
          </cell>
          <cell r="N130">
            <v>3.057068091903457</v>
          </cell>
          <cell r="O130">
            <v>1.636277226497179</v>
          </cell>
          <cell r="P130">
            <v>531326.27047901764</v>
          </cell>
          <cell r="Q130">
            <v>549778.85751735047</v>
          </cell>
          <cell r="R130">
            <v>1.1189901652315379</v>
          </cell>
          <cell r="S130">
            <v>1.109486611869843</v>
          </cell>
          <cell r="T130">
            <v>25649957.53570028</v>
          </cell>
          <cell r="U130">
            <v>48.779663357806733</v>
          </cell>
          <cell r="V130">
            <v>14016300.930362031</v>
          </cell>
          <cell r="W130">
            <v>27.169005878377789</v>
          </cell>
          <cell r="X130">
            <v>27091708.024897419</v>
          </cell>
          <cell r="Y130">
            <v>52.479093117686517</v>
          </cell>
          <cell r="Z130">
            <v>1.0468184353071159</v>
          </cell>
          <cell r="AA130">
            <v>60706.139412797384</v>
          </cell>
          <cell r="AB130">
            <v>136714.87615240389</v>
          </cell>
          <cell r="AC130">
            <v>152.4479399972428</v>
          </cell>
          <cell r="AD130">
            <v>129.27712510191529</v>
          </cell>
          <cell r="AE130">
            <v>156.57819884720169</v>
          </cell>
          <cell r="AF130">
            <v>362.50337440496179</v>
          </cell>
          <cell r="AG130">
            <v>171.54085524285421</v>
          </cell>
          <cell r="AH130">
            <v>83.915354082674583</v>
          </cell>
          <cell r="AI130">
            <v>86.549938489245193</v>
          </cell>
          <cell r="AJ130">
            <v>153.20440966654201</v>
          </cell>
          <cell r="AK130">
            <v>106.5367134654397</v>
          </cell>
          <cell r="AL130">
            <v>180.1715785528863</v>
          </cell>
          <cell r="AM130">
            <v>240.56572433975029</v>
          </cell>
          <cell r="AN130">
            <v>187.4220164835404</v>
          </cell>
          <cell r="AO130">
            <v>145.75177005916271</v>
          </cell>
          <cell r="AP130">
            <v>184.21411039611479</v>
          </cell>
          <cell r="AQ130">
            <v>43.483509707264979</v>
          </cell>
          <cell r="AR130">
            <v>138.4496890115559</v>
          </cell>
          <cell r="AS130">
            <v>95.873611544800497</v>
          </cell>
          <cell r="AT130">
            <v>1478562.8000884401</v>
          </cell>
          <cell r="AX130">
            <v>150.19687230811701</v>
          </cell>
        </row>
        <row r="131">
          <cell r="B131">
            <v>46177.779834895671</v>
          </cell>
          <cell r="C131">
            <v>20347.376238645062</v>
          </cell>
          <cell r="D131">
            <v>38582.469812928903</v>
          </cell>
          <cell r="E131">
            <v>11166.141532991011</v>
          </cell>
          <cell r="F131">
            <v>1042781.593471176</v>
          </cell>
          <cell r="G131">
            <v>299.91725826717601</v>
          </cell>
          <cell r="H131">
            <v>412.08520144565648</v>
          </cell>
          <cell r="I131">
            <v>176.84184026272669</v>
          </cell>
          <cell r="J131">
            <v>256189.5356507781</v>
          </cell>
          <cell r="K131">
            <v>1560527.8203973919</v>
          </cell>
          <cell r="L131">
            <v>915825.80441897095</v>
          </cell>
          <cell r="M131">
            <v>0.47993117087860498</v>
          </cell>
          <cell r="N131">
            <v>2.6195828584757859</v>
          </cell>
          <cell r="O131">
            <v>1.7242383423162291</v>
          </cell>
          <cell r="P131">
            <v>564071.15832265059</v>
          </cell>
          <cell r="Q131">
            <v>717576.36721800477</v>
          </cell>
          <cell r="R131">
            <v>1.037574971283767</v>
          </cell>
          <cell r="S131">
            <v>1.271094311310061</v>
          </cell>
          <cell r="T131">
            <v>24067156.5032968</v>
          </cell>
          <cell r="U131">
            <v>43.965944747362023</v>
          </cell>
          <cell r="V131">
            <v>15878256.567252239</v>
          </cell>
          <cell r="W131">
            <v>27.65072686169535</v>
          </cell>
          <cell r="X131">
            <v>29791644.402950231</v>
          </cell>
          <cell r="Y131">
            <v>51.692966608152929</v>
          </cell>
          <cell r="Z131">
            <v>1.144536974701609</v>
          </cell>
          <cell r="AA131">
            <v>61006.838751159383</v>
          </cell>
          <cell r="AB131">
            <v>135569.36118920991</v>
          </cell>
          <cell r="AC131">
            <v>156.67910280817321</v>
          </cell>
          <cell r="AD131">
            <v>120.03731612405591</v>
          </cell>
          <cell r="AE131">
            <v>149.95332549001029</v>
          </cell>
          <cell r="AF131">
            <v>349.2540627504527</v>
          </cell>
          <cell r="AG131">
            <v>177.99387154104059</v>
          </cell>
          <cell r="AH131">
            <v>90.210136690809676</v>
          </cell>
          <cell r="AI131">
            <v>86.522520759039551</v>
          </cell>
          <cell r="AJ131">
            <v>153.9987371599841</v>
          </cell>
          <cell r="AK131">
            <v>107.3536206133858</v>
          </cell>
          <cell r="AL131">
            <v>174.23019033372529</v>
          </cell>
          <cell r="AM131">
            <v>231.6249495390586</v>
          </cell>
          <cell r="AN131">
            <v>185.47654675880719</v>
          </cell>
          <cell r="AO131">
            <v>139.68265580470629</v>
          </cell>
          <cell r="AP131">
            <v>168.56383088920231</v>
          </cell>
          <cell r="AQ131">
            <v>44.070148742724072</v>
          </cell>
          <cell r="AR131">
            <v>136.4458730449924</v>
          </cell>
          <cell r="AS131">
            <v>95.659518530846015</v>
          </cell>
          <cell r="AT131">
            <v>1501002.825602097</v>
          </cell>
          <cell r="AX131">
            <v>149.36642852567701</v>
          </cell>
        </row>
        <row r="132">
          <cell r="B132">
            <v>48111.456293763098</v>
          </cell>
          <cell r="C132">
            <v>24547.393545541068</v>
          </cell>
          <cell r="D132">
            <v>32087.569140223721</v>
          </cell>
          <cell r="E132">
            <v>13178.29294419369</v>
          </cell>
          <cell r="F132">
            <v>963665.82475638366</v>
          </cell>
          <cell r="G132">
            <v>253.05163023544279</v>
          </cell>
          <cell r="H132">
            <v>395.19052480274718</v>
          </cell>
          <cell r="I132">
            <v>174.6233622925316</v>
          </cell>
          <cell r="J132">
            <v>318017.31100601749</v>
          </cell>
          <cell r="K132">
            <v>1691308.1550597241</v>
          </cell>
          <cell r="L132">
            <v>904621.92898920272</v>
          </cell>
          <cell r="M132">
            <v>0.47780160298070268</v>
          </cell>
          <cell r="N132">
            <v>2.627534570016596</v>
          </cell>
          <cell r="O132">
            <v>1.427342326585197</v>
          </cell>
          <cell r="P132">
            <v>762819.53697677038</v>
          </cell>
          <cell r="Q132">
            <v>680032.78166749689</v>
          </cell>
          <cell r="R132">
            <v>1.103199843128567</v>
          </cell>
          <cell r="S132">
            <v>1.0209664031751919</v>
          </cell>
          <cell r="T132">
            <v>34814022.853986673</v>
          </cell>
          <cell r="U132">
            <v>46.712502085370012</v>
          </cell>
          <cell r="V132">
            <v>17075627.557924811</v>
          </cell>
          <cell r="W132">
            <v>25.86502548304021</v>
          </cell>
          <cell r="X132">
            <v>28344308.298998021</v>
          </cell>
          <cell r="Y132">
            <v>45.344530234388372</v>
          </cell>
          <cell r="Z132">
            <v>1.2784304056244971</v>
          </cell>
          <cell r="AA132">
            <v>62998.503372371197</v>
          </cell>
          <cell r="AB132">
            <v>137960.61138545119</v>
          </cell>
          <cell r="AC132">
            <v>157.4056553203219</v>
          </cell>
          <cell r="AD132">
            <v>123.1868121933653</v>
          </cell>
          <cell r="AE132">
            <v>150.69908658994811</v>
          </cell>
          <cell r="AF132">
            <v>351.98413989977729</v>
          </cell>
          <cell r="AG132">
            <v>174.97594753404141</v>
          </cell>
          <cell r="AH132">
            <v>92.585256040897136</v>
          </cell>
          <cell r="AI132">
            <v>86.779197945647724</v>
          </cell>
          <cell r="AJ132">
            <v>155.80111617739701</v>
          </cell>
          <cell r="AK132">
            <v>107.4870009267437</v>
          </cell>
          <cell r="AL132">
            <v>165.59188118720661</v>
          </cell>
          <cell r="AM132">
            <v>229.79460398597729</v>
          </cell>
          <cell r="AN132">
            <v>178.26005908563459</v>
          </cell>
          <cell r="AO132">
            <v>140.34889041848109</v>
          </cell>
          <cell r="AP132">
            <v>175.71966910528451</v>
          </cell>
          <cell r="AQ132">
            <v>45.167576424797062</v>
          </cell>
          <cell r="AR132">
            <v>133.2883471044675</v>
          </cell>
          <cell r="AS132">
            <v>93.000679591888343</v>
          </cell>
          <cell r="AT132">
            <v>2100312.6757624759</v>
          </cell>
          <cell r="AX132">
            <v>148.05839129038881</v>
          </cell>
        </row>
        <row r="133">
          <cell r="B133">
            <v>45817.290380270439</v>
          </cell>
          <cell r="C133">
            <v>23285.199276321109</v>
          </cell>
          <cell r="D133">
            <v>21505.801091883252</v>
          </cell>
          <cell r="E133">
            <v>8735.1891668058233</v>
          </cell>
          <cell r="F133">
            <v>912466.35385883891</v>
          </cell>
          <cell r="G133">
            <v>236.14331964669029</v>
          </cell>
          <cell r="H133">
            <v>378.36930009853393</v>
          </cell>
          <cell r="I133">
            <v>167.04859545358789</v>
          </cell>
          <cell r="J133">
            <v>593152.21167487442</v>
          </cell>
          <cell r="K133">
            <v>2051513.604320952</v>
          </cell>
          <cell r="L133">
            <v>1060085.3089612559</v>
          </cell>
          <cell r="M133">
            <v>0.71845256589795714</v>
          </cell>
          <cell r="N133">
            <v>2.5810977406967059</v>
          </cell>
          <cell r="O133">
            <v>1.275326840786033</v>
          </cell>
          <cell r="P133">
            <v>918713.25457328768</v>
          </cell>
          <cell r="Q133">
            <v>929368.53327392845</v>
          </cell>
          <cell r="R133">
            <v>1.0894583270528011</v>
          </cell>
          <cell r="S133">
            <v>1.008371391606264</v>
          </cell>
          <cell r="T133">
            <v>40226600.992021888</v>
          </cell>
          <cell r="U133">
            <v>46.48124907373272</v>
          </cell>
          <cell r="V133">
            <v>18513878.065498639</v>
          </cell>
          <cell r="W133">
            <v>22.050615801961481</v>
          </cell>
          <cell r="X133">
            <v>38543620.226614237</v>
          </cell>
          <cell r="Y133">
            <v>48.166797012932847</v>
          </cell>
          <cell r="Z133">
            <v>1.2949843166524111</v>
          </cell>
          <cell r="AA133">
            <v>59945.007220597749</v>
          </cell>
          <cell r="AB133">
            <v>130348.51126171921</v>
          </cell>
          <cell r="AC133">
            <v>143.9457847172055</v>
          </cell>
          <cell r="AD133">
            <v>110.58237198617761</v>
          </cell>
          <cell r="AE133">
            <v>150.46769365995581</v>
          </cell>
          <cell r="AF133">
            <v>355.1913002820823</v>
          </cell>
          <cell r="AG133">
            <v>164.43385264462631</v>
          </cell>
          <cell r="AH133">
            <v>69.702388249295211</v>
          </cell>
          <cell r="AI133">
            <v>86.659975330357184</v>
          </cell>
          <cell r="AJ133">
            <v>158.6575071783061</v>
          </cell>
          <cell r="AK133">
            <v>105.56908891514109</v>
          </cell>
          <cell r="AL133">
            <v>169.47554833673979</v>
          </cell>
          <cell r="AM133">
            <v>231.65621050239511</v>
          </cell>
          <cell r="AN133">
            <v>170.6227740180145</v>
          </cell>
          <cell r="AO133">
            <v>130.69506734660979</v>
          </cell>
          <cell r="AP133">
            <v>164.2373956821518</v>
          </cell>
          <cell r="AQ133">
            <v>39.510311649950637</v>
          </cell>
          <cell r="AR133">
            <v>126.7207311969722</v>
          </cell>
          <cell r="AS133">
            <v>82.196396347223896</v>
          </cell>
          <cell r="AT133">
            <v>1981509.6997842949</v>
          </cell>
          <cell r="AX133">
            <v>141.3337932643463</v>
          </cell>
        </row>
        <row r="134">
          <cell r="B134">
            <v>41569.646615840596</v>
          </cell>
          <cell r="C134">
            <v>27873.225243583809</v>
          </cell>
          <cell r="D134">
            <v>28907.546156281951</v>
          </cell>
          <cell r="E134">
            <v>12201.43261445693</v>
          </cell>
          <cell r="F134">
            <v>855452.93398123141</v>
          </cell>
          <cell r="G134">
            <v>269.43456803943371</v>
          </cell>
          <cell r="H134">
            <v>411.6928093323113</v>
          </cell>
          <cell r="I134">
            <v>165.04670970497941</v>
          </cell>
          <cell r="J134">
            <v>950301.86965434533</v>
          </cell>
          <cell r="K134">
            <v>2842653.454090978</v>
          </cell>
          <cell r="L134">
            <v>1023679.9544064919</v>
          </cell>
          <cell r="M134">
            <v>1.0751007759738429</v>
          </cell>
          <cell r="N134">
            <v>2.6054085954697328</v>
          </cell>
          <cell r="O134">
            <v>1.1327624787991679</v>
          </cell>
          <cell r="P134">
            <v>1262378.237699734</v>
          </cell>
          <cell r="Q134">
            <v>1133667.46652082</v>
          </cell>
          <cell r="R134">
            <v>1.0950842148166691</v>
          </cell>
          <cell r="S134">
            <v>0.98497453640195487</v>
          </cell>
          <cell r="T134">
            <v>56123737.76771751</v>
          </cell>
          <cell r="U134">
            <v>47.184277184386737</v>
          </cell>
          <cell r="V134">
            <v>21787926.171941679</v>
          </cell>
          <cell r="W134">
            <v>22.174080759591931</v>
          </cell>
          <cell r="X134">
            <v>45025034.767616689</v>
          </cell>
          <cell r="Y134">
            <v>46.645505281489257</v>
          </cell>
          <cell r="Z134">
            <v>1.176845277322522</v>
          </cell>
          <cell r="AA134">
            <v>62349.758387495967</v>
          </cell>
          <cell r="AB134">
            <v>112095.4179772865</v>
          </cell>
          <cell r="AC134">
            <v>156.44578001091861</v>
          </cell>
          <cell r="AD134">
            <v>110.4017289673797</v>
          </cell>
          <cell r="AE134">
            <v>147.9599042610362</v>
          </cell>
          <cell r="AF134">
            <v>333.35048954598642</v>
          </cell>
          <cell r="AG134">
            <v>172.56019919397821</v>
          </cell>
          <cell r="AH134">
            <v>97.392953156648588</v>
          </cell>
          <cell r="AI134">
            <v>85.950983590681261</v>
          </cell>
          <cell r="AJ134">
            <v>152.02652335312951</v>
          </cell>
          <cell r="AK134">
            <v>103.8591377781992</v>
          </cell>
          <cell r="AL134">
            <v>161.13806780075419</v>
          </cell>
          <cell r="AM134">
            <v>201.7206634225185</v>
          </cell>
          <cell r="AN134">
            <v>179.19290487900491</v>
          </cell>
          <cell r="AO134">
            <v>131.69890263484481</v>
          </cell>
          <cell r="AP134">
            <v>151.8483201351433</v>
          </cell>
          <cell r="AQ134">
            <v>33.315332602142711</v>
          </cell>
          <cell r="AR134">
            <v>122.06452229953371</v>
          </cell>
          <cell r="AS134">
            <v>82.136817915564649</v>
          </cell>
          <cell r="AT134">
            <v>2939425.9069191781</v>
          </cell>
          <cell r="AX134">
            <v>143.63700047751951</v>
          </cell>
        </row>
        <row r="135">
          <cell r="B135">
            <v>41254.672685623547</v>
          </cell>
          <cell r="C135">
            <v>38284.561202729252</v>
          </cell>
          <cell r="D135">
            <v>35817.105847794453</v>
          </cell>
          <cell r="E135">
            <v>9562.4372105777347</v>
          </cell>
          <cell r="F135">
            <v>828548.59834769764</v>
          </cell>
          <cell r="G135">
            <v>242.3926120720613</v>
          </cell>
          <cell r="H135">
            <v>363.33570345244522</v>
          </cell>
          <cell r="I135">
            <v>143.79958244900001</v>
          </cell>
          <cell r="J135">
            <v>470476.62298954319</v>
          </cell>
          <cell r="K135">
            <v>2692484.6697854111</v>
          </cell>
          <cell r="L135">
            <v>1107919.055768531</v>
          </cell>
          <cell r="M135">
            <v>0.5235991867257801</v>
          </cell>
          <cell r="N135">
            <v>2.5140446969435342</v>
          </cell>
          <cell r="O135">
            <v>1.131134648033427</v>
          </cell>
          <cell r="P135">
            <v>1006881.091957529</v>
          </cell>
          <cell r="Q135">
            <v>1130091.4577436741</v>
          </cell>
          <cell r="R135">
            <v>0.89993758886724662</v>
          </cell>
          <cell r="S135">
            <v>0.97551855330487636</v>
          </cell>
          <cell r="T135">
            <v>43042680.427724421</v>
          </cell>
          <cell r="U135">
            <v>38.626354258242337</v>
          </cell>
          <cell r="V135">
            <v>22931910.737191159</v>
          </cell>
          <cell r="W135">
            <v>21.409729166873468</v>
          </cell>
          <cell r="X135">
            <v>49194690.720534742</v>
          </cell>
          <cell r="Y135">
            <v>45.488086885446428</v>
          </cell>
          <cell r="Z135">
            <v>1.186604949924609</v>
          </cell>
          <cell r="AA135">
            <v>62099.928618960912</v>
          </cell>
          <cell r="AB135">
            <v>123826.090351616</v>
          </cell>
          <cell r="AC135">
            <v>154.5329185172989</v>
          </cell>
          <cell r="AD135">
            <v>109.9147136918797</v>
          </cell>
          <cell r="AE135">
            <v>146.59061456841519</v>
          </cell>
          <cell r="AF135">
            <v>321.55233296923763</v>
          </cell>
          <cell r="AG135">
            <v>173.74829959067009</v>
          </cell>
          <cell r="AH135">
            <v>83.588950216857086</v>
          </cell>
          <cell r="AI135">
            <v>86.569024707093305</v>
          </cell>
          <cell r="AJ135">
            <v>154.33484209473161</v>
          </cell>
          <cell r="AK135">
            <v>107.2446142752224</v>
          </cell>
          <cell r="AL135">
            <v>164.81029222314709</v>
          </cell>
          <cell r="AM135">
            <v>158.23121285127479</v>
          </cell>
          <cell r="AN135">
            <v>168.5949188172055</v>
          </cell>
          <cell r="AO135">
            <v>129.89233034749731</v>
          </cell>
          <cell r="AP135">
            <v>150.94325009099589</v>
          </cell>
          <cell r="AQ135">
            <v>35.042910117151862</v>
          </cell>
          <cell r="AR135">
            <v>111.7566006854543</v>
          </cell>
          <cell r="AS135">
            <v>82.887153136390964</v>
          </cell>
          <cell r="AT135">
            <v>3239681.7658399711</v>
          </cell>
          <cell r="AX135">
            <v>145.1808677584153</v>
          </cell>
        </row>
        <row r="136">
          <cell r="B136">
            <v>43415.260320153538</v>
          </cell>
          <cell r="C136">
            <v>22562.493318996581</v>
          </cell>
          <cell r="D136">
            <v>30327.74100355426</v>
          </cell>
          <cell r="E136">
            <v>7824.504468832225</v>
          </cell>
          <cell r="F136">
            <v>689724.32712319866</v>
          </cell>
          <cell r="G136">
            <v>168.7092618565672</v>
          </cell>
          <cell r="H136">
            <v>247.77581552498461</v>
          </cell>
          <cell r="I136">
            <v>87.232515870936936</v>
          </cell>
          <cell r="J136">
            <v>594880.36334409437</v>
          </cell>
          <cell r="K136">
            <v>2819364.4703559941</v>
          </cell>
          <cell r="L136">
            <v>1083706.4482981069</v>
          </cell>
          <cell r="M136">
            <v>0.55093724172968916</v>
          </cell>
          <cell r="N136">
            <v>2.514142624750547</v>
          </cell>
          <cell r="O136">
            <v>1.2328188655958709</v>
          </cell>
          <cell r="P136">
            <v>1214077.936436689</v>
          </cell>
          <cell r="Q136">
            <v>1110932.849977935</v>
          </cell>
          <cell r="R136">
            <v>1.0171142415809209</v>
          </cell>
          <cell r="S136">
            <v>0.95840092939969268</v>
          </cell>
          <cell r="T136">
            <v>50584072.153229341</v>
          </cell>
          <cell r="U136">
            <v>43.273562681578817</v>
          </cell>
          <cell r="V136">
            <v>25021984.892634209</v>
          </cell>
          <cell r="W136">
            <v>20.977001256135111</v>
          </cell>
          <cell r="X136">
            <v>51187103.213907301</v>
          </cell>
          <cell r="Y136">
            <v>43.487081652674782</v>
          </cell>
          <cell r="Z136">
            <v>0.93628754655230506</v>
          </cell>
          <cell r="AA136">
            <v>61516.466744602469</v>
          </cell>
          <cell r="AB136">
            <v>112078.74588831799</v>
          </cell>
          <cell r="AC136">
            <v>154.14087742668519</v>
          </cell>
          <cell r="AD136">
            <v>106.057229276214</v>
          </cell>
          <cell r="AE136">
            <v>141.89858644020131</v>
          </cell>
          <cell r="AF136">
            <v>334.9511527123654</v>
          </cell>
          <cell r="AG136">
            <v>171.23573380214489</v>
          </cell>
          <cell r="AH136">
            <v>83.831044129420619</v>
          </cell>
          <cell r="AI136">
            <v>86.476616341614914</v>
          </cell>
          <cell r="AJ136">
            <v>150.10340261249769</v>
          </cell>
          <cell r="AK136">
            <v>105.4908688899055</v>
          </cell>
          <cell r="AL136">
            <v>165.73562384562169</v>
          </cell>
          <cell r="AM136">
            <v>146.33926754325461</v>
          </cell>
          <cell r="AN136">
            <v>128.05142812513051</v>
          </cell>
          <cell r="AO136">
            <v>125.18435447802661</v>
          </cell>
          <cell r="AP136">
            <v>157.82449676539949</v>
          </cell>
          <cell r="AQ136">
            <v>38.482359928289881</v>
          </cell>
          <cell r="AR136">
            <v>109.74034026350139</v>
          </cell>
          <cell r="AS136">
            <v>83.173833843332488</v>
          </cell>
          <cell r="AT136">
            <v>3292589.6354169021</v>
          </cell>
          <cell r="AX136">
            <v>140.92230322329101</v>
          </cell>
        </row>
        <row r="137">
          <cell r="B137">
            <v>42090.323347131853</v>
          </cell>
          <cell r="C137">
            <v>21222.169829789291</v>
          </cell>
          <cell r="D137">
            <v>20904.527768549291</v>
          </cell>
          <cell r="E137">
            <v>6180.3048615366761</v>
          </cell>
          <cell r="F137">
            <v>664944.89689857198</v>
          </cell>
          <cell r="G137">
            <v>246.12481669227631</v>
          </cell>
          <cell r="H137">
            <v>349.89541404009282</v>
          </cell>
          <cell r="I137">
            <v>110.0883249651677</v>
          </cell>
          <cell r="J137">
            <v>602330.88329652825</v>
          </cell>
          <cell r="K137">
            <v>3249892.9404748832</v>
          </cell>
          <cell r="L137">
            <v>1275908.0084086449</v>
          </cell>
          <cell r="M137">
            <v>0.51751594303875625</v>
          </cell>
          <cell r="N137">
            <v>2.5440745190718919</v>
          </cell>
          <cell r="O137">
            <v>1.243893564204124</v>
          </cell>
          <cell r="P137">
            <v>1321508.210178633</v>
          </cell>
          <cell r="Q137">
            <v>1234922.907984369</v>
          </cell>
          <cell r="R137">
            <v>1.0896104790155341</v>
          </cell>
          <cell r="S137">
            <v>1.020283176059221</v>
          </cell>
          <cell r="T137">
            <v>54547794.907355107</v>
          </cell>
          <cell r="U137">
            <v>46.319660687653652</v>
          </cell>
          <cell r="V137">
            <v>26061865.111334711</v>
          </cell>
          <cell r="W137">
            <v>20.829440185362149</v>
          </cell>
          <cell r="X137">
            <v>54345110.096061967</v>
          </cell>
          <cell r="Y137">
            <v>41.802118269489448</v>
          </cell>
          <cell r="Z137">
            <v>0.66298432298050514</v>
          </cell>
          <cell r="AA137">
            <v>61259.753878990683</v>
          </cell>
          <cell r="AB137">
            <v>141014.48935899459</v>
          </cell>
          <cell r="AC137">
            <v>156.12485546245691</v>
          </cell>
          <cell r="AD137">
            <v>107.9072970672981</v>
          </cell>
          <cell r="AE137">
            <v>129.08532421588581</v>
          </cell>
          <cell r="AF137">
            <v>344.15551046238488</v>
          </cell>
          <cell r="AG137">
            <v>174.83759017726879</v>
          </cell>
          <cell r="AH137">
            <v>91.071074832807099</v>
          </cell>
          <cell r="AI137">
            <v>86.344783801490976</v>
          </cell>
          <cell r="AJ137">
            <v>149.89590274363229</v>
          </cell>
          <cell r="AK137">
            <v>102.75673799696629</v>
          </cell>
          <cell r="AL137">
            <v>124.675203808305</v>
          </cell>
          <cell r="AM137">
            <v>141.73508748887599</v>
          </cell>
          <cell r="AN137">
            <v>159.24977341569601</v>
          </cell>
          <cell r="AO137">
            <v>130.55454534130669</v>
          </cell>
          <cell r="AP137">
            <v>153.21201191442881</v>
          </cell>
          <cell r="AQ137">
            <v>39.612269004049502</v>
          </cell>
          <cell r="AR137">
            <v>113.052796559996</v>
          </cell>
          <cell r="AS137">
            <v>86.193396344458407</v>
          </cell>
          <cell r="AT137">
            <v>3787645.7118058638</v>
          </cell>
          <cell r="AX137">
            <v>139.9774320241485</v>
          </cell>
        </row>
        <row r="138">
          <cell r="B138">
            <v>34173.854447596001</v>
          </cell>
          <cell r="C138">
            <v>21325.778929816581</v>
          </cell>
          <cell r="D138">
            <v>21715.258470034609</v>
          </cell>
          <cell r="E138">
            <v>7879.0331643917016</v>
          </cell>
          <cell r="F138">
            <v>810924.45659162861</v>
          </cell>
          <cell r="G138">
            <v>248.23526050983119</v>
          </cell>
          <cell r="H138">
            <v>294.70770558916638</v>
          </cell>
          <cell r="I138">
            <v>109.3538026321684</v>
          </cell>
          <cell r="J138">
            <v>1020517.9762989969</v>
          </cell>
          <cell r="K138">
            <v>3088000.8644755082</v>
          </cell>
          <cell r="L138">
            <v>5440096.2768055946</v>
          </cell>
          <cell r="M138">
            <v>0.64167329277268459</v>
          </cell>
          <cell r="N138">
            <v>2.5316961070148212</v>
          </cell>
          <cell r="O138">
            <v>3.3538284526320301</v>
          </cell>
          <cell r="P138">
            <v>1631848.379534269</v>
          </cell>
          <cell r="Q138">
            <v>1461023.013872294</v>
          </cell>
          <cell r="R138">
            <v>1.2174984533827871</v>
          </cell>
          <cell r="S138">
            <v>1.12554399210819</v>
          </cell>
          <cell r="T138">
            <v>70593653.037482604</v>
          </cell>
          <cell r="U138">
            <v>52.086711463507683</v>
          </cell>
          <cell r="V138">
            <v>29337808.012724251</v>
          </cell>
          <cell r="W138">
            <v>22.267758869271042</v>
          </cell>
          <cell r="X138">
            <v>58786813.904246017</v>
          </cell>
          <cell r="Y138">
            <v>44.017621812392207</v>
          </cell>
          <cell r="Z138">
            <v>0.35206722499098803</v>
          </cell>
          <cell r="AA138">
            <v>62307.858554276878</v>
          </cell>
          <cell r="AB138">
            <v>150046.72719599039</v>
          </cell>
          <cell r="AC138">
            <v>155.10047906297049</v>
          </cell>
          <cell r="AD138">
            <v>98.438672978523812</v>
          </cell>
          <cell r="AE138">
            <v>142.72109829605481</v>
          </cell>
          <cell r="AF138">
            <v>325.72833427530549</v>
          </cell>
          <cell r="AG138">
            <v>175.13172391787441</v>
          </cell>
          <cell r="AH138">
            <v>82.411031552473588</v>
          </cell>
          <cell r="AI138">
            <v>86.296220040232853</v>
          </cell>
          <cell r="AJ138">
            <v>148.5875137744388</v>
          </cell>
          <cell r="AK138">
            <v>114.0085784492281</v>
          </cell>
          <cell r="AL138">
            <v>156.21426460859311</v>
          </cell>
          <cell r="AM138">
            <v>161.44225016106199</v>
          </cell>
          <cell r="AN138">
            <v>147.88855968213241</v>
          </cell>
          <cell r="AO138">
            <v>125.4006040254626</v>
          </cell>
          <cell r="AP138">
            <v>124.104541919724</v>
          </cell>
          <cell r="AQ138">
            <v>39.887115451816697</v>
          </cell>
          <cell r="AR138">
            <v>121.55339919719199</v>
          </cell>
          <cell r="AS138">
            <v>88.584080447724034</v>
          </cell>
          <cell r="AT138">
            <v>3423352.1367747001</v>
          </cell>
          <cell r="AX138">
            <v>145.63577725179351</v>
          </cell>
        </row>
        <row r="139">
          <cell r="B139">
            <v>30320.646105799759</v>
          </cell>
          <cell r="C139">
            <v>22299.20565041478</v>
          </cell>
          <cell r="D139">
            <v>24535.878264977691</v>
          </cell>
          <cell r="E139">
            <v>7327.7510231841188</v>
          </cell>
          <cell r="F139">
            <v>721460.75879122154</v>
          </cell>
          <cell r="G139">
            <v>260.67156043544338</v>
          </cell>
          <cell r="H139">
            <v>277.80389672298941</v>
          </cell>
          <cell r="I139">
            <v>128.14916196050811</v>
          </cell>
          <cell r="J139">
            <v>652269.39404292568</v>
          </cell>
          <cell r="K139">
            <v>3369284.502065239</v>
          </cell>
          <cell r="L139">
            <v>2481795.2282798002</v>
          </cell>
          <cell r="M139">
            <v>0.28734844794879272</v>
          </cell>
          <cell r="N139">
            <v>2.3899296778161272</v>
          </cell>
          <cell r="O139">
            <v>1.4299256327159779</v>
          </cell>
          <cell r="P139">
            <v>1741460.8171612751</v>
          </cell>
          <cell r="Q139">
            <v>1564499.2108168169</v>
          </cell>
          <cell r="R139">
            <v>1.3114687438037671</v>
          </cell>
          <cell r="S139">
            <v>1.1593369376642959</v>
          </cell>
          <cell r="T139">
            <v>68969632.790780783</v>
          </cell>
          <cell r="U139">
            <v>55.976342345259347</v>
          </cell>
          <cell r="V139">
            <v>33570413.943817772</v>
          </cell>
          <cell r="W139">
            <v>23.898618246934131</v>
          </cell>
          <cell r="X139">
            <v>66428603.109948747</v>
          </cell>
          <cell r="Y139">
            <v>45.803112872845681</v>
          </cell>
          <cell r="Z139">
            <v>0.31950223969930169</v>
          </cell>
          <cell r="AA139">
            <v>56096.256666053901</v>
          </cell>
          <cell r="AB139">
            <v>137622.40604339979</v>
          </cell>
          <cell r="AC139">
            <v>152.82448587661199</v>
          </cell>
          <cell r="AD139">
            <v>99.487614845953658</v>
          </cell>
          <cell r="AE139">
            <v>143.668448947451</v>
          </cell>
          <cell r="AF139">
            <v>243.6780787107746</v>
          </cell>
          <cell r="AG139">
            <v>174.34072012984009</v>
          </cell>
          <cell r="AH139">
            <v>78.395994994415787</v>
          </cell>
          <cell r="AI139">
            <v>86.392317775221869</v>
          </cell>
          <cell r="AJ139">
            <v>146.86499175508271</v>
          </cell>
          <cell r="AK139">
            <v>103.56354956230339</v>
          </cell>
          <cell r="AL139">
            <v>164.0248872429575</v>
          </cell>
          <cell r="AM139">
            <v>152.63726244021549</v>
          </cell>
          <cell r="AN139">
            <v>139.62441253249929</v>
          </cell>
          <cell r="AO139">
            <v>120.07183935448469</v>
          </cell>
          <cell r="AP139">
            <v>110.7498439795642</v>
          </cell>
          <cell r="AQ139">
            <v>38.51501200622824</v>
          </cell>
          <cell r="AR139">
            <v>119.5687006669495</v>
          </cell>
          <cell r="AS139">
            <v>90.968552302953697</v>
          </cell>
          <cell r="AT139">
            <v>3503170.2455622102</v>
          </cell>
          <cell r="AX139">
            <v>144.729703225446</v>
          </cell>
        </row>
        <row r="140">
          <cell r="B140">
            <v>46772.134254311422</v>
          </cell>
          <cell r="C140">
            <v>28965.758827818048</v>
          </cell>
          <cell r="D140">
            <v>37093.317274696172</v>
          </cell>
          <cell r="E140">
            <v>13059.01255748189</v>
          </cell>
          <cell r="F140">
            <v>854556.49210641114</v>
          </cell>
          <cell r="G140">
            <v>242.59696409350769</v>
          </cell>
          <cell r="H140">
            <v>320.36938647222968</v>
          </cell>
          <cell r="I140">
            <v>126.32764050332089</v>
          </cell>
          <cell r="J140">
            <v>906541.0466041785</v>
          </cell>
          <cell r="K140">
            <v>3701099.5241645481</v>
          </cell>
          <cell r="L140">
            <v>1927318.3766478749</v>
          </cell>
          <cell r="M140">
            <v>0.50114196494120922</v>
          </cell>
          <cell r="N140">
            <v>2.541064886881518</v>
          </cell>
          <cell r="O140">
            <v>1.39211387319504</v>
          </cell>
          <cell r="P140">
            <v>1562175.875103849</v>
          </cell>
          <cell r="Q140">
            <v>1596835.950439309</v>
          </cell>
          <cell r="R140">
            <v>1.0884481681766169</v>
          </cell>
          <cell r="S140">
            <v>1.186788273118911</v>
          </cell>
          <cell r="T140">
            <v>65510753.610894963</v>
          </cell>
          <cell r="U140">
            <v>46.577318941361249</v>
          </cell>
          <cell r="V140">
            <v>35621307.550122738</v>
          </cell>
          <cell r="W140">
            <v>23.970524166525809</v>
          </cell>
          <cell r="X140">
            <v>68109424.41279164</v>
          </cell>
          <cell r="Y140">
            <v>45.760888415072323</v>
          </cell>
          <cell r="Z140">
            <v>0.33242202832625972</v>
          </cell>
          <cell r="AA140">
            <v>62815.288899484469</v>
          </cell>
          <cell r="AB140">
            <v>161853.28748824011</v>
          </cell>
          <cell r="AC140">
            <v>162.12116758554649</v>
          </cell>
          <cell r="AD140">
            <v>109.8423800741824</v>
          </cell>
          <cell r="AE140">
            <v>147.58410278859211</v>
          </cell>
          <cell r="AF140">
            <v>343.00761941078929</v>
          </cell>
          <cell r="AG140">
            <v>187.00183879757381</v>
          </cell>
          <cell r="AH140">
            <v>87.460243921415568</v>
          </cell>
          <cell r="AI140">
            <v>86.782342074717747</v>
          </cell>
          <cell r="AJ140">
            <v>146.88235562764859</v>
          </cell>
          <cell r="AK140">
            <v>99.729856193865132</v>
          </cell>
          <cell r="AL140">
            <v>170.26458346748831</v>
          </cell>
          <cell r="AM140">
            <v>208.02737832048589</v>
          </cell>
          <cell r="AN140">
            <v>154.0428855341373</v>
          </cell>
          <cell r="AO140">
            <v>121.01720150877721</v>
          </cell>
          <cell r="AP140">
            <v>170.5741145244053</v>
          </cell>
          <cell r="AQ140">
            <v>40.300345286580473</v>
          </cell>
          <cell r="AR140">
            <v>121.8655803925994</v>
          </cell>
          <cell r="AS140">
            <v>92.548571643210607</v>
          </cell>
          <cell r="AT140">
            <v>4305209.945360628</v>
          </cell>
          <cell r="AX140">
            <v>148.23591251821199</v>
          </cell>
        </row>
        <row r="141">
          <cell r="B141">
            <v>47062.242040781879</v>
          </cell>
          <cell r="C141">
            <v>28120.94014602626</v>
          </cell>
          <cell r="D141">
            <v>41421.693925035557</v>
          </cell>
          <cell r="E141">
            <v>14459.094604055201</v>
          </cell>
          <cell r="F141">
            <v>824738.97934568336</v>
          </cell>
          <cell r="G141">
            <v>245.40843763952921</v>
          </cell>
          <cell r="H141">
            <v>325.20183612179198</v>
          </cell>
          <cell r="I141">
            <v>144.14343910551801</v>
          </cell>
          <cell r="J141">
            <v>798999.92801126454</v>
          </cell>
          <cell r="K141">
            <v>3910652.0441313349</v>
          </cell>
          <cell r="L141">
            <v>2115856.6675401041</v>
          </cell>
          <cell r="M141">
            <v>0.5778127092812817</v>
          </cell>
          <cell r="N141">
            <v>2.5275233004473261</v>
          </cell>
          <cell r="O141">
            <v>1.3828990200573881</v>
          </cell>
          <cell r="P141">
            <v>1682794.5732400659</v>
          </cell>
          <cell r="Q141">
            <v>1575910.996639475</v>
          </cell>
          <cell r="R141">
            <v>1.2982429055092499</v>
          </cell>
          <cell r="S141">
            <v>1.146700769649768</v>
          </cell>
          <cell r="T141">
            <v>72268561.931930512</v>
          </cell>
          <cell r="U141">
            <v>55.89821552427609</v>
          </cell>
          <cell r="V141">
            <v>37655912.206290588</v>
          </cell>
          <cell r="W141">
            <v>24.225335672997989</v>
          </cell>
          <cell r="X141">
            <v>71558409.756595254</v>
          </cell>
          <cell r="Y141">
            <v>46.559873551047851</v>
          </cell>
          <cell r="Z141">
            <v>0.23654261921702621</v>
          </cell>
          <cell r="AA141">
            <v>62170.492131342929</v>
          </cell>
          <cell r="AB141">
            <v>160123.1096346027</v>
          </cell>
          <cell r="AC141">
            <v>157.52493339593309</v>
          </cell>
          <cell r="AD141">
            <v>112.7639157662541</v>
          </cell>
          <cell r="AE141">
            <v>140.88320986317919</v>
          </cell>
          <cell r="AF141">
            <v>330.09010058951299</v>
          </cell>
          <cell r="AG141">
            <v>178.124825787242</v>
          </cell>
          <cell r="AH141">
            <v>86.050690952641247</v>
          </cell>
          <cell r="AI141">
            <v>86.019573612094817</v>
          </cell>
          <cell r="AJ141">
            <v>148.19837520889581</v>
          </cell>
          <cell r="AK141">
            <v>104.5418573992857</v>
          </cell>
          <cell r="AL141">
            <v>131.3223815087874</v>
          </cell>
          <cell r="AM141">
            <v>189.8044221834503</v>
          </cell>
          <cell r="AN141">
            <v>156.80293637694351</v>
          </cell>
          <cell r="AO141">
            <v>124.0167978287101</v>
          </cell>
          <cell r="AP141">
            <v>170.2765120810549</v>
          </cell>
          <cell r="AQ141">
            <v>40.186331887905041</v>
          </cell>
          <cell r="AR141">
            <v>126.48140567457411</v>
          </cell>
          <cell r="AS141">
            <v>92.794291971251141</v>
          </cell>
          <cell r="AT141">
            <v>3203797.0626107608</v>
          </cell>
          <cell r="AX141">
            <v>148.13238575269131</v>
          </cell>
        </row>
        <row r="142">
          <cell r="B142">
            <v>43384.973678191673</v>
          </cell>
          <cell r="C142">
            <v>22668.24264584704</v>
          </cell>
          <cell r="D142">
            <v>39151.859418763786</v>
          </cell>
          <cell r="E142">
            <v>14379.331852372839</v>
          </cell>
          <cell r="F142">
            <v>812275.27099635033</v>
          </cell>
          <cell r="G142">
            <v>228.67626298752961</v>
          </cell>
          <cell r="H142">
            <v>329.19776964633689</v>
          </cell>
          <cell r="I142">
            <v>131.96261962632749</v>
          </cell>
          <cell r="J142">
            <v>845092.13438324945</v>
          </cell>
          <cell r="K142">
            <v>4177957.8153215558</v>
          </cell>
          <cell r="L142">
            <v>2257023.7128126658</v>
          </cell>
          <cell r="M142">
            <v>0.5578857179947958</v>
          </cell>
          <cell r="N142">
            <v>2.541909040911059</v>
          </cell>
          <cell r="O142">
            <v>1.441439215493886</v>
          </cell>
          <cell r="P142">
            <v>1656925.688824632</v>
          </cell>
          <cell r="Q142">
            <v>1747233.775888185</v>
          </cell>
          <cell r="R142">
            <v>1.1113511972794401</v>
          </cell>
          <cell r="S142">
            <v>1.1341709699993641</v>
          </cell>
          <cell r="T142">
            <v>74210631.8006109</v>
          </cell>
          <cell r="U142">
            <v>48.091964927362518</v>
          </cell>
          <cell r="V142">
            <v>39039855.430640168</v>
          </cell>
          <cell r="W142">
            <v>24.804906128569179</v>
          </cell>
          <cell r="X142">
            <v>73978421.057635695</v>
          </cell>
          <cell r="Y142">
            <v>46.200615853972018</v>
          </cell>
          <cell r="Z142">
            <v>0.25973238799446552</v>
          </cell>
          <cell r="AA142">
            <v>62467.873072767317</v>
          </cell>
          <cell r="AB142">
            <v>157796.11045422449</v>
          </cell>
          <cell r="AC142">
            <v>160.16744633911171</v>
          </cell>
          <cell r="AD142">
            <v>102.7394171065302</v>
          </cell>
          <cell r="AE142">
            <v>144.17988895818209</v>
          </cell>
          <cell r="AF142">
            <v>338.73187405024407</v>
          </cell>
          <cell r="AG142">
            <v>179.67704170611049</v>
          </cell>
          <cell r="AH142">
            <v>87.851638403972004</v>
          </cell>
          <cell r="AI142">
            <v>86.171941438522126</v>
          </cell>
          <cell r="AJ142">
            <v>145.0508110037286</v>
          </cell>
          <cell r="AK142">
            <v>105.5454473833987</v>
          </cell>
          <cell r="AL142">
            <v>161.06894538019409</v>
          </cell>
          <cell r="AM142">
            <v>195.36051074265961</v>
          </cell>
          <cell r="AN142">
            <v>156.99731933944079</v>
          </cell>
          <cell r="AO142">
            <v>121.02221963961409</v>
          </cell>
          <cell r="AP142">
            <v>157.13224469077451</v>
          </cell>
          <cell r="AQ142">
            <v>39.962945512983161</v>
          </cell>
          <cell r="AR142">
            <v>123.6777212683473</v>
          </cell>
          <cell r="AS142">
            <v>92.185546668755237</v>
          </cell>
          <cell r="AT142">
            <v>3518140.87072653</v>
          </cell>
          <cell r="AX142">
            <v>146.4457183307382</v>
          </cell>
        </row>
        <row r="143">
          <cell r="B143">
            <v>45662.89003764253</v>
          </cell>
          <cell r="C143">
            <v>25471.18328114822</v>
          </cell>
          <cell r="D143">
            <v>40696.639251323963</v>
          </cell>
          <cell r="E143">
            <v>14914.956295286969</v>
          </cell>
          <cell r="F143">
            <v>826280.23745890928</v>
          </cell>
          <cell r="G143">
            <v>225.72727997021289</v>
          </cell>
          <cell r="H143">
            <v>308.49406720195333</v>
          </cell>
          <cell r="I143">
            <v>129.60909757112739</v>
          </cell>
          <cell r="J143">
            <v>979460.57502262993</v>
          </cell>
          <cell r="K143">
            <v>4440067.4143136283</v>
          </cell>
          <cell r="L143">
            <v>2164211.474110398</v>
          </cell>
          <cell r="M143">
            <v>0.60763640196012125</v>
          </cell>
          <cell r="N143">
            <v>2.5286987262923168</v>
          </cell>
          <cell r="O143">
            <v>1.4060612797040211</v>
          </cell>
          <cell r="P143">
            <v>1830822.859885837</v>
          </cell>
          <cell r="Q143">
            <v>1837322.8140105649</v>
          </cell>
          <cell r="R143">
            <v>1.136427397611933</v>
          </cell>
          <cell r="S143">
            <v>1.170464237755801</v>
          </cell>
          <cell r="T143">
            <v>78141918.791163772</v>
          </cell>
          <cell r="U143">
            <v>48.628198603419577</v>
          </cell>
          <cell r="V143">
            <v>41760106.588535458</v>
          </cell>
          <cell r="W143">
            <v>24.762699528755451</v>
          </cell>
          <cell r="X143">
            <v>77789554.843965352</v>
          </cell>
          <cell r="Y143">
            <v>46.782724683826473</v>
          </cell>
          <cell r="Z143">
            <v>0.29425617630674861</v>
          </cell>
          <cell r="AA143">
            <v>63989.914699535533</v>
          </cell>
          <cell r="AB143">
            <v>162918.25677920581</v>
          </cell>
          <cell r="AC143">
            <v>165.18814662537909</v>
          </cell>
          <cell r="AD143">
            <v>107.7991333306051</v>
          </cell>
          <cell r="AE143">
            <v>147.39800497717749</v>
          </cell>
          <cell r="AF143">
            <v>343.19230594784301</v>
          </cell>
          <cell r="AG143">
            <v>191.39698480198129</v>
          </cell>
          <cell r="AH143">
            <v>85.451311154222481</v>
          </cell>
          <cell r="AI143">
            <v>86.443047242855201</v>
          </cell>
          <cell r="AJ143">
            <v>143.29021044497279</v>
          </cell>
          <cell r="AK143">
            <v>124.7327604709993</v>
          </cell>
          <cell r="AL143">
            <v>163.88964645219929</v>
          </cell>
          <cell r="AM143">
            <v>195.06033920743889</v>
          </cell>
          <cell r="AN143">
            <v>151.7524944353562</v>
          </cell>
          <cell r="AO143">
            <v>124.49713327850149</v>
          </cell>
          <cell r="AP143">
            <v>165.79456314965469</v>
          </cell>
          <cell r="AQ143">
            <v>41.356925167243077</v>
          </cell>
          <cell r="AR143">
            <v>124.55161456779901</v>
          </cell>
          <cell r="AS143">
            <v>92.742522115817891</v>
          </cell>
          <cell r="AT143">
            <v>3550374.7370708948</v>
          </cell>
          <cell r="AX143">
            <v>148.4246260986173</v>
          </cell>
        </row>
        <row r="144">
          <cell r="B144">
            <v>44312.745302365001</v>
          </cell>
          <cell r="C144">
            <v>24455.909076349391</v>
          </cell>
          <cell r="D144">
            <v>43849.497112649631</v>
          </cell>
          <cell r="E144">
            <v>13765.62489758445</v>
          </cell>
          <cell r="F144">
            <v>824518.76382646151</v>
          </cell>
          <cell r="G144">
            <v>242.14985541485279</v>
          </cell>
          <cell r="H144">
            <v>323.85433978798619</v>
          </cell>
          <cell r="I144">
            <v>126.02190885336159</v>
          </cell>
          <cell r="J144">
            <v>1039831.375446639</v>
          </cell>
          <cell r="K144">
            <v>4302802.5828391109</v>
          </cell>
          <cell r="L144">
            <v>2617913.6037857789</v>
          </cell>
          <cell r="M144">
            <v>0.65754332139129268</v>
          </cell>
          <cell r="N144">
            <v>2.5174865978628511</v>
          </cell>
          <cell r="O144">
            <v>1.5117537855659</v>
          </cell>
          <cell r="P144">
            <v>2195741.7758214418</v>
          </cell>
          <cell r="Q144">
            <v>2053831.2130144979</v>
          </cell>
          <cell r="R144">
            <v>1.116198025467336</v>
          </cell>
          <cell r="S144">
            <v>1.1433655857508149</v>
          </cell>
          <cell r="T144">
            <v>97552389.640533045</v>
          </cell>
          <cell r="U144">
            <v>47.782790597538273</v>
          </cell>
          <cell r="V144">
            <v>44435411.822680756</v>
          </cell>
          <cell r="W144">
            <v>26.11709495750496</v>
          </cell>
          <cell r="X144">
            <v>79946500.748776242</v>
          </cell>
          <cell r="Y144">
            <v>47.8515462159816</v>
          </cell>
          <cell r="Z144">
            <v>0.3431619516584245</v>
          </cell>
          <cell r="AA144">
            <v>60699.209163191263</v>
          </cell>
          <cell r="AB144">
            <v>157662.67048530409</v>
          </cell>
          <cell r="AC144">
            <v>157.7780254418293</v>
          </cell>
          <cell r="AD144">
            <v>105.3659099974095</v>
          </cell>
          <cell r="AE144">
            <v>147.01455276479919</v>
          </cell>
          <cell r="AF144">
            <v>344.97493833858709</v>
          </cell>
          <cell r="AG144">
            <v>177.96315219105509</v>
          </cell>
          <cell r="AH144">
            <v>81.255701164609434</v>
          </cell>
          <cell r="AI144">
            <v>86.267093920999784</v>
          </cell>
          <cell r="AJ144">
            <v>142.48243599494609</v>
          </cell>
          <cell r="AK144">
            <v>105.0627897421999</v>
          </cell>
          <cell r="AL144">
            <v>166.73629968228491</v>
          </cell>
          <cell r="AM144">
            <v>191.90852116424881</v>
          </cell>
          <cell r="AN144">
            <v>156.10517618744311</v>
          </cell>
          <cell r="AO144">
            <v>123.74915026673879</v>
          </cell>
          <cell r="AP144">
            <v>160.66924934172849</v>
          </cell>
          <cell r="AQ144">
            <v>42.281690316206713</v>
          </cell>
          <cell r="AR144">
            <v>125.71420360206319</v>
          </cell>
          <cell r="AS144">
            <v>93.525000422888084</v>
          </cell>
          <cell r="AT144">
            <v>3549927.4403322488</v>
          </cell>
          <cell r="AX144">
            <v>149.12436306677901</v>
          </cell>
        </row>
        <row r="145">
          <cell r="B145">
            <v>45364.457760800673</v>
          </cell>
          <cell r="C145">
            <v>27224.10560571681</v>
          </cell>
          <cell r="D145">
            <v>46179.951094895332</v>
          </cell>
          <cell r="E145">
            <v>14996.190761662871</v>
          </cell>
          <cell r="F145">
            <v>862451.49513899069</v>
          </cell>
          <cell r="G145">
            <v>234.06390095389219</v>
          </cell>
          <cell r="H145">
            <v>324.17052900233102</v>
          </cell>
          <cell r="I145">
            <v>120.6673448814615</v>
          </cell>
          <cell r="J145">
            <v>989842.45960629429</v>
          </cell>
          <cell r="K145">
            <v>4438298.4461395824</v>
          </cell>
          <cell r="L145">
            <v>2577487.6353975818</v>
          </cell>
          <cell r="M145">
            <v>0.5175498186120121</v>
          </cell>
          <cell r="N145">
            <v>2.5392665149858451</v>
          </cell>
          <cell r="O145">
            <v>1.487474753090799</v>
          </cell>
          <cell r="P145">
            <v>2522276.532208154</v>
          </cell>
          <cell r="Q145">
            <v>2412511.992184652</v>
          </cell>
          <cell r="R145">
            <v>1.3580507193522</v>
          </cell>
          <cell r="S145">
            <v>1.184377276751557</v>
          </cell>
          <cell r="T145">
            <v>109584424.11998279</v>
          </cell>
          <cell r="U145">
            <v>57.799122445433547</v>
          </cell>
          <cell r="V145">
            <v>46522174.529301763</v>
          </cell>
          <cell r="W145">
            <v>25.762657384231559</v>
          </cell>
          <cell r="X145">
            <v>85429952.958621606</v>
          </cell>
          <cell r="Y145">
            <v>48.400016828090209</v>
          </cell>
          <cell r="Z145">
            <v>0.45349097241441833</v>
          </cell>
          <cell r="AA145">
            <v>62946.910409918208</v>
          </cell>
          <cell r="AB145">
            <v>169599.09991130911</v>
          </cell>
          <cell r="AC145">
            <v>159.64514251392191</v>
          </cell>
          <cell r="AD145">
            <v>113.57981075795389</v>
          </cell>
          <cell r="AE145">
            <v>146.66982087451379</v>
          </cell>
          <cell r="AF145">
            <v>340.66913597958381</v>
          </cell>
          <cell r="AG145">
            <v>179.95096758915361</v>
          </cell>
          <cell r="AH145">
            <v>84.951074240236579</v>
          </cell>
          <cell r="AI145">
            <v>86.354759576483019</v>
          </cell>
          <cell r="AJ145">
            <v>142.11807334489851</v>
          </cell>
          <cell r="AK145">
            <v>105.4098403228078</v>
          </cell>
          <cell r="AL145">
            <v>162.27335449051191</v>
          </cell>
          <cell r="AM145">
            <v>184.9074792300006</v>
          </cell>
          <cell r="AN145">
            <v>156.97103996098721</v>
          </cell>
          <cell r="AO145">
            <v>130.3238485864687</v>
          </cell>
          <cell r="AP145">
            <v>168.20012789271061</v>
          </cell>
          <cell r="AQ145">
            <v>45.209582590846267</v>
          </cell>
          <cell r="AR145">
            <v>127.9061195277867</v>
          </cell>
          <cell r="AS145">
            <v>93.017674315028088</v>
          </cell>
          <cell r="AT145">
            <v>3554555.4890760938</v>
          </cell>
          <cell r="AX145">
            <v>150.11411143331691</v>
          </cell>
        </row>
        <row r="146">
          <cell r="B146">
            <v>46759.607557742929</v>
          </cell>
          <cell r="C146">
            <v>23609.21645796506</v>
          </cell>
          <cell r="D146">
            <v>49324.421239339368</v>
          </cell>
          <cell r="E146">
            <v>15903.52805215111</v>
          </cell>
          <cell r="F146">
            <v>898525.81071716105</v>
          </cell>
          <cell r="G146">
            <v>203.46012938557931</v>
          </cell>
          <cell r="H146">
            <v>306.41048892589112</v>
          </cell>
          <cell r="I146">
            <v>121.57562126786991</v>
          </cell>
          <cell r="J146">
            <v>1007142.9517400221</v>
          </cell>
          <cell r="K146">
            <v>5333297.8750869278</v>
          </cell>
          <cell r="L146">
            <v>2570707.2486642962</v>
          </cell>
          <cell r="M146">
            <v>0.61704845714801482</v>
          </cell>
          <cell r="N146">
            <v>2.561797375635483</v>
          </cell>
          <cell r="O146">
            <v>1.51437249859805</v>
          </cell>
          <cell r="P146">
            <v>2568835.2220015828</v>
          </cell>
          <cell r="Q146">
            <v>2665603.0768359159</v>
          </cell>
          <cell r="R146">
            <v>1.1554677955633901</v>
          </cell>
          <cell r="S146">
            <v>1.236171268245877</v>
          </cell>
          <cell r="T146">
            <v>112132531.0075824</v>
          </cell>
          <cell r="U146">
            <v>49.242252998160168</v>
          </cell>
          <cell r="V146">
            <v>46764622.514304429</v>
          </cell>
          <cell r="W146">
            <v>25.80566509083765</v>
          </cell>
          <cell r="X146">
            <v>89237378.832609937</v>
          </cell>
          <cell r="Y146">
            <v>49.075419083519151</v>
          </cell>
          <cell r="Z146">
            <v>0.43415931711416178</v>
          </cell>
          <cell r="AA146">
            <v>62184.557295663602</v>
          </cell>
          <cell r="AB146">
            <v>159389.8464701226</v>
          </cell>
          <cell r="AC146">
            <v>160.00011105312839</v>
          </cell>
          <cell r="AD146">
            <v>112.7028905134558</v>
          </cell>
          <cell r="AE146">
            <v>147.02489627437609</v>
          </cell>
          <cell r="AF146">
            <v>350.7993941397923</v>
          </cell>
          <cell r="AG146">
            <v>180.7533606948422</v>
          </cell>
          <cell r="AH146">
            <v>84.230110723537791</v>
          </cell>
          <cell r="AI146">
            <v>87.018261109135096</v>
          </cell>
          <cell r="AJ146">
            <v>140.62317443234841</v>
          </cell>
          <cell r="AK146">
            <v>107.92838923879521</v>
          </cell>
          <cell r="AL146">
            <v>164.79046840479199</v>
          </cell>
          <cell r="AM146">
            <v>187.17217700105749</v>
          </cell>
          <cell r="AN146">
            <v>150.79581429943991</v>
          </cell>
          <cell r="AO146">
            <v>125.3095808226881</v>
          </cell>
          <cell r="AP146">
            <v>170.06591175908301</v>
          </cell>
          <cell r="AQ146">
            <v>44.441326802242997</v>
          </cell>
          <cell r="AR146">
            <v>126.6336476797707</v>
          </cell>
          <cell r="AS146">
            <v>93.672347564708886</v>
          </cell>
          <cell r="AT146">
            <v>3674053.530853231</v>
          </cell>
          <cell r="AX146">
            <v>151.73798264792259</v>
          </cell>
        </row>
        <row r="147">
          <cell r="B147">
            <v>46046.392768023667</v>
          </cell>
          <cell r="C147">
            <v>22139.66405459998</v>
          </cell>
          <cell r="D147">
            <v>47855.92849644438</v>
          </cell>
          <cell r="E147">
            <v>15127.580850954861</v>
          </cell>
          <cell r="F147">
            <v>874671.33145500429</v>
          </cell>
          <cell r="G147">
            <v>226.03413172840939</v>
          </cell>
          <cell r="H147">
            <v>346.03795414744161</v>
          </cell>
          <cell r="I147">
            <v>135.70562674211939</v>
          </cell>
          <cell r="J147">
            <v>958833.88872853038</v>
          </cell>
          <cell r="K147">
            <v>4776813.5295231026</v>
          </cell>
          <cell r="L147">
            <v>2632146.2088061799</v>
          </cell>
          <cell r="M147">
            <v>0.63992835906497236</v>
          </cell>
          <cell r="N147">
            <v>2.6170380658354389</v>
          </cell>
          <cell r="O147">
            <v>1.548421915256011</v>
          </cell>
          <cell r="P147">
            <v>2196546.2930366881</v>
          </cell>
          <cell r="Q147">
            <v>2376076.700654346</v>
          </cell>
          <cell r="R147">
            <v>1.165626567057106</v>
          </cell>
          <cell r="S147">
            <v>1.2249103396990471</v>
          </cell>
          <cell r="T147">
            <v>93899558.233068481</v>
          </cell>
          <cell r="U147">
            <v>49.949398897051402</v>
          </cell>
          <cell r="V147">
            <v>46372748.678573787</v>
          </cell>
          <cell r="W147">
            <v>25.961031127361441</v>
          </cell>
          <cell r="X147">
            <v>87171689.189236253</v>
          </cell>
          <cell r="Y147">
            <v>48.554484475472186</v>
          </cell>
          <cell r="Z147">
            <v>0.4149336155886641</v>
          </cell>
          <cell r="AA147">
            <v>62693.549978888303</v>
          </cell>
          <cell r="AB147">
            <v>164852.48316479701</v>
          </cell>
          <cell r="AC147">
            <v>162.50789290289569</v>
          </cell>
          <cell r="AD147">
            <v>107.19084789339659</v>
          </cell>
          <cell r="AE147">
            <v>146.53245419937369</v>
          </cell>
          <cell r="AF147">
            <v>356.88103730051739</v>
          </cell>
          <cell r="AG147">
            <v>182.50912112145321</v>
          </cell>
          <cell r="AH147">
            <v>86.961549210573068</v>
          </cell>
          <cell r="AI147">
            <v>86.503377119265167</v>
          </cell>
          <cell r="AJ147">
            <v>138.8731055745408</v>
          </cell>
          <cell r="AK147">
            <v>103.1368021682202</v>
          </cell>
          <cell r="AL147">
            <v>157.5604796555748</v>
          </cell>
          <cell r="AM147">
            <v>186.02083358533491</v>
          </cell>
          <cell r="AN147">
            <v>162.09675709142749</v>
          </cell>
          <cell r="AO147">
            <v>125.26366137262259</v>
          </cell>
          <cell r="AP147">
            <v>167.66037551982589</v>
          </cell>
          <cell r="AQ147">
            <v>45.672146841384077</v>
          </cell>
          <cell r="AR147">
            <v>126.93699554632769</v>
          </cell>
          <cell r="AS147">
            <v>93.844291789798177</v>
          </cell>
          <cell r="AT147">
            <v>3602116.2397115189</v>
          </cell>
          <cell r="AX147">
            <v>152.50050779930541</v>
          </cell>
        </row>
        <row r="148">
          <cell r="B148">
            <v>45329.914982577648</v>
          </cell>
          <cell r="C148">
            <v>23754.410856145671</v>
          </cell>
          <cell r="D148">
            <v>49752.065325525073</v>
          </cell>
          <cell r="E148">
            <v>15306.96614253945</v>
          </cell>
          <cell r="F148">
            <v>823005.35308557376</v>
          </cell>
          <cell r="G148">
            <v>213.60274202063329</v>
          </cell>
          <cell r="H148">
            <v>333.71388599758961</v>
          </cell>
          <cell r="I148">
            <v>122.09049600985909</v>
          </cell>
          <cell r="J148">
            <v>1086749.0306004011</v>
          </cell>
          <cell r="K148">
            <v>4364007.8106649742</v>
          </cell>
          <cell r="L148">
            <v>2255557.915779423</v>
          </cell>
          <cell r="M148">
            <v>0.63783020281556668</v>
          </cell>
          <cell r="N148">
            <v>2.5862685194538679</v>
          </cell>
          <cell r="O148">
            <v>1.549158882106765</v>
          </cell>
          <cell r="P148">
            <v>2339881.9149098708</v>
          </cell>
          <cell r="Q148">
            <v>2325177.6166802612</v>
          </cell>
          <cell r="R148">
            <v>1.228658782160454</v>
          </cell>
          <cell r="S148">
            <v>1.258094029538612</v>
          </cell>
          <cell r="T148">
            <v>98583273.86636889</v>
          </cell>
          <cell r="U148">
            <v>52.619216955579489</v>
          </cell>
          <cell r="V148">
            <v>49502137.342531294</v>
          </cell>
          <cell r="W148">
            <v>26.51170277900389</v>
          </cell>
          <cell r="X148">
            <v>91243463.733935982</v>
          </cell>
          <cell r="Y148">
            <v>49.166558749448939</v>
          </cell>
          <cell r="Z148">
            <v>0.39784720746891039</v>
          </cell>
          <cell r="AA148">
            <v>61560.447165766418</v>
          </cell>
          <cell r="AB148">
            <v>155907.2213133045</v>
          </cell>
          <cell r="AC148">
            <v>160.9027617657066</v>
          </cell>
          <cell r="AD148">
            <v>105.5244077486246</v>
          </cell>
          <cell r="AE148">
            <v>145.8991998076971</v>
          </cell>
          <cell r="AF148">
            <v>351.33534658339062</v>
          </cell>
          <cell r="AG148">
            <v>181.8433991783161</v>
          </cell>
          <cell r="AH148">
            <v>85.73321730210057</v>
          </cell>
          <cell r="AI148">
            <v>86.765205396510979</v>
          </cell>
          <cell r="AJ148">
            <v>154.76220615599991</v>
          </cell>
          <cell r="AK148">
            <v>104.34555763268339</v>
          </cell>
          <cell r="AL148">
            <v>151.89657908280211</v>
          </cell>
          <cell r="AM148">
            <v>185.08997612331231</v>
          </cell>
          <cell r="AN148">
            <v>159.4204256357672</v>
          </cell>
          <cell r="AO148">
            <v>124.0811639844639</v>
          </cell>
          <cell r="AP148">
            <v>164.34419833937559</v>
          </cell>
          <cell r="AQ148">
            <v>46.372524760670331</v>
          </cell>
          <cell r="AR148">
            <v>126.94452852555609</v>
          </cell>
          <cell r="AS148">
            <v>93.720660440617976</v>
          </cell>
          <cell r="AT148">
            <v>3638001.6699249968</v>
          </cell>
          <cell r="AX148">
            <v>150.80913695414</v>
          </cell>
        </row>
        <row r="149">
          <cell r="B149">
            <v>44420.716522046801</v>
          </cell>
          <cell r="C149">
            <v>23764.54778381285</v>
          </cell>
          <cell r="D149">
            <v>50446.139999651037</v>
          </cell>
          <cell r="E149">
            <v>15244.164127779341</v>
          </cell>
          <cell r="F149">
            <v>835131.27832948731</v>
          </cell>
          <cell r="G149">
            <v>215.04041556492999</v>
          </cell>
          <cell r="H149">
            <v>338.03105884715973</v>
          </cell>
          <cell r="I149">
            <v>129.75432322014609</v>
          </cell>
          <cell r="J149">
            <v>1174772.431275412</v>
          </cell>
          <cell r="K149">
            <v>4675028.2011055956</v>
          </cell>
          <cell r="L149">
            <v>2477726.0782529432</v>
          </cell>
          <cell r="M149">
            <v>0.67769057623464335</v>
          </cell>
          <cell r="N149">
            <v>2.542036164376738</v>
          </cell>
          <cell r="O149">
            <v>1.564401540297643</v>
          </cell>
          <cell r="P149">
            <v>2097984.2890516128</v>
          </cell>
          <cell r="Q149">
            <v>2194061.6015442521</v>
          </cell>
          <cell r="R149">
            <v>1.1765060960078919</v>
          </cell>
          <cell r="S149">
            <v>1.221256513250236</v>
          </cell>
          <cell r="T149">
            <v>87682190.214488491</v>
          </cell>
          <cell r="U149">
            <v>50.470497738049133</v>
          </cell>
          <cell r="V149">
            <v>51516379.137425169</v>
          </cell>
          <cell r="W149">
            <v>27.256181044875142</v>
          </cell>
          <cell r="X149">
            <v>94863247.22305423</v>
          </cell>
          <cell r="Y149">
            <v>49.214575617469713</v>
          </cell>
          <cell r="Z149">
            <v>0.37420864160615358</v>
          </cell>
          <cell r="AA149">
            <v>63218.471713385967</v>
          </cell>
          <cell r="AB149">
            <v>161343.59788403061</v>
          </cell>
          <cell r="AC149">
            <v>160.08196983006729</v>
          </cell>
          <cell r="AD149">
            <v>104.6714920437889</v>
          </cell>
          <cell r="AE149">
            <v>143.02201967542089</v>
          </cell>
          <cell r="AF149">
            <v>339.62335154237422</v>
          </cell>
          <cell r="AG149">
            <v>181.8914938535805</v>
          </cell>
          <cell r="AH149">
            <v>81.593785856528228</v>
          </cell>
          <cell r="AI149">
            <v>86.841237943432063</v>
          </cell>
          <cell r="AJ149">
            <v>138.08887736342669</v>
          </cell>
          <cell r="AK149">
            <v>106.460793435439</v>
          </cell>
          <cell r="AL149">
            <v>148.98645331139389</v>
          </cell>
          <cell r="AM149">
            <v>184.4398645116992</v>
          </cell>
          <cell r="AN149">
            <v>159.87331232029649</v>
          </cell>
          <cell r="AO149">
            <v>120.6805835335899</v>
          </cell>
          <cell r="AP149">
            <v>161.34556484858541</v>
          </cell>
          <cell r="AQ149">
            <v>46.573110270217583</v>
          </cell>
          <cell r="AR149">
            <v>127.5369436679228</v>
          </cell>
          <cell r="AS149">
            <v>94.23973693279531</v>
          </cell>
          <cell r="AT149">
            <v>3622109.8431227119</v>
          </cell>
          <cell r="AX149">
            <v>151.71227246049369</v>
          </cell>
        </row>
        <row r="150">
          <cell r="B150">
            <v>43301.131757675474</v>
          </cell>
          <cell r="C150">
            <v>24261.942348440221</v>
          </cell>
          <cell r="D150">
            <v>50852.509368338302</v>
          </cell>
          <cell r="E150">
            <v>15302.21952802968</v>
          </cell>
          <cell r="F150">
            <v>841225.67458788259</v>
          </cell>
          <cell r="G150">
            <v>206.9167457822829</v>
          </cell>
          <cell r="H150">
            <v>329.43815547499997</v>
          </cell>
          <cell r="I150">
            <v>127.6635516456338</v>
          </cell>
          <cell r="J150">
            <v>1168716.9754036849</v>
          </cell>
          <cell r="K150">
            <v>4370198.9979149615</v>
          </cell>
          <cell r="L150">
            <v>4696408.3502505012</v>
          </cell>
          <cell r="M150">
            <v>0.54213065458556131</v>
          </cell>
          <cell r="N150">
            <v>2.5671204476792489</v>
          </cell>
          <cell r="O150">
            <v>1.621641300888842</v>
          </cell>
          <cell r="P150">
            <v>2255383.0453499029</v>
          </cell>
          <cell r="Q150">
            <v>2207956.6698685768</v>
          </cell>
          <cell r="R150">
            <v>1.173545039102347</v>
          </cell>
          <cell r="S150">
            <v>1.1776919015390921</v>
          </cell>
          <cell r="T150">
            <v>97454993.443211988</v>
          </cell>
          <cell r="U150">
            <v>50.244578693737168</v>
          </cell>
          <cell r="V150">
            <v>53535372.576716296</v>
          </cell>
          <cell r="W150">
            <v>27.610837341008182</v>
          </cell>
          <cell r="X150">
            <v>96362912.215534389</v>
          </cell>
          <cell r="Y150">
            <v>49.982043232784932</v>
          </cell>
          <cell r="Z150">
            <v>0.33244225826262191</v>
          </cell>
          <cell r="AA150">
            <v>61771.227518998618</v>
          </cell>
          <cell r="AB150">
            <v>156900.78693023109</v>
          </cell>
          <cell r="AC150">
            <v>160.05968501838791</v>
          </cell>
          <cell r="AD150">
            <v>104.69738853774069</v>
          </cell>
          <cell r="AE150">
            <v>145.23274061010071</v>
          </cell>
          <cell r="AF150">
            <v>359.76831497532982</v>
          </cell>
          <cell r="AG150">
            <v>180.84508936893499</v>
          </cell>
          <cell r="AH150">
            <v>84.212180756753455</v>
          </cell>
          <cell r="AI150">
            <v>86.906500927657731</v>
          </cell>
          <cell r="AJ150">
            <v>137.26345408301319</v>
          </cell>
          <cell r="AK150">
            <v>105.2321772805189</v>
          </cell>
          <cell r="AL150">
            <v>154.27625084000911</v>
          </cell>
          <cell r="AM150">
            <v>180.78297013845119</v>
          </cell>
          <cell r="AN150">
            <v>160.78887432648841</v>
          </cell>
          <cell r="AO150">
            <v>122.4172948019329</v>
          </cell>
          <cell r="AP150">
            <v>157.23091475432309</v>
          </cell>
          <cell r="AQ150">
            <v>46.960620556529783</v>
          </cell>
          <cell r="AR150">
            <v>128.8635486926099</v>
          </cell>
          <cell r="AS150">
            <v>94.491802167158923</v>
          </cell>
          <cell r="AT150">
            <v>3509337.3963704831</v>
          </cell>
          <cell r="AX150">
            <v>153.33731786954411</v>
          </cell>
        </row>
        <row r="151">
          <cell r="B151">
            <v>42824.267709934953</v>
          </cell>
          <cell r="C151">
            <v>25068.842321222812</v>
          </cell>
          <cell r="D151">
            <v>50975.129034318677</v>
          </cell>
          <cell r="E151">
            <v>15428.284293304599</v>
          </cell>
          <cell r="F151">
            <v>812723.02631274192</v>
          </cell>
          <cell r="G151">
            <v>179.90835078974681</v>
          </cell>
          <cell r="H151">
            <v>330.97200533529332</v>
          </cell>
          <cell r="I151">
            <v>132.05656025685559</v>
          </cell>
          <cell r="J151">
            <v>1678407.389341369</v>
          </cell>
          <cell r="K151">
            <v>5085062.8805878144</v>
          </cell>
          <cell r="L151">
            <v>2852357.796726658</v>
          </cell>
          <cell r="M151">
            <v>0.63128448589701147</v>
          </cell>
          <cell r="N151">
            <v>2.5919989474932388</v>
          </cell>
          <cell r="O151">
            <v>1.126054049657095</v>
          </cell>
          <cell r="P151">
            <v>2158420.6265954892</v>
          </cell>
          <cell r="Q151">
            <v>2088147.115759352</v>
          </cell>
          <cell r="R151">
            <v>1.2220703272769959</v>
          </cell>
          <cell r="S151">
            <v>1.1577352002407679</v>
          </cell>
          <cell r="T151">
            <v>85470254.145469546</v>
          </cell>
          <cell r="U151">
            <v>52.277995910372731</v>
          </cell>
          <cell r="V151">
            <v>55553212.645293847</v>
          </cell>
          <cell r="W151">
            <v>28.197340033908219</v>
          </cell>
          <cell r="X151">
            <v>102619488.8166537</v>
          </cell>
          <cell r="Y151">
            <v>50.787732816189639</v>
          </cell>
          <cell r="Z151">
            <v>0.30757789842526251</v>
          </cell>
          <cell r="AA151">
            <v>61015.589988712141</v>
          </cell>
          <cell r="AB151">
            <v>161783.21266858609</v>
          </cell>
          <cell r="AC151">
            <v>162.13391943728081</v>
          </cell>
          <cell r="AD151">
            <v>104.3950308688929</v>
          </cell>
          <cell r="AE151">
            <v>143.40247313127659</v>
          </cell>
          <cell r="AF151">
            <v>351.66236587935191</v>
          </cell>
          <cell r="AG151">
            <v>183.48621335633271</v>
          </cell>
          <cell r="AH151">
            <v>86.669982194857354</v>
          </cell>
          <cell r="AI151">
            <v>86.992281162067599</v>
          </cell>
          <cell r="AJ151">
            <v>136.31273720447771</v>
          </cell>
          <cell r="AK151">
            <v>107.3723931007469</v>
          </cell>
          <cell r="AL151">
            <v>142.81217152100481</v>
          </cell>
          <cell r="AM151">
            <v>177.99504095095389</v>
          </cell>
          <cell r="AN151">
            <v>155.99477640803741</v>
          </cell>
          <cell r="AO151">
            <v>123.33701512369311</v>
          </cell>
          <cell r="AP151">
            <v>155.44348704369989</v>
          </cell>
          <cell r="AQ151">
            <v>47.593384349896063</v>
          </cell>
          <cell r="AR151">
            <v>129.14938138498931</v>
          </cell>
          <cell r="AS151">
            <v>95.213074609094377</v>
          </cell>
          <cell r="AT151">
            <v>3663439.7946930979</v>
          </cell>
          <cell r="AX151">
            <v>154.57716996647039</v>
          </cell>
        </row>
        <row r="152">
          <cell r="B152">
            <v>40286.059058639548</v>
          </cell>
          <cell r="C152">
            <v>19341.739824154251</v>
          </cell>
          <cell r="D152">
            <v>54539.802834746217</v>
          </cell>
          <cell r="E152">
            <v>16447.01723570055</v>
          </cell>
          <cell r="F152">
            <v>824715.40987977106</v>
          </cell>
          <cell r="G152">
            <v>202.9835839028469</v>
          </cell>
          <cell r="H152">
            <v>345.07803605935612</v>
          </cell>
          <cell r="I152">
            <v>136.6092237234993</v>
          </cell>
          <cell r="J152">
            <v>1767988.8273296561</v>
          </cell>
          <cell r="K152">
            <v>5104053.3144379985</v>
          </cell>
          <cell r="L152">
            <v>3096300.3700359608</v>
          </cell>
          <cell r="M152">
            <v>0.71456433289849719</v>
          </cell>
          <cell r="N152">
            <v>2.5691006217858381</v>
          </cell>
          <cell r="O152">
            <v>1.6184585635235551</v>
          </cell>
          <cell r="P152">
            <v>2374429.758427063</v>
          </cell>
          <cell r="Q152">
            <v>2129317.5588124832</v>
          </cell>
          <cell r="R152">
            <v>1.243785739055252</v>
          </cell>
          <cell r="S152">
            <v>1.197088106991822</v>
          </cell>
          <cell r="T152">
            <v>100347842.1379786</v>
          </cell>
          <cell r="U152">
            <v>53.199023798591433</v>
          </cell>
          <cell r="V152">
            <v>57575643.376544878</v>
          </cell>
          <cell r="W152">
            <v>28.379433503826451</v>
          </cell>
          <cell r="X152">
            <v>101950136.0396854</v>
          </cell>
          <cell r="Y152">
            <v>50.495238567134663</v>
          </cell>
          <cell r="Z152">
            <v>0.28286724622589648</v>
          </cell>
          <cell r="AA152">
            <v>61887.612659601051</v>
          </cell>
          <cell r="AB152">
            <v>153389.70012220569</v>
          </cell>
          <cell r="AC152">
            <v>159.1850066625982</v>
          </cell>
          <cell r="AD152">
            <v>102.34365992834719</v>
          </cell>
          <cell r="AE152">
            <v>140.97377234177901</v>
          </cell>
          <cell r="AF152">
            <v>343.37081116427782</v>
          </cell>
          <cell r="AG152">
            <v>184.67526234830149</v>
          </cell>
          <cell r="AH152">
            <v>82.956790459669634</v>
          </cell>
          <cell r="AI152">
            <v>86.695483879198747</v>
          </cell>
          <cell r="AJ152">
            <v>134.89103256932691</v>
          </cell>
          <cell r="AK152">
            <v>107.3193429747661</v>
          </cell>
          <cell r="AL152">
            <v>137.5041091487191</v>
          </cell>
          <cell r="AM152">
            <v>176.99510600072659</v>
          </cell>
          <cell r="AN152">
            <v>162.930125819366</v>
          </cell>
          <cell r="AO152">
            <v>124.3279465531697</v>
          </cell>
          <cell r="AP152">
            <v>146.09694656553671</v>
          </cell>
          <cell r="AQ152">
            <v>47.778697559918037</v>
          </cell>
          <cell r="AR152">
            <v>129.83031376263261</v>
          </cell>
          <cell r="AS152">
            <v>95.098529446783132</v>
          </cell>
          <cell r="AT152">
            <v>3777410.2572087101</v>
          </cell>
          <cell r="AX152">
            <v>152.81091730946309</v>
          </cell>
        </row>
        <row r="153">
          <cell r="B153">
            <v>40559.810432062623</v>
          </cell>
          <cell r="C153">
            <v>20616.579828458271</v>
          </cell>
          <cell r="D153">
            <v>54584.332128806469</v>
          </cell>
          <cell r="E153">
            <v>15695.63691519028</v>
          </cell>
          <cell r="F153">
            <v>835241.2980652015</v>
          </cell>
          <cell r="G153">
            <v>190.592326320132</v>
          </cell>
          <cell r="H153">
            <v>344.29864891168143</v>
          </cell>
          <cell r="I153">
            <v>120.3138338560525</v>
          </cell>
          <cell r="J153">
            <v>1040164.354185936</v>
          </cell>
          <cell r="K153">
            <v>5346667.9786507888</v>
          </cell>
          <cell r="L153">
            <v>3166066.0649096449</v>
          </cell>
          <cell r="M153">
            <v>0.6182488332698628</v>
          </cell>
          <cell r="N153">
            <v>2.5856920214179482</v>
          </cell>
          <cell r="O153">
            <v>1.6383228733749899</v>
          </cell>
          <cell r="P153">
            <v>1943894.507853342</v>
          </cell>
          <cell r="Q153">
            <v>2178321.5336364619</v>
          </cell>
          <cell r="R153">
            <v>1.234374509045</v>
          </cell>
          <cell r="S153">
            <v>1.2289153614726851</v>
          </cell>
          <cell r="T153">
            <v>82649587.294950485</v>
          </cell>
          <cell r="U153">
            <v>52.790085211498067</v>
          </cell>
          <cell r="V153">
            <v>59575356.195814982</v>
          </cell>
          <cell r="W153">
            <v>28.64089727228875</v>
          </cell>
          <cell r="X153">
            <v>154629846.65574709</v>
          </cell>
          <cell r="Y153">
            <v>74.948851919974175</v>
          </cell>
          <cell r="Z153">
            <v>0.27283385326008641</v>
          </cell>
          <cell r="AA153">
            <v>61139.157703060497</v>
          </cell>
          <cell r="AB153">
            <v>151175.3868908252</v>
          </cell>
          <cell r="AC153">
            <v>159.7175594210143</v>
          </cell>
          <cell r="AD153">
            <v>96.830094397691667</v>
          </cell>
          <cell r="AE153">
            <v>144.04365488922789</v>
          </cell>
          <cell r="AF153">
            <v>351.01844821811329</v>
          </cell>
          <cell r="AG153">
            <v>181.76147901973269</v>
          </cell>
          <cell r="AH153">
            <v>82.01305028425368</v>
          </cell>
          <cell r="AI153">
            <v>87.268865686893605</v>
          </cell>
          <cell r="AJ153">
            <v>132.2539277859884</v>
          </cell>
          <cell r="AK153">
            <v>106.7377365189361</v>
          </cell>
          <cell r="AL153">
            <v>140.4057625937956</v>
          </cell>
          <cell r="AM153">
            <v>178.1291424347859</v>
          </cell>
          <cell r="AN153">
            <v>161.60764674742219</v>
          </cell>
          <cell r="AO153">
            <v>119.33253277207599</v>
          </cell>
          <cell r="AP153">
            <v>147.2351148896274</v>
          </cell>
          <cell r="AQ153">
            <v>38.751890884393823</v>
          </cell>
          <cell r="AR153">
            <v>128.36341974112921</v>
          </cell>
          <cell r="AS153">
            <v>94.845002912593046</v>
          </cell>
          <cell r="AT153">
            <v>3894329.0239300281</v>
          </cell>
          <cell r="AX153">
            <v>152.4773503586236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lambi, Ruben Orlando" id="{2D783C9A-1BAD-46AE-9435-7187A45FBEA5}" userId="S::ruben.llambi@icbc.com.ar::401ebe16-d378-477c-80b5-4335b70cfd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0-17T14:16:14.30" personId="{2D783C9A-1BAD-46AE-9435-7187A45FBEA5}" id="{7C8898B0-D364-4B6C-B851-3AF3CBCE20CD}">
    <text>ARVHTOTL Index</text>
  </threadedComment>
  <threadedComment ref="D1" dT="2025-10-17T20:01:55.32" personId="{2D783C9A-1BAD-46AE-9435-7187A45FBEA5}" id="{59F12BE3-0106-449E-8DAD-DA1221787F72}">
    <text>ARVETOTL Index</text>
  </threadedComment>
  <threadedComment ref="E1" dT="2025-10-17T20:03:11.46" personId="{2D783C9A-1BAD-46AE-9435-7187A45FBEA5}" id="{B76B3A82-232A-4A11-A963-94599C0BAEC1}">
    <text>ARVSCATA Index</text>
  </threadedComment>
  <threadedComment ref="F1" dT="2025-10-17T14:31:48.19" personId="{2D783C9A-1BAD-46AE-9435-7187A45FBEA5}" id="{B452890E-8336-4DB8-8C9B-FEC882D4CDEB}">
    <text>ARVSLTRK Index</text>
  </threadedComment>
  <threadedComment ref="G1" dT="2025-10-17T20:07:15.18" personId="{2D783C9A-1BAD-46AE-9435-7187A45FBEA5}" id="{2242D51E-B679-4211-A657-87D52C048B3B}">
    <text>ARCMTOTL Index</text>
  </threadedComment>
  <threadedComment ref="H1" dT="2025-10-17T20:10:44.35" personId="{2D783C9A-1BAD-46AE-9435-7187A45FBEA5}" id="{44F3F5B0-44BE-4C07-9E2E-0539A84CCAD6}">
    <text>ARCONNAC Index</text>
  </threadedComment>
  <threadedComment ref="AU1" dT="2025-10-17T21:42:24.70" personId="{2D783C9A-1BAD-46AE-9435-7187A45FBEA5}" id="{D308444C-B65F-4A2E-9D5F-4519BD8A02C5}">
    <text>ARLTLEAD Index</text>
  </threadedComment>
  <threadedComment ref="AW1" dT="2025-10-17T13:10:44.17" personId="{2D783C9A-1BAD-46AE-9435-7187A45FBEA5}" id="{209502F4-2D7C-409D-B515-3DCEAAB0386B}">
    <text>AROCSBS Index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" dT="2025-10-17T14:16:14.30" personId="{2D783C9A-1BAD-46AE-9435-7187A45FBEA5}" id="{52438F89-36BC-46CC-A452-C2E92EC9B1A2}">
    <text>ARVHTOTL Index</text>
  </threadedComment>
  <threadedComment ref="M5" dT="2025-10-17T14:31:48.19" personId="{2D783C9A-1BAD-46AE-9435-7187A45FBEA5}" id="{C47235CA-CDFA-4CD4-A9FF-10EF4910F1CE}">
    <text>ARVSLTRK Index</text>
  </threadedComment>
  <threadedComment ref="M48" dT="2025-10-17T13:10:44.17" personId="{2D783C9A-1BAD-46AE-9435-7187A45FBEA5}" id="{0DB07FA0-1552-400B-94CF-927B14A112F3}">
    <text>AROCSBS Index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www.acero.org.ar/wp-content/uploads/2025/09/Produccion-Siderurgica-Argentina-1960-2025-.pdf" TargetMode="External"/><Relationship Id="rId7" Type="http://schemas.openxmlformats.org/officeDocument/2006/relationships/hyperlink" Target="https://cca.org.ar/estadisticas-2024/" TargetMode="External"/><Relationship Id="rId2" Type="http://schemas.openxmlformats.org/officeDocument/2006/relationships/hyperlink" Target="https://www.acero.org.ar/wp-content/uploads/2025/09/Produccion-Siderurgica-Argentina-1960-2025-.pdf" TargetMode="External"/><Relationship Id="rId1" Type="http://schemas.openxmlformats.org/officeDocument/2006/relationships/hyperlink" Target="https://www.utdt.edu/ver_contenido.php?id_contenido=8513&amp;id_item_menu=16458" TargetMode="External"/><Relationship Id="rId6" Type="http://schemas.openxmlformats.org/officeDocument/2006/relationships/hyperlink" Target="https://www.magyp.gob.ar/sitio/areas/aves/estadistica/carne/index.php" TargetMode="External"/><Relationship Id="rId5" Type="http://schemas.openxmlformats.org/officeDocument/2006/relationships/hyperlink" Target="https://adefa.org.ar/es/estadisticas-mensuales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www.argentina.gob.ar/economia/ingresospublicos/pormes" TargetMode="Externa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zoomScaleNormal="100" workbookViewId="0">
      <selection activeCell="I17" sqref="I17"/>
    </sheetView>
  </sheetViews>
  <sheetFormatPr defaultRowHeight="15" x14ac:dyDescent="0.25"/>
  <cols>
    <col min="1" max="1" width="11.28515625" bestFit="1" customWidth="1"/>
    <col min="2" max="2" width="9.7109375" customWidth="1"/>
    <col min="8" max="8" width="9.7109375" bestFit="1" customWidth="1"/>
    <col min="9" max="9" width="7.42578125" bestFit="1" customWidth="1"/>
    <col min="15" max="15" width="12.140625" bestFit="1" customWidth="1"/>
    <col min="16" max="16" width="18" bestFit="1" customWidth="1"/>
  </cols>
  <sheetData>
    <row r="1" spans="1:16" x14ac:dyDescent="0.25">
      <c r="A1" s="4" t="s">
        <v>0</v>
      </c>
      <c r="B1" s="4" t="s">
        <v>4</v>
      </c>
      <c r="C1" s="4" t="s">
        <v>7</v>
      </c>
      <c r="D1" s="4" t="s">
        <v>1</v>
      </c>
      <c r="E1" s="4" t="s">
        <v>2</v>
      </c>
      <c r="F1" s="4" t="s">
        <v>8</v>
      </c>
      <c r="G1" s="4" t="s">
        <v>3</v>
      </c>
      <c r="H1" s="4" t="s">
        <v>5</v>
      </c>
      <c r="I1" s="4" t="s">
        <v>6</v>
      </c>
      <c r="J1" s="4" t="s">
        <v>9</v>
      </c>
      <c r="K1" s="4" t="s">
        <v>10</v>
      </c>
    </row>
    <row r="2" spans="1:16" x14ac:dyDescent="0.25">
      <c r="A2" s="2">
        <v>38718</v>
      </c>
      <c r="B2" s="5">
        <v>532348.2120169173</v>
      </c>
      <c r="C2" s="1">
        <v>7.849571069601935E-2</v>
      </c>
      <c r="D2">
        <v>394.41517741935485</v>
      </c>
      <c r="E2">
        <v>166.81316167944979</v>
      </c>
      <c r="F2" s="1">
        <v>6.5572691266065908E-2</v>
      </c>
      <c r="G2" s="1">
        <v>2.4910904554989122E-2</v>
      </c>
      <c r="H2" s="1">
        <v>0.28693313565604139</v>
      </c>
      <c r="I2" s="3">
        <v>6.6973169185017278E-2</v>
      </c>
      <c r="J2" s="1">
        <v>4.2800000000000005E-2</v>
      </c>
      <c r="K2" s="1">
        <v>3.295800275727484E-2</v>
      </c>
    </row>
    <row r="3" spans="1:16" x14ac:dyDescent="0.25">
      <c r="A3" s="2">
        <v>38808</v>
      </c>
      <c r="B3" s="5">
        <v>614076.39260854386</v>
      </c>
      <c r="C3" s="1">
        <v>5.5715853041058194E-2</v>
      </c>
      <c r="D3">
        <v>353.71380952380952</v>
      </c>
      <c r="E3">
        <v>166.01966113547542</v>
      </c>
      <c r="F3" s="1">
        <v>7.4826080849811571E-2</v>
      </c>
      <c r="G3" s="1">
        <v>4.8520636619583168E-2</v>
      </c>
      <c r="H3" s="1">
        <v>0.25406909809140532</v>
      </c>
      <c r="I3" s="3">
        <v>6.7706744438619459E-2</v>
      </c>
      <c r="J3" s="1">
        <v>2.2800000000000001E-2</v>
      </c>
      <c r="K3" s="1">
        <v>3.1862289121036176E-2</v>
      </c>
    </row>
    <row r="4" spans="1:16" x14ac:dyDescent="0.25">
      <c r="A4" s="2">
        <v>38899</v>
      </c>
      <c r="B4" s="5">
        <v>562978.96562687657</v>
      </c>
      <c r="C4" s="1">
        <v>9.3804902810718627E-2</v>
      </c>
      <c r="D4">
        <v>339.04528571428568</v>
      </c>
      <c r="E4">
        <v>165.9534742573189</v>
      </c>
      <c r="F4" s="1">
        <v>7.292179977243296E-2</v>
      </c>
      <c r="G4" s="1">
        <v>6.4745310173639492E-2</v>
      </c>
      <c r="H4" s="1">
        <v>0.28130622957439022</v>
      </c>
      <c r="I4" s="3">
        <v>1.8443078827820036E-2</v>
      </c>
      <c r="J4" s="1">
        <v>4.4900000000000002E-2</v>
      </c>
      <c r="K4" s="1">
        <v>3.196825119327875E-2</v>
      </c>
    </row>
    <row r="5" spans="1:16" x14ac:dyDescent="0.25">
      <c r="A5" s="2">
        <v>38991</v>
      </c>
      <c r="B5" s="5">
        <v>572794.04663058836</v>
      </c>
      <c r="C5" s="1">
        <v>9.67704037698498E-2</v>
      </c>
      <c r="D5">
        <v>281.70525806451622</v>
      </c>
      <c r="E5">
        <v>163.55664961886887</v>
      </c>
      <c r="F5" s="1">
        <v>8.2156515934999286E-2</v>
      </c>
      <c r="G5" s="1">
        <v>9.2447249047979074E-2</v>
      </c>
      <c r="H5" s="1">
        <v>0.30014681117492104</v>
      </c>
      <c r="I5" s="3">
        <v>2.871490048116665E-2</v>
      </c>
      <c r="J5" s="1">
        <v>4.8000000000000001E-2</v>
      </c>
      <c r="K5" s="1">
        <v>3.2215474180618063E-2</v>
      </c>
    </row>
    <row r="6" spans="1:16" x14ac:dyDescent="0.25">
      <c r="A6" s="2">
        <v>39083</v>
      </c>
      <c r="B6" s="5">
        <v>576846.88569942722</v>
      </c>
      <c r="C6" s="1">
        <v>8.3589411362756438E-2</v>
      </c>
      <c r="D6">
        <v>210.27943548387097</v>
      </c>
      <c r="E6">
        <v>163.2590212501166</v>
      </c>
      <c r="F6" s="1">
        <v>0.10364673016757986</v>
      </c>
      <c r="G6" s="1">
        <v>0.12660179762471135</v>
      </c>
      <c r="H6" s="1">
        <v>0.33544630156062594</v>
      </c>
      <c r="I6" s="3">
        <v>6.818625854770044E-2</v>
      </c>
      <c r="J6" s="1">
        <v>5.2000000000000005E-2</v>
      </c>
      <c r="K6" s="1">
        <v>3.1042814475313794E-2</v>
      </c>
    </row>
    <row r="7" spans="1:16" x14ac:dyDescent="0.25">
      <c r="A7" s="2">
        <v>39173</v>
      </c>
      <c r="B7" s="5">
        <v>674620.56300648488</v>
      </c>
      <c r="C7" s="1">
        <v>9.8593873867638182E-2</v>
      </c>
      <c r="D7">
        <v>268.38566666666662</v>
      </c>
      <c r="E7">
        <v>161.94288110885739</v>
      </c>
      <c r="F7" s="1">
        <v>0.10878116684740924</v>
      </c>
      <c r="G7" s="1">
        <v>0.11396593952316536</v>
      </c>
      <c r="H7" s="1">
        <v>0.34084552119698652</v>
      </c>
      <c r="I7" s="3">
        <v>2.6535251179934161E-2</v>
      </c>
      <c r="J7" s="1">
        <v>6.54E-2</v>
      </c>
      <c r="K7" s="1">
        <v>3.1321510668178398E-2</v>
      </c>
    </row>
    <row r="8" spans="1:16" x14ac:dyDescent="0.25">
      <c r="A8" s="2">
        <v>39264</v>
      </c>
      <c r="B8" s="5">
        <v>610425.69401485357</v>
      </c>
      <c r="C8" s="1">
        <v>8.4277977126809844E-2</v>
      </c>
      <c r="D8">
        <v>415.12806349206352</v>
      </c>
      <c r="E8">
        <v>157.56188962176574</v>
      </c>
      <c r="F8" s="1">
        <v>9.5031537557612733E-2</v>
      </c>
      <c r="G8" s="1">
        <v>8.9343320744409649E-2</v>
      </c>
      <c r="H8" s="1">
        <v>0.44092853597623893</v>
      </c>
      <c r="I8" s="3">
        <v>8.1467198268112551E-3</v>
      </c>
      <c r="J8" s="1">
        <v>5.8700000000000002E-2</v>
      </c>
      <c r="K8" s="1">
        <v>3.1924431341013783E-2</v>
      </c>
    </row>
    <row r="9" spans="1:16" x14ac:dyDescent="0.25">
      <c r="A9" s="2">
        <v>39356</v>
      </c>
      <c r="B9" s="5">
        <v>625876.86786359688</v>
      </c>
      <c r="C9" s="1">
        <v>9.2673486299768015E-2</v>
      </c>
      <c r="D9">
        <v>386.90138709677416</v>
      </c>
      <c r="E9">
        <v>158.87918940129657</v>
      </c>
      <c r="F9" s="1">
        <v>3.4794780185583907E-2</v>
      </c>
      <c r="G9" s="1">
        <v>3.7973687249922783E-2</v>
      </c>
      <c r="H9" s="1">
        <v>0.36017814620343347</v>
      </c>
      <c r="I9" s="3">
        <v>0.13455357607167362</v>
      </c>
      <c r="J9" s="1">
        <v>6.6400000000000001E-2</v>
      </c>
      <c r="K9" s="1">
        <v>2.8543076281047866E-2</v>
      </c>
    </row>
    <row r="10" spans="1:16" x14ac:dyDescent="0.25">
      <c r="A10" s="2">
        <v>39448</v>
      </c>
      <c r="B10" s="5">
        <v>616720.35706447833</v>
      </c>
      <c r="C10" s="1">
        <v>6.912314576632328E-2</v>
      </c>
      <c r="D10">
        <v>482.23842622950826</v>
      </c>
      <c r="E10">
        <v>159.28789844488981</v>
      </c>
      <c r="F10" s="1">
        <v>6.0995986169334326E-3</v>
      </c>
      <c r="G10" s="1">
        <v>5.7682917315029503E-3</v>
      </c>
      <c r="H10" s="1">
        <v>0.34656181419166021</v>
      </c>
      <c r="I10" s="3">
        <v>0.22926803186654721</v>
      </c>
      <c r="J10" s="1">
        <v>6.1600000000000002E-2</v>
      </c>
      <c r="K10" s="1">
        <v>2.5607988695852166E-2</v>
      </c>
    </row>
    <row r="11" spans="1:16" x14ac:dyDescent="0.25">
      <c r="A11" s="2">
        <v>39539</v>
      </c>
      <c r="B11" s="5">
        <v>711405.50045523292</v>
      </c>
      <c r="C11" s="1">
        <v>5.4526854747524833E-2</v>
      </c>
      <c r="D11">
        <v>556.65320312499978</v>
      </c>
      <c r="E11">
        <v>152.77004836275381</v>
      </c>
      <c r="F11" s="1">
        <v>-3.2825592546791404E-2</v>
      </c>
      <c r="G11" s="1">
        <v>-4.1444325707328478E-2</v>
      </c>
      <c r="H11" s="1">
        <v>0.39823907698840322</v>
      </c>
      <c r="I11" s="3">
        <v>0.14032076551173822</v>
      </c>
      <c r="J11" s="1">
        <v>6.3399999999999998E-2</v>
      </c>
      <c r="K11" s="1">
        <v>2.3277093849417493E-2</v>
      </c>
      <c r="M11" s="6"/>
      <c r="N11" s="6"/>
      <c r="O11" s="5"/>
    </row>
    <row r="12" spans="1:16" x14ac:dyDescent="0.25">
      <c r="A12" s="2">
        <v>39630</v>
      </c>
      <c r="B12" s="5">
        <v>647087.95974249416</v>
      </c>
      <c r="C12" s="1">
        <v>6.0060161436698012E-2</v>
      </c>
      <c r="D12">
        <v>696.82717187499986</v>
      </c>
      <c r="E12">
        <v>142.65216561853958</v>
      </c>
      <c r="F12" s="1">
        <v>-1.2606219746719827E-2</v>
      </c>
      <c r="G12" s="1">
        <v>-3.1056133896278149E-2</v>
      </c>
      <c r="H12" s="1">
        <v>0.30597298501627956</v>
      </c>
      <c r="I12" s="3">
        <v>0.16267283796623655</v>
      </c>
      <c r="J12" s="1">
        <v>6.9800000000000001E-2</v>
      </c>
      <c r="K12" s="1">
        <v>2.3235159554642674E-2</v>
      </c>
      <c r="M12" s="6"/>
      <c r="N12" s="7"/>
    </row>
    <row r="13" spans="1:16" x14ac:dyDescent="0.25">
      <c r="A13" s="2">
        <v>39722</v>
      </c>
      <c r="B13" s="5">
        <v>613490.82170264097</v>
      </c>
      <c r="C13" s="1">
        <v>-1.978990884139098E-2</v>
      </c>
      <c r="D13">
        <v>1696.5902419354836</v>
      </c>
      <c r="E13">
        <v>128.29873315810642</v>
      </c>
      <c r="F13" s="1">
        <v>8.2101846811388768E-3</v>
      </c>
      <c r="G13" s="1">
        <v>-4.3350324518384165E-2</v>
      </c>
      <c r="H13" s="1">
        <v>0.35000524965144764</v>
      </c>
      <c r="I13" s="3">
        <v>-1.904221236215986E-2</v>
      </c>
      <c r="J13" s="1">
        <v>1.0200000000000001E-2</v>
      </c>
      <c r="K13" s="1">
        <v>2.0534122348544508E-2</v>
      </c>
      <c r="N13" s="1"/>
    </row>
    <row r="14" spans="1:16" x14ac:dyDescent="0.25">
      <c r="A14" s="2">
        <v>39814</v>
      </c>
      <c r="B14" s="5">
        <v>578553.04424240452</v>
      </c>
      <c r="C14" s="1">
        <v>-6.1887551440244382E-2</v>
      </c>
      <c r="D14">
        <v>1700.0604098360657</v>
      </c>
      <c r="E14">
        <v>132.79608853181324</v>
      </c>
      <c r="F14" s="1">
        <v>-2.9228652114245302E-2</v>
      </c>
      <c r="G14" s="1">
        <v>-9.39912544057393E-2</v>
      </c>
      <c r="H14" s="1">
        <v>0.27984696557750532</v>
      </c>
      <c r="I14" s="3">
        <v>-0.12075867108932015</v>
      </c>
      <c r="J14" s="1">
        <v>-2.4199999999999999E-2</v>
      </c>
      <c r="K14" s="1">
        <v>1.7054291393930936E-2</v>
      </c>
      <c r="P14" s="5"/>
    </row>
    <row r="15" spans="1:16" x14ac:dyDescent="0.25">
      <c r="A15" s="2">
        <v>39904</v>
      </c>
      <c r="B15" s="5">
        <v>631197.75186006888</v>
      </c>
      <c r="C15" s="1">
        <v>-0.11274547152620917</v>
      </c>
      <c r="D15">
        <v>1455.6591904761908</v>
      </c>
      <c r="E15">
        <v>142.66107929321268</v>
      </c>
      <c r="F15" s="1">
        <v>-7.3032733080174328E-2</v>
      </c>
      <c r="G15" s="1">
        <v>-0.12102493722457897</v>
      </c>
      <c r="H15" s="1">
        <v>0.33397049871855633</v>
      </c>
      <c r="I15" s="3">
        <v>8.8848422732643595E-3</v>
      </c>
      <c r="J15" s="1">
        <v>-2.2000000000000002E-2</v>
      </c>
      <c r="K15" s="1">
        <v>9.0229569276847436E-3</v>
      </c>
      <c r="P15" s="5"/>
    </row>
    <row r="16" spans="1:16" x14ac:dyDescent="0.25">
      <c r="A16" s="2">
        <v>39995</v>
      </c>
      <c r="B16" s="5">
        <v>610519.85461172729</v>
      </c>
      <c r="C16" s="1">
        <v>-5.6511799640529548E-2</v>
      </c>
      <c r="D16">
        <v>921.66960937500028</v>
      </c>
      <c r="E16">
        <v>150.66966529208855</v>
      </c>
      <c r="F16" s="1">
        <v>-4.5861530337594991E-2</v>
      </c>
      <c r="G16" s="1">
        <v>-0.10212968683579093</v>
      </c>
      <c r="H16" s="1">
        <v>0.2849006009783952</v>
      </c>
      <c r="I16" s="3">
        <v>3.6051295485206136E-2</v>
      </c>
      <c r="J16" s="1">
        <v>-1.1599999999999999E-2</v>
      </c>
      <c r="K16" s="1">
        <v>6.9274575224714222E-4</v>
      </c>
    </row>
    <row r="17" spans="1:16" x14ac:dyDescent="0.25">
      <c r="A17" s="2">
        <v>40087</v>
      </c>
      <c r="B17" s="5">
        <v>615220.85493729718</v>
      </c>
      <c r="C17" s="1">
        <v>2.8199822612746672E-3</v>
      </c>
      <c r="D17">
        <v>717.92377419354875</v>
      </c>
      <c r="E17">
        <v>149.42990424188966</v>
      </c>
      <c r="F17" s="1">
        <v>-5.1628664565925853E-2</v>
      </c>
      <c r="G17" s="1">
        <v>-8.1863605203596479E-2</v>
      </c>
      <c r="H17" s="1">
        <v>0.30608830593818714</v>
      </c>
      <c r="I17" s="3">
        <v>0.11722361192696407</v>
      </c>
      <c r="J17" s="1">
        <v>5.33E-2</v>
      </c>
      <c r="K17" s="1">
        <v>-6.6906511117712916E-3</v>
      </c>
      <c r="P17" s="8"/>
    </row>
    <row r="18" spans="1:16" x14ac:dyDescent="0.25">
      <c r="A18" s="2">
        <v>40179</v>
      </c>
      <c r="B18" s="5">
        <v>611607.33658973</v>
      </c>
      <c r="C18" s="1">
        <v>5.7132691075213238E-2</v>
      </c>
      <c r="D18">
        <v>733.36540983606551</v>
      </c>
      <c r="E18">
        <v>136.97326434690396</v>
      </c>
      <c r="F18" s="1">
        <v>-2.0086850107182253E-2</v>
      </c>
      <c r="G18" s="1">
        <v>-4.5378460617277794E-2</v>
      </c>
      <c r="H18" s="1">
        <v>0.3282751976088718</v>
      </c>
      <c r="I18" s="3">
        <v>0.12089477295244189</v>
      </c>
      <c r="J18" s="1">
        <v>9.2100000000000015E-2</v>
      </c>
      <c r="K18" s="1">
        <v>-9.4388019399782429E-3</v>
      </c>
    </row>
    <row r="19" spans="1:16" x14ac:dyDescent="0.25">
      <c r="A19" s="2">
        <v>40269</v>
      </c>
      <c r="B19" s="5">
        <v>733730.77396890335</v>
      </c>
      <c r="C19" s="1">
        <v>0.16244199509057378</v>
      </c>
      <c r="D19">
        <v>733.82992063492077</v>
      </c>
      <c r="E19">
        <v>129.14305830476459</v>
      </c>
      <c r="F19" s="1">
        <v>7.3487122744032796E-2</v>
      </c>
      <c r="G19" s="1">
        <v>7.0120688626515326E-2</v>
      </c>
      <c r="H19" s="1">
        <v>0.28347912474637327</v>
      </c>
      <c r="I19" s="3">
        <v>-1.3978401113990513E-2</v>
      </c>
      <c r="J19" s="1">
        <v>8.5199999999999998E-2</v>
      </c>
      <c r="K19" s="1">
        <v>-5.0960273146633834E-3</v>
      </c>
    </row>
    <row r="20" spans="1:16" x14ac:dyDescent="0.25">
      <c r="A20" s="2">
        <v>40360</v>
      </c>
      <c r="B20" s="5">
        <v>668566.50948898587</v>
      </c>
      <c r="C20" s="1">
        <v>9.5077423672280892E-2</v>
      </c>
      <c r="D20">
        <v>711.10739062499988</v>
      </c>
      <c r="E20">
        <v>128.13090495974947</v>
      </c>
      <c r="F20" s="1">
        <v>6.1121188169914298E-2</v>
      </c>
      <c r="G20" s="1">
        <v>8.3231462213085194E-2</v>
      </c>
      <c r="H20" s="1">
        <v>0.34638756386195402</v>
      </c>
      <c r="I20" s="3">
        <v>-1.0019443672865336E-2</v>
      </c>
      <c r="J20" s="1">
        <v>6.9099999999999995E-2</v>
      </c>
      <c r="K20" s="1">
        <v>-2.683352898962489E-3</v>
      </c>
    </row>
    <row r="21" spans="1:16" x14ac:dyDescent="0.25">
      <c r="A21" s="2">
        <v>40452</v>
      </c>
      <c r="B21" s="5">
        <v>668190.09771957388</v>
      </c>
      <c r="C21" s="1">
        <v>8.6097931104229808E-2</v>
      </c>
      <c r="D21">
        <v>545.35880645161274</v>
      </c>
      <c r="E21">
        <v>126.6696223262021</v>
      </c>
      <c r="F21" s="1">
        <v>8.9942880107273693E-2</v>
      </c>
      <c r="G21" s="1">
        <v>0.1144784729354329</v>
      </c>
      <c r="H21" s="1">
        <v>0.38707658305764481</v>
      </c>
      <c r="I21" s="3">
        <v>4.8018042084494672E-2</v>
      </c>
      <c r="J21" s="1">
        <v>5.6899999999999992E-2</v>
      </c>
      <c r="K21" s="1">
        <v>-4.8478528197672391E-3</v>
      </c>
    </row>
    <row r="22" spans="1:16" x14ac:dyDescent="0.25">
      <c r="A22" s="2">
        <v>40544</v>
      </c>
      <c r="B22" s="5">
        <v>662325.58597269515</v>
      </c>
      <c r="C22" s="1">
        <v>8.2926162504468603E-2</v>
      </c>
      <c r="D22">
        <v>532.41009677419356</v>
      </c>
      <c r="E22">
        <v>125.86461284615399</v>
      </c>
      <c r="F22" s="1">
        <v>0.12517676116870002</v>
      </c>
      <c r="G22" s="1">
        <v>0.15675509208922667</v>
      </c>
      <c r="H22" s="1">
        <v>0.31290680462223475</v>
      </c>
      <c r="I22" s="3">
        <v>8.4958416977346518E-2</v>
      </c>
      <c r="J22" s="1">
        <v>5.1900000000000002E-2</v>
      </c>
      <c r="K22" s="1">
        <v>-3.3397962859459916E-3</v>
      </c>
    </row>
    <row r="23" spans="1:16" x14ac:dyDescent="0.25">
      <c r="A23" s="2">
        <v>40634</v>
      </c>
      <c r="B23" s="5">
        <v>766332.95457161264</v>
      </c>
      <c r="C23" s="1">
        <v>4.4433437657735553E-2</v>
      </c>
      <c r="D23">
        <v>573.93299999999988</v>
      </c>
      <c r="E23">
        <v>126.45643455094864</v>
      </c>
      <c r="F23" s="1">
        <v>0.10578391403835519</v>
      </c>
      <c r="G23" s="1">
        <v>0.11809579414965699</v>
      </c>
      <c r="H23" s="1">
        <v>0.34992567947848396</v>
      </c>
      <c r="I23" s="3">
        <v>0.15248095010615326</v>
      </c>
      <c r="J23" s="1">
        <v>4.7E-2</v>
      </c>
      <c r="K23" s="1">
        <v>-4.3935989265736983E-3</v>
      </c>
    </row>
    <row r="24" spans="1:16" x14ac:dyDescent="0.25">
      <c r="A24" s="2">
        <v>40725</v>
      </c>
      <c r="B24" s="5">
        <v>711417.39193010493</v>
      </c>
      <c r="C24" s="1">
        <v>6.4093671808167274E-2</v>
      </c>
      <c r="D24">
        <v>732.37762499999985</v>
      </c>
      <c r="E24">
        <v>121.91642126959489</v>
      </c>
      <c r="F24" s="1">
        <v>0.1122124635764119</v>
      </c>
      <c r="G24" s="1">
        <v>0.12491613425813886</v>
      </c>
      <c r="H24" s="1">
        <v>0.38668876936759244</v>
      </c>
      <c r="I24" s="3">
        <v>0.12361910215088723</v>
      </c>
      <c r="J24" s="1">
        <v>3.5300000000000005E-2</v>
      </c>
      <c r="K24" s="1">
        <v>-7.9165987751508224E-3</v>
      </c>
    </row>
    <row r="25" spans="1:16" x14ac:dyDescent="0.25">
      <c r="A25" s="2">
        <v>40817</v>
      </c>
      <c r="B25" s="5">
        <v>703050.45640799252</v>
      </c>
      <c r="C25" s="1">
        <v>5.2171318921653498E-2</v>
      </c>
      <c r="D25">
        <v>906.96266666666656</v>
      </c>
      <c r="E25">
        <v>112.53051396152223</v>
      </c>
      <c r="F25" s="1">
        <v>9.2554992442121176E-2</v>
      </c>
      <c r="G25" s="1">
        <v>9.7891685972900211E-2</v>
      </c>
      <c r="H25" s="1">
        <v>0.25118728978456573</v>
      </c>
      <c r="I25" s="3">
        <v>6.0319497931826893E-2</v>
      </c>
      <c r="J25" s="1">
        <v>2.5699999999999997E-2</v>
      </c>
      <c r="K25" s="1">
        <v>-8.5543893133310338E-3</v>
      </c>
    </row>
    <row r="26" spans="1:16" x14ac:dyDescent="0.25">
      <c r="A26" s="2">
        <v>40909</v>
      </c>
      <c r="B26" s="5">
        <v>672685.99363050424</v>
      </c>
      <c r="C26" s="1">
        <v>1.5642469319064212E-2</v>
      </c>
      <c r="D26">
        <v>831.86163387096781</v>
      </c>
      <c r="E26">
        <v>111.57169906713234</v>
      </c>
      <c r="F26" s="1">
        <v>6.2054539000126585E-2</v>
      </c>
      <c r="G26" s="1">
        <v>6.8851867103453035E-2</v>
      </c>
      <c r="H26" s="1">
        <v>0.34396803618891236</v>
      </c>
      <c r="I26" s="3">
        <v>3.9081412701044371E-2</v>
      </c>
      <c r="J26" s="1">
        <v>1.7100000000000001E-2</v>
      </c>
      <c r="K26" s="1">
        <v>-9.5559506198458471E-3</v>
      </c>
    </row>
    <row r="27" spans="1:16" x14ac:dyDescent="0.25">
      <c r="A27" s="2">
        <v>41000</v>
      </c>
      <c r="B27" s="5">
        <v>730838.27259277587</v>
      </c>
      <c r="C27" s="1">
        <v>-4.6317572234223725E-2</v>
      </c>
      <c r="D27">
        <v>1063.7003190476194</v>
      </c>
      <c r="E27">
        <v>103.26461147445946</v>
      </c>
      <c r="F27" s="1">
        <v>4.5779586821946605E-2</v>
      </c>
      <c r="G27" s="1">
        <v>4.2741373530764015E-2</v>
      </c>
      <c r="H27" s="1">
        <v>0.30390800084745262</v>
      </c>
      <c r="I27" s="3">
        <v>-2.9221553398407485E-3</v>
      </c>
      <c r="J27" s="1">
        <v>9.8999999999999991E-3</v>
      </c>
      <c r="K27" s="1">
        <v>-1.2558641065171827E-2</v>
      </c>
    </row>
    <row r="28" spans="1:16" x14ac:dyDescent="0.25">
      <c r="A28" s="2">
        <v>41091</v>
      </c>
      <c r="B28" s="5">
        <v>703461.65253019624</v>
      </c>
      <c r="C28" s="1">
        <v>-1.1182941955248604E-2</v>
      </c>
      <c r="D28">
        <v>1019.9870158730158</v>
      </c>
      <c r="E28">
        <v>100.69546297539848</v>
      </c>
      <c r="F28" s="1">
        <v>0.11210881034349818</v>
      </c>
      <c r="G28" s="1">
        <v>8.1358659517222209E-2</v>
      </c>
      <c r="H28" s="1">
        <v>0.23682992124060465</v>
      </c>
      <c r="I28" s="3">
        <v>7.6536656729925268E-2</v>
      </c>
      <c r="J28" s="1">
        <v>2.4900000000000002E-2</v>
      </c>
      <c r="K28" s="1">
        <v>-1.1302724160999785E-2</v>
      </c>
    </row>
    <row r="29" spans="1:16" x14ac:dyDescent="0.25">
      <c r="A29" s="2">
        <v>41183</v>
      </c>
      <c r="B29" s="5">
        <v>706958.03908231878</v>
      </c>
      <c r="C29" s="1">
        <v>5.5580401644155231E-3</v>
      </c>
      <c r="D29">
        <v>1036.4427500000002</v>
      </c>
      <c r="E29">
        <v>101.27962499277169</v>
      </c>
      <c r="F29" s="1">
        <v>0.14253993379416441</v>
      </c>
      <c r="G29" s="1">
        <v>0.1208610804072543</v>
      </c>
      <c r="H29" s="1">
        <v>0.29109445578825643</v>
      </c>
      <c r="I29" s="3">
        <v>5.4969324745252957E-2</v>
      </c>
      <c r="J29" s="1">
        <v>2.4799999999999999E-2</v>
      </c>
      <c r="K29" s="1">
        <v>-1.2611584310892291E-2</v>
      </c>
    </row>
    <row r="30" spans="1:16" x14ac:dyDescent="0.25">
      <c r="A30" s="2">
        <v>41275</v>
      </c>
      <c r="B30" s="5">
        <v>677085.52917315089</v>
      </c>
      <c r="C30" s="1">
        <v>6.5402514461498917E-3</v>
      </c>
      <c r="D30">
        <v>1125.367483333333</v>
      </c>
      <c r="E30">
        <v>102.89159867938513</v>
      </c>
      <c r="F30" s="1">
        <v>0.10915149709035266</v>
      </c>
      <c r="G30" s="1">
        <v>0.1072484154744644</v>
      </c>
      <c r="H30" s="1">
        <v>0.27852612730826554</v>
      </c>
      <c r="I30" s="3">
        <v>-3.1775183791635131E-2</v>
      </c>
      <c r="J30" s="1">
        <v>2.7199999999999998E-2</v>
      </c>
      <c r="K30" s="1">
        <v>-1.4368386715579416E-2</v>
      </c>
    </row>
    <row r="31" spans="1:16" x14ac:dyDescent="0.25">
      <c r="A31" s="2">
        <v>41365</v>
      </c>
      <c r="B31" s="5">
        <v>776486.60279942001</v>
      </c>
      <c r="C31" s="1">
        <v>6.2460234936381642E-2</v>
      </c>
      <c r="D31">
        <v>1200.2530000000004</v>
      </c>
      <c r="E31">
        <v>100.85600945199955</v>
      </c>
      <c r="F31" s="1">
        <v>0.11023661553454511</v>
      </c>
      <c r="G31" s="1">
        <v>0.10815433371489114</v>
      </c>
      <c r="H31" s="1">
        <v>0.30781328143808073</v>
      </c>
      <c r="I31" s="3">
        <v>-1.9457746604239712E-2</v>
      </c>
      <c r="J31" s="1">
        <v>4.0199999999999993E-2</v>
      </c>
      <c r="K31" s="1">
        <v>-1.311580235906677E-2</v>
      </c>
    </row>
    <row r="32" spans="1:16" x14ac:dyDescent="0.25">
      <c r="A32" s="2">
        <v>41456</v>
      </c>
      <c r="B32" s="5">
        <v>721458.94421618234</v>
      </c>
      <c r="C32" s="1">
        <v>2.5583898740256572E-2</v>
      </c>
      <c r="D32">
        <v>1090.527046875</v>
      </c>
      <c r="E32">
        <v>97.689165158689335</v>
      </c>
      <c r="F32" s="1">
        <v>3.2576383268425824E-2</v>
      </c>
      <c r="G32" s="1">
        <v>4.1233478519011602E-2</v>
      </c>
      <c r="H32" s="1">
        <v>0.3848620708557704</v>
      </c>
      <c r="I32" s="3">
        <v>-8.5587875986397388E-2</v>
      </c>
      <c r="J32" s="1">
        <v>2.76E-2</v>
      </c>
      <c r="K32" s="1">
        <v>-1.7181481296822964E-2</v>
      </c>
    </row>
    <row r="33" spans="1:11" x14ac:dyDescent="0.25">
      <c r="A33" s="2">
        <v>41548</v>
      </c>
      <c r="B33" s="5">
        <v>706597.3450225069</v>
      </c>
      <c r="C33" s="1">
        <v>-5.1020575461602213E-4</v>
      </c>
      <c r="D33">
        <v>854.05275409836088</v>
      </c>
      <c r="E33">
        <v>100.04096022984864</v>
      </c>
      <c r="F33" s="1">
        <v>-3.0477494148064221E-2</v>
      </c>
      <c r="G33" s="1">
        <v>-1.6077407951858635E-2</v>
      </c>
      <c r="H33" s="1">
        <v>0.35328490520793943</v>
      </c>
      <c r="I33" s="3">
        <v>-0.11748797266309785</v>
      </c>
      <c r="J33" s="1">
        <v>2.5300000000000003E-2</v>
      </c>
      <c r="K33" s="1">
        <v>-2.4458775223788632E-2</v>
      </c>
    </row>
    <row r="34" spans="1:11" x14ac:dyDescent="0.25">
      <c r="A34" s="2">
        <v>41640</v>
      </c>
      <c r="B34" s="5">
        <v>671066.04663506267</v>
      </c>
      <c r="C34" s="1">
        <v>-8.8902838396784922E-3</v>
      </c>
      <c r="D34">
        <v>926.04737704918045</v>
      </c>
      <c r="E34">
        <v>111.71260221114245</v>
      </c>
      <c r="F34" s="1">
        <v>-0.11475884078937104</v>
      </c>
      <c r="G34" s="1">
        <v>-0.11195742038326117</v>
      </c>
      <c r="H34" s="1">
        <v>0.40631840450297063</v>
      </c>
      <c r="I34" s="3">
        <v>-5.0367898409698797E-2</v>
      </c>
      <c r="J34" s="1">
        <v>3.4699999999999995E-2</v>
      </c>
      <c r="K34" s="1">
        <v>-2.5643174359677022E-2</v>
      </c>
    </row>
    <row r="35" spans="1:11" x14ac:dyDescent="0.25">
      <c r="A35" s="2">
        <v>41730</v>
      </c>
      <c r="B35" s="5">
        <v>760576.86834800406</v>
      </c>
      <c r="C35" s="1">
        <v>-2.048938693089819E-2</v>
      </c>
      <c r="D35">
        <v>782.84482539682506</v>
      </c>
      <c r="E35">
        <v>109.95362183792808</v>
      </c>
      <c r="F35" s="1">
        <v>-0.15143370867059747</v>
      </c>
      <c r="G35" s="1">
        <v>-0.1453245508524601</v>
      </c>
      <c r="H35" s="1">
        <v>0.47423915589489263</v>
      </c>
      <c r="I35" s="3">
        <v>3.2744380913133142E-2</v>
      </c>
      <c r="J35" s="1">
        <v>-4.4000000000000003E-3</v>
      </c>
      <c r="K35" s="1">
        <v>-2.9748652997664327E-2</v>
      </c>
    </row>
    <row r="36" spans="1:11" x14ac:dyDescent="0.25">
      <c r="A36" s="2">
        <v>41821</v>
      </c>
      <c r="B36" s="5">
        <v>690879.79825168336</v>
      </c>
      <c r="C36" s="1">
        <v>-4.2385150547577188E-2</v>
      </c>
      <c r="D36">
        <v>709.32415624999987</v>
      </c>
      <c r="E36">
        <v>105.08808466526197</v>
      </c>
      <c r="F36" s="1">
        <v>-0.13837235573769202</v>
      </c>
      <c r="G36" s="1">
        <v>-0.14803025350379018</v>
      </c>
      <c r="H36" s="1">
        <v>0.43602260066603815</v>
      </c>
      <c r="I36" s="3">
        <v>-1.6994289479463909E-2</v>
      </c>
      <c r="J36" s="1">
        <v>-6.4000000000000003E-3</v>
      </c>
      <c r="K36" s="1">
        <v>-3.4163582264075766E-2</v>
      </c>
    </row>
    <row r="37" spans="1:11" x14ac:dyDescent="0.25">
      <c r="A37" s="2">
        <v>41913</v>
      </c>
      <c r="B37" s="5">
        <v>686701.4706187105</v>
      </c>
      <c r="C37" s="1">
        <v>-2.8157301388052391E-2</v>
      </c>
      <c r="D37">
        <v>730.34393442622945</v>
      </c>
      <c r="E37">
        <v>96.002644098842666</v>
      </c>
      <c r="F37" s="1">
        <v>-9.0746499466063391E-2</v>
      </c>
      <c r="G37" s="1">
        <v>-0.12737102577267789</v>
      </c>
      <c r="H37" s="1">
        <v>0.41912228439695332</v>
      </c>
      <c r="I37" s="3">
        <v>-7.1513836136732567E-2</v>
      </c>
      <c r="J37" s="1">
        <v>-2.3E-3</v>
      </c>
      <c r="K37" s="1">
        <v>-3.4655419339356092E-2</v>
      </c>
    </row>
    <row r="38" spans="1:11" x14ac:dyDescent="0.25">
      <c r="A38" s="2">
        <v>42005</v>
      </c>
      <c r="B38" s="5">
        <v>672749.81139169924</v>
      </c>
      <c r="C38" s="1">
        <v>2.5090894779724593E-3</v>
      </c>
      <c r="D38">
        <v>667.09444262295085</v>
      </c>
      <c r="E38">
        <v>88.167442961218782</v>
      </c>
      <c r="F38" s="1">
        <v>6.2819568598773134E-3</v>
      </c>
      <c r="G38" s="1">
        <v>1.317616382001674E-6</v>
      </c>
      <c r="H38" s="1">
        <v>0.39634144892914147</v>
      </c>
      <c r="I38" s="3">
        <v>-2.6256951331164902E-2</v>
      </c>
      <c r="J38" s="1">
        <v>-1.61E-2</v>
      </c>
      <c r="K38" s="1">
        <v>-3.845125263555426E-2</v>
      </c>
    </row>
    <row r="39" spans="1:11" x14ac:dyDescent="0.25">
      <c r="A39" s="2">
        <v>42095</v>
      </c>
      <c r="B39" s="5">
        <v>791235.96554167022</v>
      </c>
      <c r="C39" s="1">
        <v>4.0310320323386328E-2</v>
      </c>
      <c r="D39">
        <v>597.64615384615388</v>
      </c>
      <c r="E39">
        <v>84.588560664857937</v>
      </c>
      <c r="F39" s="1">
        <v>0.10120009447407763</v>
      </c>
      <c r="G39" s="1">
        <v>7.9306676131360998E-2</v>
      </c>
      <c r="H39" s="1">
        <v>0.3905372942688996</v>
      </c>
      <c r="I39" s="3">
        <v>-0.11031683480453558</v>
      </c>
      <c r="J39" s="1">
        <v>-2.7300000000000001E-2</v>
      </c>
      <c r="K39" s="1">
        <v>-4.0627745167359466E-2</v>
      </c>
    </row>
    <row r="40" spans="1:11" x14ac:dyDescent="0.25">
      <c r="A40" s="2">
        <v>42186</v>
      </c>
      <c r="B40" s="5">
        <v>718281.26544978167</v>
      </c>
      <c r="C40" s="1">
        <v>3.966169986072754E-2</v>
      </c>
      <c r="D40">
        <v>585.25757575757575</v>
      </c>
      <c r="E40">
        <v>79.263996047178225</v>
      </c>
      <c r="F40" s="1">
        <v>5.6026000725170721E-2</v>
      </c>
      <c r="G40" s="1">
        <v>5.7374909706982224E-2</v>
      </c>
      <c r="H40" s="1">
        <v>0.31797028708952113</v>
      </c>
      <c r="I40" s="3">
        <v>-5.5404273146204441E-2</v>
      </c>
      <c r="J40" s="1">
        <v>-4.2599999999999999E-2</v>
      </c>
      <c r="K40" s="1">
        <v>-3.985456035079981E-2</v>
      </c>
    </row>
    <row r="41" spans="1:11" x14ac:dyDescent="0.25">
      <c r="A41" s="2">
        <v>42278</v>
      </c>
      <c r="B41" s="5">
        <v>703681.54416900803</v>
      </c>
      <c r="C41" s="1">
        <v>2.4727009154354551E-2</v>
      </c>
      <c r="D41">
        <v>506.98461538461538</v>
      </c>
      <c r="E41">
        <v>78.877395672930618</v>
      </c>
      <c r="F41" s="1">
        <v>4.8420630360491046E-2</v>
      </c>
      <c r="G41" s="1">
        <v>6.0221809467073451E-2</v>
      </c>
      <c r="H41" s="1">
        <v>0.29649759192550085</v>
      </c>
      <c r="I41" s="3">
        <v>3.7556223957613044E-2</v>
      </c>
      <c r="J41" s="1">
        <v>-5.5300000000000002E-2</v>
      </c>
      <c r="K41" s="1">
        <v>-4.2654660689305936E-2</v>
      </c>
    </row>
    <row r="42" spans="1:11" x14ac:dyDescent="0.25">
      <c r="A42" s="2">
        <v>42370</v>
      </c>
      <c r="B42" s="5">
        <v>677652.08911570266</v>
      </c>
      <c r="C42" s="1">
        <v>7.2869254528100669E-3</v>
      </c>
      <c r="D42">
        <v>468.69841269841271</v>
      </c>
      <c r="E42">
        <v>100.49842871474402</v>
      </c>
      <c r="F42" s="1">
        <v>-4.3321146447048431E-2</v>
      </c>
      <c r="G42" s="1">
        <v>-5.4573977410522501E-2</v>
      </c>
      <c r="H42" s="1">
        <v>0.28294108880267377</v>
      </c>
      <c r="I42" s="3">
        <v>-1.2624441809759634E-2</v>
      </c>
      <c r="J42" s="1">
        <v>-5.16E-2</v>
      </c>
      <c r="K42" s="1">
        <v>-4.0049186364210981E-2</v>
      </c>
    </row>
    <row r="43" spans="1:11" x14ac:dyDescent="0.25">
      <c r="A43" s="2">
        <v>42461</v>
      </c>
      <c r="B43" s="5">
        <v>760703.28015165636</v>
      </c>
      <c r="C43" s="1">
        <v>-3.8588596474013359E-2</v>
      </c>
      <c r="D43">
        <v>448.54166666666669</v>
      </c>
      <c r="E43">
        <v>92.632115099835502</v>
      </c>
      <c r="F43" s="1">
        <v>-0.14891097538829667</v>
      </c>
      <c r="G43" s="1">
        <v>-0.15093889402342764</v>
      </c>
      <c r="H43" s="1">
        <v>0.25686232427178846</v>
      </c>
      <c r="I43" s="3">
        <v>0.10228550018733107</v>
      </c>
      <c r="J43" s="1">
        <v>-3.2400000000000005E-2</v>
      </c>
      <c r="K43" s="1">
        <v>-3.9303827485227337E-2</v>
      </c>
    </row>
    <row r="44" spans="1:11" x14ac:dyDescent="0.25">
      <c r="A44" s="2">
        <v>42552</v>
      </c>
      <c r="B44" s="5">
        <v>694382.47577623045</v>
      </c>
      <c r="C44" s="1">
        <v>-3.3272188518777557E-2</v>
      </c>
      <c r="D44">
        <v>500.06976744186045</v>
      </c>
      <c r="E44">
        <v>92.833542423648751</v>
      </c>
      <c r="F44" s="1">
        <v>-0.13981936712671161</v>
      </c>
      <c r="G44" s="1">
        <v>-0.13835059099019609</v>
      </c>
      <c r="H44" s="1">
        <v>0.35108084464961031</v>
      </c>
      <c r="I44" s="3">
        <v>0.11011638316920025</v>
      </c>
      <c r="J44" s="1">
        <v>-2.4500000000000001E-2</v>
      </c>
      <c r="K44" s="1">
        <v>-4.1553746511608911E-2</v>
      </c>
    </row>
    <row r="45" spans="1:11" x14ac:dyDescent="0.25">
      <c r="A45" s="2">
        <v>42644</v>
      </c>
      <c r="B45" s="5">
        <v>693173.54934705782</v>
      </c>
      <c r="C45" s="1">
        <v>-1.4932883928850726E-2</v>
      </c>
      <c r="D45">
        <v>473.56923076923078</v>
      </c>
      <c r="E45">
        <v>90.266413511310247</v>
      </c>
      <c r="F45" s="1">
        <v>-0.11418596424081995</v>
      </c>
      <c r="G45" s="1">
        <v>-0.11684247616615651</v>
      </c>
      <c r="H45" s="1">
        <v>0.59289141204477613</v>
      </c>
      <c r="I45" s="3">
        <v>5.0092179769363421E-2</v>
      </c>
      <c r="J45" s="1">
        <v>-2.2099999999999998E-2</v>
      </c>
      <c r="K45" s="1">
        <v>-4.3677082041330598E-2</v>
      </c>
    </row>
    <row r="46" spans="1:11" x14ac:dyDescent="0.25">
      <c r="A46" s="2">
        <v>42736</v>
      </c>
      <c r="B46" s="5">
        <v>681444.76611022244</v>
      </c>
      <c r="C46" s="1">
        <v>5.5967908244316522E-3</v>
      </c>
      <c r="D46">
        <v>457.66153846153844</v>
      </c>
      <c r="E46">
        <v>88.679129226104351</v>
      </c>
      <c r="F46" s="1">
        <v>-3.2139352665291443E-2</v>
      </c>
      <c r="G46" s="1">
        <v>-2.3917791789346166E-2</v>
      </c>
      <c r="H46" s="1">
        <v>0.35005448976284659</v>
      </c>
      <c r="I46" s="3">
        <v>1.4343135989755451E-2</v>
      </c>
      <c r="J46" s="1">
        <v>3.9000000000000003E-3</v>
      </c>
      <c r="K46" s="1">
        <v>-4.0539125988142445E-2</v>
      </c>
    </row>
    <row r="47" spans="1:11" x14ac:dyDescent="0.25">
      <c r="A47" s="2">
        <v>42826</v>
      </c>
      <c r="B47" s="5">
        <v>778401.67644931667</v>
      </c>
      <c r="C47" s="1">
        <v>2.326583407676619E-2</v>
      </c>
      <c r="D47">
        <v>417.265625</v>
      </c>
      <c r="E47">
        <v>84.344227216219977</v>
      </c>
      <c r="F47" s="1">
        <v>5.8665589765044546E-2</v>
      </c>
      <c r="G47" s="1">
        <v>5.2457246980784467E-2</v>
      </c>
      <c r="H47" s="1">
        <v>0.28530865251602866</v>
      </c>
      <c r="I47" s="3">
        <v>-4.5480799210807388E-2</v>
      </c>
      <c r="J47" s="1">
        <v>8.8000000000000005E-3</v>
      </c>
      <c r="K47" s="1">
        <v>-4.1851369268093866E-2</v>
      </c>
    </row>
    <row r="48" spans="1:11" x14ac:dyDescent="0.25">
      <c r="A48" s="2">
        <v>42917</v>
      </c>
      <c r="B48" s="5">
        <v>721120.42685279413</v>
      </c>
      <c r="C48" s="1">
        <v>3.850608563626845E-2</v>
      </c>
      <c r="D48">
        <v>417.76439062499981</v>
      </c>
      <c r="E48">
        <v>91.46706986867342</v>
      </c>
      <c r="F48" s="1">
        <v>3.3138988705334826E-2</v>
      </c>
      <c r="G48" s="1">
        <v>1.4309270168165744E-2</v>
      </c>
      <c r="H48" s="1">
        <v>0.19219467082965758</v>
      </c>
      <c r="I48" s="3">
        <v>-7.9082536847545848E-2</v>
      </c>
      <c r="J48" s="1">
        <v>1.6299999999999999E-2</v>
      </c>
      <c r="K48" s="1">
        <v>-3.7478192809476722E-2</v>
      </c>
    </row>
    <row r="49" spans="1:11" x14ac:dyDescent="0.25">
      <c r="A49" s="2">
        <v>43009</v>
      </c>
      <c r="B49" s="5">
        <v>724592.92163896293</v>
      </c>
      <c r="C49" s="1">
        <v>4.5326848264047204E-2</v>
      </c>
      <c r="D49">
        <v>363.19256250000012</v>
      </c>
      <c r="E49">
        <v>87.904245697993602</v>
      </c>
      <c r="F49" s="1">
        <v>1.7579707962030566E-2</v>
      </c>
      <c r="G49" s="1">
        <v>5.8301326317835578E-3</v>
      </c>
      <c r="H49" s="1">
        <v>0.11210963576288968</v>
      </c>
      <c r="I49" s="3">
        <v>4.3956383724292891E-3</v>
      </c>
      <c r="J49" s="1">
        <v>2.3799999999999998E-2</v>
      </c>
      <c r="K49" s="1">
        <v>-4.0301758081876013E-2</v>
      </c>
    </row>
    <row r="50" spans="1:11" x14ac:dyDescent="0.25">
      <c r="A50" s="2">
        <v>43101</v>
      </c>
      <c r="B50" s="5">
        <v>707324.2680572141</v>
      </c>
      <c r="C50" s="1">
        <v>3.7977402181420095E-2</v>
      </c>
      <c r="D50">
        <v>391.72466129032244</v>
      </c>
      <c r="E50">
        <v>94.990033901463519</v>
      </c>
      <c r="F50" s="1">
        <v>-1.4561888135268486E-2</v>
      </c>
      <c r="G50" s="1">
        <v>2.1521134198796643E-2</v>
      </c>
      <c r="H50" s="1">
        <v>0.18468554836757867</v>
      </c>
      <c r="I50" s="3">
        <v>2.004029797465301E-2</v>
      </c>
      <c r="J50" s="1">
        <v>1.4499999999999999E-2</v>
      </c>
      <c r="K50" s="1">
        <v>-3.7395038694910052E-2</v>
      </c>
    </row>
    <row r="51" spans="1:11" x14ac:dyDescent="0.25">
      <c r="A51" s="2">
        <v>43191</v>
      </c>
      <c r="B51" s="5">
        <v>747428.29995457456</v>
      </c>
      <c r="C51" s="1">
        <v>-3.9790994073943042E-2</v>
      </c>
      <c r="D51">
        <v>468.94647692307689</v>
      </c>
      <c r="E51">
        <v>100.96429434946613</v>
      </c>
      <c r="F51" s="1">
        <v>-0.10076918517864986</v>
      </c>
      <c r="G51" s="1">
        <v>-5.2809420597853762E-2</v>
      </c>
      <c r="H51" s="1">
        <v>0.2008325120244947</v>
      </c>
      <c r="I51" s="3">
        <v>8.1665045208065612E-2</v>
      </c>
      <c r="J51" s="1">
        <v>1.0500000000000001E-2</v>
      </c>
      <c r="K51" s="1">
        <v>-3.290931602222464E-2</v>
      </c>
    </row>
    <row r="52" spans="1:11" x14ac:dyDescent="0.25">
      <c r="A52" s="2">
        <v>43282</v>
      </c>
      <c r="B52" s="5">
        <v>696101.58352180757</v>
      </c>
      <c r="C52" s="1">
        <v>-3.469440387395073E-2</v>
      </c>
      <c r="D52">
        <v>635.11576119403003</v>
      </c>
      <c r="E52">
        <v>119.88710046565193</v>
      </c>
      <c r="F52" s="1">
        <v>-0.10795581435848289</v>
      </c>
      <c r="G52" s="1">
        <v>-2.3010761787360945E-2</v>
      </c>
      <c r="H52" s="1">
        <v>0.22108648749545301</v>
      </c>
      <c r="I52" s="3">
        <v>1.3626482057245148E-2</v>
      </c>
      <c r="J52" s="1">
        <v>1.54E-2</v>
      </c>
      <c r="K52" s="1">
        <v>-2.892271225408383E-2</v>
      </c>
    </row>
    <row r="53" spans="1:11" x14ac:dyDescent="0.25">
      <c r="A53" s="2">
        <v>43374</v>
      </c>
      <c r="B53" s="5">
        <v>678655.62038445356</v>
      </c>
      <c r="C53" s="1">
        <v>-6.3397391670075076E-2</v>
      </c>
      <c r="D53">
        <v>691.6339375</v>
      </c>
      <c r="E53">
        <v>121.66826303540893</v>
      </c>
      <c r="F53" s="1">
        <v>-0.25080293511485785</v>
      </c>
      <c r="G53" s="1">
        <v>-7.3160545338015193E-2</v>
      </c>
      <c r="H53" s="1">
        <v>0.27225845629940548</v>
      </c>
      <c r="I53" s="3">
        <v>-6.5961595190382694E-2</v>
      </c>
      <c r="J53" s="1">
        <v>1.2199999999999999E-2</v>
      </c>
      <c r="K53" s="1">
        <v>-2.6551293778469601E-2</v>
      </c>
    </row>
    <row r="54" spans="1:11" x14ac:dyDescent="0.25">
      <c r="A54" s="2">
        <v>43466</v>
      </c>
      <c r="B54" s="5">
        <v>665848.71529970889</v>
      </c>
      <c r="C54" s="1">
        <v>-5.8637253987375293E-2</v>
      </c>
      <c r="D54">
        <v>710.83563888888887</v>
      </c>
      <c r="E54">
        <v>117.65061608834532</v>
      </c>
      <c r="F54" s="1">
        <v>-0.25387836758122362</v>
      </c>
      <c r="G54" s="1">
        <v>-0.12318767202566439</v>
      </c>
      <c r="H54" s="1">
        <v>0.30866910332377984</v>
      </c>
      <c r="I54" s="3">
        <v>-3.0767102599307372E-2</v>
      </c>
      <c r="J54" s="1">
        <v>5.8999999999999999E-3</v>
      </c>
      <c r="K54" s="1">
        <v>-2.2640963885072755E-2</v>
      </c>
    </row>
    <row r="55" spans="1:11" x14ac:dyDescent="0.25">
      <c r="A55" s="2">
        <v>43556</v>
      </c>
      <c r="B55" s="5">
        <v>751784.46077713254</v>
      </c>
      <c r="C55" s="1">
        <v>5.828198936035367E-3</v>
      </c>
      <c r="D55">
        <v>873.62589855072451</v>
      </c>
      <c r="E55">
        <v>118.1742586587432</v>
      </c>
      <c r="F55" s="1">
        <v>-0.23610899699500831</v>
      </c>
      <c r="G55" s="1">
        <v>-0.12307337513932859</v>
      </c>
      <c r="H55" s="1">
        <v>0.36362769986302368</v>
      </c>
      <c r="I55" s="3">
        <v>-5.7790741726301165E-2</v>
      </c>
      <c r="J55" s="1">
        <v>1.0800000000000001E-2</v>
      </c>
      <c r="K55" s="1">
        <v>-1.5869065052897185E-2</v>
      </c>
    </row>
    <row r="56" spans="1:11" x14ac:dyDescent="0.25">
      <c r="A56" s="2">
        <v>43647</v>
      </c>
      <c r="B56" s="5">
        <v>683900.89855257841</v>
      </c>
      <c r="C56" s="1">
        <v>-1.7527161635665145E-2</v>
      </c>
      <c r="D56">
        <v>1553.2445853658544</v>
      </c>
      <c r="E56">
        <v>122.77476947888545</v>
      </c>
      <c r="F56" s="1">
        <v>-0.20557363698352993</v>
      </c>
      <c r="G56" s="1">
        <v>-0.14698658092615868</v>
      </c>
      <c r="H56" s="1">
        <v>0.45241703223051766</v>
      </c>
      <c r="I56" s="3">
        <v>9.0590146032587526E-3</v>
      </c>
      <c r="J56" s="1">
        <v>1.1899999999999999E-2</v>
      </c>
      <c r="K56" s="1">
        <v>-1.3229919508706738E-2</v>
      </c>
    </row>
    <row r="57" spans="1:11" x14ac:dyDescent="0.25">
      <c r="A57" s="2">
        <v>43739</v>
      </c>
      <c r="B57" s="5">
        <v>671361.13972242002</v>
      </c>
      <c r="C57" s="1">
        <v>-1.074842739518056E-2</v>
      </c>
      <c r="D57">
        <v>2152.125836956523</v>
      </c>
      <c r="E57">
        <v>126.77387607811376</v>
      </c>
      <c r="F57" s="1">
        <v>-9.2608652801611457E-2</v>
      </c>
      <c r="G57" s="1">
        <v>-0.19142363526099559</v>
      </c>
      <c r="H57" s="1">
        <v>0.3548</v>
      </c>
      <c r="I57" s="3">
        <v>5.3591140189710673E-2</v>
      </c>
      <c r="J57" s="1">
        <v>1.67E-2</v>
      </c>
      <c r="K57" s="1">
        <v>-9.8413734558793348E-3</v>
      </c>
    </row>
    <row r="58" spans="1:11" x14ac:dyDescent="0.25">
      <c r="A58" s="2">
        <v>43831</v>
      </c>
      <c r="B58" s="5">
        <v>632389.35353461001</v>
      </c>
      <c r="C58" s="1">
        <v>-5.0250696586593646E-2</v>
      </c>
      <c r="D58">
        <v>2339.2440361445788</v>
      </c>
      <c r="E58">
        <v>118.08798193614673</v>
      </c>
      <c r="F58" s="1">
        <v>1.2290622144203844E-2</v>
      </c>
      <c r="G58" s="1">
        <v>-7.6477625588490916E-2</v>
      </c>
      <c r="H58" s="1">
        <v>0.57587690192933505</v>
      </c>
      <c r="I58" s="3">
        <v>1.8653129120551615E-2</v>
      </c>
      <c r="J58" s="1">
        <v>4.0999999999999995E-3</v>
      </c>
      <c r="K58" s="1">
        <v>-1.6257087950131793E-2</v>
      </c>
    </row>
    <row r="59" spans="1:11" x14ac:dyDescent="0.25">
      <c r="A59" s="2">
        <v>43922</v>
      </c>
      <c r="B59" s="5">
        <v>609379.98946480127</v>
      </c>
      <c r="C59" s="1">
        <v>-0.18942194038584581</v>
      </c>
      <c r="D59">
        <v>3096.1108888888893</v>
      </c>
      <c r="E59">
        <v>113.32672254384552</v>
      </c>
      <c r="F59" s="1">
        <v>0.30042340154632585</v>
      </c>
      <c r="G59" s="1">
        <v>0.18570343805781353</v>
      </c>
      <c r="H59" s="1">
        <v>0.87183030931052885</v>
      </c>
      <c r="I59" s="3">
        <v>-2.883763369599246E-2</v>
      </c>
      <c r="J59" s="1">
        <v>-0.1014</v>
      </c>
      <c r="K59" s="1">
        <v>-4.63284654926173E-2</v>
      </c>
    </row>
    <row r="60" spans="1:11" x14ac:dyDescent="0.25">
      <c r="A60" s="2">
        <v>44013</v>
      </c>
      <c r="B60" s="5">
        <v>614192.47840422287</v>
      </c>
      <c r="C60" s="1">
        <v>-0.10192766275916265</v>
      </c>
      <c r="D60">
        <v>1998.706954545454</v>
      </c>
      <c r="E60">
        <v>118.86157358272722</v>
      </c>
      <c r="F60" s="1">
        <v>0.33353430859400213</v>
      </c>
      <c r="G60" s="1">
        <v>0.30536448923906145</v>
      </c>
      <c r="H60" s="1">
        <v>0.62682687985207663</v>
      </c>
      <c r="I60" s="3">
        <v>1.8180729718848543E-3</v>
      </c>
      <c r="J60" s="1">
        <v>-3.04E-2</v>
      </c>
      <c r="K60" s="1">
        <v>-5.9428784052412906E-2</v>
      </c>
    </row>
    <row r="61" spans="1:11" x14ac:dyDescent="0.25">
      <c r="A61" s="2">
        <v>44105</v>
      </c>
      <c r="B61" s="5">
        <v>642403.32319795026</v>
      </c>
      <c r="C61" s="1">
        <v>-4.3132994764103594E-2</v>
      </c>
      <c r="D61">
        <v>1391.8168153846152</v>
      </c>
      <c r="E61">
        <v>120.34316604348078</v>
      </c>
      <c r="F61" s="1">
        <v>0.31060124260796651</v>
      </c>
      <c r="G61" s="1">
        <v>0.36960199433441243</v>
      </c>
      <c r="H61" s="1">
        <v>0.49579908986106003</v>
      </c>
      <c r="I61" s="3">
        <v>2.9473964910277095E-2</v>
      </c>
      <c r="J61" s="1">
        <v>-3.3E-3</v>
      </c>
      <c r="K61" s="1">
        <v>-6.8212542365265263E-2</v>
      </c>
    </row>
    <row r="62" spans="1:11" x14ac:dyDescent="0.25">
      <c r="A62" s="2">
        <v>44197</v>
      </c>
      <c r="B62" s="5">
        <v>652831.97670632158</v>
      </c>
      <c r="C62" s="1">
        <v>3.2326007794805101E-2</v>
      </c>
      <c r="D62">
        <v>1492.0412857142858</v>
      </c>
      <c r="E62">
        <v>121.42151561951094</v>
      </c>
      <c r="F62" s="1">
        <v>0.13334885453753853</v>
      </c>
      <c r="G62" s="1">
        <v>0.17596313359887095</v>
      </c>
      <c r="H62" s="1">
        <v>0.4146945665046271</v>
      </c>
      <c r="I62" s="3">
        <v>0.11788406930639495</v>
      </c>
      <c r="J62" s="1">
        <v>1.7500000000000002E-2</v>
      </c>
      <c r="K62" s="1">
        <v>-5.8926251070490515E-2</v>
      </c>
    </row>
    <row r="63" spans="1:11" x14ac:dyDescent="0.25">
      <c r="A63" s="2">
        <v>44287</v>
      </c>
      <c r="B63" s="5">
        <v>723516.62249067484</v>
      </c>
      <c r="C63" s="1">
        <v>0.18729960779663291</v>
      </c>
      <c r="D63">
        <v>1543.4643999999996</v>
      </c>
      <c r="E63">
        <v>117.00396201731006</v>
      </c>
      <c r="F63" s="1">
        <v>-0.13296185883363676</v>
      </c>
      <c r="G63" s="1">
        <v>-6.8786284868250336E-2</v>
      </c>
      <c r="H63" s="1">
        <v>0.25042760499252203</v>
      </c>
      <c r="I63" s="3">
        <v>0.14352971502316292</v>
      </c>
      <c r="J63" s="1">
        <v>0.124</v>
      </c>
      <c r="K63" s="1">
        <v>-3.4328720196609881E-2</v>
      </c>
    </row>
    <row r="64" spans="1:11" x14ac:dyDescent="0.25">
      <c r="A64" s="2">
        <v>44378</v>
      </c>
      <c r="B64" s="5">
        <v>686756.46782667423</v>
      </c>
      <c r="C64" s="1">
        <v>0.11814535666569048</v>
      </c>
      <c r="D64">
        <v>1568.1513913043484</v>
      </c>
      <c r="E64">
        <v>111.94417945489903</v>
      </c>
      <c r="F64" s="1">
        <v>-9.5751715645047586E-2</v>
      </c>
      <c r="G64" s="1">
        <v>-5.3248697944621171E-2</v>
      </c>
      <c r="H64" s="1">
        <v>0.50007063140421115</v>
      </c>
      <c r="I64" s="3">
        <v>7.7581481188969903E-2</v>
      </c>
      <c r="J64" s="1">
        <v>4.2099999999999999E-2</v>
      </c>
      <c r="K64" s="1">
        <v>-2.9662741851922445E-2</v>
      </c>
    </row>
    <row r="65" spans="1:11" x14ac:dyDescent="0.25">
      <c r="A65" s="2">
        <v>44470</v>
      </c>
      <c r="B65" s="5">
        <v>696134.66911211505</v>
      </c>
      <c r="C65" s="1">
        <v>8.3641139411740006E-2</v>
      </c>
      <c r="D65">
        <v>1712.3138695652169</v>
      </c>
      <c r="E65">
        <v>103.77620663047504</v>
      </c>
      <c r="F65" s="1">
        <v>-4.0474093787613463E-2</v>
      </c>
      <c r="G65" s="1">
        <v>-1.5997555854797674E-2</v>
      </c>
      <c r="H65" s="1">
        <v>0.78462449109042742</v>
      </c>
      <c r="I65" s="3">
        <v>4.9607757999174718E-2</v>
      </c>
      <c r="J65" s="1">
        <v>1.46E-2</v>
      </c>
      <c r="K65" s="1">
        <v>-3.6325076191216853E-2</v>
      </c>
    </row>
    <row r="66" spans="1:11" x14ac:dyDescent="0.25">
      <c r="A66" s="2">
        <v>44562</v>
      </c>
      <c r="B66" s="5">
        <v>697625.28466635814</v>
      </c>
      <c r="C66" s="1">
        <v>6.8613838718545095E-2</v>
      </c>
      <c r="D66">
        <v>1807.043722222222</v>
      </c>
      <c r="E66">
        <v>101.90597985364953</v>
      </c>
      <c r="F66" s="1">
        <v>1.136256880039932E-2</v>
      </c>
      <c r="G66" s="1">
        <v>1.9504059859490663E-2</v>
      </c>
      <c r="H66" s="1">
        <v>0.61754841128413629</v>
      </c>
      <c r="I66" s="3">
        <v>3.6028121253631973E-2</v>
      </c>
      <c r="J66" s="1">
        <v>1.4800000000000001E-2</v>
      </c>
      <c r="K66" s="1">
        <v>-3.544023604089739E-2</v>
      </c>
    </row>
    <row r="67" spans="1:11" x14ac:dyDescent="0.25">
      <c r="A67" s="2">
        <v>44652</v>
      </c>
      <c r="B67" s="5">
        <v>782338.62853373506</v>
      </c>
      <c r="C67" s="1">
        <v>8.1300144619439463E-2</v>
      </c>
      <c r="D67">
        <v>1918.6107252747247</v>
      </c>
      <c r="E67">
        <v>97.543981737245716</v>
      </c>
      <c r="F67" s="1">
        <v>-2.5800151258870585E-2</v>
      </c>
      <c r="G67" s="1">
        <v>1.2762279594433545E-2</v>
      </c>
      <c r="H67" s="1">
        <v>0.78676910949473045</v>
      </c>
      <c r="I67" s="3">
        <v>-3.0622167149031654E-2</v>
      </c>
      <c r="J67" s="1">
        <v>3.5400000000000001E-2</v>
      </c>
      <c r="K67" s="1">
        <v>-3.7299000494137841E-2</v>
      </c>
    </row>
    <row r="68" spans="1:11" x14ac:dyDescent="0.25">
      <c r="A68" s="2">
        <v>44743</v>
      </c>
      <c r="B68" s="5">
        <v>732662.16387550125</v>
      </c>
      <c r="C68" s="1">
        <v>6.684421363238302E-2</v>
      </c>
      <c r="D68">
        <v>2532.0385466666662</v>
      </c>
      <c r="E68">
        <v>90.936179732736647</v>
      </c>
      <c r="F68" s="1">
        <v>-8.3182456077334321E-2</v>
      </c>
      <c r="G68" s="1">
        <v>-2.4417318506518515E-2</v>
      </c>
      <c r="H68" s="1">
        <v>0.71325980831634062</v>
      </c>
      <c r="I68" s="3">
        <v>-6.0067412987435786E-2</v>
      </c>
      <c r="J68" s="1">
        <v>4.3200000000000002E-2</v>
      </c>
      <c r="K68" s="1">
        <v>-3.0980436106603136E-2</v>
      </c>
    </row>
    <row r="69" spans="1:11" x14ac:dyDescent="0.25">
      <c r="A69" s="2">
        <v>44835</v>
      </c>
      <c r="B69" s="5">
        <v>712740.45782873826</v>
      </c>
      <c r="C69" s="1">
        <v>2.3854276267841978E-2</v>
      </c>
      <c r="D69">
        <v>2462.7539347826096</v>
      </c>
      <c r="E69">
        <v>90.551631536444233</v>
      </c>
      <c r="F69" s="1">
        <v>-0.16391115134118661</v>
      </c>
      <c r="G69" s="1">
        <v>-4.9680997155708173E-2</v>
      </c>
      <c r="H69" s="1">
        <v>0.63940958982148977</v>
      </c>
      <c r="I69" s="3">
        <v>5.2840960376423718E-2</v>
      </c>
      <c r="J69" s="1">
        <v>2.7000000000000003E-2</v>
      </c>
      <c r="K69" s="1">
        <v>-2.660737821719671E-2</v>
      </c>
    </row>
    <row r="70" spans="1:11" x14ac:dyDescent="0.25">
      <c r="A70" s="2">
        <v>44927</v>
      </c>
      <c r="B70" s="5">
        <v>703987.50432157726</v>
      </c>
      <c r="C70" s="1">
        <v>9.1198237722445175E-3</v>
      </c>
      <c r="D70">
        <v>2085.9949777777779</v>
      </c>
      <c r="E70">
        <v>94.495081137707189</v>
      </c>
      <c r="F70" s="1">
        <v>-0.17679069216520893</v>
      </c>
      <c r="G70" s="1">
        <v>-5.4866213819304344E-2</v>
      </c>
      <c r="H70" s="1">
        <v>1.006509182109272</v>
      </c>
      <c r="I70" s="3">
        <v>-6.3950016368106044E-2</v>
      </c>
      <c r="J70" s="1">
        <v>4.4400000000000002E-2</v>
      </c>
      <c r="K70" s="1">
        <v>-2.7178100806698219E-2</v>
      </c>
    </row>
    <row r="71" spans="1:11" x14ac:dyDescent="0.25">
      <c r="A71" s="2">
        <v>45017</v>
      </c>
      <c r="B71" s="5">
        <v>737941.90937407222</v>
      </c>
      <c r="C71" s="1">
        <v>-5.6748724325259903E-2</v>
      </c>
      <c r="D71">
        <v>2482.3409506172839</v>
      </c>
      <c r="E71">
        <v>93.605250263767104</v>
      </c>
      <c r="F71" s="1">
        <v>-0.23073467623931199</v>
      </c>
      <c r="G71" s="1">
        <v>-7.6047655162229999E-2</v>
      </c>
      <c r="H71" s="1">
        <v>0.99853757192459724</v>
      </c>
      <c r="I71" s="3">
        <v>-4.8395881922781658E-2</v>
      </c>
      <c r="J71" s="1">
        <v>3.85E-2</v>
      </c>
      <c r="K71" s="1">
        <v>-2.7964065590957727E-2</v>
      </c>
    </row>
    <row r="72" spans="1:11" x14ac:dyDescent="0.25">
      <c r="A72" s="2">
        <v>45108</v>
      </c>
      <c r="B72" s="5">
        <v>728638.58456868224</v>
      </c>
      <c r="C72" s="1">
        <v>-5.4917252523807303E-3</v>
      </c>
      <c r="D72">
        <v>2088.3797341772151</v>
      </c>
      <c r="E72">
        <v>100.44541486407986</v>
      </c>
      <c r="F72" s="1">
        <v>-0.25983288924360004</v>
      </c>
      <c r="G72" s="1">
        <v>-0.13128571176180337</v>
      </c>
      <c r="H72" s="1">
        <v>1.1819138665167439</v>
      </c>
      <c r="I72" s="3">
        <v>2.9911243507771745E-2</v>
      </c>
      <c r="J72" s="1">
        <v>2.35E-2</v>
      </c>
      <c r="K72" s="1">
        <v>-2.6202215038958906E-2</v>
      </c>
    </row>
    <row r="73" spans="1:11" x14ac:dyDescent="0.25">
      <c r="A73" s="2">
        <v>45200</v>
      </c>
      <c r="B73" s="5">
        <v>700509.93457232334</v>
      </c>
      <c r="C73" s="1">
        <v>-1.7159855487470788E-2</v>
      </c>
      <c r="D73">
        <v>2210.4606338028179</v>
      </c>
      <c r="E73">
        <v>99.228510057329586</v>
      </c>
      <c r="F73" s="1">
        <v>-0.25231376119024862</v>
      </c>
      <c r="G73" s="1">
        <v>-0.23611608095918435</v>
      </c>
      <c r="H73" s="1">
        <v>1.6264328171926938</v>
      </c>
      <c r="I73" s="3">
        <v>-7.5894042323613742E-2</v>
      </c>
      <c r="J73" s="1">
        <v>2.3799999999999998E-2</v>
      </c>
      <c r="K73" s="1">
        <v>-3.1966451350255796E-2</v>
      </c>
    </row>
    <row r="74" spans="1:11" x14ac:dyDescent="0.25">
      <c r="A74" s="2">
        <v>45292</v>
      </c>
      <c r="B74" s="5">
        <v>669057.73338516685</v>
      </c>
      <c r="C74" s="1">
        <v>-4.9617032577974118E-2</v>
      </c>
      <c r="D74">
        <v>1755.5220800000006</v>
      </c>
      <c r="E74">
        <v>118.12680604634438</v>
      </c>
      <c r="F74" s="1">
        <v>-0.32669683005550265</v>
      </c>
      <c r="G74" s="1">
        <v>-0.33564587222543563</v>
      </c>
      <c r="H74" s="1">
        <v>1.4405399832884416</v>
      </c>
      <c r="I74" s="3">
        <v>-2.9119610968115106E-2</v>
      </c>
      <c r="J74" s="1">
        <v>2.5600000000000001E-2</v>
      </c>
      <c r="K74" s="1">
        <v>-8.3781746978440486E-3</v>
      </c>
    </row>
    <row r="75" spans="1:11" x14ac:dyDescent="0.25">
      <c r="A75" s="2">
        <v>45383</v>
      </c>
      <c r="B75" s="5">
        <v>729947.78527455311</v>
      </c>
      <c r="C75" s="1">
        <v>-1.0832999180517833E-2</v>
      </c>
      <c r="D75">
        <v>1343.7718805970148</v>
      </c>
      <c r="E75">
        <v>93.445099391245549</v>
      </c>
      <c r="F75" s="1">
        <v>-0.19108226182037913</v>
      </c>
      <c r="G75" s="1">
        <v>-0.25166477223706885</v>
      </c>
      <c r="H75" s="1">
        <v>1.6522647537286099</v>
      </c>
      <c r="I75" s="3">
        <v>-2.154612228754571E-2</v>
      </c>
      <c r="J75" s="1">
        <v>3.3399999999999999E-2</v>
      </c>
      <c r="K75" s="1">
        <v>3.6823190012049466E-3</v>
      </c>
    </row>
    <row r="76" spans="1:11" x14ac:dyDescent="0.25">
      <c r="A76" s="2">
        <v>45474</v>
      </c>
      <c r="B76" s="5">
        <v>714524.36554995924</v>
      </c>
      <c r="C76" s="1">
        <v>-1.9370671986960297E-2</v>
      </c>
      <c r="D76">
        <v>1484.5454545454545</v>
      </c>
      <c r="E76">
        <v>87.02099000767555</v>
      </c>
      <c r="F76" s="1">
        <v>-8.5580686575677856E-2</v>
      </c>
      <c r="G76" s="1">
        <v>-0.19327089382847873</v>
      </c>
      <c r="H76" s="1">
        <v>1.5379627616690801</v>
      </c>
      <c r="I76" s="3">
        <v>-4.0517712935177697E-2</v>
      </c>
      <c r="J76" s="1">
        <v>4.0500000000000001E-2</v>
      </c>
      <c r="K76" s="1">
        <v>9.1535437614128808E-3</v>
      </c>
    </row>
    <row r="77" spans="1:11" x14ac:dyDescent="0.25">
      <c r="A77" s="2">
        <v>45566</v>
      </c>
      <c r="B77" s="5">
        <v>718991.4609365795</v>
      </c>
      <c r="C77" s="1">
        <v>2.6382961114662207E-2</v>
      </c>
      <c r="D77">
        <v>920.4</v>
      </c>
      <c r="E77">
        <v>81.85557604513231</v>
      </c>
      <c r="F77" s="1">
        <v>5.5546860701614964E-2</v>
      </c>
      <c r="G77" s="1">
        <v>1.6579758668337163E-2</v>
      </c>
      <c r="H77" s="1">
        <v>0.98102010764178815</v>
      </c>
      <c r="I77" s="3">
        <v>1.2636075026779992E-2</v>
      </c>
      <c r="J77" s="1">
        <v>3.61E-2</v>
      </c>
      <c r="K77" s="1">
        <v>1.2374446328938082E-2</v>
      </c>
    </row>
    <row r="78" spans="1:11" x14ac:dyDescent="0.25">
      <c r="A78" s="2">
        <v>45658</v>
      </c>
      <c r="B78" s="5">
        <v>708113.80567017605</v>
      </c>
      <c r="C78" s="1">
        <v>5.8374741574842792E-2</v>
      </c>
      <c r="D78">
        <v>684.53846153846155</v>
      </c>
      <c r="E78">
        <v>80.413337203935555</v>
      </c>
      <c r="F78" s="1">
        <v>0.26066944426651784</v>
      </c>
      <c r="G78" s="1">
        <v>0.26557800255138231</v>
      </c>
      <c r="H78" s="1">
        <v>0.86225332043650127</v>
      </c>
      <c r="I78" s="3">
        <v>7.1697205020928578E-2</v>
      </c>
      <c r="J78" s="1">
        <v>2.8500000000000001E-2</v>
      </c>
      <c r="K78" s="1">
        <v>1.207127169332451E-2</v>
      </c>
    </row>
    <row r="79" spans="1:11" x14ac:dyDescent="0.25">
      <c r="A79" s="2">
        <v>45748</v>
      </c>
      <c r="B79" s="5">
        <v>775964.79857600096</v>
      </c>
      <c r="C79" s="1">
        <v>6.304151369421529E-2</v>
      </c>
      <c r="D79">
        <v>723.84615384615381</v>
      </c>
      <c r="E79">
        <v>84.109103179213804</v>
      </c>
      <c r="F79" s="1">
        <v>0.28204721319223758</v>
      </c>
      <c r="G79" s="1">
        <v>0.16935723557728899</v>
      </c>
      <c r="H79" s="3">
        <v>0.39</v>
      </c>
      <c r="I79" s="3">
        <v>6.677345540615609E-2</v>
      </c>
      <c r="J79" s="1">
        <v>2.2200000000000001E-2</v>
      </c>
      <c r="K79" s="1">
        <v>1.1355803772157507E-2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23F0-67E5-40CD-B93A-FC3CADF5885B}">
  <sheetPr>
    <tabColor theme="5" tint="0.59999389629810485"/>
  </sheetPr>
  <dimension ref="A1:BB176"/>
  <sheetViews>
    <sheetView zoomScale="85" zoomScaleNormal="85" workbookViewId="0">
      <pane xSplit="1" topLeftCell="AM1" activePane="topRight" state="frozen"/>
      <selection pane="topRight" activeCell="BA12" sqref="BA12"/>
    </sheetView>
  </sheetViews>
  <sheetFormatPr defaultRowHeight="15" x14ac:dyDescent="0.25"/>
  <cols>
    <col min="1" max="1" width="10.7109375" bestFit="1" customWidth="1"/>
    <col min="2" max="2" width="12.5703125" bestFit="1" customWidth="1"/>
    <col min="3" max="3" width="11.140625" style="34" bestFit="1" customWidth="1"/>
    <col min="4" max="4" width="11.42578125" style="34" bestFit="1" customWidth="1"/>
    <col min="5" max="5" width="19.140625" style="34" bestFit="1" customWidth="1"/>
    <col min="6" max="6" width="19" style="34" customWidth="1"/>
    <col min="7" max="7" width="15.85546875" style="31" bestFit="1" customWidth="1"/>
    <col min="8" max="8" width="15.7109375" style="31" customWidth="1"/>
    <col min="9" max="9" width="15.28515625" bestFit="1" customWidth="1"/>
    <col min="10" max="10" width="12" bestFit="1" customWidth="1"/>
    <col min="11" max="11" width="20.140625" bestFit="1" customWidth="1"/>
    <col min="12" max="12" width="19.140625" bestFit="1" customWidth="1"/>
    <col min="13" max="14" width="15.5703125" bestFit="1" customWidth="1"/>
    <col min="15" max="15" width="24.28515625" style="34" bestFit="1" customWidth="1"/>
    <col min="16" max="16" width="13.7109375" style="34" bestFit="1" customWidth="1"/>
    <col min="17" max="17" width="13.28515625" style="34" customWidth="1"/>
    <col min="18" max="19" width="13.42578125" style="34" bestFit="1" customWidth="1"/>
    <col min="20" max="20" width="13.28515625" style="34" customWidth="1"/>
    <col min="21" max="21" width="11.7109375" style="34" bestFit="1" customWidth="1"/>
    <col min="22" max="22" width="15.42578125" style="34" bestFit="1" customWidth="1"/>
    <col min="23" max="23" width="15.28515625" style="34" customWidth="1"/>
    <col min="24" max="24" width="13.28515625" style="34" bestFit="1" customWidth="1"/>
    <col min="25" max="25" width="11.42578125" style="34" bestFit="1" customWidth="1"/>
    <col min="26" max="26" width="15.42578125" style="34" bestFit="1" customWidth="1"/>
    <col min="27" max="27" width="15.28515625" style="34" customWidth="1"/>
    <col min="28" max="28" width="11.42578125" style="34" bestFit="1" customWidth="1"/>
    <col min="29" max="30" width="11.28515625" customWidth="1"/>
    <col min="31" max="36" width="13.28515625" bestFit="1" customWidth="1"/>
    <col min="37" max="38" width="12.5703125" bestFit="1" customWidth="1"/>
    <col min="39" max="45" width="13.28515625" bestFit="1" customWidth="1"/>
    <col min="46" max="46" width="12.42578125" bestFit="1" customWidth="1"/>
    <col min="47" max="48" width="9.28515625" style="34" bestFit="1" customWidth="1"/>
    <col min="49" max="49" width="13.42578125" style="34" bestFit="1" customWidth="1"/>
    <col min="50" max="50" width="10.7109375" bestFit="1" customWidth="1"/>
    <col min="51" max="51" width="10.85546875" bestFit="1" customWidth="1"/>
  </cols>
  <sheetData>
    <row r="1" spans="1:54" s="14" customFormat="1" x14ac:dyDescent="0.25">
      <c r="A1" s="14" t="s">
        <v>0</v>
      </c>
      <c r="B1" s="14" t="s">
        <v>58</v>
      </c>
      <c r="C1" s="29" t="s">
        <v>41</v>
      </c>
      <c r="D1" s="29" t="s">
        <v>42</v>
      </c>
      <c r="E1" s="29" t="s">
        <v>40</v>
      </c>
      <c r="F1" s="29" t="s">
        <v>73</v>
      </c>
      <c r="G1" s="30" t="s">
        <v>37</v>
      </c>
      <c r="H1" s="30" t="s">
        <v>71</v>
      </c>
      <c r="I1" s="14" t="s">
        <v>34</v>
      </c>
      <c r="J1" s="14" t="s">
        <v>35</v>
      </c>
      <c r="K1" s="14" t="s">
        <v>36</v>
      </c>
      <c r="L1" s="14" t="s">
        <v>33</v>
      </c>
      <c r="M1" s="14" t="s">
        <v>32</v>
      </c>
      <c r="N1" s="14" t="s">
        <v>31</v>
      </c>
      <c r="O1" s="29" t="s">
        <v>72</v>
      </c>
      <c r="P1" s="29" t="s">
        <v>66</v>
      </c>
      <c r="Q1" s="29" t="s">
        <v>67</v>
      </c>
      <c r="R1" s="29" t="s">
        <v>26</v>
      </c>
      <c r="S1" s="29" t="s">
        <v>27</v>
      </c>
      <c r="T1" s="29" t="s">
        <v>68</v>
      </c>
      <c r="U1" s="34" t="s">
        <v>69</v>
      </c>
      <c r="V1" s="34" t="s">
        <v>61</v>
      </c>
      <c r="W1" s="34" t="s">
        <v>62</v>
      </c>
      <c r="X1" s="29" t="s">
        <v>65</v>
      </c>
      <c r="Y1" s="29" t="s">
        <v>64</v>
      </c>
      <c r="Z1" s="29" t="s">
        <v>45</v>
      </c>
      <c r="AA1" s="29" t="s">
        <v>63</v>
      </c>
      <c r="AB1" s="29" t="s">
        <v>46</v>
      </c>
      <c r="AC1" s="14" t="s">
        <v>49</v>
      </c>
      <c r="AD1" s="14" t="s">
        <v>50</v>
      </c>
      <c r="AE1" s="14" t="s">
        <v>21</v>
      </c>
      <c r="AF1" s="14" t="s">
        <v>22</v>
      </c>
      <c r="AG1" s="14" t="s">
        <v>23</v>
      </c>
      <c r="AH1" s="14" t="s">
        <v>24</v>
      </c>
      <c r="AI1" s="14" t="s">
        <v>25</v>
      </c>
      <c r="AJ1" s="14" t="s">
        <v>11</v>
      </c>
      <c r="AK1" s="14" t="s">
        <v>12</v>
      </c>
      <c r="AL1" s="14" t="s">
        <v>13</v>
      </c>
      <c r="AM1" s="14" t="s">
        <v>14</v>
      </c>
      <c r="AN1" s="14" t="s">
        <v>15</v>
      </c>
      <c r="AO1" s="14" t="s">
        <v>16</v>
      </c>
      <c r="AP1" s="14" t="s">
        <v>17</v>
      </c>
      <c r="AQ1" s="14" t="s">
        <v>18</v>
      </c>
      <c r="AR1" s="14" t="s">
        <v>19</v>
      </c>
      <c r="AS1" s="14" t="s">
        <v>20</v>
      </c>
      <c r="AT1" s="14" t="s">
        <v>53</v>
      </c>
      <c r="AU1" s="29" t="s">
        <v>55</v>
      </c>
      <c r="AV1" s="29" t="s">
        <v>59</v>
      </c>
      <c r="AW1" s="29" t="s">
        <v>70</v>
      </c>
      <c r="AX1" t="s">
        <v>60</v>
      </c>
      <c r="AY1" s="14" t="s">
        <v>1</v>
      </c>
      <c r="AZ1" s="16" t="s">
        <v>110</v>
      </c>
      <c r="BA1" t="s">
        <v>111</v>
      </c>
      <c r="BB1" t="s">
        <v>112</v>
      </c>
    </row>
    <row r="2" spans="1:54" x14ac:dyDescent="0.25">
      <c r="A2" s="2">
        <v>41305</v>
      </c>
      <c r="B2" s="1">
        <v>-1.3364764199237378E-3</v>
      </c>
      <c r="C2" s="31">
        <v>44061</v>
      </c>
      <c r="D2" s="31">
        <v>24195</v>
      </c>
      <c r="E2" s="31">
        <v>58070</v>
      </c>
      <c r="F2" s="31">
        <v>13509</v>
      </c>
      <c r="G2" s="31">
        <v>913823</v>
      </c>
      <c r="H2" s="32">
        <v>179.86247152585901</v>
      </c>
      <c r="I2" s="9">
        <v>401.24496761904697</v>
      </c>
      <c r="J2" s="9">
        <v>398.027013803253</v>
      </c>
      <c r="K2" s="9">
        <v>191.696180555555</v>
      </c>
      <c r="L2" s="9">
        <v>4744.5808331300004</v>
      </c>
      <c r="M2" s="9">
        <v>19127.968226550001</v>
      </c>
      <c r="N2" s="9">
        <v>12506.847957</v>
      </c>
      <c r="O2" s="35">
        <f t="shared" ref="O2:O33" si="0">+L2/$AX2/100</f>
        <v>0.47144086179749606</v>
      </c>
      <c r="P2" s="35">
        <f t="shared" ref="P2:P33" si="1">+M2/$AX2/100</f>
        <v>1.9006327729083865</v>
      </c>
      <c r="Q2" s="35">
        <f t="shared" ref="Q2:Q33" si="2">+N2/$AX2/100</f>
        <v>1.2427313152821939</v>
      </c>
      <c r="R2" s="33">
        <v>3462.42</v>
      </c>
      <c r="S2" s="33">
        <v>3174.4282608695648</v>
      </c>
      <c r="T2" s="35">
        <f t="shared" ref="T2:T33" si="3">+R2/$AX2/100</f>
        <v>0.34404014308426073</v>
      </c>
      <c r="U2" s="35">
        <f t="shared" ref="U2:U33" si="4">+S2/$AX2/100</f>
        <v>0.31542411177161811</v>
      </c>
      <c r="V2" s="35">
        <v>197267.7</v>
      </c>
      <c r="W2" s="35">
        <f t="shared" ref="W2:W33" si="5">+V2/AX2/100</f>
        <v>19.601321542130368</v>
      </c>
      <c r="X2" s="31">
        <f>+'[1]Agregados MesTrim'!B208</f>
        <v>409601.90476190473</v>
      </c>
      <c r="Y2" s="35">
        <f t="shared" ref="Y2:Y33" si="6">+X2/$AX2/100</f>
        <v>40.699712317359371</v>
      </c>
      <c r="Z2" s="33">
        <v>539862</v>
      </c>
      <c r="AA2" s="35">
        <f>+Z2/$AX2/100</f>
        <v>53.642885532591414</v>
      </c>
      <c r="AB2" s="36">
        <v>0.15139880952380952</v>
      </c>
      <c r="AC2" s="5">
        <v>63266</v>
      </c>
      <c r="AD2" s="5">
        <v>153852</v>
      </c>
      <c r="AE2" s="10">
        <v>160.42710436080856</v>
      </c>
      <c r="AF2" s="10">
        <v>147.38627158101912</v>
      </c>
      <c r="AG2" s="10">
        <v>91.557057355042062</v>
      </c>
      <c r="AH2" s="10">
        <v>150.24596311277429</v>
      </c>
      <c r="AI2" s="10">
        <v>223.23467362291578</v>
      </c>
      <c r="AJ2">
        <v>157.96978970332381</v>
      </c>
      <c r="AK2">
        <v>110.13954934236183</v>
      </c>
      <c r="AL2">
        <v>65.735295677154497</v>
      </c>
      <c r="AM2">
        <v>153.93588187009573</v>
      </c>
      <c r="AN2">
        <v>108.44157616565712</v>
      </c>
      <c r="AO2">
        <v>201.2162881368497</v>
      </c>
      <c r="AP2">
        <v>179.8000486788786</v>
      </c>
      <c r="AQ2">
        <v>162.15783134105763</v>
      </c>
      <c r="AR2">
        <v>86.904813682944265</v>
      </c>
      <c r="AS2">
        <v>148.60577321456469</v>
      </c>
      <c r="AT2">
        <v>46.856686000000003</v>
      </c>
      <c r="AU2" s="38">
        <v>137.03398572476917</v>
      </c>
      <c r="AV2" s="34">
        <f>+VLOOKUP(A2,'[2]Salario Real'!$A$5:$C$292,2)</f>
        <v>128.03593584966734</v>
      </c>
      <c r="AW2" s="31">
        <v>1708802</v>
      </c>
      <c r="AX2" s="9">
        <v>100.64</v>
      </c>
      <c r="AY2" s="17">
        <v>1101.6959999999999</v>
      </c>
      <c r="AZ2" s="16">
        <v>1.7623827820797868</v>
      </c>
      <c r="BA2">
        <v>167.18324031810394</v>
      </c>
      <c r="BB2">
        <v>136.51707182504433</v>
      </c>
    </row>
    <row r="3" spans="1:54" x14ac:dyDescent="0.25">
      <c r="A3" s="2">
        <v>41333</v>
      </c>
      <c r="B3" s="1">
        <v>-1.3364764199237378E-3</v>
      </c>
      <c r="C3" s="31">
        <v>52911</v>
      </c>
      <c r="D3" s="31">
        <v>24646</v>
      </c>
      <c r="E3" s="31">
        <v>67696</v>
      </c>
      <c r="F3" s="31">
        <v>15605</v>
      </c>
      <c r="G3" s="31">
        <v>839605</v>
      </c>
      <c r="H3" s="32">
        <v>184.56115774381999</v>
      </c>
      <c r="I3" s="9">
        <v>324.94675809523801</v>
      </c>
      <c r="J3" s="9">
        <v>388.53790126894398</v>
      </c>
      <c r="K3" s="9">
        <v>173.73251488095201</v>
      </c>
      <c r="L3" s="9">
        <v>4486.7342138200002</v>
      </c>
      <c r="M3" s="9">
        <v>18234.77380101</v>
      </c>
      <c r="N3" s="9">
        <v>12755.385801910001</v>
      </c>
      <c r="O3" s="35">
        <f t="shared" si="0"/>
        <v>0.44383705023111381</v>
      </c>
      <c r="P3" s="35">
        <f t="shared" si="1"/>
        <v>1.8038216283333783</v>
      </c>
      <c r="Q3" s="35">
        <f t="shared" si="2"/>
        <v>1.2617892077140735</v>
      </c>
      <c r="R3" s="33">
        <v>3048.55</v>
      </c>
      <c r="S3" s="33">
        <v>3258.7964999999995</v>
      </c>
      <c r="T3" s="35">
        <f t="shared" si="3"/>
        <v>0.30156888618772648</v>
      </c>
      <c r="U3" s="35">
        <f t="shared" si="4"/>
        <v>0.32236690584620925</v>
      </c>
      <c r="V3" s="35">
        <v>182443</v>
      </c>
      <c r="W3" s="35">
        <f t="shared" si="5"/>
        <v>18.047639796869781</v>
      </c>
      <c r="X3" s="31">
        <f>+'[1]Agregados MesTrim'!B209</f>
        <v>403844.4117647059</v>
      </c>
      <c r="Y3" s="35">
        <f t="shared" si="6"/>
        <v>39.949126453238406</v>
      </c>
      <c r="Z3" s="33">
        <v>541450</v>
      </c>
      <c r="AA3" s="35">
        <f t="shared" ref="AA3:AA34" si="7">+Z3/AX3/100</f>
        <v>53.561356522394092</v>
      </c>
      <c r="AB3" s="36">
        <v>0.14764705882352941</v>
      </c>
      <c r="AC3" s="5">
        <v>54703</v>
      </c>
      <c r="AD3" s="5">
        <v>123646</v>
      </c>
      <c r="AE3" s="10">
        <v>161.81947720879052</v>
      </c>
      <c r="AF3" s="10">
        <v>130.83790787245024</v>
      </c>
      <c r="AG3" s="10">
        <v>125.10045481400294</v>
      </c>
      <c r="AH3" s="10">
        <v>136.401178807669</v>
      </c>
      <c r="AI3" s="10">
        <v>319.07921112629572</v>
      </c>
      <c r="AJ3">
        <v>138.91591454330435</v>
      </c>
      <c r="AK3">
        <v>102.40886686412787</v>
      </c>
      <c r="AL3">
        <v>81.317635914742525</v>
      </c>
      <c r="AM3">
        <v>150.26780677969199</v>
      </c>
      <c r="AN3">
        <v>98.350307000986064</v>
      </c>
      <c r="AO3">
        <v>171.37856489994897</v>
      </c>
      <c r="AP3">
        <v>160.87097698329535</v>
      </c>
      <c r="AQ3">
        <v>155.40769532751926</v>
      </c>
      <c r="AR3">
        <v>130.23903234930881</v>
      </c>
      <c r="AS3">
        <v>186.46688953691631</v>
      </c>
      <c r="AT3">
        <v>47.616680000000002</v>
      </c>
      <c r="AU3" s="38">
        <v>140.04849639383212</v>
      </c>
      <c r="AV3" s="34">
        <f>+VLOOKUP(A3,'[2]Salario Real'!$A$5:$C$292,2)</f>
        <v>125.88603912608993</v>
      </c>
      <c r="AW3" s="31">
        <v>1212383</v>
      </c>
      <c r="AX3" s="17">
        <v>101.08967269595178</v>
      </c>
      <c r="AY3" s="17">
        <v>1286.8040000000001</v>
      </c>
      <c r="AZ3" s="16">
        <v>1.8314094381100401</v>
      </c>
      <c r="BA3">
        <v>168.59631679716949</v>
      </c>
      <c r="BB3">
        <v>132.79532196495501</v>
      </c>
    </row>
    <row r="4" spans="1:54" x14ac:dyDescent="0.25">
      <c r="A4" s="2">
        <v>41362</v>
      </c>
      <c r="B4" s="1">
        <v>-1.3364764199237378E-3</v>
      </c>
      <c r="C4" s="31">
        <v>79031</v>
      </c>
      <c r="D4" s="31">
        <v>41591</v>
      </c>
      <c r="E4" s="31">
        <v>77185</v>
      </c>
      <c r="F4" s="31">
        <v>19197</v>
      </c>
      <c r="G4" s="31">
        <v>939405</v>
      </c>
      <c r="H4" s="32">
        <v>187.03929740555</v>
      </c>
      <c r="I4" s="9">
        <v>306.23801904761899</v>
      </c>
      <c r="J4" s="9">
        <v>443.306583396316</v>
      </c>
      <c r="K4" s="9">
        <v>236.04005456349199</v>
      </c>
      <c r="L4" s="9">
        <v>5647.9986302500001</v>
      </c>
      <c r="M4" s="9">
        <v>18358.205241160002</v>
      </c>
      <c r="N4" s="9">
        <v>11688.337787779999</v>
      </c>
      <c r="O4" s="35">
        <f t="shared" si="0"/>
        <v>0.55231799953423377</v>
      </c>
      <c r="P4" s="35">
        <f t="shared" si="1"/>
        <v>1.7952495844333385</v>
      </c>
      <c r="Q4" s="35">
        <f t="shared" si="2"/>
        <v>1.1430029940607989</v>
      </c>
      <c r="R4" s="33">
        <v>3380.78</v>
      </c>
      <c r="S4" s="33">
        <v>3369.0909523809523</v>
      </c>
      <c r="T4" s="35">
        <f t="shared" si="3"/>
        <v>0.33060660398614422</v>
      </c>
      <c r="U4" s="35">
        <f t="shared" si="4"/>
        <v>0.3294635315776569</v>
      </c>
      <c r="V4" s="35">
        <v>198283.3</v>
      </c>
      <c r="W4" s="35">
        <f t="shared" si="5"/>
        <v>19.390131401678261</v>
      </c>
      <c r="X4" s="31">
        <f>+'[1]Agregados MesTrim'!B210</f>
        <v>406819.10526315792</v>
      </c>
      <c r="Y4" s="35">
        <f t="shared" si="6"/>
        <v>39.782855680563173</v>
      </c>
      <c r="Z4" s="33">
        <v>556047</v>
      </c>
      <c r="AA4" s="35">
        <f t="shared" si="7"/>
        <v>54.375857147369409</v>
      </c>
      <c r="AB4" s="36">
        <v>0.14851973684210526</v>
      </c>
      <c r="AC4" s="5">
        <v>61557</v>
      </c>
      <c r="AD4" s="5">
        <v>142916</v>
      </c>
      <c r="AE4" s="10">
        <v>164.75222360340501</v>
      </c>
      <c r="AF4" s="10">
        <v>143.01413407377154</v>
      </c>
      <c r="AG4" s="10">
        <v>194.40710496343999</v>
      </c>
      <c r="AH4" s="10">
        <v>167.83539971284546</v>
      </c>
      <c r="AI4" s="10">
        <v>425.32189731354629</v>
      </c>
      <c r="AJ4">
        <v>150.84512690863946</v>
      </c>
      <c r="AK4">
        <v>115.45441228725817</v>
      </c>
      <c r="AL4">
        <v>98.646554349648369</v>
      </c>
      <c r="AM4">
        <v>157.90720062629939</v>
      </c>
      <c r="AN4">
        <v>114.64862645443019</v>
      </c>
      <c r="AO4">
        <v>221.49405239836682</v>
      </c>
      <c r="AP4">
        <v>184.22148988943627</v>
      </c>
      <c r="AQ4">
        <v>208.23386678644977</v>
      </c>
      <c r="AR4">
        <v>195.1284438499269</v>
      </c>
      <c r="AS4">
        <v>277.66047078174125</v>
      </c>
      <c r="AT4">
        <v>46.908465999999997</v>
      </c>
      <c r="AU4" s="38">
        <v>140.99069074743599</v>
      </c>
      <c r="AV4" s="34">
        <f>+VLOOKUP(A4,'[2]Salario Real'!$A$5:$C$292,2)</f>
        <v>124.46944203443107</v>
      </c>
      <c r="AW4" s="31">
        <v>1721068</v>
      </c>
      <c r="AX4" s="17">
        <v>102.25990525409132</v>
      </c>
      <c r="AY4" s="17">
        <v>1307.326</v>
      </c>
      <c r="AZ4" s="16">
        <v>1.9139879553672015</v>
      </c>
      <c r="BA4">
        <v>174.11856512874184</v>
      </c>
      <c r="BB4">
        <v>149.40394566736484</v>
      </c>
    </row>
    <row r="5" spans="1:54" x14ac:dyDescent="0.25">
      <c r="A5" s="2">
        <v>41394</v>
      </c>
      <c r="B5" s="1">
        <v>7.0491739454252578E-3</v>
      </c>
      <c r="C5" s="31">
        <v>75496</v>
      </c>
      <c r="D5" s="31">
        <v>40864</v>
      </c>
      <c r="E5" s="31">
        <v>85533</v>
      </c>
      <c r="F5" s="31">
        <v>21185</v>
      </c>
      <c r="G5" s="31">
        <v>975601</v>
      </c>
      <c r="H5" s="32">
        <v>190.02608101141399</v>
      </c>
      <c r="I5" s="9">
        <v>289.82867809523799</v>
      </c>
      <c r="J5" s="9">
        <v>395.86102072477001</v>
      </c>
      <c r="K5" s="9">
        <v>210.162326388888</v>
      </c>
      <c r="L5" s="9">
        <v>10660.666757819999</v>
      </c>
      <c r="M5" s="9">
        <v>18509.15551353</v>
      </c>
      <c r="N5" s="9">
        <v>11045.60483074</v>
      </c>
      <c r="O5" s="35">
        <f t="shared" si="0"/>
        <v>1.042617481221777</v>
      </c>
      <c r="P5" s="35">
        <f t="shared" si="1"/>
        <v>1.8102028268450499</v>
      </c>
      <c r="Q5" s="35">
        <f t="shared" si="2"/>
        <v>1.0802645790189027</v>
      </c>
      <c r="R5" s="33">
        <v>3845.94</v>
      </c>
      <c r="S5" s="33">
        <v>3494.9572727272734</v>
      </c>
      <c r="T5" s="35">
        <f t="shared" si="3"/>
        <v>0.37613447327660909</v>
      </c>
      <c r="U5" s="35">
        <f t="shared" si="4"/>
        <v>0.34180822189153426</v>
      </c>
      <c r="V5" s="35">
        <v>228743.2</v>
      </c>
      <c r="W5" s="35">
        <f t="shared" si="5"/>
        <v>22.371176629798189</v>
      </c>
      <c r="X5" s="31">
        <f>+'[1]Agregados MesTrim'!B211</f>
        <v>417888.6</v>
      </c>
      <c r="Y5" s="35">
        <f t="shared" si="6"/>
        <v>40.869672550611703</v>
      </c>
      <c r="Z5" s="33">
        <v>558223</v>
      </c>
      <c r="AA5" s="35">
        <f t="shared" si="7"/>
        <v>54.594433110211952</v>
      </c>
      <c r="AB5" s="36">
        <v>0.15131249999999999</v>
      </c>
      <c r="AC5" s="5">
        <v>62207</v>
      </c>
      <c r="AD5" s="5">
        <v>151692</v>
      </c>
      <c r="AE5" s="10">
        <v>167.37289333717158</v>
      </c>
      <c r="AF5" s="10">
        <v>146.46636826280093</v>
      </c>
      <c r="AG5" s="10">
        <v>195.33292375901974</v>
      </c>
      <c r="AH5" s="10">
        <v>155.1470879555375</v>
      </c>
      <c r="AI5" s="10">
        <v>436.00150514909916</v>
      </c>
      <c r="AJ5">
        <v>158.97658758655959</v>
      </c>
      <c r="AK5">
        <v>102.4389797411423</v>
      </c>
      <c r="AL5">
        <v>98.616430115543992</v>
      </c>
      <c r="AM5">
        <v>148.70781019058384</v>
      </c>
      <c r="AN5">
        <v>96.292440836737555</v>
      </c>
      <c r="AO5">
        <v>202.42460493440041</v>
      </c>
      <c r="AP5">
        <v>192.06409650812697</v>
      </c>
      <c r="AQ5">
        <v>196.41318582853032</v>
      </c>
      <c r="AR5">
        <v>205.12374277501232</v>
      </c>
      <c r="AS5">
        <v>265.01225396056367</v>
      </c>
      <c r="AT5">
        <v>44.055087999999998</v>
      </c>
      <c r="AU5" s="38">
        <v>141.47396127952302</v>
      </c>
      <c r="AV5" s="34">
        <f>+VLOOKUP(A5,'[2]Salario Real'!$A$5:$C$292,2)</f>
        <v>124.48312323059369</v>
      </c>
      <c r="AW5" s="31">
        <v>3587628</v>
      </c>
      <c r="AX5" s="17">
        <v>102.24906976744187</v>
      </c>
      <c r="AY5" s="17">
        <v>1210.2339999999999</v>
      </c>
      <c r="AZ5" s="16">
        <v>1.7586069052648217</v>
      </c>
      <c r="BA5">
        <v>170.91692563151761</v>
      </c>
      <c r="BB5">
        <v>155.94159584157654</v>
      </c>
    </row>
    <row r="6" spans="1:54" x14ac:dyDescent="0.25">
      <c r="A6" s="2">
        <v>41425</v>
      </c>
      <c r="B6" s="1">
        <v>7.0491739454252578E-3</v>
      </c>
      <c r="C6" s="31">
        <v>79590</v>
      </c>
      <c r="D6" s="31">
        <v>49594</v>
      </c>
      <c r="E6" s="31">
        <v>85646</v>
      </c>
      <c r="F6" s="31">
        <v>21827</v>
      </c>
      <c r="G6" s="31">
        <v>1016258</v>
      </c>
      <c r="H6" s="32">
        <v>196.56929487498201</v>
      </c>
      <c r="I6" s="9">
        <v>348.35881142857102</v>
      </c>
      <c r="J6" s="9">
        <v>423.81264568996301</v>
      </c>
      <c r="K6" s="9">
        <v>201.87140376984101</v>
      </c>
      <c r="L6" s="9">
        <v>7368.6601308700001</v>
      </c>
      <c r="M6" s="9">
        <v>20322.850166280001</v>
      </c>
      <c r="N6" s="9">
        <v>21101.713651260001</v>
      </c>
      <c r="O6" s="35">
        <f t="shared" si="0"/>
        <v>0.7042030033931802</v>
      </c>
      <c r="P6" s="35">
        <f t="shared" si="1"/>
        <v>1.9422000567848494</v>
      </c>
      <c r="Q6" s="35">
        <f t="shared" si="2"/>
        <v>2.01663394240517</v>
      </c>
      <c r="R6" s="33">
        <v>3489.43</v>
      </c>
      <c r="S6" s="33">
        <v>3686.0195652173911</v>
      </c>
      <c r="T6" s="35">
        <f t="shared" si="3"/>
        <v>0.33347542734884433</v>
      </c>
      <c r="U6" s="35">
        <f t="shared" si="4"/>
        <v>0.35226296264062357</v>
      </c>
      <c r="V6" s="35">
        <v>203767.4</v>
      </c>
      <c r="W6" s="35">
        <f t="shared" si="5"/>
        <v>19.473501630570869</v>
      </c>
      <c r="X6" s="31">
        <f>+'[1]Agregados MesTrim'!B212</f>
        <v>425667.09090909088</v>
      </c>
      <c r="Y6" s="35">
        <f t="shared" si="6"/>
        <v>40.679857469342693</v>
      </c>
      <c r="Z6" s="33">
        <v>563482</v>
      </c>
      <c r="AA6" s="35">
        <f t="shared" si="7"/>
        <v>53.850457167325757</v>
      </c>
      <c r="AB6" s="36">
        <v>0.15798295454545455</v>
      </c>
      <c r="AC6" s="5">
        <v>65927</v>
      </c>
      <c r="AD6" s="5">
        <v>166001</v>
      </c>
      <c r="AE6" s="10">
        <v>169.39360216551077</v>
      </c>
      <c r="AF6" s="10">
        <v>153.31701593084603</v>
      </c>
      <c r="AG6" s="10">
        <v>199.2981327640278</v>
      </c>
      <c r="AH6" s="10">
        <v>164.10241603624161</v>
      </c>
      <c r="AI6" s="10">
        <v>454.97336160748722</v>
      </c>
      <c r="AJ6">
        <v>167.83618351284287</v>
      </c>
      <c r="AK6">
        <v>102.21950791756646</v>
      </c>
      <c r="AL6">
        <v>104.7618733841912</v>
      </c>
      <c r="AM6">
        <v>153.71670454523604</v>
      </c>
      <c r="AN6">
        <v>101.20239237920832</v>
      </c>
      <c r="AO6">
        <v>217.22422119404851</v>
      </c>
      <c r="AP6">
        <v>198.31914145397695</v>
      </c>
      <c r="AQ6">
        <v>205.49227000765887</v>
      </c>
      <c r="AR6">
        <v>206.1739684638394</v>
      </c>
      <c r="AS6">
        <v>279.98809923794249</v>
      </c>
      <c r="AT6">
        <v>41.648997999999999</v>
      </c>
      <c r="AU6" s="38">
        <v>142.40953749968151</v>
      </c>
      <c r="AV6" s="34">
        <f>+VLOOKUP(A6,'[2]Salario Real'!$A$5:$C$292,2)</f>
        <v>128.12976059510859</v>
      </c>
      <c r="AW6" s="31">
        <v>3933147</v>
      </c>
      <c r="AX6" s="17">
        <v>104.63829457364341</v>
      </c>
      <c r="AY6" s="17">
        <v>1167.336</v>
      </c>
      <c r="AZ6" s="16">
        <v>1.420147142501418</v>
      </c>
      <c r="BA6">
        <v>171.79095555926204</v>
      </c>
      <c r="BB6">
        <v>167.97347912253019</v>
      </c>
    </row>
    <row r="7" spans="1:54" x14ac:dyDescent="0.25">
      <c r="A7" s="2">
        <v>41453</v>
      </c>
      <c r="B7" s="1">
        <v>7.0491739454252578E-3</v>
      </c>
      <c r="C7" s="31">
        <v>63461</v>
      </c>
      <c r="D7" s="31">
        <v>42621</v>
      </c>
      <c r="E7" s="31">
        <v>88541</v>
      </c>
      <c r="F7" s="31">
        <v>21906</v>
      </c>
      <c r="G7" s="31">
        <v>931774</v>
      </c>
      <c r="H7" s="32">
        <v>189.85580760618001</v>
      </c>
      <c r="I7" s="9">
        <v>326.51452952380902</v>
      </c>
      <c r="J7" s="9">
        <v>458.57167747324797</v>
      </c>
      <c r="K7" s="9">
        <v>204.76066468253899</v>
      </c>
      <c r="L7" s="9">
        <v>5816.7770501700006</v>
      </c>
      <c r="M7" s="9">
        <v>19729.981066889999</v>
      </c>
      <c r="N7" s="9">
        <v>21914.388210749999</v>
      </c>
      <c r="O7" s="35">
        <f t="shared" si="0"/>
        <v>0.54594382428587385</v>
      </c>
      <c r="P7" s="35">
        <f t="shared" si="1"/>
        <v>1.8517920188175352</v>
      </c>
      <c r="Q7" s="35">
        <f t="shared" si="2"/>
        <v>2.0568133871165757</v>
      </c>
      <c r="R7" s="33">
        <v>2976.27</v>
      </c>
      <c r="S7" s="33">
        <v>3198.431</v>
      </c>
      <c r="T7" s="35">
        <f t="shared" si="3"/>
        <v>0.27934304717074027</v>
      </c>
      <c r="U7" s="35">
        <f t="shared" si="4"/>
        <v>0.30019435793975613</v>
      </c>
      <c r="V7" s="35">
        <v>175063.6</v>
      </c>
      <c r="W7" s="35">
        <f t="shared" si="5"/>
        <v>16.430901589129888</v>
      </c>
      <c r="X7" s="31">
        <f>+'[1]Agregados MesTrim'!B213</f>
        <v>438076.83333333331</v>
      </c>
      <c r="Y7" s="35">
        <f t="shared" si="6"/>
        <v>41.116470454038726</v>
      </c>
      <c r="Z7" s="33">
        <v>600987</v>
      </c>
      <c r="AA7" s="35">
        <f t="shared" si="7"/>
        <v>56.406690216277987</v>
      </c>
      <c r="AB7" s="36">
        <v>0.16572916666666668</v>
      </c>
      <c r="AC7" s="5">
        <v>56424</v>
      </c>
      <c r="AD7" s="5">
        <v>136903</v>
      </c>
      <c r="AE7" s="10">
        <v>163.37278215096265</v>
      </c>
      <c r="AF7" s="10">
        <v>151.4716087838552</v>
      </c>
      <c r="AG7" s="10">
        <v>172.29815875747812</v>
      </c>
      <c r="AH7" s="10">
        <v>148.62867464383035</v>
      </c>
      <c r="AI7" s="10">
        <v>397.15420637380066</v>
      </c>
      <c r="AJ7">
        <v>166.36302287099733</v>
      </c>
      <c r="AK7">
        <v>99.064048477828493</v>
      </c>
      <c r="AL7">
        <v>95.505915375430931</v>
      </c>
      <c r="AM7">
        <v>153.22900978642244</v>
      </c>
      <c r="AN7">
        <v>106.15101400197209</v>
      </c>
      <c r="AO7">
        <v>176.79111528431741</v>
      </c>
      <c r="AP7">
        <v>186.7302196038147</v>
      </c>
      <c r="AQ7">
        <v>186.39997431415452</v>
      </c>
      <c r="AR7">
        <v>188.7381625234911</v>
      </c>
      <c r="AS7">
        <v>223.61104607137199</v>
      </c>
      <c r="AT7">
        <v>44.491737000000001</v>
      </c>
      <c r="AU7" s="38">
        <v>139.03479095783922</v>
      </c>
      <c r="AV7" s="34">
        <f>+VLOOKUP(A7,'[2]Salario Real'!$A$5:$C$292,2)</f>
        <v>128.54140791436046</v>
      </c>
      <c r="AW7" s="31">
        <v>3925104</v>
      </c>
      <c r="AX7" s="17">
        <v>106.54534022394486</v>
      </c>
      <c r="AY7" s="17">
        <v>1198.7239999999999</v>
      </c>
      <c r="AZ7" s="16">
        <v>1.7441265126118897</v>
      </c>
      <c r="BA7">
        <v>169.51840109405603</v>
      </c>
      <c r="BB7">
        <v>156.27186443024067</v>
      </c>
    </row>
    <row r="8" spans="1:54" x14ac:dyDescent="0.25">
      <c r="A8" s="2">
        <v>41486</v>
      </c>
      <c r="B8" s="1">
        <v>6.429280691459871E-3</v>
      </c>
      <c r="C8" s="31">
        <v>71895</v>
      </c>
      <c r="D8" s="31">
        <v>39289</v>
      </c>
      <c r="E8" s="31">
        <v>81425</v>
      </c>
      <c r="F8" s="31">
        <v>18087</v>
      </c>
      <c r="G8" s="31">
        <v>1015717</v>
      </c>
      <c r="H8" s="32">
        <v>187.84890332303399</v>
      </c>
      <c r="I8" s="9">
        <v>315.331093333333</v>
      </c>
      <c r="J8" s="9">
        <v>444.54429372687798</v>
      </c>
      <c r="K8" s="9">
        <v>208.78050595238</v>
      </c>
      <c r="L8" s="9">
        <v>7879.6620372900006</v>
      </c>
      <c r="M8" s="9">
        <v>21561.773478030002</v>
      </c>
      <c r="N8" s="9">
        <v>15648.79276541</v>
      </c>
      <c r="O8" s="35">
        <f t="shared" si="0"/>
        <v>0.73322128779470919</v>
      </c>
      <c r="P8" s="35">
        <f t="shared" si="1"/>
        <v>2.0063742888820943</v>
      </c>
      <c r="Q8" s="35">
        <f t="shared" si="2"/>
        <v>1.4561573744643284</v>
      </c>
      <c r="R8" s="33">
        <v>3357.86</v>
      </c>
      <c r="S8" s="33">
        <v>3276.005217391305</v>
      </c>
      <c r="T8" s="35">
        <f t="shared" si="3"/>
        <v>0.31245685687822977</v>
      </c>
      <c r="U8" s="35">
        <f t="shared" si="4"/>
        <v>0.30484007473294567</v>
      </c>
      <c r="V8" s="35">
        <v>194992.1</v>
      </c>
      <c r="W8" s="35">
        <f t="shared" si="5"/>
        <v>18.144478531590199</v>
      </c>
      <c r="X8" s="31">
        <f>+'[1]Agregados MesTrim'!B214</f>
        <v>451829.22727272729</v>
      </c>
      <c r="Y8" s="35">
        <f t="shared" si="6"/>
        <v>42.043783897886058</v>
      </c>
      <c r="Z8" s="33">
        <v>607319</v>
      </c>
      <c r="AA8" s="35">
        <f t="shared" si="7"/>
        <v>56.512476953306461</v>
      </c>
      <c r="AB8" s="36">
        <v>0.1728409090909091</v>
      </c>
      <c r="AC8" s="5">
        <v>66082</v>
      </c>
      <c r="AD8" s="5">
        <v>177328</v>
      </c>
      <c r="AE8" s="10">
        <v>164.39346206365073</v>
      </c>
      <c r="AF8" s="10">
        <v>163.50210630912756</v>
      </c>
      <c r="AG8" s="10">
        <v>188.15050164847082</v>
      </c>
      <c r="AH8" s="10">
        <v>153.64145872812043</v>
      </c>
      <c r="AI8" s="10">
        <v>422.99684218256391</v>
      </c>
      <c r="AJ8">
        <v>180.94618832028954</v>
      </c>
      <c r="AK8">
        <v>102.11090634426951</v>
      </c>
      <c r="AL8">
        <v>93.673788252556037</v>
      </c>
      <c r="AM8">
        <v>156.53156381407723</v>
      </c>
      <c r="AN8">
        <v>109.57701214255526</v>
      </c>
      <c r="AO8">
        <v>187.53377723715036</v>
      </c>
      <c r="AP8">
        <v>197.40781582283384</v>
      </c>
      <c r="AQ8">
        <v>197.08287849348505</v>
      </c>
      <c r="AR8">
        <v>199.61213992789612</v>
      </c>
      <c r="AS8">
        <v>252.53718355284946</v>
      </c>
      <c r="AT8">
        <v>47.481727999999997</v>
      </c>
      <c r="AU8" s="38">
        <v>141.20699473417233</v>
      </c>
      <c r="AV8" s="34">
        <f>+VLOOKUP(A8,'[2]Salario Real'!$A$5:$C$292,2)</f>
        <v>128.90478184103486</v>
      </c>
      <c r="AW8" s="31">
        <v>3641364</v>
      </c>
      <c r="AX8" s="17">
        <v>107.4663565891473</v>
      </c>
      <c r="AY8" s="17">
        <v>1111.5360000000001</v>
      </c>
      <c r="AZ8" s="16">
        <v>1.6790159081580616</v>
      </c>
      <c r="BA8">
        <v>171.84473313393829</v>
      </c>
      <c r="BB8">
        <v>150.73100129825897</v>
      </c>
    </row>
    <row r="9" spans="1:54" x14ac:dyDescent="0.25">
      <c r="A9" s="2">
        <v>41516</v>
      </c>
      <c r="B9" s="1">
        <v>6.429280691459871E-3</v>
      </c>
      <c r="C9" s="31">
        <v>69922</v>
      </c>
      <c r="D9" s="31">
        <v>33528</v>
      </c>
      <c r="E9" s="31">
        <v>88922</v>
      </c>
      <c r="F9" s="31">
        <v>22581</v>
      </c>
      <c r="G9" s="31">
        <v>1079794</v>
      </c>
      <c r="H9" s="32">
        <v>191.56117987903201</v>
      </c>
      <c r="I9" s="9">
        <v>357.45188571428503</v>
      </c>
      <c r="J9" s="9">
        <v>488.37986793428502</v>
      </c>
      <c r="K9" s="9">
        <v>226.49293154761901</v>
      </c>
      <c r="L9" s="9">
        <v>8857.8650543999993</v>
      </c>
      <c r="M9" s="9">
        <v>22341.219405160002</v>
      </c>
      <c r="N9" s="9">
        <v>15661.008019729999</v>
      </c>
      <c r="O9" s="35">
        <f t="shared" si="0"/>
        <v>0.81990531273603706</v>
      </c>
      <c r="P9" s="35">
        <f t="shared" si="1"/>
        <v>2.0679570495593769</v>
      </c>
      <c r="Q9" s="35">
        <f t="shared" si="2"/>
        <v>1.449620602630425</v>
      </c>
      <c r="R9" s="33">
        <v>3935.89</v>
      </c>
      <c r="S9" s="33">
        <v>3747.6118181818192</v>
      </c>
      <c r="T9" s="35">
        <f t="shared" si="3"/>
        <v>0.36431545316234559</v>
      </c>
      <c r="U9" s="35">
        <f t="shared" si="4"/>
        <v>0.34688797141624172</v>
      </c>
      <c r="V9" s="35">
        <v>226987.2</v>
      </c>
      <c r="W9" s="35">
        <f t="shared" si="5"/>
        <v>21.010481652193526</v>
      </c>
      <c r="X9" s="31">
        <f>+'[1]Agregados MesTrim'!B215</f>
        <v>456853.66666666669</v>
      </c>
      <c r="Y9" s="35">
        <f t="shared" si="6"/>
        <v>42.287475158235075</v>
      </c>
      <c r="Z9" s="33">
        <v>609597</v>
      </c>
      <c r="AA9" s="35">
        <f t="shared" si="7"/>
        <v>56.425765786494637</v>
      </c>
      <c r="AB9" s="36">
        <v>0.17723214285714284</v>
      </c>
      <c r="AC9" s="5">
        <v>61917</v>
      </c>
      <c r="AD9" s="5">
        <v>169751</v>
      </c>
      <c r="AE9" s="10">
        <v>167.78359798286448</v>
      </c>
      <c r="AF9" s="10">
        <v>164.87063300865307</v>
      </c>
      <c r="AG9" s="10">
        <v>192.07039723297549</v>
      </c>
      <c r="AH9" s="10">
        <v>163.25163163497356</v>
      </c>
      <c r="AI9" s="10">
        <v>441.78653720153579</v>
      </c>
      <c r="AJ9">
        <v>180.56235303030729</v>
      </c>
      <c r="AK9">
        <v>109.64654491817436</v>
      </c>
      <c r="AL9">
        <v>90.283906008098782</v>
      </c>
      <c r="AM9">
        <v>153.28829415148658</v>
      </c>
      <c r="AN9">
        <v>112.6913689815467</v>
      </c>
      <c r="AO9">
        <v>207.34629336393391</v>
      </c>
      <c r="AP9">
        <v>207.71125207724785</v>
      </c>
      <c r="AQ9">
        <v>205.51432896431993</v>
      </c>
      <c r="AR9">
        <v>210.51616089581552</v>
      </c>
      <c r="AS9">
        <v>248.70068707406949</v>
      </c>
      <c r="AT9">
        <v>50.028309</v>
      </c>
      <c r="AU9" s="38">
        <v>144.48178908794407</v>
      </c>
      <c r="AV9" s="34">
        <f>+VLOOKUP(A9,'[2]Salario Real'!$A$5:$C$292,2)</f>
        <v>128.89675389896445</v>
      </c>
      <c r="AW9" s="31">
        <v>3678455</v>
      </c>
      <c r="AX9" s="17">
        <v>108.03521963824289</v>
      </c>
      <c r="AY9" s="17">
        <v>1169.982</v>
      </c>
      <c r="AZ9" s="16">
        <v>1.8688059773886552</v>
      </c>
      <c r="BA9">
        <v>173.36121499591539</v>
      </c>
      <c r="BB9">
        <v>148.42144953050052</v>
      </c>
    </row>
    <row r="10" spans="1:54" x14ac:dyDescent="0.25">
      <c r="A10" s="2">
        <v>41547</v>
      </c>
      <c r="B10" s="1">
        <v>6.429280691459871E-3</v>
      </c>
      <c r="C10" s="31">
        <v>71928</v>
      </c>
      <c r="D10" s="31">
        <v>36489</v>
      </c>
      <c r="E10" s="31">
        <v>85300</v>
      </c>
      <c r="F10" s="31">
        <v>21851</v>
      </c>
      <c r="G10" s="31">
        <v>1051925</v>
      </c>
      <c r="H10" s="32">
        <v>187.607714899331</v>
      </c>
      <c r="I10" s="9">
        <v>329.44103619047598</v>
      </c>
      <c r="J10" s="9">
        <v>460.428242969091</v>
      </c>
      <c r="K10" s="9">
        <v>230.88963293650701</v>
      </c>
      <c r="L10" s="9">
        <v>7230.5074506800001</v>
      </c>
      <c r="M10" s="9">
        <v>22094.35934612</v>
      </c>
      <c r="N10" s="9">
        <v>14077.562110319999</v>
      </c>
      <c r="O10" s="35">
        <f t="shared" si="0"/>
        <v>0.66262729712912516</v>
      </c>
      <c r="P10" s="35">
        <f t="shared" si="1"/>
        <v>2.0247991880490015</v>
      </c>
      <c r="Q10" s="35">
        <f t="shared" si="2"/>
        <v>1.2901137292170892</v>
      </c>
      <c r="R10" s="33">
        <v>4783.7700000000004</v>
      </c>
      <c r="S10" s="33">
        <v>4531.1523809523806</v>
      </c>
      <c r="T10" s="35">
        <f t="shared" si="3"/>
        <v>0.43840029303742484</v>
      </c>
      <c r="U10" s="35">
        <f t="shared" si="4"/>
        <v>0.41524959009457996</v>
      </c>
      <c r="V10" s="35">
        <v>258046.2</v>
      </c>
      <c r="W10" s="35">
        <f t="shared" si="5"/>
        <v>23.648195815683849</v>
      </c>
      <c r="X10" s="31">
        <f>+'[1]Agregados MesTrim'!B216</f>
        <v>463559.47619047621</v>
      </c>
      <c r="Y10" s="35">
        <f t="shared" si="6"/>
        <v>42.48210306979221</v>
      </c>
      <c r="Z10" s="33">
        <v>631712</v>
      </c>
      <c r="AA10" s="35">
        <f t="shared" si="7"/>
        <v>57.892149061359071</v>
      </c>
      <c r="AB10" s="36">
        <v>0.18110119047619047</v>
      </c>
      <c r="AC10" s="5">
        <v>59071</v>
      </c>
      <c r="AD10" s="5">
        <v>165247</v>
      </c>
      <c r="AE10" s="10">
        <v>168.01688391759188</v>
      </c>
      <c r="AF10" s="10">
        <v>164.85690379804439</v>
      </c>
      <c r="AG10" s="10">
        <v>195.6107129110284</v>
      </c>
      <c r="AH10" s="10">
        <v>161.99908592835877</v>
      </c>
      <c r="AI10" s="10">
        <v>435.46477839452939</v>
      </c>
      <c r="AJ10">
        <v>183.70202527045629</v>
      </c>
      <c r="AK10">
        <v>98.535006209246106</v>
      </c>
      <c r="AL10">
        <v>90.694705722154168</v>
      </c>
      <c r="AM10">
        <v>152.77022550385291</v>
      </c>
      <c r="AN10">
        <v>113.25152294689393</v>
      </c>
      <c r="AO10">
        <v>205.57697410055226</v>
      </c>
      <c r="AP10">
        <v>206.05334452620204</v>
      </c>
      <c r="AQ10">
        <v>200.45736177497531</v>
      </c>
      <c r="AR10">
        <v>211.50804234933307</v>
      </c>
      <c r="AS10">
        <v>253.44559711489563</v>
      </c>
      <c r="AT10">
        <v>48.647948999999997</v>
      </c>
      <c r="AU10" s="38">
        <v>144.97905322076247</v>
      </c>
      <c r="AV10" s="34">
        <f>+VLOOKUP(A10,'[2]Salario Real'!$A$5:$C$292,2)</f>
        <v>128.62179660526562</v>
      </c>
      <c r="AW10" s="31">
        <v>3582271</v>
      </c>
      <c r="AX10" s="17">
        <v>109.11876830318691</v>
      </c>
      <c r="AY10" s="17">
        <v>1034.5070000000001</v>
      </c>
      <c r="AZ10" s="16">
        <v>1.7716092789722893</v>
      </c>
      <c r="BA10">
        <v>174.40758454181031</v>
      </c>
      <c r="BB10">
        <v>147.0048441881334</v>
      </c>
    </row>
    <row r="11" spans="1:54" x14ac:dyDescent="0.25">
      <c r="A11" s="2">
        <v>41578</v>
      </c>
      <c r="B11" s="1">
        <v>-8.5728870501295962E-3</v>
      </c>
      <c r="C11" s="31">
        <v>75604</v>
      </c>
      <c r="D11" s="31">
        <v>42873</v>
      </c>
      <c r="E11" s="31">
        <v>81358</v>
      </c>
      <c r="F11" s="31">
        <v>20971</v>
      </c>
      <c r="G11" s="31">
        <v>1152262</v>
      </c>
      <c r="H11" s="32">
        <v>185.59018069132199</v>
      </c>
      <c r="I11" s="9">
        <v>399.78171428571397</v>
      </c>
      <c r="J11" s="9">
        <v>483.42902661203698</v>
      </c>
      <c r="K11" s="9">
        <v>235.663194444444</v>
      </c>
      <c r="L11" s="9">
        <v>6345.9554938900001</v>
      </c>
      <c r="M11" s="9">
        <v>23077.25839716</v>
      </c>
      <c r="N11" s="9">
        <v>14858.81339867</v>
      </c>
      <c r="O11" s="35">
        <f t="shared" si="0"/>
        <v>0.57096182896196312</v>
      </c>
      <c r="P11" s="35">
        <f t="shared" si="1"/>
        <v>2.0763198976980863</v>
      </c>
      <c r="Q11" s="35">
        <f t="shared" si="2"/>
        <v>1.3368854040148117</v>
      </c>
      <c r="R11" s="33">
        <v>5165.09</v>
      </c>
      <c r="S11" s="33">
        <v>5227.3178260869554</v>
      </c>
      <c r="T11" s="35">
        <f t="shared" si="3"/>
        <v>0.46471634350297025</v>
      </c>
      <c r="U11" s="35">
        <f t="shared" si="4"/>
        <v>0.47031514000085672</v>
      </c>
      <c r="V11" s="35">
        <v>281415</v>
      </c>
      <c r="W11" s="35">
        <f t="shared" si="5"/>
        <v>25.319626532526705</v>
      </c>
      <c r="X11" s="31">
        <f>+'[1]Agregados MesTrim'!B217</f>
        <v>470870.18181818182</v>
      </c>
      <c r="Y11" s="35">
        <f t="shared" si="6"/>
        <v>42.365393276617489</v>
      </c>
      <c r="Z11" s="33">
        <v>635188</v>
      </c>
      <c r="AA11" s="35">
        <f t="shared" si="7"/>
        <v>57.149487191310243</v>
      </c>
      <c r="AB11" s="36">
        <v>0.18806818181818183</v>
      </c>
      <c r="AC11" s="5">
        <v>62966</v>
      </c>
      <c r="AD11" s="5">
        <v>171497</v>
      </c>
      <c r="AE11" s="10">
        <v>167.64166487180884</v>
      </c>
      <c r="AF11" s="10">
        <v>166.23718892725091</v>
      </c>
      <c r="AG11" s="10">
        <v>204.87517472293672</v>
      </c>
      <c r="AH11" s="10">
        <v>166.15754118527337</v>
      </c>
      <c r="AI11" s="10">
        <v>451.23616162653497</v>
      </c>
      <c r="AJ11">
        <v>181.60629768407665</v>
      </c>
      <c r="AK11">
        <v>112.1484711392811</v>
      </c>
      <c r="AL11">
        <v>87.971202796620958</v>
      </c>
      <c r="AM11">
        <v>155.93141317946026</v>
      </c>
      <c r="AN11">
        <v>111.33117916607974</v>
      </c>
      <c r="AO11">
        <v>214.70062530187175</v>
      </c>
      <c r="AP11">
        <v>222.12210791788954</v>
      </c>
      <c r="AQ11">
        <v>210.90620655493132</v>
      </c>
      <c r="AR11">
        <v>220.06888134708112</v>
      </c>
      <c r="AS11">
        <v>266.42486352426539</v>
      </c>
      <c r="AT11">
        <v>51.851120000000002</v>
      </c>
      <c r="AU11" s="38">
        <v>147.31210277707106</v>
      </c>
      <c r="AV11" s="34">
        <f>+VLOOKUP(A11,'[2]Salario Real'!$A$5:$C$292,2)</f>
        <v>126.04010388804667</v>
      </c>
      <c r="AW11" s="31">
        <v>2963012</v>
      </c>
      <c r="AX11" s="17">
        <v>111.14500430663222</v>
      </c>
      <c r="AY11" s="17">
        <v>920.68499999999995</v>
      </c>
      <c r="AZ11" s="16">
        <v>1.9764988177265144</v>
      </c>
      <c r="BA11">
        <v>173.55227267782183</v>
      </c>
      <c r="BB11">
        <v>148.6939593959755</v>
      </c>
    </row>
    <row r="12" spans="1:54" x14ac:dyDescent="0.25">
      <c r="A12" s="2">
        <v>41607</v>
      </c>
      <c r="B12" s="1">
        <v>-8.5728870501295962E-3</v>
      </c>
      <c r="C12" s="31">
        <v>62186</v>
      </c>
      <c r="D12" s="31">
        <v>33733</v>
      </c>
      <c r="E12" s="31">
        <v>75274</v>
      </c>
      <c r="F12" s="31">
        <v>19735</v>
      </c>
      <c r="G12" s="31">
        <v>1062265</v>
      </c>
      <c r="H12" s="32">
        <v>186.858408087002</v>
      </c>
      <c r="I12" s="9">
        <v>370.20309333333302</v>
      </c>
      <c r="J12" s="9">
        <v>417.62409403715299</v>
      </c>
      <c r="K12" s="9">
        <v>214.68464781745999</v>
      </c>
      <c r="L12" s="9">
        <v>4946.6551916799999</v>
      </c>
      <c r="M12" s="9">
        <v>23256.035748710001</v>
      </c>
      <c r="N12" s="9">
        <v>15271.74787933</v>
      </c>
      <c r="O12" s="35">
        <f t="shared" si="0"/>
        <v>0.43831173085335157</v>
      </c>
      <c r="P12" s="35">
        <f t="shared" si="1"/>
        <v>2.0606637994395132</v>
      </c>
      <c r="Q12" s="35">
        <f t="shared" si="2"/>
        <v>1.3531944287129034</v>
      </c>
      <c r="R12" s="33">
        <v>5718.68</v>
      </c>
      <c r="S12" s="33">
        <v>5437.7114285714288</v>
      </c>
      <c r="T12" s="35">
        <f t="shared" si="3"/>
        <v>0.50671907215452328</v>
      </c>
      <c r="U12" s="35">
        <f t="shared" si="4"/>
        <v>0.48182309374361942</v>
      </c>
      <c r="V12" s="35">
        <v>287678.90000000002</v>
      </c>
      <c r="W12" s="35">
        <f t="shared" si="5"/>
        <v>25.490565180502127</v>
      </c>
      <c r="X12" s="31">
        <f>+'[1]Agregados MesTrim'!B218</f>
        <v>476573.89473684208</v>
      </c>
      <c r="Y12" s="35">
        <f t="shared" si="6"/>
        <v>42.228115885854784</v>
      </c>
      <c r="Z12" s="33">
        <v>645178</v>
      </c>
      <c r="AA12" s="35">
        <f t="shared" si="7"/>
        <v>57.167737578341672</v>
      </c>
      <c r="AB12" s="36">
        <v>0.19095394736842106</v>
      </c>
      <c r="AC12" s="5">
        <v>57917</v>
      </c>
      <c r="AD12" s="5">
        <v>147503</v>
      </c>
      <c r="AE12" s="10">
        <v>162.9322190604438</v>
      </c>
      <c r="AF12" s="10">
        <v>148.67198034217847</v>
      </c>
      <c r="AG12" s="10">
        <v>146.15261382748525</v>
      </c>
      <c r="AH12" s="10">
        <v>163.45134969128222</v>
      </c>
      <c r="AI12" s="10">
        <v>385.55053637471781</v>
      </c>
      <c r="AJ12">
        <v>160.21306719874642</v>
      </c>
      <c r="AK12">
        <v>108.0552731649252</v>
      </c>
      <c r="AL12">
        <v>87.476871721410831</v>
      </c>
      <c r="AM12">
        <v>157.77836530714833</v>
      </c>
      <c r="AN12">
        <v>108.05876006479784</v>
      </c>
      <c r="AO12">
        <v>214.11792126092553</v>
      </c>
      <c r="AP12">
        <v>201.9587969770887</v>
      </c>
      <c r="AQ12">
        <v>207.24857471019504</v>
      </c>
      <c r="AR12">
        <v>152.89372371107135</v>
      </c>
      <c r="AS12">
        <v>221.13260035878136</v>
      </c>
      <c r="AT12">
        <v>49.885075000000001</v>
      </c>
      <c r="AU12" s="38">
        <v>146.56115185209327</v>
      </c>
      <c r="AV12" s="34">
        <f>+VLOOKUP(A12,'[2]Salario Real'!$A$5:$C$292,2)</f>
        <v>125.30039457739981</v>
      </c>
      <c r="AW12" s="31">
        <v>2318967</v>
      </c>
      <c r="AX12" s="17">
        <v>112.85701119724376</v>
      </c>
      <c r="AY12" s="17">
        <v>775.91200000000003</v>
      </c>
      <c r="AZ12" s="16">
        <v>1.8471887579507416</v>
      </c>
      <c r="BA12">
        <v>171.72866349362147</v>
      </c>
      <c r="BB12">
        <v>145.69589762827002</v>
      </c>
    </row>
    <row r="13" spans="1:54" x14ac:dyDescent="0.25">
      <c r="A13" s="2">
        <v>41639</v>
      </c>
      <c r="B13" s="1">
        <v>-8.5728870501295962E-3</v>
      </c>
      <c r="C13" s="31">
        <v>44922</v>
      </c>
      <c r="D13" s="31">
        <v>23872</v>
      </c>
      <c r="E13" s="31">
        <v>88967</v>
      </c>
      <c r="F13" s="31">
        <v>23295</v>
      </c>
      <c r="G13" s="31">
        <v>927744</v>
      </c>
      <c r="H13" s="32">
        <v>195.44041060793401</v>
      </c>
      <c r="I13" s="9">
        <v>346.059413333333</v>
      </c>
      <c r="J13" s="9">
        <v>383.27763236405502</v>
      </c>
      <c r="K13" s="9">
        <v>197.72594246031699</v>
      </c>
      <c r="L13" s="9">
        <v>5029.7241831600004</v>
      </c>
      <c r="M13" s="9">
        <v>22392.67076085</v>
      </c>
      <c r="N13" s="9">
        <v>17068.468088819998</v>
      </c>
      <c r="O13" s="35">
        <f t="shared" si="0"/>
        <v>0.43839067511666258</v>
      </c>
      <c r="P13" s="35">
        <f t="shared" si="1"/>
        <v>1.9517448064809526</v>
      </c>
      <c r="Q13" s="35">
        <f t="shared" si="2"/>
        <v>1.4876873912326376</v>
      </c>
      <c r="R13" s="33">
        <v>5391.03</v>
      </c>
      <c r="S13" s="33">
        <v>5334.8486363636357</v>
      </c>
      <c r="T13" s="35">
        <f t="shared" si="3"/>
        <v>0.4698820840289803</v>
      </c>
      <c r="U13" s="35">
        <f t="shared" si="4"/>
        <v>0.4649853173203839</v>
      </c>
      <c r="V13" s="35">
        <v>265324.59999999998</v>
      </c>
      <c r="W13" s="35">
        <f t="shared" si="5"/>
        <v>23.12568766861909</v>
      </c>
      <c r="X13" s="31">
        <f>+'[1]Agregados MesTrim'!B219</f>
        <v>498500.36842105264</v>
      </c>
      <c r="Y13" s="35">
        <f t="shared" si="6"/>
        <v>43.449283718120412</v>
      </c>
      <c r="Z13" s="33">
        <v>701500</v>
      </c>
      <c r="AA13" s="35">
        <f t="shared" si="7"/>
        <v>61.142728188552034</v>
      </c>
      <c r="AB13" s="36">
        <v>0.20240131578947371</v>
      </c>
      <c r="AC13" s="5">
        <v>60426</v>
      </c>
      <c r="AD13" s="5">
        <v>138927</v>
      </c>
      <c r="AE13" s="10">
        <v>162.96707616231168</v>
      </c>
      <c r="AF13" s="10">
        <v>158.75526461117127</v>
      </c>
      <c r="AG13" s="10">
        <v>122.4194638189708</v>
      </c>
      <c r="AH13" s="10">
        <v>154.23041694533651</v>
      </c>
      <c r="AI13" s="10">
        <v>346.92444423546272</v>
      </c>
      <c r="AJ13">
        <v>167.90488537891949</v>
      </c>
      <c r="AK13">
        <v>126.55487723647131</v>
      </c>
      <c r="AL13">
        <v>76.006395701813048</v>
      </c>
      <c r="AM13">
        <v>163.88072452074212</v>
      </c>
      <c r="AN13">
        <v>112.46483534300604</v>
      </c>
      <c r="AO13">
        <v>194.87532027781671</v>
      </c>
      <c r="AP13">
        <v>185.43494350510042</v>
      </c>
      <c r="AQ13">
        <v>197.03493894764475</v>
      </c>
      <c r="AR13">
        <v>145.00251195597949</v>
      </c>
      <c r="AS13">
        <v>161.98865586172531</v>
      </c>
      <c r="AT13">
        <v>46.148899</v>
      </c>
      <c r="AU13" s="38">
        <v>144.6478338165592</v>
      </c>
      <c r="AV13" s="34">
        <f>+VLOOKUP(A13,'[2]Salario Real'!$A$5:$C$292,2)</f>
        <v>122.54161396949981</v>
      </c>
      <c r="AW13" s="31">
        <v>1768668</v>
      </c>
      <c r="AX13" s="17">
        <v>114.73155038759691</v>
      </c>
      <c r="AY13" s="17">
        <v>807.93999999999994</v>
      </c>
      <c r="AZ13" s="16">
        <v>1.6809167892733861</v>
      </c>
      <c r="BA13">
        <v>172.05413435414124</v>
      </c>
      <c r="BB13">
        <v>142.5768791271264</v>
      </c>
    </row>
    <row r="14" spans="1:54" x14ac:dyDescent="0.25">
      <c r="A14" s="2">
        <v>41670</v>
      </c>
      <c r="B14" s="1">
        <v>-1.5388241365605126E-2</v>
      </c>
      <c r="C14" s="31">
        <v>36156</v>
      </c>
      <c r="D14" s="31">
        <v>19570</v>
      </c>
      <c r="E14" s="31">
        <v>46766</v>
      </c>
      <c r="F14" s="31">
        <v>10357</v>
      </c>
      <c r="G14" s="31">
        <v>931705</v>
      </c>
      <c r="H14" s="32">
        <v>188.714284033891</v>
      </c>
      <c r="I14" s="11">
        <v>431.75222095238098</v>
      </c>
      <c r="J14" s="11">
        <v>421.237197183658</v>
      </c>
      <c r="K14" s="11">
        <v>187.60111111111101</v>
      </c>
      <c r="L14" s="9">
        <v>6549.6631969299997</v>
      </c>
      <c r="M14" s="9">
        <v>27221.455082100001</v>
      </c>
      <c r="N14" s="9">
        <v>18371.935063950001</v>
      </c>
      <c r="O14" s="35">
        <f t="shared" si="0"/>
        <v>0.5643922942939773</v>
      </c>
      <c r="P14" s="35">
        <f t="shared" si="1"/>
        <v>2.3457052715333799</v>
      </c>
      <c r="Q14" s="35">
        <f t="shared" si="2"/>
        <v>1.5831315702192024</v>
      </c>
      <c r="R14" s="33">
        <v>6018.65</v>
      </c>
      <c r="S14" s="33">
        <v>5620.4991304347832</v>
      </c>
      <c r="T14" s="35">
        <f t="shared" si="3"/>
        <v>0.51863425338338831</v>
      </c>
      <c r="U14" s="35">
        <f t="shared" si="4"/>
        <v>0.48432511778472365</v>
      </c>
      <c r="V14" s="35">
        <v>309834</v>
      </c>
      <c r="W14" s="35">
        <f t="shared" si="5"/>
        <v>26.698765547554476</v>
      </c>
      <c r="X14" s="31">
        <f>+'[1]Agregados MesTrim'!B220</f>
        <v>501200.36363636365</v>
      </c>
      <c r="Y14" s="35">
        <f t="shared" si="6"/>
        <v>43.189033485919296</v>
      </c>
      <c r="Z14" s="33">
        <v>669364</v>
      </c>
      <c r="AA14" s="35">
        <f t="shared" si="7"/>
        <v>57.679894724185381</v>
      </c>
      <c r="AB14" s="36">
        <v>0.21928977272727274</v>
      </c>
      <c r="AC14" s="5">
        <v>62476</v>
      </c>
      <c r="AD14" s="13">
        <v>165000</v>
      </c>
      <c r="AE14" s="10">
        <v>163.42355938365213</v>
      </c>
      <c r="AF14" s="10">
        <v>155.43905921139947</v>
      </c>
      <c r="AG14" s="10">
        <v>77.848691928714402</v>
      </c>
      <c r="AH14" s="10">
        <v>154.65602222269229</v>
      </c>
      <c r="AI14" s="10">
        <v>236.12084464006608</v>
      </c>
      <c r="AJ14">
        <v>162.41552944435409</v>
      </c>
      <c r="AK14">
        <v>130.88667067950945</v>
      </c>
      <c r="AL14">
        <v>71.676976386355861</v>
      </c>
      <c r="AM14">
        <v>154.95649221110358</v>
      </c>
      <c r="AN14">
        <v>110.93636272714464</v>
      </c>
      <c r="AO14">
        <v>202.68252079185507</v>
      </c>
      <c r="AP14">
        <v>185.66890144096314</v>
      </c>
      <c r="AQ14">
        <v>187.76750237145819</v>
      </c>
      <c r="AR14">
        <v>84.148350339337199</v>
      </c>
      <c r="AS14">
        <v>123.93534005175462</v>
      </c>
      <c r="AT14">
        <v>43.671379000000002</v>
      </c>
      <c r="AU14" s="38">
        <v>141.86603661590755</v>
      </c>
      <c r="AV14" s="34">
        <f>+VLOOKUP(A14,'[2]Salario Real'!$A$5:$C$292,2)</f>
        <v>119.01067727044925</v>
      </c>
      <c r="AW14" s="31">
        <v>1968357</v>
      </c>
      <c r="AX14" s="17">
        <v>116.04806201550387</v>
      </c>
      <c r="AY14" s="17">
        <v>1084.941</v>
      </c>
      <c r="AZ14" s="16">
        <v>1.4624839572590842</v>
      </c>
      <c r="BA14">
        <v>170.40074411430246</v>
      </c>
      <c r="BB14">
        <v>137.96969739537636</v>
      </c>
    </row>
    <row r="15" spans="1:54" x14ac:dyDescent="0.25">
      <c r="A15" s="2">
        <v>41698</v>
      </c>
      <c r="B15" s="1">
        <v>-1.5388241365605126E-2</v>
      </c>
      <c r="C15" s="31">
        <v>52941</v>
      </c>
      <c r="D15" s="31">
        <v>25991</v>
      </c>
      <c r="E15" s="31">
        <v>54793</v>
      </c>
      <c r="F15" s="31">
        <v>14700</v>
      </c>
      <c r="G15" s="31">
        <v>802573</v>
      </c>
      <c r="H15" s="32">
        <v>188.92338263890201</v>
      </c>
      <c r="I15" s="11">
        <v>349.652944761904</v>
      </c>
      <c r="J15" s="11">
        <v>411.19474521659498</v>
      </c>
      <c r="K15" s="11">
        <v>170.02119047618999</v>
      </c>
      <c r="L15" s="9">
        <v>6206.9205733399995</v>
      </c>
      <c r="M15" s="9">
        <v>24671.979758289999</v>
      </c>
      <c r="N15" s="9">
        <v>18009.268559690001</v>
      </c>
      <c r="O15" s="35">
        <f t="shared" si="0"/>
        <v>0.51825988769299736</v>
      </c>
      <c r="P15" s="35">
        <f t="shared" si="1"/>
        <v>2.0600388401320804</v>
      </c>
      <c r="Q15" s="35">
        <f t="shared" si="2"/>
        <v>1.5037217555622009</v>
      </c>
      <c r="R15" s="33">
        <v>5784.39</v>
      </c>
      <c r="S15" s="33">
        <v>5893.0739999999987</v>
      </c>
      <c r="T15" s="35">
        <f t="shared" si="3"/>
        <v>0.48297980880385988</v>
      </c>
      <c r="U15" s="35">
        <f t="shared" si="4"/>
        <v>0.49205460796851469</v>
      </c>
      <c r="V15" s="35">
        <v>285091.09999999998</v>
      </c>
      <c r="W15" s="35">
        <f t="shared" si="5"/>
        <v>23.804280999324401</v>
      </c>
      <c r="X15" s="31">
        <f>+'[1]Agregados MesTrim'!B221</f>
        <v>490013.05</v>
      </c>
      <c r="Y15" s="35">
        <f t="shared" si="6"/>
        <v>40.914670207298641</v>
      </c>
      <c r="Z15" s="33">
        <v>658421</v>
      </c>
      <c r="AA15" s="35">
        <f t="shared" si="7"/>
        <v>54.976246188871464</v>
      </c>
      <c r="AB15" s="36">
        <v>0.25621875</v>
      </c>
      <c r="AC15" s="5">
        <v>55055</v>
      </c>
      <c r="AD15" s="13">
        <v>120000</v>
      </c>
      <c r="AE15" s="10">
        <v>161.35073096622801</v>
      </c>
      <c r="AF15" s="10">
        <v>131.09123340011257</v>
      </c>
      <c r="AG15" s="10">
        <v>151.54049060955955</v>
      </c>
      <c r="AH15" s="10">
        <v>146.50247887697441</v>
      </c>
      <c r="AI15" s="10">
        <v>352.56090241047571</v>
      </c>
      <c r="AJ15">
        <v>141.90680384391891</v>
      </c>
      <c r="AK15">
        <v>93.027846205254178</v>
      </c>
      <c r="AL15">
        <v>86.819406202109903</v>
      </c>
      <c r="AM15">
        <v>150.00187547355733</v>
      </c>
      <c r="AN15">
        <v>101.45550169037895</v>
      </c>
      <c r="AO15">
        <v>192.23793133553019</v>
      </c>
      <c r="AP15">
        <v>161.45420967441007</v>
      </c>
      <c r="AQ15">
        <v>175.40416948846564</v>
      </c>
      <c r="AR15">
        <v>170.79139655997304</v>
      </c>
      <c r="AS15">
        <v>188.80420826549076</v>
      </c>
      <c r="AT15">
        <v>33.464466000000002</v>
      </c>
      <c r="AU15" s="38">
        <v>138.94751643521045</v>
      </c>
      <c r="AV15" s="34">
        <f>+VLOOKUP(A15,'[2]Salario Real'!$A$5:$C$292,2)</f>
        <v>112.75459492780737</v>
      </c>
      <c r="AW15" s="31">
        <v>1533672</v>
      </c>
      <c r="AX15" s="17">
        <v>119.76463393626183</v>
      </c>
      <c r="AY15" s="17">
        <v>907.35100000000011</v>
      </c>
      <c r="AZ15" s="16">
        <v>1.3849818186576137</v>
      </c>
      <c r="BA15">
        <v>171.13800046953327</v>
      </c>
      <c r="BB15">
        <v>132.48630687243056</v>
      </c>
    </row>
    <row r="16" spans="1:54" x14ac:dyDescent="0.25">
      <c r="A16" s="2">
        <v>41729</v>
      </c>
      <c r="B16" s="1">
        <v>-1.5388241365605126E-2</v>
      </c>
      <c r="C16" s="31">
        <v>58319</v>
      </c>
      <c r="D16" s="31">
        <v>28787</v>
      </c>
      <c r="E16" s="31">
        <v>49747</v>
      </c>
      <c r="F16" s="31">
        <v>14232</v>
      </c>
      <c r="G16" s="31">
        <v>909576</v>
      </c>
      <c r="H16" s="32">
        <v>183.044448544998</v>
      </c>
      <c r="I16" s="11">
        <v>329.52175238095202</v>
      </c>
      <c r="J16" s="11">
        <v>469.15715820040498</v>
      </c>
      <c r="K16" s="11">
        <v>230.99769841269801</v>
      </c>
      <c r="L16" s="9">
        <v>7458.6769972600005</v>
      </c>
      <c r="M16" s="9">
        <v>25529.361399130001</v>
      </c>
      <c r="N16" s="9">
        <v>14938.96349887</v>
      </c>
      <c r="O16" s="35">
        <f t="shared" si="0"/>
        <v>0.60927282554468609</v>
      </c>
      <c r="P16" s="35">
        <f t="shared" si="1"/>
        <v>2.0854028348074838</v>
      </c>
      <c r="Q16" s="35">
        <f t="shared" si="2"/>
        <v>1.22031085472787</v>
      </c>
      <c r="R16" s="33">
        <v>6373.82</v>
      </c>
      <c r="S16" s="33">
        <v>5929.3676190476208</v>
      </c>
      <c r="T16" s="35">
        <f t="shared" si="3"/>
        <v>0.52065471159829346</v>
      </c>
      <c r="U16" s="35">
        <f t="shared" si="4"/>
        <v>0.48434897559948342</v>
      </c>
      <c r="V16" s="35">
        <v>304237.59999999998</v>
      </c>
      <c r="W16" s="35">
        <f t="shared" si="5"/>
        <v>24.85208868235328</v>
      </c>
      <c r="X16" s="31">
        <f>+'[1]Agregados MesTrim'!B222</f>
        <v>486788.55555555556</v>
      </c>
      <c r="Y16" s="35">
        <f t="shared" si="6"/>
        <v>39.764027694871778</v>
      </c>
      <c r="Z16" s="33">
        <v>671674</v>
      </c>
      <c r="AA16" s="35">
        <f t="shared" si="7"/>
        <v>54.866662811010066</v>
      </c>
      <c r="AB16" s="36">
        <v>0.2623611111111111</v>
      </c>
      <c r="AC16" s="5">
        <v>56219</v>
      </c>
      <c r="AD16" s="13">
        <v>120000</v>
      </c>
      <c r="AE16" s="10">
        <v>160.235409453362</v>
      </c>
      <c r="AF16" s="10">
        <v>138.97168014541435</v>
      </c>
      <c r="AG16" s="10">
        <v>149.71976223668244</v>
      </c>
      <c r="AH16" s="10">
        <v>156.82124210375727</v>
      </c>
      <c r="AI16" s="10">
        <v>381.3390323239397</v>
      </c>
      <c r="AJ16">
        <v>149.57968076046356</v>
      </c>
      <c r="AK16">
        <v>101.63879633019748</v>
      </c>
      <c r="AL16">
        <v>101.79938432025305</v>
      </c>
      <c r="AM16">
        <v>161.99480826677785</v>
      </c>
      <c r="AN16">
        <v>92.087405705028843</v>
      </c>
      <c r="AO16">
        <v>205.65965802734158</v>
      </c>
      <c r="AP16">
        <v>182.5939553341056</v>
      </c>
      <c r="AQ16">
        <v>209.57078318881591</v>
      </c>
      <c r="AR16">
        <v>164.18096565205607</v>
      </c>
      <c r="AS16">
        <v>207.25243417994844</v>
      </c>
      <c r="AT16">
        <v>36.212978</v>
      </c>
      <c r="AU16" s="38">
        <v>137.70878478759622</v>
      </c>
      <c r="AV16" s="34">
        <f>+VLOOKUP(A16,'[2]Salario Real'!$A$5:$C$292,2)</f>
        <v>110.22905519320105</v>
      </c>
      <c r="AW16" s="31">
        <v>2108432</v>
      </c>
      <c r="AX16" s="17">
        <v>122.41932816537468</v>
      </c>
      <c r="AY16" s="17">
        <v>798.59400000000005</v>
      </c>
      <c r="AZ16" s="16">
        <v>1.5262876914678492</v>
      </c>
      <c r="BA16">
        <v>166.78486146249762</v>
      </c>
      <c r="BB16">
        <v>144.53782808347017</v>
      </c>
    </row>
    <row r="17" spans="1:54" x14ac:dyDescent="0.25">
      <c r="A17" s="2">
        <v>41759</v>
      </c>
      <c r="B17" s="1">
        <v>-7.6649346248881534E-3</v>
      </c>
      <c r="C17" s="31">
        <v>59165</v>
      </c>
      <c r="D17" s="31">
        <v>32479</v>
      </c>
      <c r="E17" s="31">
        <v>51346</v>
      </c>
      <c r="F17" s="31">
        <v>12979</v>
      </c>
      <c r="G17" s="31">
        <v>906066</v>
      </c>
      <c r="H17" s="32">
        <v>183.87594197708</v>
      </c>
      <c r="I17" s="11">
        <v>311.86478476190399</v>
      </c>
      <c r="J17" s="11">
        <v>418.94489836509001</v>
      </c>
      <c r="K17" s="11">
        <v>205.67277777777699</v>
      </c>
      <c r="L17" s="9">
        <v>17045.090767990001</v>
      </c>
      <c r="M17" s="9">
        <v>27293.750326919999</v>
      </c>
      <c r="N17" s="9">
        <v>15792.56546926</v>
      </c>
      <c r="O17" s="35">
        <f t="shared" si="0"/>
        <v>1.3340799020525609</v>
      </c>
      <c r="P17" s="35">
        <f t="shared" si="1"/>
        <v>2.1362188244350593</v>
      </c>
      <c r="Q17" s="35">
        <f t="shared" si="2"/>
        <v>1.2360476386523513</v>
      </c>
      <c r="R17" s="33">
        <v>6782.01</v>
      </c>
      <c r="S17" s="33">
        <v>6529.8990909090899</v>
      </c>
      <c r="T17" s="35">
        <f t="shared" si="3"/>
        <v>0.53081226493148326</v>
      </c>
      <c r="U17" s="35">
        <f t="shared" si="4"/>
        <v>0.51108012613067333</v>
      </c>
      <c r="V17" s="35">
        <v>327213.8</v>
      </c>
      <c r="W17" s="35">
        <f t="shared" si="5"/>
        <v>25.610268680647387</v>
      </c>
      <c r="X17" s="31">
        <f>+'[1]Agregados MesTrim'!B223</f>
        <v>497549.10526315792</v>
      </c>
      <c r="Y17" s="35">
        <f t="shared" si="6"/>
        <v>38.942019766908317</v>
      </c>
      <c r="Z17" s="33">
        <v>668026</v>
      </c>
      <c r="AA17" s="35">
        <f t="shared" si="7"/>
        <v>52.284852734383911</v>
      </c>
      <c r="AB17" s="36">
        <v>0.26282894736842105</v>
      </c>
      <c r="AC17" s="5">
        <v>60419</v>
      </c>
      <c r="AD17" s="13">
        <v>125000</v>
      </c>
      <c r="AE17" s="10">
        <v>156.18697945984388</v>
      </c>
      <c r="AF17" s="10">
        <v>146.56127738492972</v>
      </c>
      <c r="AG17" s="10">
        <v>149.64325253982605</v>
      </c>
      <c r="AH17" s="10">
        <v>150.55119781109258</v>
      </c>
      <c r="AI17" s="10">
        <v>399.35243312140699</v>
      </c>
      <c r="AJ17">
        <v>154.19016597546039</v>
      </c>
      <c r="AK17">
        <v>119.71282387094062</v>
      </c>
      <c r="AL17">
        <v>98.970326324087821</v>
      </c>
      <c r="AM17">
        <v>147.50961220658905</v>
      </c>
      <c r="AN17">
        <v>102.7355402873644</v>
      </c>
      <c r="AO17">
        <v>183.36077775892505</v>
      </c>
      <c r="AP17">
        <v>180.43940020082195</v>
      </c>
      <c r="AQ17">
        <v>211.52336827591839</v>
      </c>
      <c r="AR17">
        <v>166.42978565530115</v>
      </c>
      <c r="AS17">
        <v>209.40820602980182</v>
      </c>
      <c r="AT17">
        <v>36.689399999999999</v>
      </c>
      <c r="AU17" s="38">
        <v>139.49853374488586</v>
      </c>
      <c r="AV17" s="34">
        <f>+VLOOKUP(A17,'[2]Salario Real'!$A$5:$C$292,2)</f>
        <v>115.07717590465028</v>
      </c>
      <c r="AW17" s="31">
        <v>3902595</v>
      </c>
      <c r="AX17" s="17">
        <v>127.76664082687341</v>
      </c>
      <c r="AY17" s="17">
        <v>786.06499999999994</v>
      </c>
      <c r="AZ17" s="16">
        <v>1.4016455906761618</v>
      </c>
      <c r="BA17">
        <v>168.82532526256307</v>
      </c>
      <c r="BB17">
        <v>152.34143546147135</v>
      </c>
    </row>
    <row r="18" spans="1:54" x14ac:dyDescent="0.25">
      <c r="A18" s="2">
        <v>41789</v>
      </c>
      <c r="B18" s="1">
        <v>-7.6649346248881534E-3</v>
      </c>
      <c r="C18" s="31">
        <v>50938</v>
      </c>
      <c r="D18" s="31">
        <v>30130</v>
      </c>
      <c r="E18" s="31">
        <v>50648</v>
      </c>
      <c r="F18" s="31">
        <v>13037</v>
      </c>
      <c r="G18" s="31">
        <v>929429</v>
      </c>
      <c r="H18" s="32">
        <v>184.81919313780401</v>
      </c>
      <c r="I18" s="11">
        <v>374.84505142857103</v>
      </c>
      <c r="J18" s="11">
        <v>448.526468833286</v>
      </c>
      <c r="K18" s="11">
        <v>197.558968253968</v>
      </c>
      <c r="L18" s="9">
        <v>11353.897857020002</v>
      </c>
      <c r="M18" s="9">
        <v>25771.26601263</v>
      </c>
      <c r="N18" s="9">
        <v>29249.5819448</v>
      </c>
      <c r="O18" s="35">
        <f t="shared" si="0"/>
        <v>0.86598663837392531</v>
      </c>
      <c r="P18" s="35">
        <f t="shared" si="1"/>
        <v>1.9656308610455675</v>
      </c>
      <c r="Q18" s="35">
        <f t="shared" si="2"/>
        <v>2.2309296297358254</v>
      </c>
      <c r="R18" s="33">
        <v>7712.23</v>
      </c>
      <c r="S18" s="33">
        <v>7130.8327272727274</v>
      </c>
      <c r="T18" s="35">
        <f t="shared" si="3"/>
        <v>0.58822866086796544</v>
      </c>
      <c r="U18" s="35">
        <f t="shared" si="4"/>
        <v>0.54388421844746571</v>
      </c>
      <c r="V18" s="35">
        <v>373628.1</v>
      </c>
      <c r="W18" s="35">
        <f t="shared" si="5"/>
        <v>28.497432898868716</v>
      </c>
      <c r="X18" s="31">
        <f>+'[1]Agregados MesTrim'!B224</f>
        <v>510060.91500000004</v>
      </c>
      <c r="Y18" s="35">
        <f t="shared" si="6"/>
        <v>38.90346229191028</v>
      </c>
      <c r="Z18" s="33">
        <v>691707</v>
      </c>
      <c r="AA18" s="35">
        <f t="shared" si="7"/>
        <v>52.758006740332931</v>
      </c>
      <c r="AB18" s="36">
        <v>0.24684375</v>
      </c>
      <c r="AC18" s="5">
        <v>60733</v>
      </c>
      <c r="AD18" s="13">
        <v>130000</v>
      </c>
      <c r="AE18" s="10">
        <v>159.298428751334</v>
      </c>
      <c r="AF18" s="10">
        <v>143.95467062530406</v>
      </c>
      <c r="AG18" s="10">
        <v>153.20984926609447</v>
      </c>
      <c r="AH18" s="10">
        <v>167.01613937231087</v>
      </c>
      <c r="AI18" s="10">
        <v>381.34639069922076</v>
      </c>
      <c r="AJ18">
        <v>160.58751451676522</v>
      </c>
      <c r="AK18">
        <v>85.418472235983131</v>
      </c>
      <c r="AL18">
        <v>100.12628440256917</v>
      </c>
      <c r="AM18">
        <v>148.31107409548653</v>
      </c>
      <c r="AN18">
        <v>115.22772927172839</v>
      </c>
      <c r="AO18">
        <v>217.90800391557357</v>
      </c>
      <c r="AP18">
        <v>183.04794166241581</v>
      </c>
      <c r="AQ18">
        <v>216.02525537980216</v>
      </c>
      <c r="AR18">
        <v>182.92061265423524</v>
      </c>
      <c r="AS18">
        <v>180.63297411594746</v>
      </c>
      <c r="AT18">
        <v>38.097217999999998</v>
      </c>
      <c r="AU18" s="38">
        <v>138.92668197621887</v>
      </c>
      <c r="AV18" s="34">
        <f>+VLOOKUP(A18,'[2]Salario Real'!$A$5:$C$292,2)</f>
        <v>114.83149056995939</v>
      </c>
      <c r="AW18" s="31">
        <v>4658613</v>
      </c>
      <c r="AX18" s="17">
        <v>131.10938845822571</v>
      </c>
      <c r="AY18" s="17">
        <v>833.07199999999989</v>
      </c>
      <c r="AZ18" s="16">
        <v>1.5120710396795265</v>
      </c>
      <c r="BA18">
        <v>168.11845749638348</v>
      </c>
      <c r="BB18">
        <v>164.20324390256107</v>
      </c>
    </row>
    <row r="19" spans="1:54" x14ac:dyDescent="0.25">
      <c r="A19" s="2">
        <v>41820</v>
      </c>
      <c r="B19" s="1">
        <v>-7.6649346248881534E-3</v>
      </c>
      <c r="C19" s="31">
        <v>50904</v>
      </c>
      <c r="D19" s="31">
        <v>34418</v>
      </c>
      <c r="E19" s="31">
        <v>53131</v>
      </c>
      <c r="F19" s="31">
        <v>14059</v>
      </c>
      <c r="G19" s="31">
        <v>899656</v>
      </c>
      <c r="H19" s="32">
        <v>184.855953822228</v>
      </c>
      <c r="I19" s="11">
        <v>351.339916190476</v>
      </c>
      <c r="J19" s="11">
        <v>485.31240701698499</v>
      </c>
      <c r="K19" s="11">
        <v>200.386507936507</v>
      </c>
      <c r="L19" s="9">
        <v>10800.78809444</v>
      </c>
      <c r="M19" s="9">
        <v>25367.495391010001</v>
      </c>
      <c r="N19" s="9">
        <v>29295.259119089998</v>
      </c>
      <c r="O19" s="35">
        <f t="shared" si="0"/>
        <v>0.81268410825203785</v>
      </c>
      <c r="P19" s="35">
        <f t="shared" si="1"/>
        <v>1.9087274178671434</v>
      </c>
      <c r="Q19" s="35">
        <f t="shared" si="2"/>
        <v>2.2042642930348522</v>
      </c>
      <c r="R19" s="33">
        <v>7887.33</v>
      </c>
      <c r="S19" s="33">
        <v>7815.7771428571414</v>
      </c>
      <c r="T19" s="35">
        <f t="shared" si="3"/>
        <v>0.59346667034780731</v>
      </c>
      <c r="U19" s="35">
        <f t="shared" si="4"/>
        <v>0.58808281600388557</v>
      </c>
      <c r="V19" s="35">
        <v>376028.9</v>
      </c>
      <c r="W19" s="35">
        <f t="shared" si="5"/>
        <v>28.293556785065238</v>
      </c>
      <c r="X19" s="31">
        <f>+'[1]Agregados MesTrim'!B225</f>
        <v>533599.75</v>
      </c>
      <c r="Y19" s="35">
        <f t="shared" si="6"/>
        <v>40.149666228105382</v>
      </c>
      <c r="Z19" s="33">
        <v>752028</v>
      </c>
      <c r="AA19" s="35">
        <f t="shared" si="7"/>
        <v>56.584871327600197</v>
      </c>
      <c r="AB19" s="36">
        <v>0.2308125</v>
      </c>
      <c r="AC19" s="5">
        <v>58263</v>
      </c>
      <c r="AD19" s="13">
        <v>115000</v>
      </c>
      <c r="AE19" s="10">
        <v>157.91694048924899</v>
      </c>
      <c r="AF19" s="10">
        <v>151.39661495595161</v>
      </c>
      <c r="AG19" s="10">
        <v>145.66105009205708</v>
      </c>
      <c r="AH19" s="10">
        <v>155.77622366947475</v>
      </c>
      <c r="AI19" s="10">
        <v>379.8864125932231</v>
      </c>
      <c r="AJ19">
        <v>167.0855394086052</v>
      </c>
      <c r="AK19">
        <v>96.1823653502626</v>
      </c>
      <c r="AL19">
        <v>94.856806766941986</v>
      </c>
      <c r="AM19">
        <v>147.41847053794913</v>
      </c>
      <c r="AN19">
        <v>111.34010022538388</v>
      </c>
      <c r="AO19">
        <v>192.46449838868259</v>
      </c>
      <c r="AP19">
        <v>177.95601857970544</v>
      </c>
      <c r="AQ19">
        <v>204.46799612132028</v>
      </c>
      <c r="AR19">
        <v>172.89358967789519</v>
      </c>
      <c r="AS19">
        <v>180.00112152302529</v>
      </c>
      <c r="AT19">
        <v>41.92</v>
      </c>
      <c r="AU19" s="38">
        <v>140.4036826474327</v>
      </c>
      <c r="AV19" s="34">
        <f>+VLOOKUP(A19,'[2]Salario Real'!$A$5:$C$292,2)</f>
        <v>115.18409368061555</v>
      </c>
      <c r="AW19" s="31">
        <v>4186684</v>
      </c>
      <c r="AX19" s="17">
        <v>132.90266149870806</v>
      </c>
      <c r="AY19" s="17">
        <v>723.73500000000001</v>
      </c>
      <c r="AZ19" s="16">
        <v>1.6997180023594509</v>
      </c>
      <c r="BA19">
        <v>167.80407849247044</v>
      </c>
      <c r="BB19">
        <v>153.80352402990053</v>
      </c>
    </row>
    <row r="20" spans="1:54" x14ac:dyDescent="0.25">
      <c r="A20" s="2">
        <v>41851</v>
      </c>
      <c r="B20" s="1">
        <v>-7.8589759582248231E-3</v>
      </c>
      <c r="C20" s="31">
        <v>54184</v>
      </c>
      <c r="D20" s="31">
        <v>24085</v>
      </c>
      <c r="E20" s="31">
        <v>54184</v>
      </c>
      <c r="F20" s="31">
        <v>13718</v>
      </c>
      <c r="G20" s="31">
        <v>967894</v>
      </c>
      <c r="H20" s="32">
        <v>181.53965871440701</v>
      </c>
      <c r="I20" s="11">
        <v>339.30618666666601</v>
      </c>
      <c r="J20" s="11">
        <v>470.46704323958699</v>
      </c>
      <c r="K20" s="11">
        <v>204.320476190476</v>
      </c>
      <c r="L20" s="9">
        <v>12061.452723140001</v>
      </c>
      <c r="M20" s="9">
        <v>27999.698135250001</v>
      </c>
      <c r="N20" s="9">
        <v>21929.972530840001</v>
      </c>
      <c r="O20" s="35">
        <f t="shared" si="0"/>
        <v>0.89340953475049534</v>
      </c>
      <c r="P20" s="35">
        <f t="shared" si="1"/>
        <v>2.0739788032478161</v>
      </c>
      <c r="Q20" s="35">
        <f t="shared" si="2"/>
        <v>1.6243853046226042</v>
      </c>
      <c r="R20" s="33">
        <v>8187.99</v>
      </c>
      <c r="S20" s="33">
        <v>8357.1026086956535</v>
      </c>
      <c r="T20" s="35">
        <f t="shared" si="3"/>
        <v>0.60649645646808192</v>
      </c>
      <c r="U20" s="35">
        <f t="shared" si="4"/>
        <v>0.61902287600669725</v>
      </c>
      <c r="V20" s="35">
        <v>379925.7</v>
      </c>
      <c r="W20" s="35">
        <f t="shared" si="5"/>
        <v>28.141655127956383</v>
      </c>
      <c r="X20" s="31">
        <f>+'[1]Agregados MesTrim'!B226</f>
        <v>548935.40909090906</v>
      </c>
      <c r="Y20" s="35">
        <f t="shared" si="6"/>
        <v>40.660452741575561</v>
      </c>
      <c r="Z20" s="33">
        <v>753038</v>
      </c>
      <c r="AA20" s="35">
        <f t="shared" si="7"/>
        <v>55.778631701530102</v>
      </c>
      <c r="AB20" s="36">
        <v>0.22014204545454547</v>
      </c>
      <c r="AC20" s="5">
        <v>63647</v>
      </c>
      <c r="AD20" s="13">
        <v>140000</v>
      </c>
      <c r="AE20" s="10">
        <v>156.03480863394813</v>
      </c>
      <c r="AF20" s="10">
        <v>163.41702386047751</v>
      </c>
      <c r="AG20" s="10">
        <v>149.74242192246044</v>
      </c>
      <c r="AH20" s="10">
        <v>157.20464644989357</v>
      </c>
      <c r="AI20" s="10">
        <v>358.02082683733249</v>
      </c>
      <c r="AJ20">
        <v>179.40812928921122</v>
      </c>
      <c r="AK20">
        <v>107.1393045510666</v>
      </c>
      <c r="AL20">
        <v>92.396657600354644</v>
      </c>
      <c r="AM20">
        <v>158.52416794180729</v>
      </c>
      <c r="AN20">
        <v>112.56391221298772</v>
      </c>
      <c r="AO20">
        <v>194.48216397155542</v>
      </c>
      <c r="AP20">
        <v>196.90558023661887</v>
      </c>
      <c r="AQ20">
        <v>203.56671215788194</v>
      </c>
      <c r="AR20">
        <v>176.34045155075387</v>
      </c>
      <c r="AS20">
        <v>175.77410559691739</v>
      </c>
      <c r="AT20">
        <v>42.745776999999997</v>
      </c>
      <c r="AU20" s="38">
        <v>140.29346491743925</v>
      </c>
      <c r="AV20" s="34">
        <f>+VLOOKUP(A20,'[2]Salario Real'!$A$5:$C$292,2)</f>
        <v>117.6281486267609</v>
      </c>
      <c r="AW20" s="31">
        <v>3910954</v>
      </c>
      <c r="AX20" s="17">
        <v>135.00474590869945</v>
      </c>
      <c r="AY20" s="17">
        <v>648.52700000000004</v>
      </c>
      <c r="AZ20" s="16">
        <v>1.8721862755797092</v>
      </c>
      <c r="BA20">
        <v>165.2053257022007</v>
      </c>
      <c r="BB20">
        <v>145.42281373408593</v>
      </c>
    </row>
    <row r="21" spans="1:54" x14ac:dyDescent="0.25">
      <c r="A21" s="2">
        <v>41880</v>
      </c>
      <c r="B21" s="1">
        <v>-7.8589759582248231E-3</v>
      </c>
      <c r="C21" s="31">
        <v>45787</v>
      </c>
      <c r="D21" s="31">
        <v>27442</v>
      </c>
      <c r="E21" s="31">
        <v>51112</v>
      </c>
      <c r="F21" s="31">
        <v>12683</v>
      </c>
      <c r="G21" s="31">
        <v>1004249</v>
      </c>
      <c r="H21" s="32">
        <v>181.317096905238</v>
      </c>
      <c r="I21" s="11">
        <v>384.62948571428501</v>
      </c>
      <c r="J21" s="11">
        <v>516.85880504395504</v>
      </c>
      <c r="K21" s="11">
        <v>221.654523809523</v>
      </c>
      <c r="L21" s="9">
        <v>9168.1589206299996</v>
      </c>
      <c r="M21" s="9">
        <v>28191.303250450001</v>
      </c>
      <c r="N21" s="9">
        <v>22815.847270509999</v>
      </c>
      <c r="O21" s="35">
        <f t="shared" si="0"/>
        <v>0.67179310100794698</v>
      </c>
      <c r="P21" s="35">
        <f t="shared" si="1"/>
        <v>2.0657062335012215</v>
      </c>
      <c r="Q21" s="35">
        <f t="shared" si="2"/>
        <v>1.6718218916875369</v>
      </c>
      <c r="R21" s="33">
        <v>9817.2999999999993</v>
      </c>
      <c r="S21" s="33">
        <v>8787.9842857142867</v>
      </c>
      <c r="T21" s="35">
        <f t="shared" si="3"/>
        <v>0.71935864851611031</v>
      </c>
      <c r="U21" s="35">
        <f t="shared" si="4"/>
        <v>0.64393595988227359</v>
      </c>
      <c r="V21" s="35">
        <v>454971.5</v>
      </c>
      <c r="W21" s="35">
        <f t="shared" si="5"/>
        <v>33.337850870743225</v>
      </c>
      <c r="X21" s="31">
        <f>+'[1]Agregados MesTrim'!B227</f>
        <v>561841.19999999995</v>
      </c>
      <c r="Y21" s="35">
        <f t="shared" si="6"/>
        <v>41.168684497027655</v>
      </c>
      <c r="Z21" s="33">
        <v>772963</v>
      </c>
      <c r="AA21" s="35">
        <f t="shared" si="7"/>
        <v>56.638548178517333</v>
      </c>
      <c r="AB21" s="36">
        <v>0.2119375</v>
      </c>
      <c r="AC21" s="5">
        <v>59092</v>
      </c>
      <c r="AD21" s="13">
        <v>135000</v>
      </c>
      <c r="AE21" s="10">
        <v>152.18357722565759</v>
      </c>
      <c r="AF21" s="10">
        <v>165.364264189956</v>
      </c>
      <c r="AG21" s="10">
        <v>137.67887956487644</v>
      </c>
      <c r="AH21" s="10">
        <v>151.77952182304907</v>
      </c>
      <c r="AI21" s="10">
        <v>349.65951927306088</v>
      </c>
      <c r="AJ21">
        <v>183.72546792192102</v>
      </c>
      <c r="AK21">
        <v>100.74542502242122</v>
      </c>
      <c r="AL21">
        <v>88.378606955404479</v>
      </c>
      <c r="AM21">
        <v>152.5081294477871</v>
      </c>
      <c r="AN21">
        <v>108.763134624595</v>
      </c>
      <c r="AO21">
        <v>180.76416425884378</v>
      </c>
      <c r="AP21">
        <v>197.2019448610364</v>
      </c>
      <c r="AQ21">
        <v>201.42336806291326</v>
      </c>
      <c r="AR21">
        <v>167.27189528432464</v>
      </c>
      <c r="AS21">
        <v>159.4044107250721</v>
      </c>
      <c r="AT21">
        <v>43.89</v>
      </c>
      <c r="AU21" s="38">
        <v>141.44125274713292</v>
      </c>
      <c r="AV21" s="34">
        <f>+VLOOKUP(A21,'[2]Salario Real'!$A$5:$C$292,2)</f>
        <v>117.21598562473253</v>
      </c>
      <c r="AW21" s="31">
        <v>3494906</v>
      </c>
      <c r="AX21" s="17">
        <v>136.4729543496986</v>
      </c>
      <c r="AY21" s="17">
        <v>807.64800000000002</v>
      </c>
      <c r="AZ21" s="16">
        <v>1.8208873309563509</v>
      </c>
      <c r="BA21">
        <v>164.60033344430369</v>
      </c>
      <c r="BB21">
        <v>140.10530396605887</v>
      </c>
    </row>
    <row r="22" spans="1:54" x14ac:dyDescent="0.25">
      <c r="A22" s="2">
        <v>41912</v>
      </c>
      <c r="B22" s="1">
        <v>-7.8589759582248231E-3</v>
      </c>
      <c r="C22" s="31">
        <v>57757</v>
      </c>
      <c r="D22" s="31">
        <v>30073</v>
      </c>
      <c r="E22" s="31">
        <v>60317</v>
      </c>
      <c r="F22" s="31">
        <v>15161</v>
      </c>
      <c r="G22" s="31">
        <v>1054715</v>
      </c>
      <c r="H22" s="32">
        <v>188.62270168459099</v>
      </c>
      <c r="I22" s="11">
        <v>354.48892952380902</v>
      </c>
      <c r="J22" s="11">
        <v>487.27723457575797</v>
      </c>
      <c r="K22" s="11">
        <v>225.957301587301</v>
      </c>
      <c r="L22" s="9">
        <v>8644.2587327300007</v>
      </c>
      <c r="M22" s="9">
        <v>29726.038461600001</v>
      </c>
      <c r="N22" s="9">
        <v>21823.13875246</v>
      </c>
      <c r="O22" s="35">
        <f t="shared" si="0"/>
        <v>0.62425995060149964</v>
      </c>
      <c r="P22" s="35">
        <f t="shared" si="1"/>
        <v>2.1467167834015255</v>
      </c>
      <c r="Q22" s="35">
        <f t="shared" si="2"/>
        <v>1.5759953445167048</v>
      </c>
      <c r="R22" s="33">
        <v>12548.99</v>
      </c>
      <c r="S22" s="33">
        <v>11291.529545454543</v>
      </c>
      <c r="T22" s="35">
        <f t="shared" si="3"/>
        <v>0.90624680724065498</v>
      </c>
      <c r="U22" s="35">
        <f t="shared" si="4"/>
        <v>0.81543714668923184</v>
      </c>
      <c r="V22" s="35">
        <v>583490.1</v>
      </c>
      <c r="W22" s="35">
        <f t="shared" si="5"/>
        <v>42.137736995688925</v>
      </c>
      <c r="X22" s="31">
        <f>+'[1]Agregados MesTrim'!B228</f>
        <v>572647.63636363635</v>
      </c>
      <c r="Y22" s="35">
        <f t="shared" si="6"/>
        <v>41.354729912801986</v>
      </c>
      <c r="Z22" s="33">
        <v>786936</v>
      </c>
      <c r="AA22" s="35">
        <f t="shared" si="7"/>
        <v>56.829931134117736</v>
      </c>
      <c r="AB22" s="36">
        <v>0.20303977272727272</v>
      </c>
      <c r="AC22" s="5">
        <v>64773</v>
      </c>
      <c r="AD22" s="13">
        <v>155000</v>
      </c>
      <c r="AE22" s="10">
        <v>156.39246515479579</v>
      </c>
      <c r="AF22" s="10">
        <v>170.59444311220642</v>
      </c>
      <c r="AG22" s="10">
        <v>146.44940216967262</v>
      </c>
      <c r="AH22" s="10">
        <v>160.97121774746842</v>
      </c>
      <c r="AI22" s="10">
        <v>402.05892896262026</v>
      </c>
      <c r="AJ22">
        <v>190.29916797000652</v>
      </c>
      <c r="AK22">
        <v>101.2473313969747</v>
      </c>
      <c r="AL22">
        <v>88.346200802672357</v>
      </c>
      <c r="AM22">
        <v>152.49881353115276</v>
      </c>
      <c r="AN22">
        <v>107.55707077053106</v>
      </c>
      <c r="AO22">
        <v>209.80011839750097</v>
      </c>
      <c r="AP22">
        <v>202.83486868671667</v>
      </c>
      <c r="AQ22">
        <v>196.19676500613252</v>
      </c>
      <c r="AR22">
        <v>168.26578433109248</v>
      </c>
      <c r="AS22">
        <v>198.86624079026382</v>
      </c>
      <c r="AT22">
        <v>41.501330666666668</v>
      </c>
      <c r="AU22" s="38">
        <v>142.78635162628271</v>
      </c>
      <c r="AV22" s="34">
        <f>+VLOOKUP(A22,'[2]Salario Real'!$A$5:$C$292,2)</f>
        <v>116.48997473806588</v>
      </c>
      <c r="AW22" s="31">
        <v>3357760</v>
      </c>
      <c r="AX22" s="17">
        <v>138.47210163652031</v>
      </c>
      <c r="AY22" s="17">
        <v>699.54200000000003</v>
      </c>
      <c r="AZ22" s="16">
        <v>1.705600851874292</v>
      </c>
      <c r="BA22">
        <v>166.88472770267029</v>
      </c>
      <c r="BB22">
        <v>141.71873319955728</v>
      </c>
    </row>
    <row r="23" spans="1:54" x14ac:dyDescent="0.25">
      <c r="A23" s="2">
        <v>41943</v>
      </c>
      <c r="B23" s="1">
        <v>5.0897459856809046E-3</v>
      </c>
      <c r="C23" s="31">
        <v>60845</v>
      </c>
      <c r="D23" s="31">
        <v>36717</v>
      </c>
      <c r="E23" s="31">
        <v>47628</v>
      </c>
      <c r="F23" s="31">
        <v>13936</v>
      </c>
      <c r="G23" s="31">
        <v>1115388</v>
      </c>
      <c r="H23" s="32">
        <v>191.42321622277001</v>
      </c>
      <c r="I23" s="11">
        <v>430.17771428571399</v>
      </c>
      <c r="J23" s="11">
        <v>511.619264887226</v>
      </c>
      <c r="K23" s="11">
        <v>230.62888888888801</v>
      </c>
      <c r="L23" s="9">
        <v>10269.40697505</v>
      </c>
      <c r="M23" s="9">
        <v>29239.781368219999</v>
      </c>
      <c r="N23" s="9">
        <v>24273.883351929999</v>
      </c>
      <c r="O23" s="35">
        <f t="shared" si="0"/>
        <v>0.73384194799634916</v>
      </c>
      <c r="P23" s="35">
        <f t="shared" si="1"/>
        <v>2.0894466613674592</v>
      </c>
      <c r="Q23" s="35">
        <f t="shared" si="2"/>
        <v>1.7345883640306043</v>
      </c>
      <c r="R23" s="33">
        <v>11019.43</v>
      </c>
      <c r="S23" s="33">
        <v>10542.193043478261</v>
      </c>
      <c r="T23" s="35">
        <f t="shared" si="3"/>
        <v>0.78743787218249151</v>
      </c>
      <c r="U23" s="35">
        <f t="shared" si="4"/>
        <v>0.75333497815164552</v>
      </c>
      <c r="V23" s="35">
        <v>514136.1</v>
      </c>
      <c r="W23" s="35">
        <f t="shared" si="5"/>
        <v>36.739671343817662</v>
      </c>
      <c r="X23" s="31">
        <f>+'[1]Agregados MesTrim'!B229</f>
        <v>589238.90909090906</v>
      </c>
      <c r="Y23" s="35">
        <f t="shared" si="6"/>
        <v>42.106445867134511</v>
      </c>
      <c r="Z23" s="33">
        <v>807131</v>
      </c>
      <c r="AA23" s="35">
        <f t="shared" si="7"/>
        <v>57.676805171640147</v>
      </c>
      <c r="AB23" s="36">
        <v>0.20008522727272726</v>
      </c>
      <c r="AC23" s="5">
        <v>65509</v>
      </c>
      <c r="AD23" s="13">
        <v>155000</v>
      </c>
      <c r="AE23" s="10">
        <v>155.66734235996546</v>
      </c>
      <c r="AF23" s="10">
        <v>172.72988861591276</v>
      </c>
      <c r="AG23" s="10">
        <v>146.24106102424008</v>
      </c>
      <c r="AH23" s="10">
        <v>161.11771169510715</v>
      </c>
      <c r="AI23" s="10">
        <v>426.40956341637616</v>
      </c>
      <c r="AJ23">
        <v>189.17206229814144</v>
      </c>
      <c r="AK23">
        <v>114.86471854065516</v>
      </c>
      <c r="AL23">
        <v>82.317477553182258</v>
      </c>
      <c r="AM23">
        <v>148.06623567576162</v>
      </c>
      <c r="AN23">
        <v>113.50876747429213</v>
      </c>
      <c r="AO23">
        <v>204.37196060917134</v>
      </c>
      <c r="AP23">
        <v>213.73777986841966</v>
      </c>
      <c r="AQ23">
        <v>207.25042341769583</v>
      </c>
      <c r="AR23">
        <v>165.44984190687202</v>
      </c>
      <c r="AS23">
        <v>212.58773844370995</v>
      </c>
      <c r="AT23">
        <v>43.944060500000006</v>
      </c>
      <c r="AU23" s="38">
        <v>139.75490960420396</v>
      </c>
      <c r="AV23" s="34">
        <f>+VLOOKUP(A23,'[2]Salario Real'!$A$5:$C$292,2)</f>
        <v>117.15133977145516</v>
      </c>
      <c r="AW23" s="31">
        <v>3137103</v>
      </c>
      <c r="AX23" s="17">
        <v>139.94031007751946</v>
      </c>
      <c r="AY23" s="17">
        <v>703.01299999999992</v>
      </c>
      <c r="AZ23" s="16">
        <v>1.6466781670144071</v>
      </c>
      <c r="BA23">
        <v>166.14669799341661</v>
      </c>
      <c r="BB23">
        <v>143.34939741761289</v>
      </c>
    </row>
    <row r="24" spans="1:54" x14ac:dyDescent="0.25">
      <c r="A24" s="2">
        <v>41971</v>
      </c>
      <c r="B24" s="1">
        <v>5.0897459856809046E-3</v>
      </c>
      <c r="C24" s="31">
        <v>54557</v>
      </c>
      <c r="D24" s="31">
        <v>39108</v>
      </c>
      <c r="E24" s="31">
        <v>41380</v>
      </c>
      <c r="F24" s="31">
        <v>9652</v>
      </c>
      <c r="G24" s="31">
        <v>1010068</v>
      </c>
      <c r="H24" s="32">
        <v>188.46482887768701</v>
      </c>
      <c r="I24" s="11">
        <v>398.35018666666599</v>
      </c>
      <c r="J24" s="11">
        <v>441.97704363737603</v>
      </c>
      <c r="K24" s="11">
        <v>210.09849206349199</v>
      </c>
      <c r="L24" s="9">
        <v>7056.1913826199998</v>
      </c>
      <c r="M24" s="9">
        <v>29763.62301892</v>
      </c>
      <c r="N24" s="9">
        <v>24704.187869180001</v>
      </c>
      <c r="O24" s="35">
        <f t="shared" si="0"/>
        <v>0.49635007871705328</v>
      </c>
      <c r="P24" s="35">
        <f t="shared" si="1"/>
        <v>2.0936473838752776</v>
      </c>
      <c r="Q24" s="35">
        <f t="shared" si="2"/>
        <v>1.7377541124678866</v>
      </c>
      <c r="R24" s="33">
        <v>9808.6</v>
      </c>
      <c r="S24" s="33">
        <v>10191.988000000001</v>
      </c>
      <c r="T24" s="35">
        <f t="shared" si="3"/>
        <v>0.68996135707084383</v>
      </c>
      <c r="U24" s="35">
        <f t="shared" si="4"/>
        <v>0.71692982400442018</v>
      </c>
      <c r="V24" s="35">
        <v>451231.7</v>
      </c>
      <c r="W24" s="35">
        <f t="shared" si="5"/>
        <v>31.740761789183356</v>
      </c>
      <c r="X24" s="31">
        <f>+'[1]Agregados MesTrim'!B230</f>
        <v>602345.22222222225</v>
      </c>
      <c r="Y24" s="35">
        <f t="shared" si="6"/>
        <v>42.370463363740335</v>
      </c>
      <c r="Z24" s="33">
        <v>850471</v>
      </c>
      <c r="AA24" s="35">
        <f t="shared" si="7"/>
        <v>59.824248650102724</v>
      </c>
      <c r="AB24" s="36">
        <v>0.19802083333333331</v>
      </c>
      <c r="AC24" s="5">
        <v>58099</v>
      </c>
      <c r="AD24" s="13">
        <v>130000</v>
      </c>
      <c r="AE24" s="10">
        <v>156.19531626553686</v>
      </c>
      <c r="AF24" s="10">
        <v>153.84984100088442</v>
      </c>
      <c r="AG24" s="10">
        <v>134.89424425558877</v>
      </c>
      <c r="AH24" s="10">
        <v>151.29142872734829</v>
      </c>
      <c r="AI24" s="10">
        <v>353.75514014953097</v>
      </c>
      <c r="AJ24">
        <v>168.12861084639698</v>
      </c>
      <c r="AK24">
        <v>103.5983680785981</v>
      </c>
      <c r="AL24">
        <v>82.724035677604093</v>
      </c>
      <c r="AM24">
        <v>157.63007229952359</v>
      </c>
      <c r="AN24">
        <v>102.42774937315113</v>
      </c>
      <c r="AO24">
        <v>187.17006317903429</v>
      </c>
      <c r="AP24">
        <v>194.49982230460054</v>
      </c>
      <c r="AQ24">
        <v>203.29744399593164</v>
      </c>
      <c r="AR24">
        <v>147.77299569417352</v>
      </c>
      <c r="AS24">
        <v>190.74373533098409</v>
      </c>
      <c r="AT24">
        <v>43.662337999999998</v>
      </c>
      <c r="AU24" s="38">
        <v>140.42575136503825</v>
      </c>
      <c r="AV24" s="34">
        <f>+VLOOKUP(A24,'[2]Salario Real'!$A$5:$C$292,2)</f>
        <v>116.86328029721781</v>
      </c>
      <c r="AW24" s="31">
        <v>3192368</v>
      </c>
      <c r="AX24" s="17">
        <v>142.16158484065468</v>
      </c>
      <c r="AY24" s="17">
        <v>687.06500000000005</v>
      </c>
      <c r="AZ24" s="16">
        <v>1.602982404151861</v>
      </c>
      <c r="BA24">
        <v>166.25154009270082</v>
      </c>
      <c r="BB24">
        <v>140.87759689826311</v>
      </c>
    </row>
    <row r="25" spans="1:54" x14ac:dyDescent="0.25">
      <c r="A25" s="2">
        <v>42004</v>
      </c>
      <c r="B25" s="1">
        <v>5.0897459856809046E-3</v>
      </c>
      <c r="C25" s="31">
        <v>40636</v>
      </c>
      <c r="D25" s="31">
        <v>29047</v>
      </c>
      <c r="E25" s="31">
        <v>52796</v>
      </c>
      <c r="F25" s="31">
        <v>11762</v>
      </c>
      <c r="G25" s="31">
        <v>905468</v>
      </c>
      <c r="H25" s="32">
        <v>182.55579519797701</v>
      </c>
      <c r="I25" s="11">
        <v>372.37082666666601</v>
      </c>
      <c r="J25" s="11">
        <v>405.62773380007098</v>
      </c>
      <c r="K25" s="11">
        <v>193.502063492063</v>
      </c>
      <c r="L25" s="9">
        <v>7532.4937843900007</v>
      </c>
      <c r="M25" s="9">
        <v>30427.055148169999</v>
      </c>
      <c r="N25" s="9">
        <v>25870.496416530001</v>
      </c>
      <c r="O25" s="35">
        <f t="shared" si="0"/>
        <v>0.51309660956470671</v>
      </c>
      <c r="P25" s="35">
        <f t="shared" si="1"/>
        <v>2.0726228633494559</v>
      </c>
      <c r="Q25" s="35">
        <f t="shared" si="2"/>
        <v>1.7622402857584836</v>
      </c>
      <c r="R25" s="33">
        <v>8579.02</v>
      </c>
      <c r="S25" s="33">
        <v>8591.5213043478252</v>
      </c>
      <c r="T25" s="35">
        <f t="shared" si="3"/>
        <v>0.58438363195334309</v>
      </c>
      <c r="U25" s="35">
        <f t="shared" si="4"/>
        <v>0.58523519281215153</v>
      </c>
      <c r="V25" s="35">
        <v>414609.5</v>
      </c>
      <c r="W25" s="35">
        <f t="shared" si="5"/>
        <v>28.24227073166394</v>
      </c>
      <c r="X25" s="31">
        <f>+'[1]Agregados MesTrim'!B231</f>
        <v>650424.84210526315</v>
      </c>
      <c r="Y25" s="35">
        <f t="shared" si="6"/>
        <v>44.30548378977474</v>
      </c>
      <c r="Z25" s="33">
        <v>902420</v>
      </c>
      <c r="AA25" s="35">
        <f t="shared" si="7"/>
        <v>61.470829669045628</v>
      </c>
      <c r="AB25" s="36">
        <v>0.20009868421052629</v>
      </c>
      <c r="AC25" s="5">
        <v>64958</v>
      </c>
      <c r="AD25" s="13">
        <v>135000</v>
      </c>
      <c r="AE25" s="10">
        <v>152.46302684928355</v>
      </c>
      <c r="AF25" s="10">
        <v>161.21056046408833</v>
      </c>
      <c r="AG25" s="10">
        <v>105.80756985832896</v>
      </c>
      <c r="AH25" s="10">
        <v>143.65244480651492</v>
      </c>
      <c r="AI25" s="10">
        <v>316.894334887752</v>
      </c>
      <c r="AJ25">
        <v>172.72462531093001</v>
      </c>
      <c r="AK25">
        <v>120.68895222075989</v>
      </c>
      <c r="AL25">
        <v>72.059155636162899</v>
      </c>
      <c r="AM25">
        <v>162.43792275698166</v>
      </c>
      <c r="AN25">
        <v>112.69781722777856</v>
      </c>
      <c r="AO25">
        <v>163.66863905076559</v>
      </c>
      <c r="AP25">
        <v>182.76726396567011</v>
      </c>
      <c r="AQ25">
        <v>204.28064756478031</v>
      </c>
      <c r="AR25">
        <v>128.15282735950242</v>
      </c>
      <c r="AS25">
        <v>140.90934880249679</v>
      </c>
      <c r="AT25">
        <v>44.224994666666667</v>
      </c>
      <c r="AU25" s="38">
        <v>139.78479362392551</v>
      </c>
      <c r="AV25" s="34">
        <f>+VLOOKUP(A25,'[2]Salario Real'!$A$5:$C$292,2)</f>
        <v>115.91840807378175</v>
      </c>
      <c r="AW25" s="31">
        <v>2484742</v>
      </c>
      <c r="AX25" s="17">
        <v>146.8045908699398</v>
      </c>
      <c r="AY25" s="17">
        <v>719.096</v>
      </c>
      <c r="AZ25" s="16">
        <v>1.6356936945944143</v>
      </c>
      <c r="BA25">
        <v>164.55297156003004</v>
      </c>
      <c r="BB25">
        <v>140.43593774912819</v>
      </c>
    </row>
    <row r="26" spans="1:54" x14ac:dyDescent="0.25">
      <c r="A26" s="2">
        <v>42034</v>
      </c>
      <c r="B26" s="1">
        <v>1.4049346587396982E-2</v>
      </c>
      <c r="C26" s="31">
        <v>25625</v>
      </c>
      <c r="D26" s="31">
        <v>7534</v>
      </c>
      <c r="E26" s="31">
        <v>32475</v>
      </c>
      <c r="F26" s="31">
        <v>6734</v>
      </c>
      <c r="G26" s="31">
        <v>944789</v>
      </c>
      <c r="H26" s="32">
        <v>188.05288985047201</v>
      </c>
      <c r="I26" s="11">
        <v>383.9</v>
      </c>
      <c r="J26" s="11">
        <v>385.9</v>
      </c>
      <c r="K26" s="11">
        <v>152.6</v>
      </c>
      <c r="L26" s="9">
        <v>7182.4642662400001</v>
      </c>
      <c r="M26" s="9">
        <v>33544.736566799998</v>
      </c>
      <c r="N26" s="9">
        <v>25875.004118410001</v>
      </c>
      <c r="O26" s="35">
        <f t="shared" si="0"/>
        <v>0.4801455545962296</v>
      </c>
      <c r="P26" s="35">
        <f t="shared" si="1"/>
        <v>2.2424554506112759</v>
      </c>
      <c r="Q26" s="35">
        <f t="shared" si="2"/>
        <v>1.7297361660411719</v>
      </c>
      <c r="R26" s="33">
        <v>8490.4599999999991</v>
      </c>
      <c r="S26" s="33">
        <v>8521.7545454545452</v>
      </c>
      <c r="T26" s="35">
        <f t="shared" si="3"/>
        <v>0.56758467210742169</v>
      </c>
      <c r="U26" s="35">
        <f t="shared" si="4"/>
        <v>0.56967670296565187</v>
      </c>
      <c r="V26" s="35">
        <v>406652.7</v>
      </c>
      <c r="W26" s="35">
        <f t="shared" si="5"/>
        <v>27.184609478296551</v>
      </c>
      <c r="X26" s="31">
        <f>+'[1]Agregados MesTrim'!B232</f>
        <v>642857.38095238095</v>
      </c>
      <c r="Y26" s="35">
        <f t="shared" si="6"/>
        <v>42.974820655146253</v>
      </c>
      <c r="Z26" s="33">
        <v>853378</v>
      </c>
      <c r="AA26" s="35">
        <f t="shared" si="7"/>
        <v>57.048060094940354</v>
      </c>
      <c r="AB26" s="36">
        <v>0.20232142857142857</v>
      </c>
      <c r="AC26" s="5">
        <v>63944</v>
      </c>
      <c r="AD26" s="13">
        <v>145000</v>
      </c>
      <c r="AE26" s="10">
        <v>154.96838931793258</v>
      </c>
      <c r="AF26" s="10">
        <v>146.9593598197844</v>
      </c>
      <c r="AG26" s="10">
        <v>70.737119558570924</v>
      </c>
      <c r="AH26" s="10">
        <v>144.0574591797546</v>
      </c>
      <c r="AI26" s="10">
        <v>221.13485084291099</v>
      </c>
      <c r="AJ26">
        <v>159.80277752163971</v>
      </c>
      <c r="AK26">
        <v>101.75934162093176</v>
      </c>
      <c r="AL26">
        <v>67.997802877494195</v>
      </c>
      <c r="AM26">
        <v>153.63740808327165</v>
      </c>
      <c r="AN26">
        <v>112.69244372446823</v>
      </c>
      <c r="AO26">
        <v>170.5214869390249</v>
      </c>
      <c r="AP26">
        <v>188.94239570352511</v>
      </c>
      <c r="AQ26">
        <v>180.75315665189044</v>
      </c>
      <c r="AR26">
        <v>91.139500734645026</v>
      </c>
      <c r="AS26">
        <v>87.27331172243268</v>
      </c>
      <c r="AT26">
        <v>49.948658000000002</v>
      </c>
      <c r="AU26" s="38">
        <v>138.13657521568527</v>
      </c>
      <c r="AV26" s="34">
        <f>+VLOOKUP(A26,'[2]Salario Real'!$A$5:$C$292,2)</f>
        <v>115.58442462523763</v>
      </c>
      <c r="AW26" s="31">
        <v>1792222</v>
      </c>
      <c r="AX26" s="17">
        <v>149.5893109388459</v>
      </c>
      <c r="AY26" s="17">
        <v>742</v>
      </c>
      <c r="AZ26" s="16">
        <v>1.8263827843473677</v>
      </c>
      <c r="BA26">
        <v>166.28982247390701</v>
      </c>
      <c r="BB26">
        <v>133.99818907035032</v>
      </c>
    </row>
    <row r="27" spans="1:54" x14ac:dyDescent="0.25">
      <c r="A27" s="2">
        <v>42062</v>
      </c>
      <c r="B27" s="1">
        <v>1.4049346587396982E-2</v>
      </c>
      <c r="C27" s="31">
        <v>44164</v>
      </c>
      <c r="D27" s="31">
        <v>23728</v>
      </c>
      <c r="E27" s="31">
        <v>42364</v>
      </c>
      <c r="F27" s="31">
        <v>12152</v>
      </c>
      <c r="G27" s="31">
        <v>897752</v>
      </c>
      <c r="H27" s="32">
        <v>196.551325349217</v>
      </c>
      <c r="I27" s="11">
        <v>310.89999999999998</v>
      </c>
      <c r="J27" s="11">
        <v>376.7</v>
      </c>
      <c r="K27" s="11">
        <v>138.30000000000001</v>
      </c>
      <c r="L27" s="9">
        <v>5638.3017321199995</v>
      </c>
      <c r="M27" s="9">
        <v>31013.172527570001</v>
      </c>
      <c r="N27" s="9">
        <v>25165.096307880001</v>
      </c>
      <c r="O27" s="35">
        <f t="shared" si="0"/>
        <v>0.37061015751057858</v>
      </c>
      <c r="P27" s="35">
        <f t="shared" si="1"/>
        <v>2.0385210479013871</v>
      </c>
      <c r="Q27" s="35">
        <f t="shared" si="2"/>
        <v>1.6541222427494224</v>
      </c>
      <c r="R27" s="33">
        <v>9601.61</v>
      </c>
      <c r="S27" s="33">
        <v>9298.7979999999989</v>
      </c>
      <c r="T27" s="35">
        <f t="shared" si="3"/>
        <v>0.63112163263337262</v>
      </c>
      <c r="U27" s="35">
        <f t="shared" si="4"/>
        <v>0.61121755364860042</v>
      </c>
      <c r="V27" s="35">
        <v>450984.4</v>
      </c>
      <c r="W27" s="35">
        <f t="shared" si="5"/>
        <v>29.643571319828858</v>
      </c>
      <c r="X27" s="31">
        <f>+'[1]Agregados MesTrim'!B233</f>
        <v>634988.4444444445</v>
      </c>
      <c r="Y27" s="35">
        <f t="shared" si="6"/>
        <v>41.738306779915391</v>
      </c>
      <c r="Z27" s="33">
        <v>869959</v>
      </c>
      <c r="AA27" s="35">
        <f t="shared" si="7"/>
        <v>57.183112457608267</v>
      </c>
      <c r="AB27" s="36">
        <v>0.20663194444444444</v>
      </c>
      <c r="AC27" s="5">
        <v>57468</v>
      </c>
      <c r="AD27" s="13">
        <v>130000</v>
      </c>
      <c r="AE27" s="10">
        <v>156.33630238400522</v>
      </c>
      <c r="AF27" s="10">
        <v>135.29680474240337</v>
      </c>
      <c r="AG27" s="10">
        <v>104.39111848408815</v>
      </c>
      <c r="AH27" s="10">
        <v>137.07183310135247</v>
      </c>
      <c r="AI27" s="10">
        <v>313.99832108536071</v>
      </c>
      <c r="AJ27">
        <v>145.16831810275363</v>
      </c>
      <c r="AK27">
        <v>100.55585074589877</v>
      </c>
      <c r="AL27">
        <v>87.727907846360168</v>
      </c>
      <c r="AM27">
        <v>149.95788822834638</v>
      </c>
      <c r="AN27">
        <v>100.67272325679677</v>
      </c>
      <c r="AO27">
        <v>167.15668835939633</v>
      </c>
      <c r="AP27">
        <v>175.69988925904687</v>
      </c>
      <c r="AQ27">
        <v>171.56864984076734</v>
      </c>
      <c r="AR27">
        <v>115.85241832850078</v>
      </c>
      <c r="AS27">
        <v>159.5297197433764</v>
      </c>
      <c r="AT27">
        <v>50.473072000000002</v>
      </c>
      <c r="AU27" s="38">
        <v>144.16098552294204</v>
      </c>
      <c r="AV27" s="34">
        <f>+VLOOKUP(A27,'[2]Salario Real'!$A$5:$C$292,2)</f>
        <v>114.20141813397255</v>
      </c>
      <c r="AW27" s="31">
        <v>2110764</v>
      </c>
      <c r="AX27" s="17">
        <v>152.13565030146432</v>
      </c>
      <c r="AY27" s="17">
        <v>618</v>
      </c>
      <c r="AZ27" s="16">
        <v>1.6532339182167539</v>
      </c>
      <c r="BA27">
        <v>167.42377965542923</v>
      </c>
      <c r="BB27">
        <v>132.62788695577399</v>
      </c>
    </row>
    <row r="28" spans="1:54" x14ac:dyDescent="0.25">
      <c r="A28" s="2">
        <v>42094</v>
      </c>
      <c r="B28" s="1">
        <v>1.4049346587396982E-2</v>
      </c>
      <c r="C28" s="31">
        <v>50438</v>
      </c>
      <c r="D28" s="31">
        <v>27701</v>
      </c>
      <c r="E28" s="31">
        <v>50454</v>
      </c>
      <c r="F28" s="31">
        <v>12516</v>
      </c>
      <c r="G28" s="31">
        <v>979452</v>
      </c>
      <c r="H28" s="32">
        <v>187.006467331148</v>
      </c>
      <c r="I28" s="11">
        <v>293</v>
      </c>
      <c r="J28" s="11">
        <v>429.8</v>
      </c>
      <c r="K28" s="11">
        <v>187.9</v>
      </c>
      <c r="L28" s="9">
        <v>7453.1863483200004</v>
      </c>
      <c r="M28" s="9">
        <v>33906.506200119999</v>
      </c>
      <c r="N28" s="9">
        <v>20939.022066199999</v>
      </c>
      <c r="O28" s="35">
        <f t="shared" si="0"/>
        <v>0.4845718280300626</v>
      </c>
      <c r="P28" s="35">
        <f t="shared" si="1"/>
        <v>2.204444773503921</v>
      </c>
      <c r="Q28" s="35">
        <f t="shared" si="2"/>
        <v>1.3613587163384739</v>
      </c>
      <c r="R28" s="33">
        <v>10837.23</v>
      </c>
      <c r="S28" s="33">
        <v>10528.21363636364</v>
      </c>
      <c r="T28" s="35">
        <f t="shared" si="3"/>
        <v>0.7045867507480128</v>
      </c>
      <c r="U28" s="35">
        <f t="shared" si="4"/>
        <v>0.68449593089990501</v>
      </c>
      <c r="V28" s="35">
        <v>488584.7</v>
      </c>
      <c r="W28" s="35">
        <f t="shared" si="5"/>
        <v>31.765525529881028</v>
      </c>
      <c r="X28" s="31">
        <f>+'[1]Agregados MesTrim'!B234</f>
        <v>650693.19999999995</v>
      </c>
      <c r="Y28" s="35">
        <f t="shared" si="6"/>
        <v>42.305073115715622</v>
      </c>
      <c r="Z28" s="33">
        <v>903373</v>
      </c>
      <c r="AA28" s="35">
        <f t="shared" si="7"/>
        <v>58.733149225723224</v>
      </c>
      <c r="AB28" s="36">
        <v>0.20903125</v>
      </c>
      <c r="AC28" s="5">
        <v>62402</v>
      </c>
      <c r="AD28" s="13">
        <v>134529</v>
      </c>
      <c r="AE28" s="10">
        <v>156.52001804507148</v>
      </c>
      <c r="AF28" s="10">
        <v>148.88426941325272</v>
      </c>
      <c r="AG28" s="10">
        <v>149.81000135487278</v>
      </c>
      <c r="AH28" s="10">
        <v>158.99147998288831</v>
      </c>
      <c r="AI28" s="10">
        <v>406.27106929354574</v>
      </c>
      <c r="AJ28">
        <v>158.83770952536304</v>
      </c>
      <c r="AK28">
        <v>113.85498946204579</v>
      </c>
      <c r="AL28">
        <v>104.81565216231674</v>
      </c>
      <c r="AM28">
        <v>159.15042294659202</v>
      </c>
      <c r="AN28">
        <v>113.1335875757149</v>
      </c>
      <c r="AO28">
        <v>199.88660009125269</v>
      </c>
      <c r="AP28">
        <v>193.0992210924133</v>
      </c>
      <c r="AQ28">
        <v>193.77815225455294</v>
      </c>
      <c r="AR28">
        <v>181.14611487123256</v>
      </c>
      <c r="AS28">
        <v>184.53931365934559</v>
      </c>
      <c r="AT28">
        <v>52.600951999999999</v>
      </c>
      <c r="AU28" s="38">
        <v>145.31387332152212</v>
      </c>
      <c r="AV28" s="34">
        <f>+VLOOKUP(A28,'[2]Salario Real'!$A$5:$C$292,2)</f>
        <v>113.73603007877846</v>
      </c>
      <c r="AW28" s="31">
        <v>2273908</v>
      </c>
      <c r="AX28" s="17">
        <v>153.80973298880281</v>
      </c>
      <c r="AY28" s="17">
        <v>612</v>
      </c>
      <c r="AZ28" s="16">
        <v>1.8635460477543626</v>
      </c>
      <c r="BA28">
        <v>168.74171715611357</v>
      </c>
      <c r="BB28">
        <v>149.4090129833281</v>
      </c>
    </row>
    <row r="29" spans="1:54" x14ac:dyDescent="0.25">
      <c r="A29" s="2">
        <v>42124</v>
      </c>
      <c r="B29" s="1">
        <v>2.5375626964342146E-2</v>
      </c>
      <c r="C29" s="31">
        <v>44638</v>
      </c>
      <c r="D29" s="31">
        <v>20459</v>
      </c>
      <c r="E29" s="31">
        <v>43819</v>
      </c>
      <c r="F29" s="31">
        <v>11376</v>
      </c>
      <c r="G29" s="31">
        <v>1054083</v>
      </c>
      <c r="H29" s="32">
        <v>205.35381650342001</v>
      </c>
      <c r="I29" s="11">
        <v>277.3</v>
      </c>
      <c r="J29" s="11">
        <v>383.8</v>
      </c>
      <c r="K29" s="11">
        <v>167.3</v>
      </c>
      <c r="L29" s="9">
        <v>11530.413274800001</v>
      </c>
      <c r="M29" s="9">
        <v>33589.669528569997</v>
      </c>
      <c r="N29" s="9">
        <v>21325.15709809</v>
      </c>
      <c r="O29" s="35">
        <f t="shared" si="0"/>
        <v>0.74166038840369497</v>
      </c>
      <c r="P29" s="35">
        <f t="shared" si="1"/>
        <v>2.1605580611197208</v>
      </c>
      <c r="Q29" s="35">
        <f t="shared" si="2"/>
        <v>1.3716788738791823</v>
      </c>
      <c r="R29" s="33">
        <v>12050.19</v>
      </c>
      <c r="S29" s="33">
        <v>11723.932272727272</v>
      </c>
      <c r="T29" s="35">
        <f t="shared" si="3"/>
        <v>0.77509351857063757</v>
      </c>
      <c r="U29" s="35">
        <f t="shared" si="4"/>
        <v>0.75410793661776554</v>
      </c>
      <c r="V29" s="35">
        <v>516772.5</v>
      </c>
      <c r="W29" s="35">
        <f t="shared" si="5"/>
        <v>33.239892095107614</v>
      </c>
      <c r="X29" s="31">
        <f>+'[1]Agregados MesTrim'!B235</f>
        <v>668649.44999999995</v>
      </c>
      <c r="Y29" s="35">
        <f t="shared" si="6"/>
        <v>43.008936364557037</v>
      </c>
      <c r="Z29" s="33">
        <v>905977</v>
      </c>
      <c r="AA29" s="35">
        <f t="shared" si="7"/>
        <v>58.274342618172042</v>
      </c>
      <c r="AB29" s="36">
        <v>0.20815625000000001</v>
      </c>
      <c r="AC29" s="5">
        <v>63834</v>
      </c>
      <c r="AD29" s="13">
        <v>140000</v>
      </c>
      <c r="AE29" s="10">
        <v>161.90462467344187</v>
      </c>
      <c r="AF29" s="10">
        <v>153.31415173731307</v>
      </c>
      <c r="AG29" s="10">
        <v>157.60229372604005</v>
      </c>
      <c r="AH29" s="10">
        <v>158.76194543373933</v>
      </c>
      <c r="AI29" s="10">
        <v>359.87701825374052</v>
      </c>
      <c r="AJ29">
        <v>167.9230245178799</v>
      </c>
      <c r="AK29">
        <v>101.90094297350008</v>
      </c>
      <c r="AL29">
        <v>104.03236305128988</v>
      </c>
      <c r="AM29">
        <v>143.4200809599395</v>
      </c>
      <c r="AN29">
        <v>110.47500105648682</v>
      </c>
      <c r="AO29">
        <v>208.09160718443849</v>
      </c>
      <c r="AP29">
        <v>183.17935997717282</v>
      </c>
      <c r="AQ29">
        <v>179.69006337297765</v>
      </c>
      <c r="AR29">
        <v>192.00221532221758</v>
      </c>
      <c r="AS29">
        <v>166.68242840524374</v>
      </c>
      <c r="AT29">
        <v>52.85</v>
      </c>
      <c r="AU29" s="38">
        <v>143.25441780137362</v>
      </c>
      <c r="AV29" s="34">
        <f>+VLOOKUP(A29,'[2]Salario Real'!$A$5:$C$292,2)</f>
        <v>113.11806921305056</v>
      </c>
      <c r="AW29" s="31">
        <v>4254531</v>
      </c>
      <c r="AX29" s="17">
        <v>155.46756244616714</v>
      </c>
      <c r="AY29" s="17">
        <v>616</v>
      </c>
      <c r="AZ29" s="16">
        <v>1.8962349723520875</v>
      </c>
      <c r="BA29">
        <v>173.06129235957403</v>
      </c>
      <c r="BB29">
        <v>157.4845995373143</v>
      </c>
    </row>
    <row r="30" spans="1:54" x14ac:dyDescent="0.25">
      <c r="A30" s="2">
        <v>42153</v>
      </c>
      <c r="B30" s="1">
        <v>2.5375626964342146E-2</v>
      </c>
      <c r="C30" s="31">
        <v>44003</v>
      </c>
      <c r="D30" s="31">
        <v>21549</v>
      </c>
      <c r="E30" s="31">
        <v>50380</v>
      </c>
      <c r="F30" s="31">
        <v>14037</v>
      </c>
      <c r="G30" s="31">
        <v>1001776</v>
      </c>
      <c r="H30" s="32">
        <v>200.600773937903</v>
      </c>
      <c r="I30" s="11">
        <v>333.3</v>
      </c>
      <c r="J30" s="11">
        <v>410.9</v>
      </c>
      <c r="K30" s="11">
        <v>160.69999999999999</v>
      </c>
      <c r="L30" s="9">
        <v>10823.22188664</v>
      </c>
      <c r="M30" s="9">
        <v>32448.20572795</v>
      </c>
      <c r="N30" s="9">
        <v>44918.684725550003</v>
      </c>
      <c r="O30" s="35">
        <f t="shared" si="0"/>
        <v>0.67814120848344772</v>
      </c>
      <c r="P30" s="35">
        <f t="shared" si="1"/>
        <v>2.0330790291413576</v>
      </c>
      <c r="Q30" s="35">
        <f t="shared" si="2"/>
        <v>2.8144309949768531</v>
      </c>
      <c r="R30" s="33">
        <v>10800.86</v>
      </c>
      <c r="S30" s="33">
        <v>11818.306190476191</v>
      </c>
      <c r="T30" s="35">
        <f t="shared" si="3"/>
        <v>0.67674009918449329</v>
      </c>
      <c r="U30" s="35">
        <f t="shared" si="4"/>
        <v>0.7404893409909552</v>
      </c>
      <c r="V30" s="35">
        <v>469133.8</v>
      </c>
      <c r="W30" s="35">
        <f t="shared" si="5"/>
        <v>29.394108834185257</v>
      </c>
      <c r="X30" s="31">
        <f>+'[1]Agregados MesTrim'!B236</f>
        <v>685194.10526315786</v>
      </c>
      <c r="Y30" s="35">
        <f t="shared" si="6"/>
        <v>42.931611626890778</v>
      </c>
      <c r="Z30" s="33">
        <v>941791</v>
      </c>
      <c r="AA30" s="35">
        <f t="shared" si="7"/>
        <v>59.008980280372398</v>
      </c>
      <c r="AB30" s="36">
        <v>0.20259868421052629</v>
      </c>
      <c r="AC30" s="5">
        <v>58361</v>
      </c>
      <c r="AD30" s="13">
        <v>135000</v>
      </c>
      <c r="AE30" s="10">
        <v>158.20320244155269</v>
      </c>
      <c r="AF30" s="10">
        <v>146.2466549789641</v>
      </c>
      <c r="AG30" s="10">
        <v>148.18327409594991</v>
      </c>
      <c r="AH30" s="10">
        <v>160.18036832280924</v>
      </c>
      <c r="AI30" s="10">
        <v>375.10277997916467</v>
      </c>
      <c r="AJ30">
        <v>159.32450328996811</v>
      </c>
      <c r="AK30">
        <v>100.22160188318081</v>
      </c>
      <c r="AL30">
        <v>104.64078695441845</v>
      </c>
      <c r="AM30">
        <v>148.77470705963609</v>
      </c>
      <c r="AN30">
        <v>111.65710133821665</v>
      </c>
      <c r="AO30">
        <v>215.01695818594516</v>
      </c>
      <c r="AP30">
        <v>161.22730412487681</v>
      </c>
      <c r="AQ30">
        <v>191.06688394671781</v>
      </c>
      <c r="AR30">
        <v>183.79503159449843</v>
      </c>
      <c r="AS30">
        <v>164.00303510529625</v>
      </c>
      <c r="AT30">
        <v>54.994553000000003</v>
      </c>
      <c r="AU30" s="38">
        <v>138.94346642648296</v>
      </c>
      <c r="AV30" s="34">
        <f>+VLOOKUP(A30,'[2]Salario Real'!$A$5:$C$292,2)</f>
        <v>115.81516233487645</v>
      </c>
      <c r="AW30" s="31">
        <v>3588586</v>
      </c>
      <c r="AX30" s="17">
        <v>159.60130060292857</v>
      </c>
      <c r="AY30" s="17">
        <v>601</v>
      </c>
      <c r="AZ30" s="16">
        <v>2.0906344709805413</v>
      </c>
      <c r="BA30">
        <v>169.77132476358648</v>
      </c>
      <c r="BB30">
        <v>168.88610058983411</v>
      </c>
    </row>
    <row r="31" spans="1:54" x14ac:dyDescent="0.25">
      <c r="A31" s="2">
        <v>42185</v>
      </c>
      <c r="B31" s="1">
        <v>2.5375626964342146E-2</v>
      </c>
      <c r="C31" s="31">
        <v>51995</v>
      </c>
      <c r="D31" s="31">
        <v>21543</v>
      </c>
      <c r="E31" s="31">
        <v>57867</v>
      </c>
      <c r="F31" s="31">
        <v>16611</v>
      </c>
      <c r="G31" s="31">
        <v>1060456</v>
      </c>
      <c r="H31" s="32">
        <v>204.56325866351099</v>
      </c>
      <c r="I31" s="11">
        <v>312.39999999999998</v>
      </c>
      <c r="J31" s="11">
        <v>444.6</v>
      </c>
      <c r="K31" s="11">
        <v>163</v>
      </c>
      <c r="L31" s="9">
        <v>13291.88909384</v>
      </c>
      <c r="M31" s="9">
        <v>34052.352089860004</v>
      </c>
      <c r="N31" s="9">
        <v>43050.180609620002</v>
      </c>
      <c r="O31" s="35">
        <f t="shared" si="0"/>
        <v>0.81173887006421108</v>
      </c>
      <c r="P31" s="35">
        <f t="shared" si="1"/>
        <v>2.0795853481249615</v>
      </c>
      <c r="Q31" s="35">
        <f t="shared" si="2"/>
        <v>2.6290849041396469</v>
      </c>
      <c r="R31" s="33">
        <v>11656.81</v>
      </c>
      <c r="S31" s="33">
        <v>11343.022727272728</v>
      </c>
      <c r="T31" s="35">
        <f t="shared" si="3"/>
        <v>0.71188419577909368</v>
      </c>
      <c r="U31" s="35">
        <f t="shared" si="4"/>
        <v>0.69272113141661651</v>
      </c>
      <c r="V31" s="35">
        <v>493583.6</v>
      </c>
      <c r="W31" s="35">
        <f t="shared" si="5"/>
        <v>30.143269396665975</v>
      </c>
      <c r="X31" s="31">
        <f>+'[1]Agregados MesTrim'!B237</f>
        <v>710819.63636363635</v>
      </c>
      <c r="Y31" s="35">
        <f t="shared" si="6"/>
        <v>43.409926487325016</v>
      </c>
      <c r="Z31" s="33">
        <v>1005235</v>
      </c>
      <c r="AA31" s="35">
        <f t="shared" si="7"/>
        <v>61.389943693342978</v>
      </c>
      <c r="AB31" s="36">
        <v>0.20477272727272727</v>
      </c>
      <c r="AC31" s="5">
        <v>63695</v>
      </c>
      <c r="AD31" s="13">
        <v>150000</v>
      </c>
      <c r="AE31" s="10">
        <v>161.97571953930182</v>
      </c>
      <c r="AF31" s="10">
        <v>160.06783987843883</v>
      </c>
      <c r="AG31" s="10">
        <v>151.51091419895423</v>
      </c>
      <c r="AH31" s="10">
        <v>158.72379722519901</v>
      </c>
      <c r="AI31" s="10">
        <v>406.85144796186916</v>
      </c>
      <c r="AJ31">
        <v>179.18307783088326</v>
      </c>
      <c r="AK31">
        <v>92.795317611949585</v>
      </c>
      <c r="AL31">
        <v>98.201657987446438</v>
      </c>
      <c r="AM31">
        <v>146.64635515875167</v>
      </c>
      <c r="AN31">
        <v>106.17948622397519</v>
      </c>
      <c r="AO31">
        <v>213.87979477329111</v>
      </c>
      <c r="AP31">
        <v>170.42558589400721</v>
      </c>
      <c r="AQ31">
        <v>191.11093737961781</v>
      </c>
      <c r="AR31">
        <v>179.77471933463158</v>
      </c>
      <c r="AS31">
        <v>191.63862490819614</v>
      </c>
      <c r="AT31">
        <v>54.881053999999999</v>
      </c>
      <c r="AU31" s="38">
        <v>142.45060537371535</v>
      </c>
      <c r="AV31" s="34">
        <f>+VLOOKUP(A31,'[2]Salario Real'!$A$5:$C$292,2)</f>
        <v>118.61271651905041</v>
      </c>
      <c r="AW31" s="31">
        <v>4531328</v>
      </c>
      <c r="AX31" s="17">
        <v>163.74587424633947</v>
      </c>
      <c r="AY31" s="17">
        <v>589</v>
      </c>
      <c r="AZ31" s="16">
        <v>1.9372752350571316</v>
      </c>
      <c r="BA31">
        <v>174.36177347123601</v>
      </c>
      <c r="BB31">
        <v>162.93739000912225</v>
      </c>
    </row>
    <row r="32" spans="1:54" x14ac:dyDescent="0.25">
      <c r="A32" s="2">
        <v>42216</v>
      </c>
      <c r="B32" s="1">
        <v>-1.6230453501030473E-3</v>
      </c>
      <c r="C32" s="31">
        <v>43492</v>
      </c>
      <c r="D32" s="31">
        <v>27339</v>
      </c>
      <c r="E32" s="31">
        <v>53997</v>
      </c>
      <c r="F32" s="31">
        <v>14123</v>
      </c>
      <c r="G32" s="31">
        <v>1073762</v>
      </c>
      <c r="H32" s="32">
        <v>202.99968211785901</v>
      </c>
      <c r="I32" s="11">
        <v>301.7</v>
      </c>
      <c r="J32" s="11">
        <v>431</v>
      </c>
      <c r="K32" s="11">
        <v>166.2</v>
      </c>
      <c r="L32" s="9">
        <v>13997.182598449999</v>
      </c>
      <c r="M32" s="9">
        <v>35911.099595909996</v>
      </c>
      <c r="N32" s="9">
        <v>33332.741754609997</v>
      </c>
      <c r="O32" s="35">
        <f t="shared" si="0"/>
        <v>0.84018917609835919</v>
      </c>
      <c r="P32" s="35">
        <f t="shared" si="1"/>
        <v>2.1555850236328915</v>
      </c>
      <c r="Q32" s="35">
        <f t="shared" si="2"/>
        <v>2.0008175670299835</v>
      </c>
      <c r="R32" s="33">
        <v>11101.02</v>
      </c>
      <c r="S32" s="33">
        <v>11670.770434782609</v>
      </c>
      <c r="T32" s="35">
        <f t="shared" si="3"/>
        <v>0.66634530070960452</v>
      </c>
      <c r="U32" s="35">
        <f t="shared" si="4"/>
        <v>0.70054490802448599</v>
      </c>
      <c r="V32" s="35">
        <v>454640.5</v>
      </c>
      <c r="W32" s="35">
        <f t="shared" si="5"/>
        <v>27.290065299158542</v>
      </c>
      <c r="X32" s="31">
        <f>+'[1]Agregados MesTrim'!B238</f>
        <v>741700.44090909092</v>
      </c>
      <c r="Y32" s="35">
        <f t="shared" si="6"/>
        <v>44.521008279781</v>
      </c>
      <c r="Z32" s="33">
        <v>1020348</v>
      </c>
      <c r="AA32" s="35">
        <f t="shared" si="7"/>
        <v>61.246993059056152</v>
      </c>
      <c r="AB32" s="36">
        <v>0.20744318181818183</v>
      </c>
      <c r="AC32" s="5">
        <v>64227</v>
      </c>
      <c r="AD32" s="13">
        <v>167000</v>
      </c>
      <c r="AE32" s="10">
        <v>158.55751538137588</v>
      </c>
      <c r="AF32" s="10">
        <v>173.91065451634293</v>
      </c>
      <c r="AG32" s="10">
        <v>146.68521479109094</v>
      </c>
      <c r="AH32" s="10">
        <v>157.08536626884566</v>
      </c>
      <c r="AI32" s="10">
        <v>373.06860789161857</v>
      </c>
      <c r="AJ32">
        <v>193.00906789682506</v>
      </c>
      <c r="AK32">
        <v>106.69734319950399</v>
      </c>
      <c r="AL32">
        <v>93.871515726939066</v>
      </c>
      <c r="AM32">
        <v>158.68145666957912</v>
      </c>
      <c r="AN32">
        <v>117.32898095506408</v>
      </c>
      <c r="AO32">
        <v>203.47226195436758</v>
      </c>
      <c r="AP32">
        <v>182.14877185236202</v>
      </c>
      <c r="AQ32">
        <v>184.42996729168385</v>
      </c>
      <c r="AR32">
        <v>183.60887318758739</v>
      </c>
      <c r="AS32">
        <v>159.82802532983715</v>
      </c>
      <c r="AT32">
        <v>56.09</v>
      </c>
      <c r="AU32" s="38">
        <v>142.8230060919569</v>
      </c>
      <c r="AV32" s="34">
        <f>+VLOOKUP(A32,'[2]Salario Real'!$A$5:$C$292,2)</f>
        <v>120.31646457043969</v>
      </c>
      <c r="AW32" s="31">
        <v>4768200</v>
      </c>
      <c r="AX32" s="17">
        <v>166.59560723514221</v>
      </c>
      <c r="AY32" s="17">
        <v>615</v>
      </c>
      <c r="AZ32" s="16">
        <v>2.0366471266482935</v>
      </c>
      <c r="BA32">
        <v>172.12281570326442</v>
      </c>
      <c r="BB32">
        <v>151.84479634306331</v>
      </c>
    </row>
    <row r="33" spans="1:54" x14ac:dyDescent="0.25">
      <c r="A33" s="2">
        <v>42247</v>
      </c>
      <c r="B33" s="1">
        <v>-1.6230453501030473E-3</v>
      </c>
      <c r="C33" s="31">
        <v>47574</v>
      </c>
      <c r="D33" s="31">
        <v>20956</v>
      </c>
      <c r="E33" s="31">
        <v>57357</v>
      </c>
      <c r="F33" s="31">
        <v>14789</v>
      </c>
      <c r="G33" s="31">
        <v>981621</v>
      </c>
      <c r="H33" s="32">
        <v>191.98283739665499</v>
      </c>
      <c r="I33" s="11">
        <v>342</v>
      </c>
      <c r="J33" s="11">
        <v>473.5</v>
      </c>
      <c r="K33" s="11">
        <v>180.3</v>
      </c>
      <c r="L33" s="9">
        <v>9677.2768650100006</v>
      </c>
      <c r="M33" s="9">
        <v>39234.952747199997</v>
      </c>
      <c r="N33" s="9">
        <v>32324.122267760002</v>
      </c>
      <c r="O33" s="35">
        <f t="shared" si="0"/>
        <v>0.57226769227492114</v>
      </c>
      <c r="P33" s="35">
        <f t="shared" si="1"/>
        <v>2.3201667347493542</v>
      </c>
      <c r="Q33" s="35">
        <f t="shared" si="2"/>
        <v>1.91149339974622</v>
      </c>
      <c r="R33" s="33">
        <v>11032.87</v>
      </c>
      <c r="S33" s="33">
        <v>11002.314285714288</v>
      </c>
      <c r="T33" s="35">
        <f t="shared" si="3"/>
        <v>0.65243096194733963</v>
      </c>
      <c r="U33" s="35">
        <f t="shared" si="4"/>
        <v>0.65062404370535776</v>
      </c>
      <c r="V33" s="35">
        <v>452975.6</v>
      </c>
      <c r="W33" s="35">
        <f t="shared" si="5"/>
        <v>26.786802205289586</v>
      </c>
      <c r="X33" s="31">
        <f>+'[1]Agregados MesTrim'!B239</f>
        <v>758217.35</v>
      </c>
      <c r="Y33" s="35">
        <f t="shared" si="6"/>
        <v>44.837333805769724</v>
      </c>
      <c r="Z33" s="33">
        <v>1034427</v>
      </c>
      <c r="AA33" s="35">
        <f t="shared" si="7"/>
        <v>61.171046398108622</v>
      </c>
      <c r="AB33" s="36">
        <v>0.20978124999999997</v>
      </c>
      <c r="AC33" s="5">
        <v>57761</v>
      </c>
      <c r="AD33" s="13">
        <v>150000</v>
      </c>
      <c r="AE33" s="10">
        <v>160.67286959239638</v>
      </c>
      <c r="AF33" s="10">
        <v>173.82699224396259</v>
      </c>
      <c r="AG33" s="10">
        <v>145.17061234991633</v>
      </c>
      <c r="AH33" s="10">
        <v>161.76905036447417</v>
      </c>
      <c r="AI33" s="10">
        <v>371.08276384095751</v>
      </c>
      <c r="AJ33">
        <v>194.79821020721849</v>
      </c>
      <c r="AK33">
        <v>100.0226937623877</v>
      </c>
      <c r="AL33">
        <v>90.692122018743717</v>
      </c>
      <c r="AM33">
        <v>150.23053841395966</v>
      </c>
      <c r="AN33">
        <v>111.04223821665025</v>
      </c>
      <c r="AO33">
        <v>213.50550469162175</v>
      </c>
      <c r="AP33">
        <v>192.2554567214811</v>
      </c>
      <c r="AQ33">
        <v>208.50364349228204</v>
      </c>
      <c r="AR33">
        <v>175.47355363188871</v>
      </c>
      <c r="AS33">
        <v>170.65895492690663</v>
      </c>
      <c r="AT33">
        <v>56.781573999999999</v>
      </c>
      <c r="AU33" s="38">
        <v>141.18133071615995</v>
      </c>
      <c r="AV33" s="34">
        <f>+VLOOKUP(A33,'[2]Salario Real'!$A$5:$C$292,2)</f>
        <v>121.13244837906257</v>
      </c>
      <c r="AW33" s="31">
        <v>4270805</v>
      </c>
      <c r="AX33" s="17">
        <v>169.1040223944876</v>
      </c>
      <c r="AY33" s="17">
        <v>591</v>
      </c>
      <c r="AZ33" s="16">
        <v>1.9172549725043646</v>
      </c>
      <c r="BA33">
        <v>171.48599254633353</v>
      </c>
      <c r="BB33">
        <v>146.46506720486232</v>
      </c>
    </row>
    <row r="34" spans="1:54" x14ac:dyDescent="0.25">
      <c r="A34" s="2">
        <v>42277</v>
      </c>
      <c r="B34" s="1">
        <v>-1.6230453501030473E-3</v>
      </c>
      <c r="C34" s="31">
        <v>52977</v>
      </c>
      <c r="D34" s="31">
        <v>21853</v>
      </c>
      <c r="E34" s="31">
        <v>60468</v>
      </c>
      <c r="F34" s="31">
        <v>17697</v>
      </c>
      <c r="G34" s="31">
        <v>1136003</v>
      </c>
      <c r="H34" s="32">
        <v>201.07219177710601</v>
      </c>
      <c r="I34" s="11">
        <v>315.2</v>
      </c>
      <c r="J34" s="11">
        <v>446.4</v>
      </c>
      <c r="K34" s="11">
        <v>183.8</v>
      </c>
      <c r="L34" s="9">
        <v>7875.6569211800006</v>
      </c>
      <c r="M34" s="9">
        <v>38919.25543895</v>
      </c>
      <c r="N34" s="9">
        <v>30300.60807821</v>
      </c>
      <c r="O34" s="35">
        <f t="shared" ref="O34:O65" si="8">+L34/$AX34/100</f>
        <v>0.45776498531279025</v>
      </c>
      <c r="P34" s="35">
        <f t="shared" ref="P34:P65" si="9">+M34/$AX34/100</f>
        <v>2.2621442976373767</v>
      </c>
      <c r="Q34" s="35">
        <f t="shared" ref="Q34:Q65" si="10">+N34/$AX34/100</f>
        <v>1.7611937074846835</v>
      </c>
      <c r="R34" s="33">
        <v>9814.6200000000008</v>
      </c>
      <c r="S34" s="33">
        <v>10432.848181818179</v>
      </c>
      <c r="T34" s="35">
        <f t="shared" ref="T34:T65" si="11">+R34/$AX34/100</f>
        <v>0.57046534976252727</v>
      </c>
      <c r="U34" s="35">
        <f t="shared" ref="U34:U65" si="12">+S34/$AX34/100</f>
        <v>0.60639926834255975</v>
      </c>
      <c r="V34" s="35">
        <v>393960.7</v>
      </c>
      <c r="W34" s="35">
        <f t="shared" ref="W34:W65" si="13">+V34/AX34/100</f>
        <v>22.898586854935807</v>
      </c>
      <c r="X34" s="31">
        <f>+'[1]Agregados MesTrim'!B240</f>
        <v>770632.5</v>
      </c>
      <c r="Y34" s="35">
        <f t="shared" ref="Y34:Y65" si="14">+X34/$AX34/100</f>
        <v>44.792273022375873</v>
      </c>
      <c r="Z34" s="33">
        <v>1052869</v>
      </c>
      <c r="AA34" s="35">
        <f t="shared" si="7"/>
        <v>61.196998186289669</v>
      </c>
      <c r="AB34" s="36">
        <v>0.21184659090909089</v>
      </c>
      <c r="AC34" s="5">
        <v>61765</v>
      </c>
      <c r="AD34" s="13">
        <v>169000</v>
      </c>
      <c r="AE34" s="10">
        <v>159.28102517759959</v>
      </c>
      <c r="AF34" s="10">
        <v>177.00020338570548</v>
      </c>
      <c r="AG34" s="10">
        <v>150.3396468212818</v>
      </c>
      <c r="AH34" s="10">
        <v>162.06799036071021</v>
      </c>
      <c r="AI34" s="10">
        <v>385.92779002254053</v>
      </c>
      <c r="AJ34">
        <v>199.63995964374124</v>
      </c>
      <c r="AK34">
        <v>97.323794922171942</v>
      </c>
      <c r="AL34">
        <v>89.306485104572502</v>
      </c>
      <c r="AM34">
        <v>152.63742193919018</v>
      </c>
      <c r="AN34">
        <v>103.49716075503592</v>
      </c>
      <c r="AO34">
        <v>209.36488908175181</v>
      </c>
      <c r="AP34">
        <v>211.56978574976463</v>
      </c>
      <c r="AQ34">
        <v>188.94180463496974</v>
      </c>
      <c r="AR34">
        <v>177.95272391483249</v>
      </c>
      <c r="AS34">
        <v>184.45959378549873</v>
      </c>
      <c r="AT34">
        <v>54.618008000000003</v>
      </c>
      <c r="AU34" s="38">
        <v>138.49941961858192</v>
      </c>
      <c r="AV34" s="34">
        <f>+VLOOKUP(A34,'[2]Salario Real'!$A$5:$C$292,2)</f>
        <v>120.08691016643193</v>
      </c>
      <c r="AW34" s="31">
        <v>3830531</v>
      </c>
      <c r="AX34" s="17">
        <v>172.0458570198106</v>
      </c>
      <c r="AY34" s="17">
        <v>575</v>
      </c>
      <c r="AZ34" s="16">
        <v>1.777935535542563</v>
      </c>
      <c r="BA34">
        <v>171.47187818859922</v>
      </c>
      <c r="BB34">
        <v>145.88232371860067</v>
      </c>
    </row>
    <row r="35" spans="1:54" x14ac:dyDescent="0.25">
      <c r="A35" s="2">
        <v>42307</v>
      </c>
      <c r="B35" s="1">
        <v>-1.1780086970957893E-2</v>
      </c>
      <c r="C35" s="31">
        <v>45240</v>
      </c>
      <c r="D35" s="31">
        <v>18834</v>
      </c>
      <c r="E35" s="31">
        <v>51681</v>
      </c>
      <c r="F35" s="31">
        <v>13222</v>
      </c>
      <c r="G35" s="31">
        <v>1146265</v>
      </c>
      <c r="H35" s="32">
        <v>201.76616720315701</v>
      </c>
      <c r="I35" s="11">
        <v>382.5</v>
      </c>
      <c r="J35" s="11">
        <v>468.7</v>
      </c>
      <c r="K35" s="11">
        <v>187.6</v>
      </c>
      <c r="L35" s="9">
        <v>8773.3390979600008</v>
      </c>
      <c r="M35" s="9">
        <v>38926.541375180001</v>
      </c>
      <c r="N35" s="9">
        <v>33033.524530839997</v>
      </c>
      <c r="O35" s="35">
        <f t="shared" si="8"/>
        <v>0.49783924412200453</v>
      </c>
      <c r="P35" s="35">
        <f t="shared" si="9"/>
        <v>2.2088693618384863</v>
      </c>
      <c r="Q35" s="35">
        <f t="shared" si="10"/>
        <v>1.8744727291964589</v>
      </c>
      <c r="R35" s="33">
        <v>12461.25</v>
      </c>
      <c r="S35" s="33">
        <v>11154.837272727273</v>
      </c>
      <c r="T35" s="35">
        <f t="shared" si="11"/>
        <v>0.70710811602595303</v>
      </c>
      <c r="U35" s="35">
        <f t="shared" si="12"/>
        <v>0.63297630402200911</v>
      </c>
      <c r="V35" s="35">
        <v>497760.8</v>
      </c>
      <c r="W35" s="35">
        <f t="shared" si="13"/>
        <v>28.245216292071113</v>
      </c>
      <c r="X35" s="31">
        <f>+'[1]Agregados MesTrim'!B241</f>
        <v>786811.19047619053</v>
      </c>
      <c r="Y35" s="35">
        <f t="shared" si="14"/>
        <v>44.64725276884392</v>
      </c>
      <c r="Z35" s="33">
        <v>1076316</v>
      </c>
      <c r="AA35" s="35">
        <f t="shared" ref="AA35:AA66" si="15">+Z35/AX35/100</f>
        <v>61.075075053352556</v>
      </c>
      <c r="AB35" s="36">
        <v>0.21601190476190474</v>
      </c>
      <c r="AC35" s="5">
        <v>59894</v>
      </c>
      <c r="AD35" s="13">
        <v>164000</v>
      </c>
      <c r="AE35" s="10">
        <v>158.69707894232744</v>
      </c>
      <c r="AF35" s="10">
        <v>170.49332229635567</v>
      </c>
      <c r="AG35" s="10">
        <v>143.16953476915933</v>
      </c>
      <c r="AH35" s="10">
        <v>171.44637708947306</v>
      </c>
      <c r="AI35" s="10">
        <v>331.71556564125501</v>
      </c>
      <c r="AJ35">
        <v>189.6098133414564</v>
      </c>
      <c r="AK35">
        <v>103.21639000348651</v>
      </c>
      <c r="AL35">
        <v>85.569821613301372</v>
      </c>
      <c r="AM35">
        <v>152.91400909867264</v>
      </c>
      <c r="AN35">
        <v>111.26707120721227</v>
      </c>
      <c r="AO35">
        <v>239.08440825184215</v>
      </c>
      <c r="AP35">
        <v>218.99173016106667</v>
      </c>
      <c r="AQ35">
        <v>203.99348812083625</v>
      </c>
      <c r="AR35">
        <v>171.17929370848444</v>
      </c>
      <c r="AS35">
        <v>159.30116890601579</v>
      </c>
      <c r="AT35">
        <v>56.962150999999999</v>
      </c>
      <c r="AU35" s="38">
        <v>143.22110450660801</v>
      </c>
      <c r="AV35" s="34">
        <f>+VLOOKUP(A35,'[2]Salario Real'!$A$5:$C$292,2)</f>
        <v>120.01858932008543</v>
      </c>
      <c r="AW35" s="31">
        <v>3892371</v>
      </c>
      <c r="AX35" s="17">
        <v>176.2283548664945</v>
      </c>
      <c r="AY35" s="17">
        <v>489</v>
      </c>
      <c r="AZ35" s="16">
        <v>1.9085067187023732</v>
      </c>
      <c r="BA35">
        <v>170.92520263884944</v>
      </c>
      <c r="BB35">
        <v>147.04587615341626</v>
      </c>
    </row>
    <row r="36" spans="1:54" x14ac:dyDescent="0.25">
      <c r="A36" s="2">
        <v>42338</v>
      </c>
      <c r="B36" s="1">
        <v>-1.1780086970957893E-2</v>
      </c>
      <c r="C36" s="31">
        <v>45478</v>
      </c>
      <c r="D36" s="31">
        <v>18599</v>
      </c>
      <c r="E36" s="31">
        <v>51648</v>
      </c>
      <c r="F36" s="31">
        <v>13717</v>
      </c>
      <c r="G36" s="31">
        <v>1001247</v>
      </c>
      <c r="H36" s="32">
        <v>195.67531110971601</v>
      </c>
      <c r="I36" s="11">
        <v>354.2</v>
      </c>
      <c r="J36" s="11">
        <v>404.9</v>
      </c>
      <c r="K36" s="11">
        <v>170.9</v>
      </c>
      <c r="L36" s="9">
        <v>6470.6569036800001</v>
      </c>
      <c r="M36" s="9">
        <v>38894.524544649998</v>
      </c>
      <c r="N36" s="9">
        <v>33023.178104029997</v>
      </c>
      <c r="O36" s="35">
        <f t="shared" si="8"/>
        <v>0.36026345794120695</v>
      </c>
      <c r="P36" s="35">
        <f t="shared" si="9"/>
        <v>2.1655105680948217</v>
      </c>
      <c r="Q36" s="35">
        <f t="shared" si="10"/>
        <v>1.8386146125596761</v>
      </c>
      <c r="R36" s="33">
        <v>12972.14</v>
      </c>
      <c r="S36" s="33">
        <v>13218.385714285716</v>
      </c>
      <c r="T36" s="35">
        <f t="shared" si="11"/>
        <v>0.72224321005794523</v>
      </c>
      <c r="U36" s="35">
        <f t="shared" si="12"/>
        <v>0.73595330686145854</v>
      </c>
      <c r="V36" s="35">
        <v>530955.30000000005</v>
      </c>
      <c r="W36" s="35">
        <f t="shared" si="13"/>
        <v>29.561726921639714</v>
      </c>
      <c r="X36" s="31">
        <f>+'[1]Agregados MesTrim'!B242</f>
        <v>809119.42105263157</v>
      </c>
      <c r="Y36" s="35">
        <f t="shared" si="14"/>
        <v>45.048928548510801</v>
      </c>
      <c r="Z36" s="33">
        <v>1143023</v>
      </c>
      <c r="AA36" s="35">
        <f t="shared" si="15"/>
        <v>63.639507489902428</v>
      </c>
      <c r="AB36" s="36">
        <v>0.23427631578947369</v>
      </c>
      <c r="AC36" s="5">
        <v>55766</v>
      </c>
      <c r="AD36" s="13">
        <v>144000</v>
      </c>
      <c r="AE36" s="10">
        <v>156.68877290646242</v>
      </c>
      <c r="AF36" s="10">
        <v>156.42517604890793</v>
      </c>
      <c r="AG36" s="10">
        <v>130.52424082367492</v>
      </c>
      <c r="AH36" s="10">
        <v>161.22019655217883</v>
      </c>
      <c r="AI36" s="10">
        <v>297.86561612354325</v>
      </c>
      <c r="AJ36">
        <v>170.91344610818879</v>
      </c>
      <c r="AK36">
        <v>105.4364061162141</v>
      </c>
      <c r="AL36">
        <v>85.125172769613144</v>
      </c>
      <c r="AM36">
        <v>161.34127057026987</v>
      </c>
      <c r="AN36">
        <v>105.44251191717144</v>
      </c>
      <c r="AO36">
        <v>220.76728247404031</v>
      </c>
      <c r="AP36">
        <v>193.94116029532262</v>
      </c>
      <c r="AQ36">
        <v>183.64231732000985</v>
      </c>
      <c r="AR36">
        <v>147.19192622868306</v>
      </c>
      <c r="AS36">
        <v>160.33075229153687</v>
      </c>
      <c r="AT36">
        <v>60.350543999999999</v>
      </c>
      <c r="AU36" s="38">
        <v>142.8796603437994</v>
      </c>
      <c r="AV36" s="34">
        <f>+VLOOKUP(A36,'[2]Salario Real'!$A$5:$C$292,2)</f>
        <v>119.79585593250451</v>
      </c>
      <c r="AW36" s="31">
        <v>3006109</v>
      </c>
      <c r="AX36" s="17">
        <v>179.60902670111983</v>
      </c>
      <c r="AY36" s="17">
        <v>491</v>
      </c>
      <c r="AZ36" s="16">
        <v>1.7489368356650425</v>
      </c>
      <c r="BA36">
        <v>169.59411257909176</v>
      </c>
      <c r="BB36">
        <v>146.175581385648</v>
      </c>
    </row>
    <row r="37" spans="1:54" x14ac:dyDescent="0.25">
      <c r="A37" s="2">
        <v>42369</v>
      </c>
      <c r="B37" s="1">
        <v>-1.1780086970957893E-2</v>
      </c>
      <c r="C37" s="31">
        <v>31485</v>
      </c>
      <c r="D37" s="31">
        <v>10944</v>
      </c>
      <c r="E37" s="31">
        <v>34508</v>
      </c>
      <c r="F37" s="31">
        <v>8704</v>
      </c>
      <c r="G37" s="31">
        <v>937983</v>
      </c>
      <c r="H37" s="32">
        <v>186.81617969281999</v>
      </c>
      <c r="I37" s="11">
        <v>331.1</v>
      </c>
      <c r="J37" s="11">
        <v>371.6</v>
      </c>
      <c r="K37" s="11">
        <v>157.4</v>
      </c>
      <c r="L37" s="9">
        <v>8739.4453906500003</v>
      </c>
      <c r="M37" s="9">
        <v>42635.22464131</v>
      </c>
      <c r="N37" s="9">
        <v>38175.903018090001</v>
      </c>
      <c r="O37" s="35">
        <f t="shared" si="8"/>
        <v>0.48128276306666207</v>
      </c>
      <c r="P37" s="35">
        <f t="shared" si="9"/>
        <v>2.3479291650807328</v>
      </c>
      <c r="Q37" s="35">
        <f t="shared" si="10"/>
        <v>2.1023535551544597</v>
      </c>
      <c r="R37" s="33">
        <v>11675.18</v>
      </c>
      <c r="S37" s="33">
        <v>12274.486521739131</v>
      </c>
      <c r="T37" s="35">
        <f t="shared" si="11"/>
        <v>0.64295417369530727</v>
      </c>
      <c r="U37" s="35">
        <f t="shared" si="12"/>
        <v>0.67595808708036775</v>
      </c>
      <c r="V37" s="35">
        <v>479544.2</v>
      </c>
      <c r="W37" s="35">
        <f t="shared" si="13"/>
        <v>26.408581697359455</v>
      </c>
      <c r="X37" s="31">
        <f>+'[1]Agregados MesTrim'!B243</f>
        <v>868494.75</v>
      </c>
      <c r="Y37" s="35">
        <f t="shared" si="14"/>
        <v>47.828155484109232</v>
      </c>
      <c r="Z37" s="33">
        <v>1147590</v>
      </c>
      <c r="AA37" s="35">
        <f t="shared" si="15"/>
        <v>63.197978976854962</v>
      </c>
      <c r="AB37" s="36">
        <v>0.2734375</v>
      </c>
      <c r="AC37" s="5">
        <v>60811</v>
      </c>
      <c r="AD37" s="13">
        <v>144391</v>
      </c>
      <c r="AE37" s="10">
        <v>153.72407410152684</v>
      </c>
      <c r="AF37" s="10">
        <v>165.02141526382502</v>
      </c>
      <c r="AG37" s="10">
        <v>105.85218755256574</v>
      </c>
      <c r="AH37" s="10">
        <v>147.11995716889081</v>
      </c>
      <c r="AI37" s="10">
        <v>258.20604760915353</v>
      </c>
      <c r="AJ37">
        <v>175.14791087699285</v>
      </c>
      <c r="AK37">
        <v>129.38309868554632</v>
      </c>
      <c r="AL37">
        <v>74.526712598242909</v>
      </c>
      <c r="AM37">
        <v>165.33779805174424</v>
      </c>
      <c r="AN37">
        <v>111.72217158754751</v>
      </c>
      <c r="AO37">
        <v>185.31879619209423</v>
      </c>
      <c r="AP37">
        <v>183.36429832556442</v>
      </c>
      <c r="AQ37">
        <v>176.65455571406619</v>
      </c>
      <c r="AR37">
        <v>132.49992910249989</v>
      </c>
      <c r="AS37">
        <v>111.29668619670902</v>
      </c>
      <c r="AT37">
        <v>54.894996999999996</v>
      </c>
      <c r="AU37" s="38">
        <v>136.87185199079121</v>
      </c>
      <c r="AV37" s="34">
        <f>+VLOOKUP(A37,'[2]Salario Real'!$A$5:$C$292,2)</f>
        <v>114.59245949612209</v>
      </c>
      <c r="AW37" s="31">
        <v>2620964</v>
      </c>
      <c r="AX37" s="17">
        <v>181.58650301464269</v>
      </c>
      <c r="AY37" s="17">
        <v>468</v>
      </c>
      <c r="AZ37" s="16">
        <v>1.7974913967000716</v>
      </c>
      <c r="BA37">
        <v>168.35195169564179</v>
      </c>
      <c r="BB37">
        <v>141.9421187346255</v>
      </c>
    </row>
    <row r="38" spans="1:54" x14ac:dyDescent="0.25">
      <c r="A38" s="2">
        <v>42398</v>
      </c>
      <c r="B38" s="1">
        <v>-7.9385611893333374E-3</v>
      </c>
      <c r="C38" s="31">
        <v>17785</v>
      </c>
      <c r="D38" s="31">
        <v>3888</v>
      </c>
      <c r="E38" s="31">
        <v>49545</v>
      </c>
      <c r="F38" s="31">
        <v>11282</v>
      </c>
      <c r="G38" s="31">
        <v>862802</v>
      </c>
      <c r="H38" s="32">
        <v>185.978756643281</v>
      </c>
      <c r="I38" s="11">
        <v>297.39999999999998</v>
      </c>
      <c r="J38" s="11">
        <v>329.5</v>
      </c>
      <c r="K38" s="11">
        <v>119.5</v>
      </c>
      <c r="L38" s="9">
        <v>8795.4298632699993</v>
      </c>
      <c r="M38" s="9">
        <v>45662.223762260001</v>
      </c>
      <c r="N38" s="9">
        <v>40625.095837109999</v>
      </c>
      <c r="O38" s="35">
        <f t="shared" si="8"/>
        <v>0.47772385544013291</v>
      </c>
      <c r="P38" s="35">
        <f t="shared" si="9"/>
        <v>2.4801441115200742</v>
      </c>
      <c r="Q38" s="35">
        <f t="shared" si="10"/>
        <v>2.2065524610656899</v>
      </c>
      <c r="R38" s="33">
        <v>11306.02</v>
      </c>
      <c r="S38" s="33">
        <v>10686.626190476187</v>
      </c>
      <c r="T38" s="35">
        <f t="shared" si="11"/>
        <v>0.61408658224183588</v>
      </c>
      <c r="U38" s="35">
        <f t="shared" si="12"/>
        <v>0.58044420167358735</v>
      </c>
      <c r="V38" s="35">
        <v>462255.2</v>
      </c>
      <c r="W38" s="35">
        <f t="shared" si="13"/>
        <v>25.107395519512284</v>
      </c>
      <c r="X38" s="31">
        <f>+'[1]Agregados MesTrim'!B244</f>
        <v>843007.55</v>
      </c>
      <c r="Y38" s="35">
        <f t="shared" si="14"/>
        <v>45.787962977560937</v>
      </c>
      <c r="Z38" s="33">
        <v>1126377</v>
      </c>
      <c r="AA38" s="35">
        <f t="shared" si="15"/>
        <v>61.179177309593676</v>
      </c>
      <c r="AB38" s="36">
        <v>0.263125</v>
      </c>
      <c r="AC38" s="5">
        <v>55134</v>
      </c>
      <c r="AD38" s="5">
        <v>127062</v>
      </c>
      <c r="AE38" s="10">
        <v>152.66717245469488</v>
      </c>
      <c r="AF38" s="10">
        <v>147.89475684526172</v>
      </c>
      <c r="AG38" s="10">
        <v>51.569082227363509</v>
      </c>
      <c r="AH38" s="10">
        <v>146.59166177049562</v>
      </c>
      <c r="AI38" s="10">
        <v>191.11595378057399</v>
      </c>
      <c r="AJ38">
        <v>161.43986020934091</v>
      </c>
      <c r="AK38">
        <v>100.22528655517873</v>
      </c>
      <c r="AL38">
        <v>70.526108418350859</v>
      </c>
      <c r="AM38">
        <v>161.58882725240446</v>
      </c>
      <c r="AN38">
        <v>108.49451972108746</v>
      </c>
      <c r="AO38">
        <v>194.11926544057008</v>
      </c>
      <c r="AP38">
        <v>177.03233601100644</v>
      </c>
      <c r="AQ38">
        <v>162.43401421861424</v>
      </c>
      <c r="AR38">
        <v>73.346780938708719</v>
      </c>
      <c r="AS38">
        <v>61.528645010153141</v>
      </c>
      <c r="AT38">
        <v>54.007342999999999</v>
      </c>
      <c r="AU38" s="38">
        <v>136.44644900345406</v>
      </c>
      <c r="AV38" s="34">
        <f>+VLOOKUP(A38,'[2]Salario Real'!$A$5:$C$292,2)</f>
        <v>112.20307131795066</v>
      </c>
      <c r="AW38" s="31">
        <v>3910467</v>
      </c>
      <c r="AX38" s="17">
        <v>184.11117140396226</v>
      </c>
      <c r="AY38" s="17">
        <v>502</v>
      </c>
      <c r="AZ38" s="16">
        <v>3.1378444917301977</v>
      </c>
      <c r="BA38">
        <v>170.77716466689606</v>
      </c>
      <c r="BB38">
        <v>134.74645041349706</v>
      </c>
    </row>
    <row r="39" spans="1:54" x14ac:dyDescent="0.25">
      <c r="A39" s="2">
        <v>42429</v>
      </c>
      <c r="B39" s="1">
        <v>-7.9385611893333374E-3</v>
      </c>
      <c r="C39" s="31">
        <v>34174</v>
      </c>
      <c r="D39" s="31">
        <v>14178</v>
      </c>
      <c r="E39" s="31">
        <v>51900</v>
      </c>
      <c r="F39" s="31">
        <v>13382</v>
      </c>
      <c r="G39" s="31">
        <v>808340</v>
      </c>
      <c r="H39" s="32">
        <v>182.011070933431</v>
      </c>
      <c r="I39" s="11">
        <v>246.6</v>
      </c>
      <c r="J39" s="11">
        <v>338.8</v>
      </c>
      <c r="K39" s="11">
        <v>127.9</v>
      </c>
      <c r="L39" s="9">
        <v>7284.1132951099999</v>
      </c>
      <c r="M39" s="9">
        <v>41647.7601947</v>
      </c>
      <c r="N39" s="9">
        <v>30398.68185338</v>
      </c>
      <c r="O39" s="35">
        <f t="shared" si="8"/>
        <v>0.38839071439727491</v>
      </c>
      <c r="P39" s="35">
        <f t="shared" si="9"/>
        <v>2.2206688281365685</v>
      </c>
      <c r="Q39" s="35">
        <f t="shared" si="10"/>
        <v>1.6208652012175273</v>
      </c>
      <c r="R39" s="33">
        <v>13115.95</v>
      </c>
      <c r="S39" s="33">
        <v>11821.729523809525</v>
      </c>
      <c r="T39" s="35">
        <f t="shared" si="11"/>
        <v>0.69934568342295533</v>
      </c>
      <c r="U39" s="35">
        <f t="shared" si="12"/>
        <v>0.63033752896815709</v>
      </c>
      <c r="V39" s="35">
        <v>546421.1</v>
      </c>
      <c r="W39" s="35">
        <f t="shared" si="13"/>
        <v>29.135307592375923</v>
      </c>
      <c r="X39" s="31">
        <f>+'[1]Agregados MesTrim'!B245</f>
        <v>831209.42105263157</v>
      </c>
      <c r="Y39" s="35">
        <f t="shared" si="14"/>
        <v>44.320290991781121</v>
      </c>
      <c r="Z39" s="33">
        <v>1132648</v>
      </c>
      <c r="AA39" s="35">
        <f t="shared" si="15"/>
        <v>60.393070241777643</v>
      </c>
      <c r="AB39" s="36">
        <v>0.26223684210526316</v>
      </c>
      <c r="AC39" s="5">
        <v>50953</v>
      </c>
      <c r="AD39" s="5">
        <v>108831</v>
      </c>
      <c r="AE39" s="10">
        <v>155.03717995039923</v>
      </c>
      <c r="AF39" s="10">
        <v>141.04259167382034</v>
      </c>
      <c r="AG39" s="10">
        <v>111.48533544465819</v>
      </c>
      <c r="AH39" s="10">
        <v>144.40610483402162</v>
      </c>
      <c r="AI39" s="10">
        <v>274.64260887131724</v>
      </c>
      <c r="AJ39">
        <v>153.9171381072359</v>
      </c>
      <c r="AK39">
        <v>95.733021697887025</v>
      </c>
      <c r="AL39">
        <v>89.685173190919457</v>
      </c>
      <c r="AM39">
        <v>154.75579050224775</v>
      </c>
      <c r="AN39">
        <v>103.42727191153681</v>
      </c>
      <c r="AO39">
        <v>192.55692189031404</v>
      </c>
      <c r="AP39">
        <v>162.05435140418405</v>
      </c>
      <c r="AQ39">
        <v>158.0121080914723</v>
      </c>
      <c r="AR39">
        <v>136.81553183531952</v>
      </c>
      <c r="AS39">
        <v>123.37984310893584</v>
      </c>
      <c r="AT39">
        <v>45.594051</v>
      </c>
      <c r="AU39" s="38">
        <v>132.9441475199811</v>
      </c>
      <c r="AV39" s="34">
        <f>+VLOOKUP(A39,'[2]Salario Real'!$A$5:$C$292,2)</f>
        <v>110.78027829569838</v>
      </c>
      <c r="AW39" s="31">
        <v>3205307</v>
      </c>
      <c r="AX39" s="17">
        <v>187.54602067183478</v>
      </c>
      <c r="AY39" s="17">
        <v>461</v>
      </c>
      <c r="AZ39" s="16">
        <v>2.8618604040847053</v>
      </c>
      <c r="BA39">
        <v>171.0016768876738</v>
      </c>
      <c r="BB39">
        <v>134.23236103862521</v>
      </c>
    </row>
    <row r="40" spans="1:54" x14ac:dyDescent="0.25">
      <c r="A40" s="2">
        <v>42460</v>
      </c>
      <c r="B40" s="1">
        <v>-7.9385611893333374E-3</v>
      </c>
      <c r="C40" s="31">
        <v>46209</v>
      </c>
      <c r="D40" s="31">
        <v>17192</v>
      </c>
      <c r="E40" s="31">
        <v>60694</v>
      </c>
      <c r="F40" s="31">
        <v>16375</v>
      </c>
      <c r="G40" s="31">
        <v>893397</v>
      </c>
      <c r="H40" s="32">
        <v>166.56665746611401</v>
      </c>
      <c r="I40" s="11">
        <v>267.5</v>
      </c>
      <c r="J40" s="11">
        <v>317.7</v>
      </c>
      <c r="K40" s="11">
        <v>145.19999999999999</v>
      </c>
      <c r="L40" s="9">
        <v>11431.194007179998</v>
      </c>
      <c r="M40" s="9">
        <v>45858.824433670001</v>
      </c>
      <c r="N40" s="9">
        <v>24454.037808720001</v>
      </c>
      <c r="O40" s="35">
        <f t="shared" si="8"/>
        <v>0.60255158565662226</v>
      </c>
      <c r="P40" s="35">
        <f t="shared" si="9"/>
        <v>2.4172721905953569</v>
      </c>
      <c r="Q40" s="35">
        <f t="shared" si="10"/>
        <v>1.289000890729018</v>
      </c>
      <c r="R40" s="33">
        <v>12992.43</v>
      </c>
      <c r="S40" s="33">
        <v>12923.933913043478</v>
      </c>
      <c r="T40" s="35">
        <f t="shared" si="11"/>
        <v>0.68484615807547966</v>
      </c>
      <c r="U40" s="35">
        <f t="shared" si="12"/>
        <v>0.68123564934113379</v>
      </c>
      <c r="V40" s="35">
        <v>553308.4</v>
      </c>
      <c r="W40" s="35">
        <f t="shared" si="13"/>
        <v>29.16553192673663</v>
      </c>
      <c r="X40" s="31">
        <f>+'[1]Agregados MesTrim'!B246</f>
        <v>845802.90476190473</v>
      </c>
      <c r="Y40" s="35">
        <f t="shared" si="14"/>
        <v>44.583258852675854</v>
      </c>
      <c r="Z40" s="33">
        <v>1126495</v>
      </c>
      <c r="AA40" s="35">
        <f t="shared" si="15"/>
        <v>59.378866989565267</v>
      </c>
      <c r="AB40" s="36">
        <v>0.29735119047619046</v>
      </c>
      <c r="AC40" s="5">
        <v>59425</v>
      </c>
      <c r="AD40" s="5">
        <v>129473</v>
      </c>
      <c r="AE40" s="10">
        <v>153.08721742147705</v>
      </c>
      <c r="AF40" s="10">
        <v>151.41396175189524</v>
      </c>
      <c r="AG40" s="10">
        <v>138.39135766643815</v>
      </c>
      <c r="AH40" s="10">
        <v>156.72698039507353</v>
      </c>
      <c r="AI40" s="10">
        <v>385.1325400122488</v>
      </c>
      <c r="AJ40">
        <v>164.66015996316798</v>
      </c>
      <c r="AK40">
        <v>104.79643251521486</v>
      </c>
      <c r="AL40">
        <v>105.78697430340276</v>
      </c>
      <c r="AM40">
        <v>155.67144141548323</v>
      </c>
      <c r="AN40">
        <v>106.30707908156079</v>
      </c>
      <c r="AO40">
        <v>208.91225554135303</v>
      </c>
      <c r="AP40">
        <v>179.15688516488606</v>
      </c>
      <c r="AQ40">
        <v>161.56979574954457</v>
      </c>
      <c r="AR40">
        <v>170.0755895731109</v>
      </c>
      <c r="AS40">
        <v>168.90067028811302</v>
      </c>
      <c r="AT40">
        <v>48.157730000000001</v>
      </c>
      <c r="AU40" s="38">
        <v>131.90275701725338</v>
      </c>
      <c r="AV40" s="34">
        <f>+VLOOKUP(A40,'[2]Salario Real'!$A$5:$C$292,2)</f>
        <v>108.58958031637138</v>
      </c>
      <c r="AW40" s="31">
        <v>3230589</v>
      </c>
      <c r="AX40" s="17">
        <v>189.71311800172282</v>
      </c>
      <c r="AY40" s="17">
        <v>459</v>
      </c>
      <c r="AZ40" s="16">
        <v>3.0327046793822112</v>
      </c>
      <c r="BA40">
        <v>168.44706718000137</v>
      </c>
      <c r="BB40">
        <v>150.0878942366954</v>
      </c>
    </row>
    <row r="41" spans="1:54" x14ac:dyDescent="0.25">
      <c r="A41" s="2">
        <v>42489</v>
      </c>
      <c r="B41" s="1">
        <v>-1.6795984805770492E-2</v>
      </c>
      <c r="C41" s="31">
        <v>44447</v>
      </c>
      <c r="D41" s="31">
        <v>20704</v>
      </c>
      <c r="E41" s="31">
        <v>60513</v>
      </c>
      <c r="F41" s="31">
        <v>17457</v>
      </c>
      <c r="G41" s="31">
        <v>763883</v>
      </c>
      <c r="H41" s="32">
        <v>159.01368063020701</v>
      </c>
      <c r="I41" s="11">
        <v>227.6</v>
      </c>
      <c r="J41" s="11">
        <v>319.10000000000002</v>
      </c>
      <c r="K41" s="11">
        <v>148.1</v>
      </c>
      <c r="L41" s="9">
        <v>17394.927252330002</v>
      </c>
      <c r="M41" s="9">
        <v>47858.144067330002</v>
      </c>
      <c r="N41" s="9">
        <v>23185.699678199999</v>
      </c>
      <c r="O41" s="35">
        <f t="shared" si="8"/>
        <v>0.90361730136873475</v>
      </c>
      <c r="P41" s="35">
        <f t="shared" si="9"/>
        <v>2.4860953060234419</v>
      </c>
      <c r="Q41" s="35">
        <f t="shared" si="10"/>
        <v>1.2044315603995812</v>
      </c>
      <c r="R41" s="33">
        <v>13724.07</v>
      </c>
      <c r="S41" s="33">
        <v>13161.875714285716</v>
      </c>
      <c r="T41" s="35">
        <f t="shared" si="11"/>
        <v>0.71292664334278788</v>
      </c>
      <c r="U41" s="35">
        <f t="shared" si="12"/>
        <v>0.68372223932701259</v>
      </c>
      <c r="V41" s="35">
        <v>589289.80000000005</v>
      </c>
      <c r="W41" s="35">
        <f t="shared" si="13"/>
        <v>30.611939393353637</v>
      </c>
      <c r="X41" s="31">
        <f>+'[1]Agregados MesTrim'!B247</f>
        <v>838935.57142857148</v>
      </c>
      <c r="Y41" s="35">
        <f t="shared" si="14"/>
        <v>43.580331557579868</v>
      </c>
      <c r="Z41" s="33">
        <v>1131852</v>
      </c>
      <c r="AA41" s="35">
        <f t="shared" si="15"/>
        <v>58.796512049328015</v>
      </c>
      <c r="AB41" s="36">
        <v>0.30696428571428575</v>
      </c>
      <c r="AC41" s="5">
        <v>57072</v>
      </c>
      <c r="AD41" s="5">
        <v>123602</v>
      </c>
      <c r="AE41" s="10">
        <v>151.50924947169145</v>
      </c>
      <c r="AF41" s="10">
        <v>143.45662614477845</v>
      </c>
      <c r="AG41" s="10">
        <v>133.00827810078007</v>
      </c>
      <c r="AH41" s="10">
        <v>150.66093333838361</v>
      </c>
      <c r="AI41" s="10">
        <v>402.01959902798666</v>
      </c>
      <c r="AJ41">
        <v>153.17848097341343</v>
      </c>
      <c r="AK41">
        <v>109.242367496364</v>
      </c>
      <c r="AL41">
        <v>101.79161164953582</v>
      </c>
      <c r="AM41">
        <v>142.51071151548302</v>
      </c>
      <c r="AN41">
        <v>100.99770194393575</v>
      </c>
      <c r="AO41">
        <v>205.3475662116993</v>
      </c>
      <c r="AP41">
        <v>158.77995585021708</v>
      </c>
      <c r="AQ41">
        <v>158.78274235029011</v>
      </c>
      <c r="AR41">
        <v>167.98281164907942</v>
      </c>
      <c r="AS41">
        <v>165.45715560492116</v>
      </c>
      <c r="AT41">
        <v>43.185665</v>
      </c>
      <c r="AU41" s="38">
        <v>130.21969570855572</v>
      </c>
      <c r="AV41" s="34">
        <f>+VLOOKUP(A41,'[2]Salario Real'!$A$5:$C$292,2)</f>
        <v>111.67247776085586</v>
      </c>
      <c r="AW41" s="31">
        <v>3728116</v>
      </c>
      <c r="AX41" s="17">
        <v>192.50325581395367</v>
      </c>
      <c r="AY41" s="17">
        <v>544</v>
      </c>
      <c r="AZ41" s="16">
        <v>2.7200177442321261</v>
      </c>
      <c r="BA41">
        <v>167.26780032227322</v>
      </c>
      <c r="BB41">
        <v>153.25067436662908</v>
      </c>
    </row>
    <row r="42" spans="1:54" x14ac:dyDescent="0.25">
      <c r="A42" s="2">
        <v>42521</v>
      </c>
      <c r="B42" s="1">
        <v>-1.6795984805770492E-2</v>
      </c>
      <c r="C42" s="31">
        <v>39768</v>
      </c>
      <c r="D42" s="31">
        <v>18199</v>
      </c>
      <c r="E42" s="31">
        <v>60360</v>
      </c>
      <c r="F42" s="31">
        <v>18519</v>
      </c>
      <c r="G42" s="31">
        <v>889421</v>
      </c>
      <c r="H42" s="32">
        <v>166.61500715863701</v>
      </c>
      <c r="I42" s="11">
        <v>247.4</v>
      </c>
      <c r="J42" s="11">
        <v>379.1</v>
      </c>
      <c r="K42" s="11">
        <v>160.9</v>
      </c>
      <c r="L42" s="9">
        <v>12569.904477590002</v>
      </c>
      <c r="M42" s="9">
        <v>45787.68345389</v>
      </c>
      <c r="N42" s="9">
        <v>44320.870747300003</v>
      </c>
      <c r="O42" s="35">
        <f t="shared" si="8"/>
        <v>0.62669133253814779</v>
      </c>
      <c r="P42" s="35">
        <f t="shared" si="9"/>
        <v>2.2828132392502321</v>
      </c>
      <c r="Q42" s="35">
        <f t="shared" si="10"/>
        <v>2.2096831043859919</v>
      </c>
      <c r="R42" s="33">
        <v>12681.74</v>
      </c>
      <c r="S42" s="33">
        <v>12997.518636363633</v>
      </c>
      <c r="T42" s="35">
        <f t="shared" si="11"/>
        <v>0.63226705928206817</v>
      </c>
      <c r="U42" s="35">
        <f t="shared" si="12"/>
        <v>0.64801067410130708</v>
      </c>
      <c r="V42" s="35">
        <v>546718.80000000005</v>
      </c>
      <c r="W42" s="35">
        <f t="shared" si="13"/>
        <v>27.257481065707164</v>
      </c>
      <c r="X42" s="31">
        <f>+'[1]Agregados MesTrim'!B248</f>
        <v>863451.71428571432</v>
      </c>
      <c r="Y42" s="35">
        <f t="shared" si="14"/>
        <v>43.048672833813747</v>
      </c>
      <c r="Z42" s="33">
        <v>1163957</v>
      </c>
      <c r="AA42" s="35">
        <f t="shared" si="15"/>
        <v>58.03081198012088</v>
      </c>
      <c r="AB42" s="36">
        <v>0.30964285714285716</v>
      </c>
      <c r="AC42" s="5">
        <v>59302</v>
      </c>
      <c r="AD42" s="5">
        <v>120406</v>
      </c>
      <c r="AE42" s="10">
        <v>147.21633148959083</v>
      </c>
      <c r="AF42" s="10">
        <v>137.7405411632615</v>
      </c>
      <c r="AG42" s="10">
        <v>131.35637332520719</v>
      </c>
      <c r="AH42" s="10">
        <v>152.85864592604523</v>
      </c>
      <c r="AI42" s="10">
        <v>385.58108634192655</v>
      </c>
      <c r="AJ42">
        <v>159.59604808117231</v>
      </c>
      <c r="AK42">
        <v>60.824152288670064</v>
      </c>
      <c r="AL42">
        <v>103.18242662688361</v>
      </c>
      <c r="AM42">
        <v>138.91188513908332</v>
      </c>
      <c r="AN42">
        <v>102.91935990984643</v>
      </c>
      <c r="AO42">
        <v>200.85361795032509</v>
      </c>
      <c r="AP42">
        <v>180.03500555558179</v>
      </c>
      <c r="AQ42">
        <v>177.28749961587221</v>
      </c>
      <c r="AR42">
        <v>171.87117703781757</v>
      </c>
      <c r="AS42">
        <v>147.91144800949218</v>
      </c>
      <c r="AT42">
        <v>42.657165999999997</v>
      </c>
      <c r="AU42" s="38">
        <v>130.92953888102562</v>
      </c>
      <c r="AV42" s="34">
        <f>+VLOOKUP(A42,'[2]Salario Real'!$A$5:$C$292,2)</f>
        <v>110.70423105416276</v>
      </c>
      <c r="AW42" s="31">
        <v>4351900</v>
      </c>
      <c r="AX42" s="17">
        <v>200.57568734325599</v>
      </c>
      <c r="AY42" s="17">
        <v>520</v>
      </c>
      <c r="AZ42" s="16">
        <v>2.6223954581408577</v>
      </c>
      <c r="BA42">
        <v>167.37208605005301</v>
      </c>
      <c r="BB42">
        <v>163.51360808690507</v>
      </c>
    </row>
    <row r="43" spans="1:54" x14ac:dyDescent="0.25">
      <c r="A43" s="2">
        <v>42551</v>
      </c>
      <c r="B43" s="1">
        <v>-1.6795984805770492E-2</v>
      </c>
      <c r="C43" s="31">
        <v>41655</v>
      </c>
      <c r="D43" s="31">
        <v>14472</v>
      </c>
      <c r="E43" s="31">
        <v>63192</v>
      </c>
      <c r="F43" s="31">
        <v>19375</v>
      </c>
      <c r="G43" s="31">
        <v>864447</v>
      </c>
      <c r="H43" s="32">
        <v>159.66102264779201</v>
      </c>
      <c r="I43" s="11">
        <v>238.2</v>
      </c>
      <c r="J43" s="11">
        <v>372.4</v>
      </c>
      <c r="K43" s="11">
        <v>139.9</v>
      </c>
      <c r="L43" s="9">
        <v>9654.9551952599995</v>
      </c>
      <c r="M43" s="9">
        <v>47831.748999570002</v>
      </c>
      <c r="N43" s="9">
        <v>48969.956898980003</v>
      </c>
      <c r="O43" s="35">
        <f t="shared" si="8"/>
        <v>0.46699817241283365</v>
      </c>
      <c r="P43" s="35">
        <f t="shared" si="9"/>
        <v>2.3135621983077517</v>
      </c>
      <c r="Q43" s="35">
        <f t="shared" si="10"/>
        <v>2.3686158985166639</v>
      </c>
      <c r="R43" s="33">
        <v>14683.49</v>
      </c>
      <c r="S43" s="33">
        <v>13458.229090909093</v>
      </c>
      <c r="T43" s="35">
        <f t="shared" si="11"/>
        <v>0.71022214561995811</v>
      </c>
      <c r="U43" s="35">
        <f t="shared" si="12"/>
        <v>0.65095779962327727</v>
      </c>
      <c r="V43" s="35">
        <v>623243.1</v>
      </c>
      <c r="W43" s="35">
        <f t="shared" si="13"/>
        <v>30.14549345726623</v>
      </c>
      <c r="X43" s="31">
        <f>+'[1]Agregados MesTrim'!B249</f>
        <v>881783.85</v>
      </c>
      <c r="Y43" s="35">
        <f t="shared" si="14"/>
        <v>42.650787920312361</v>
      </c>
      <c r="Z43" s="33">
        <v>1231040</v>
      </c>
      <c r="AA43" s="35">
        <f t="shared" si="15"/>
        <v>59.543873434993536</v>
      </c>
      <c r="AB43" s="36">
        <v>0.28946875</v>
      </c>
      <c r="AC43" s="5">
        <v>60502</v>
      </c>
      <c r="AD43" s="5">
        <v>106085</v>
      </c>
      <c r="AE43" s="10">
        <v>147.81752006753663</v>
      </c>
      <c r="AF43" s="10">
        <v>148.72392906555064</v>
      </c>
      <c r="AG43" s="10">
        <v>131.18230371241512</v>
      </c>
      <c r="AH43" s="10">
        <v>145.15989988803958</v>
      </c>
      <c r="AI43" s="10">
        <v>372.88314078542726</v>
      </c>
      <c r="AJ43">
        <v>166.31670535095304</v>
      </c>
      <c r="AK43">
        <v>86.809427277318719</v>
      </c>
      <c r="AL43">
        <v>97.779915377707766</v>
      </c>
      <c r="AM43">
        <v>143.55559710726544</v>
      </c>
      <c r="AN43">
        <v>105.95227784194958</v>
      </c>
      <c r="AO43">
        <v>177.42739153372645</v>
      </c>
      <c r="AP43">
        <v>171.36765699951135</v>
      </c>
      <c r="AQ43">
        <v>163.91481942646934</v>
      </c>
      <c r="AR43">
        <v>166.22928582119405</v>
      </c>
      <c r="AS43">
        <v>153.48644606473488</v>
      </c>
      <c r="AT43">
        <v>42.571452999999998</v>
      </c>
      <c r="AU43" s="38">
        <v>132.53995369903836</v>
      </c>
      <c r="AV43" s="34">
        <f>+VLOOKUP(A43,'[2]Salario Real'!$A$5:$C$292,2)</f>
        <v>109.09771021786135</v>
      </c>
      <c r="AW43" s="31">
        <v>4045934</v>
      </c>
      <c r="AX43" s="17">
        <v>206.74503168558161</v>
      </c>
      <c r="AY43" s="17">
        <v>498</v>
      </c>
      <c r="AZ43" s="16">
        <v>2.6133196292609329</v>
      </c>
      <c r="BA43">
        <v>165.56242366504594</v>
      </c>
      <c r="BB43">
        <v>153.66209524099784</v>
      </c>
    </row>
    <row r="44" spans="1:54" x14ac:dyDescent="0.25">
      <c r="A44" s="2">
        <v>42580</v>
      </c>
      <c r="B44" s="1">
        <v>2.9093561209645458E-3</v>
      </c>
      <c r="C44" s="31">
        <v>37706</v>
      </c>
      <c r="D44" s="31">
        <v>12939</v>
      </c>
      <c r="E44" s="31">
        <v>52678</v>
      </c>
      <c r="F44" s="31">
        <v>18304</v>
      </c>
      <c r="G44" s="31">
        <v>852362</v>
      </c>
      <c r="H44" s="32">
        <v>161.57003659800799</v>
      </c>
      <c r="I44" s="11">
        <v>225.8</v>
      </c>
      <c r="J44" s="11">
        <v>356.1</v>
      </c>
      <c r="K44" s="11">
        <v>139</v>
      </c>
      <c r="L44" s="9">
        <v>12451.378609580001</v>
      </c>
      <c r="M44" s="9">
        <v>47652.607947459997</v>
      </c>
      <c r="N44" s="9">
        <v>36221.210861680003</v>
      </c>
      <c r="O44" s="35">
        <f t="shared" si="8"/>
        <v>0.59017807433907954</v>
      </c>
      <c r="P44" s="35">
        <f t="shared" si="9"/>
        <v>2.2586675160635643</v>
      </c>
      <c r="Q44" s="35">
        <f t="shared" si="10"/>
        <v>1.7168351510995559</v>
      </c>
      <c r="R44" s="33">
        <v>15803.5</v>
      </c>
      <c r="S44" s="33">
        <v>15398.580476190478</v>
      </c>
      <c r="T44" s="35">
        <f t="shared" si="11"/>
        <v>0.74906397839686689</v>
      </c>
      <c r="U44" s="35">
        <f t="shared" si="12"/>
        <v>0.72987135464672759</v>
      </c>
      <c r="V44" s="35">
        <v>679109.6</v>
      </c>
      <c r="W44" s="35">
        <f t="shared" si="13"/>
        <v>32.188853022653518</v>
      </c>
      <c r="X44" s="31">
        <f>+'[1]Agregados MesTrim'!B250</f>
        <v>909335.45</v>
      </c>
      <c r="Y44" s="35">
        <f t="shared" si="14"/>
        <v>43.101238958098222</v>
      </c>
      <c r="Z44" s="33">
        <v>1240640</v>
      </c>
      <c r="AA44" s="35">
        <f t="shared" si="15"/>
        <v>58.804615063643432</v>
      </c>
      <c r="AB44" s="36">
        <v>0.26018750000000002</v>
      </c>
      <c r="AC44" s="5">
        <v>58412</v>
      </c>
      <c r="AD44" s="5">
        <v>125917</v>
      </c>
      <c r="AE44" s="10">
        <v>148.74562313336648</v>
      </c>
      <c r="AF44" s="10">
        <v>155.17338104749626</v>
      </c>
      <c r="AG44" s="10">
        <v>132.33147602126456</v>
      </c>
      <c r="AH44" s="10">
        <v>145.69840393773333</v>
      </c>
      <c r="AI44" s="10">
        <v>356.15236082313078</v>
      </c>
      <c r="AJ44">
        <v>176.99020178345125</v>
      </c>
      <c r="AK44">
        <v>78.393140990068446</v>
      </c>
      <c r="AL44">
        <v>92.596516804556217</v>
      </c>
      <c r="AM44">
        <v>144.73053192312469</v>
      </c>
      <c r="AN44">
        <v>107.79146640371881</v>
      </c>
      <c r="AO44">
        <v>188.20661404553803</v>
      </c>
      <c r="AP44">
        <v>171.09073436404228</v>
      </c>
      <c r="AQ44">
        <v>166.63650752559008</v>
      </c>
      <c r="AR44">
        <v>172.48968208240402</v>
      </c>
      <c r="AS44">
        <v>138.41950456982028</v>
      </c>
      <c r="AT44">
        <v>45.605362</v>
      </c>
      <c r="AU44" s="38">
        <v>131.57220085926753</v>
      </c>
      <c r="AV44" s="34">
        <f>+VLOOKUP(A44,'[2]Salario Real'!$A$5:$C$292,2)</f>
        <v>110.69410929696343</v>
      </c>
      <c r="AW44" s="31">
        <v>3975717</v>
      </c>
      <c r="AX44" s="17">
        <v>210.97663825488397</v>
      </c>
      <c r="AY44" s="17">
        <v>496</v>
      </c>
      <c r="AZ44" s="16">
        <v>2.7070669134093137</v>
      </c>
      <c r="BA44">
        <v>164.07583384977966</v>
      </c>
      <c r="BB44">
        <v>143.73110098180126</v>
      </c>
    </row>
    <row r="45" spans="1:54" x14ac:dyDescent="0.25">
      <c r="A45" s="2">
        <v>42613</v>
      </c>
      <c r="B45" s="1">
        <v>2.9093561209645458E-3</v>
      </c>
      <c r="C45" s="31">
        <v>43552</v>
      </c>
      <c r="D45" s="31">
        <v>16486</v>
      </c>
      <c r="E45" s="31">
        <v>63952</v>
      </c>
      <c r="F45" s="31">
        <v>18303</v>
      </c>
      <c r="G45" s="31">
        <v>1047568</v>
      </c>
      <c r="H45" s="32">
        <v>170.31647723443601</v>
      </c>
      <c r="I45" s="11">
        <v>183.2</v>
      </c>
      <c r="J45" s="11">
        <v>343.2</v>
      </c>
      <c r="K45" s="11">
        <v>146.30000000000001</v>
      </c>
      <c r="L45" s="9">
        <v>9538.2116365700003</v>
      </c>
      <c r="M45" s="9">
        <v>50845.588771249997</v>
      </c>
      <c r="N45" s="9">
        <v>34679.4610741</v>
      </c>
      <c r="O45" s="35">
        <f t="shared" si="8"/>
        <v>0.4511865410922819</v>
      </c>
      <c r="P45" s="35">
        <f t="shared" si="9"/>
        <v>2.4051516365546406</v>
      </c>
      <c r="Q45" s="35">
        <f t="shared" si="10"/>
        <v>1.6404444234573867</v>
      </c>
      <c r="R45" s="33">
        <v>15649.47</v>
      </c>
      <c r="S45" s="33">
        <v>15515.967826086959</v>
      </c>
      <c r="T45" s="35">
        <f t="shared" si="11"/>
        <v>0.74026772609614166</v>
      </c>
      <c r="U45" s="35">
        <f t="shared" si="12"/>
        <v>0.73395266554064065</v>
      </c>
      <c r="V45" s="35">
        <v>675045.2</v>
      </c>
      <c r="W45" s="35">
        <f t="shared" si="13"/>
        <v>31.931699617694093</v>
      </c>
      <c r="X45" s="31">
        <f>+'[1]Agregados MesTrim'!B251</f>
        <v>926310.86363636365</v>
      </c>
      <c r="Y45" s="35">
        <f t="shared" si="14"/>
        <v>43.817332898957233</v>
      </c>
      <c r="Z45" s="33">
        <v>1259912</v>
      </c>
      <c r="AA45" s="35">
        <f t="shared" si="15"/>
        <v>59.5976855012497</v>
      </c>
      <c r="AB45" s="36">
        <v>0.24843750000000001</v>
      </c>
      <c r="AC45" s="5">
        <v>63446</v>
      </c>
      <c r="AD45" s="5">
        <v>139631</v>
      </c>
      <c r="AE45" s="10">
        <v>150.09066646052653</v>
      </c>
      <c r="AF45" s="10">
        <v>170.50852196180549</v>
      </c>
      <c r="AG45" s="10">
        <v>136.22715366911197</v>
      </c>
      <c r="AH45" s="10">
        <v>151.49956009687594</v>
      </c>
      <c r="AI45" s="10">
        <v>401.66818100285968</v>
      </c>
      <c r="AJ45">
        <v>191.74276553380696</v>
      </c>
      <c r="AK45">
        <v>95.778553804288606</v>
      </c>
      <c r="AL45">
        <v>89.481424762060044</v>
      </c>
      <c r="AM45">
        <v>131.63265977677275</v>
      </c>
      <c r="AN45">
        <v>102.09672910269052</v>
      </c>
      <c r="AO45">
        <v>206.09719621706355</v>
      </c>
      <c r="AP45">
        <v>192.7956964392161</v>
      </c>
      <c r="AQ45">
        <v>151.9984773275018</v>
      </c>
      <c r="AR45">
        <v>177.29334456406585</v>
      </c>
      <c r="AS45">
        <v>155.84983174636326</v>
      </c>
      <c r="AT45">
        <v>42.602176999999998</v>
      </c>
      <c r="AU45" s="38">
        <v>131.18378131685915</v>
      </c>
      <c r="AV45" s="34">
        <f>+VLOOKUP(A45,'[2]Salario Real'!$A$5:$C$292,2)</f>
        <v>112.48151375435056</v>
      </c>
      <c r="AW45" s="31">
        <v>3757883</v>
      </c>
      <c r="AX45" s="17">
        <v>211.40284046325607</v>
      </c>
      <c r="AY45" s="17">
        <v>449</v>
      </c>
      <c r="AZ45" s="16">
        <v>2.5213324857901407</v>
      </c>
      <c r="BA45">
        <v>164.10452262178316</v>
      </c>
      <c r="BB45">
        <v>143.6741026486049</v>
      </c>
    </row>
    <row r="46" spans="1:54" x14ac:dyDescent="0.25">
      <c r="A46" s="2">
        <v>42643</v>
      </c>
      <c r="B46" s="1">
        <v>2.9093561209645458E-3</v>
      </c>
      <c r="C46" s="31">
        <v>42599</v>
      </c>
      <c r="D46" s="31">
        <v>17658</v>
      </c>
      <c r="E46" s="31">
        <v>67816</v>
      </c>
      <c r="F46" s="31">
        <v>18396</v>
      </c>
      <c r="G46" s="31">
        <v>1008357</v>
      </c>
      <c r="H46" s="32">
        <v>171.30857519902099</v>
      </c>
      <c r="I46" s="11">
        <v>179.6</v>
      </c>
      <c r="J46" s="11">
        <v>322.10000000000002</v>
      </c>
      <c r="K46" s="11">
        <v>138.19999999999999</v>
      </c>
      <c r="L46" s="9">
        <v>10482.224719529999</v>
      </c>
      <c r="M46" s="9">
        <v>53856.674233750004</v>
      </c>
      <c r="N46" s="9">
        <v>34425.75015711</v>
      </c>
      <c r="O46" s="35">
        <f t="shared" si="8"/>
        <v>0.49020833202449821</v>
      </c>
      <c r="P46" s="35">
        <f t="shared" si="9"/>
        <v>2.5186438137816536</v>
      </c>
      <c r="Q46" s="35">
        <f t="shared" si="10"/>
        <v>1.6099435009981045</v>
      </c>
      <c r="R46" s="33">
        <v>16675.68</v>
      </c>
      <c r="S46" s="33">
        <v>16172.868636363635</v>
      </c>
      <c r="T46" s="35">
        <f t="shared" si="11"/>
        <v>0.77984945914618919</v>
      </c>
      <c r="U46" s="35">
        <f t="shared" si="12"/>
        <v>0.75633514548795289</v>
      </c>
      <c r="V46" s="35">
        <v>733050.5</v>
      </c>
      <c r="W46" s="35">
        <f t="shared" si="13"/>
        <v>34.281602666388629</v>
      </c>
      <c r="X46" s="31">
        <f>+'[1]Agregados MesTrim'!B252</f>
        <v>933421.86363636365</v>
      </c>
      <c r="Y46" s="35">
        <f t="shared" si="14"/>
        <v>43.652105072299676</v>
      </c>
      <c r="Z46" s="33">
        <v>1264621</v>
      </c>
      <c r="AA46" s="35">
        <f t="shared" si="15"/>
        <v>59.140856797138888</v>
      </c>
      <c r="AB46" s="36">
        <v>0.23053977272727275</v>
      </c>
      <c r="AC46" s="5">
        <v>60458</v>
      </c>
      <c r="AD46" s="5">
        <v>136112</v>
      </c>
      <c r="AE46" s="10">
        <v>146.95210775290005</v>
      </c>
      <c r="AF46" s="10">
        <v>165.12543899450395</v>
      </c>
      <c r="AG46" s="10">
        <v>133.91516265325009</v>
      </c>
      <c r="AH46" s="10">
        <v>149.13101821884985</v>
      </c>
      <c r="AI46" s="10">
        <v>363.72793827453694</v>
      </c>
      <c r="AJ46">
        <v>187.49210758591119</v>
      </c>
      <c r="AK46">
        <v>86.410111746892071</v>
      </c>
      <c r="AL46">
        <v>87.355363288905437</v>
      </c>
      <c r="AM46">
        <v>147.11016983163245</v>
      </c>
      <c r="AN46">
        <v>103.90192405972671</v>
      </c>
      <c r="AO46">
        <v>191.91890414561587</v>
      </c>
      <c r="AP46">
        <v>194.80880693013296</v>
      </c>
      <c r="AQ46">
        <v>152.4051070016987</v>
      </c>
      <c r="AR46">
        <v>170.8863961478682</v>
      </c>
      <c r="AS46">
        <v>148.22469516935669</v>
      </c>
      <c r="AT46">
        <v>43.293731999999999</v>
      </c>
      <c r="AU46" s="38">
        <v>131.8794189300767</v>
      </c>
      <c r="AV46" s="34">
        <f>+VLOOKUP(A46,'[2]Salario Real'!$A$5:$C$292,2)</f>
        <v>113.04966994599357</v>
      </c>
      <c r="AW46" s="31">
        <v>3540968</v>
      </c>
      <c r="AX46" s="17">
        <v>213.83203904837237</v>
      </c>
      <c r="AY46" s="17">
        <v>441</v>
      </c>
      <c r="AZ46" s="16">
        <v>2.5298220307517867</v>
      </c>
      <c r="BA46">
        <v>164.17190598838275</v>
      </c>
      <c r="BB46">
        <v>142.00773744282046</v>
      </c>
    </row>
    <row r="47" spans="1:54" x14ac:dyDescent="0.25">
      <c r="A47" s="2">
        <v>42674</v>
      </c>
      <c r="B47" s="1">
        <v>6.676534868791828E-3</v>
      </c>
      <c r="C47" s="31">
        <v>37832</v>
      </c>
      <c r="D47" s="31">
        <v>13959</v>
      </c>
      <c r="E47" s="31">
        <v>56357</v>
      </c>
      <c r="F47" s="31">
        <v>15408</v>
      </c>
      <c r="G47" s="31">
        <v>939651</v>
      </c>
      <c r="H47" s="32">
        <v>163.585078149971</v>
      </c>
      <c r="I47" s="11">
        <v>280.89999999999998</v>
      </c>
      <c r="J47" s="11">
        <v>376.6</v>
      </c>
      <c r="K47" s="11">
        <v>153.4</v>
      </c>
      <c r="L47" s="9">
        <v>9542.6917720700003</v>
      </c>
      <c r="M47" s="9">
        <v>49254.415454100003</v>
      </c>
      <c r="N47" s="9">
        <v>35685.439572709998</v>
      </c>
      <c r="O47" s="35">
        <f t="shared" si="8"/>
        <v>0.43598389074725719</v>
      </c>
      <c r="P47" s="35">
        <f t="shared" si="9"/>
        <v>2.2503222569769936</v>
      </c>
      <c r="Q47" s="35">
        <f t="shared" si="10"/>
        <v>1.6303865994574971</v>
      </c>
      <c r="R47" s="33">
        <v>17610.13</v>
      </c>
      <c r="S47" s="33">
        <v>17609.40904761905</v>
      </c>
      <c r="T47" s="35">
        <f t="shared" si="11"/>
        <v>0.804566801207658</v>
      </c>
      <c r="U47" s="35">
        <f t="shared" si="12"/>
        <v>0.80453386253253367</v>
      </c>
      <c r="V47" s="35">
        <v>763888.3</v>
      </c>
      <c r="W47" s="35">
        <f t="shared" si="13"/>
        <v>34.900319646189764</v>
      </c>
      <c r="X47" s="31">
        <f>+'[1]Agregados MesTrim'!B253</f>
        <v>961776.4</v>
      </c>
      <c r="Y47" s="35">
        <f t="shared" si="14"/>
        <v>43.94137701567319</v>
      </c>
      <c r="Z47" s="33">
        <v>1310328</v>
      </c>
      <c r="AA47" s="35">
        <f t="shared" si="15"/>
        <v>59.865907150760833</v>
      </c>
      <c r="AB47" s="36">
        <v>0.22090625</v>
      </c>
      <c r="AC47" s="5">
        <v>57471</v>
      </c>
      <c r="AD47" s="5">
        <v>125527</v>
      </c>
      <c r="AE47" s="10">
        <v>149.14043999221147</v>
      </c>
      <c r="AF47" s="10">
        <v>158.03511090367547</v>
      </c>
      <c r="AG47" s="10">
        <v>128.16835180020828</v>
      </c>
      <c r="AH47" s="10">
        <v>157.29987889278405</v>
      </c>
      <c r="AI47" s="10">
        <v>348.3487715946053</v>
      </c>
      <c r="AJ47">
        <v>177.8801983201098</v>
      </c>
      <c r="AK47">
        <v>88.1940192874563</v>
      </c>
      <c r="AL47">
        <v>83.710355525493682</v>
      </c>
      <c r="AM47">
        <v>149.96331409850563</v>
      </c>
      <c r="AN47">
        <v>104.950607888435</v>
      </c>
      <c r="AO47">
        <v>216.27599901203996</v>
      </c>
      <c r="AP47">
        <v>186.86476247472891</v>
      </c>
      <c r="AQ47">
        <v>175.78476044045942</v>
      </c>
      <c r="AR47">
        <v>168.49845901974047</v>
      </c>
      <c r="AS47">
        <v>132.59733067640525</v>
      </c>
      <c r="AT47">
        <v>46.040759999999999</v>
      </c>
      <c r="AU47" s="38">
        <v>130.61148712030888</v>
      </c>
      <c r="AV47" s="34">
        <f>+VLOOKUP(A47,'[2]Salario Real'!$A$5:$C$292,2)</f>
        <v>114.29836271742178</v>
      </c>
      <c r="AW47" s="31">
        <v>3705409</v>
      </c>
      <c r="AX47" s="17">
        <v>218.87716437674445</v>
      </c>
      <c r="AY47" s="17">
        <v>451</v>
      </c>
      <c r="AZ47" s="16">
        <v>2.6324296004542131</v>
      </c>
      <c r="BA47">
        <v>165.18210345837548</v>
      </c>
      <c r="BB47">
        <v>141.13686329808141</v>
      </c>
    </row>
    <row r="48" spans="1:54" x14ac:dyDescent="0.25">
      <c r="A48" s="2">
        <v>42704</v>
      </c>
      <c r="B48" s="1">
        <v>6.676534868791828E-3</v>
      </c>
      <c r="C48" s="31">
        <v>46962</v>
      </c>
      <c r="D48" s="31">
        <v>21531</v>
      </c>
      <c r="E48" s="31">
        <v>62401</v>
      </c>
      <c r="F48" s="31">
        <v>19366</v>
      </c>
      <c r="G48" s="31">
        <v>1023658</v>
      </c>
      <c r="H48" s="32">
        <v>167.45833247949901</v>
      </c>
      <c r="I48" s="11">
        <v>271.7</v>
      </c>
      <c r="J48" s="11">
        <v>359.3</v>
      </c>
      <c r="K48" s="11">
        <v>166.3</v>
      </c>
      <c r="L48" s="9">
        <v>9652.3135236100006</v>
      </c>
      <c r="M48" s="9">
        <v>52361.70593828</v>
      </c>
      <c r="N48" s="9">
        <v>37514.090917699999</v>
      </c>
      <c r="O48" s="35">
        <f t="shared" si="8"/>
        <v>0.43396863947435527</v>
      </c>
      <c r="P48" s="35">
        <f t="shared" si="9"/>
        <v>2.3541856810814648</v>
      </c>
      <c r="Q48" s="35">
        <f t="shared" si="10"/>
        <v>1.6866359507334756</v>
      </c>
      <c r="R48" s="33">
        <v>17442.400000000001</v>
      </c>
      <c r="S48" s="33">
        <v>16816.439090909094</v>
      </c>
      <c r="T48" s="35">
        <f t="shared" si="11"/>
        <v>0.78421143062254073</v>
      </c>
      <c r="U48" s="35">
        <f t="shared" si="12"/>
        <v>0.75606818771835504</v>
      </c>
      <c r="V48" s="35">
        <v>755947.7</v>
      </c>
      <c r="W48" s="35">
        <f t="shared" si="13"/>
        <v>33.98745741943879</v>
      </c>
      <c r="X48" s="31">
        <f>+'[1]Agregados MesTrim'!B254</f>
        <v>990401.71428571432</v>
      </c>
      <c r="Y48" s="35">
        <f t="shared" si="14"/>
        <v>44.528525045350221</v>
      </c>
      <c r="Z48" s="33">
        <v>1383565</v>
      </c>
      <c r="AA48" s="35">
        <f t="shared" si="15"/>
        <v>62.205171765885162</v>
      </c>
      <c r="AB48" s="36">
        <v>0.21098214285714284</v>
      </c>
      <c r="AC48" s="5">
        <v>59929</v>
      </c>
      <c r="AD48" s="5">
        <v>130215</v>
      </c>
      <c r="AE48" s="10">
        <v>152.31665453825238</v>
      </c>
      <c r="AF48" s="10">
        <v>153.26472447491551</v>
      </c>
      <c r="AG48" s="10">
        <v>124.03649434484868</v>
      </c>
      <c r="AH48" s="10">
        <v>153.99959991690949</v>
      </c>
      <c r="AI48" s="10">
        <v>402.98367744602081</v>
      </c>
      <c r="AJ48">
        <v>170.10879220237115</v>
      </c>
      <c r="AK48">
        <v>93.985163107560965</v>
      </c>
      <c r="AL48">
        <v>82.54664635309409</v>
      </c>
      <c r="AM48">
        <v>149.3588180373448</v>
      </c>
      <c r="AN48">
        <v>101.52815493731508</v>
      </c>
      <c r="AO48">
        <v>208.60776536993311</v>
      </c>
      <c r="AP48">
        <v>195.33360815742179</v>
      </c>
      <c r="AQ48">
        <v>164.47046400144282</v>
      </c>
      <c r="AR48">
        <v>156.87875153289431</v>
      </c>
      <c r="AS48">
        <v>164.15793694895353</v>
      </c>
      <c r="AT48">
        <v>43.934199999999997</v>
      </c>
      <c r="AU48" s="38">
        <v>133.35873733813926</v>
      </c>
      <c r="AV48" s="34">
        <f>+VLOOKUP(A48,'[2]Salario Real'!$A$5:$C$292,2)</f>
        <v>114.50255232982795</v>
      </c>
      <c r="AW48" s="31">
        <v>3637263</v>
      </c>
      <c r="AX48" s="17">
        <v>222.41960929023281</v>
      </c>
      <c r="AY48" s="17">
        <v>491</v>
      </c>
      <c r="AZ48" s="16">
        <v>2.5160641675586191</v>
      </c>
      <c r="BA48">
        <v>166.22102859893053</v>
      </c>
      <c r="BB48">
        <v>144.93832064073018</v>
      </c>
    </row>
    <row r="49" spans="1:54" x14ac:dyDescent="0.25">
      <c r="A49" s="2">
        <v>42734</v>
      </c>
      <c r="B49" s="1">
        <v>6.676534868791828E-3</v>
      </c>
      <c r="C49" s="31">
        <v>40087</v>
      </c>
      <c r="D49" s="31">
        <v>18802</v>
      </c>
      <c r="E49" s="31">
        <v>72003</v>
      </c>
      <c r="F49" s="31">
        <v>20475</v>
      </c>
      <c r="G49" s="31">
        <v>950647</v>
      </c>
      <c r="H49" s="32">
        <v>176.461434516259</v>
      </c>
      <c r="I49" s="11">
        <v>247.8</v>
      </c>
      <c r="J49" s="11">
        <v>312.60000000000002</v>
      </c>
      <c r="K49" s="11">
        <v>124.8</v>
      </c>
      <c r="L49" s="9">
        <v>9077.3062924400001</v>
      </c>
      <c r="M49" s="9">
        <v>54599.559089410002</v>
      </c>
      <c r="N49" s="9">
        <v>42426.858627189999</v>
      </c>
      <c r="O49" s="35">
        <f t="shared" si="8"/>
        <v>0.40328691599151995</v>
      </c>
      <c r="P49" s="35">
        <f t="shared" si="9"/>
        <v>2.4257513286737495</v>
      </c>
      <c r="Q49" s="35">
        <f t="shared" si="10"/>
        <v>1.8849421204634051</v>
      </c>
      <c r="R49" s="33">
        <v>16917.86</v>
      </c>
      <c r="S49" s="33">
        <v>16755.189545454548</v>
      </c>
      <c r="T49" s="35">
        <f t="shared" si="11"/>
        <v>0.75162734017894695</v>
      </c>
      <c r="U49" s="35">
        <f t="shared" si="12"/>
        <v>0.74440021091580733</v>
      </c>
      <c r="V49" s="35">
        <v>747261.8</v>
      </c>
      <c r="W49" s="35">
        <f t="shared" si="13"/>
        <v>33.199376230287527</v>
      </c>
      <c r="X49" s="31">
        <f>+'[1]Agregados MesTrim'!B255</f>
        <v>1079630.3500000001</v>
      </c>
      <c r="Y49" s="35">
        <f t="shared" si="14"/>
        <v>47.965859059418008</v>
      </c>
      <c r="Z49" s="33">
        <v>1542151</v>
      </c>
      <c r="AA49" s="35">
        <f t="shared" si="15"/>
        <v>68.514744434834142</v>
      </c>
      <c r="AB49" s="36">
        <v>0.20028124999999999</v>
      </c>
      <c r="AC49" s="5">
        <v>61919</v>
      </c>
      <c r="AD49" s="5">
        <v>13961</v>
      </c>
      <c r="AE49" s="10">
        <v>154.00915520193763</v>
      </c>
      <c r="AF49" s="10">
        <v>160.75246407973236</v>
      </c>
      <c r="AG49" s="10">
        <v>102.03067211456067</v>
      </c>
      <c r="AH49" s="10">
        <v>142.79406298868352</v>
      </c>
      <c r="AI49" s="10">
        <v>343.54432935883591</v>
      </c>
      <c r="AJ49">
        <v>176.15600559276515</v>
      </c>
      <c r="AK49">
        <v>106.54256661487882</v>
      </c>
      <c r="AL49">
        <v>71.467064368483875</v>
      </c>
      <c r="AM49">
        <v>153.39383162286401</v>
      </c>
      <c r="AN49">
        <v>107.09418289899983</v>
      </c>
      <c r="AO49">
        <v>178.00912746384154</v>
      </c>
      <c r="AP49">
        <v>188.09728312743343</v>
      </c>
      <c r="AQ49">
        <v>158.13838894442929</v>
      </c>
      <c r="AR49">
        <v>128.30922623197264</v>
      </c>
      <c r="AS49">
        <v>140.84525416264623</v>
      </c>
      <c r="AT49">
        <v>44.48</v>
      </c>
      <c r="AU49" s="38">
        <v>136.24012111444819</v>
      </c>
      <c r="AV49" s="34">
        <f>+VLOOKUP(A49,'[2]Salario Real'!$A$5:$C$292,2)</f>
        <v>114.34697425157547</v>
      </c>
      <c r="AW49" s="31">
        <v>3384255</v>
      </c>
      <c r="AX49" s="17">
        <v>225.08308433767468</v>
      </c>
      <c r="AY49" s="17">
        <v>455</v>
      </c>
      <c r="AZ49" s="16">
        <v>2.4937647146979085</v>
      </c>
      <c r="BA49">
        <v>168.90107268943041</v>
      </c>
      <c r="BB49">
        <v>142.59014516031914</v>
      </c>
    </row>
    <row r="50" spans="1:54" x14ac:dyDescent="0.25">
      <c r="A50" s="2">
        <v>42766</v>
      </c>
      <c r="B50" s="1">
        <v>9.0530867870899367E-3</v>
      </c>
      <c r="C50" s="31">
        <v>26762</v>
      </c>
      <c r="D50" s="31">
        <v>9754</v>
      </c>
      <c r="E50" s="31">
        <v>52841</v>
      </c>
      <c r="F50" s="31">
        <v>11154</v>
      </c>
      <c r="G50" s="31">
        <v>883407</v>
      </c>
      <c r="H50" s="32">
        <v>178.085915063225</v>
      </c>
      <c r="I50" s="11">
        <v>247.6</v>
      </c>
      <c r="J50" s="11">
        <v>291.3</v>
      </c>
      <c r="K50" s="11">
        <v>127.3</v>
      </c>
      <c r="L50" s="9">
        <v>11255.023031929999</v>
      </c>
      <c r="M50" s="9">
        <v>58545.880283730003</v>
      </c>
      <c r="N50" s="9">
        <v>43503.51786416</v>
      </c>
      <c r="O50" s="35">
        <f t="shared" si="8"/>
        <v>0.49223228789484508</v>
      </c>
      <c r="P50" s="35">
        <f t="shared" si="9"/>
        <v>2.5604721125067669</v>
      </c>
      <c r="Q50" s="35">
        <f t="shared" si="10"/>
        <v>1.902602604099489</v>
      </c>
      <c r="R50" s="33">
        <v>19062.59</v>
      </c>
      <c r="S50" s="33">
        <v>18736.362272727274</v>
      </c>
      <c r="T50" s="35">
        <f t="shared" si="11"/>
        <v>0.83369196689172587</v>
      </c>
      <c r="U50" s="35">
        <f t="shared" si="12"/>
        <v>0.81942457533556179</v>
      </c>
      <c r="V50" s="35">
        <v>827929</v>
      </c>
      <c r="W50" s="35">
        <f t="shared" si="13"/>
        <v>36.209022827260071</v>
      </c>
      <c r="X50" s="31">
        <f>+'[1]Agregados MesTrim'!B256</f>
        <v>1055196</v>
      </c>
      <c r="Y50" s="35">
        <f t="shared" si="14"/>
        <v>46.14842100135823</v>
      </c>
      <c r="Z50" s="33">
        <v>1458483</v>
      </c>
      <c r="AA50" s="35">
        <f t="shared" si="15"/>
        <v>63.785957781610207</v>
      </c>
      <c r="AB50" s="36">
        <v>0.19767045454545454</v>
      </c>
      <c r="AC50" s="5">
        <v>60987</v>
      </c>
      <c r="AD50" s="5">
        <v>141305</v>
      </c>
      <c r="AE50" s="10">
        <v>153.68077065351679</v>
      </c>
      <c r="AF50" s="10">
        <v>146.7485450304811</v>
      </c>
      <c r="AG50" s="10">
        <v>65.087521013366825</v>
      </c>
      <c r="AH50" s="10">
        <v>149.69569161001274</v>
      </c>
      <c r="AI50" s="10">
        <v>249.23188149577416</v>
      </c>
      <c r="AJ50">
        <v>159.60772187704274</v>
      </c>
      <c r="AK50">
        <v>101.49306545490948</v>
      </c>
      <c r="AL50">
        <v>67.544378306790875</v>
      </c>
      <c r="AM50">
        <v>147.18809584255746</v>
      </c>
      <c r="AN50">
        <v>107.82350770531058</v>
      </c>
      <c r="AO50">
        <v>194.32518050681495</v>
      </c>
      <c r="AP50">
        <v>174.84419704933708</v>
      </c>
      <c r="AQ50">
        <v>148.70609985962946</v>
      </c>
      <c r="AR50">
        <v>85.031604936401905</v>
      </c>
      <c r="AS50">
        <v>94.856481524250782</v>
      </c>
      <c r="AT50">
        <v>44.466782000000002</v>
      </c>
      <c r="AU50" s="38">
        <v>136.05373864754543</v>
      </c>
      <c r="AV50" s="34">
        <f>+VLOOKUP(A50,'[2]Salario Real'!$A$5:$C$292,2)</f>
        <v>116.34393413498174</v>
      </c>
      <c r="AW50" s="31">
        <v>2966810</v>
      </c>
      <c r="AX50" s="17">
        <v>228.65267697218582</v>
      </c>
      <c r="AY50" s="17">
        <v>457</v>
      </c>
      <c r="AZ50" s="16">
        <v>2.4611481334244338</v>
      </c>
      <c r="BA50">
        <v>170.82192922819902</v>
      </c>
      <c r="BB50">
        <v>136.63265948316217</v>
      </c>
    </row>
    <row r="51" spans="1:54" x14ac:dyDescent="0.25">
      <c r="A51" s="2">
        <v>42794</v>
      </c>
      <c r="B51" s="1">
        <v>9.0530867870899367E-3</v>
      </c>
      <c r="C51" s="31">
        <v>25717</v>
      </c>
      <c r="D51" s="31">
        <v>12931</v>
      </c>
      <c r="E51" s="31">
        <v>65274</v>
      </c>
      <c r="F51" s="31">
        <v>14339</v>
      </c>
      <c r="G51" s="31">
        <v>805992</v>
      </c>
      <c r="H51" s="32">
        <v>171.63531718335599</v>
      </c>
      <c r="I51" s="11">
        <v>219.9</v>
      </c>
      <c r="J51" s="11">
        <v>305.10000000000002</v>
      </c>
      <c r="K51" s="11">
        <v>123.4</v>
      </c>
      <c r="L51" s="9">
        <v>5327.6131479799997</v>
      </c>
      <c r="M51" s="9">
        <v>53121.923400220003</v>
      </c>
      <c r="N51" s="9">
        <v>35345.858572930003</v>
      </c>
      <c r="O51" s="35">
        <f t="shared" si="8"/>
        <v>0.22828118726939439</v>
      </c>
      <c r="P51" s="35">
        <f t="shared" si="9"/>
        <v>2.2762042601448984</v>
      </c>
      <c r="Q51" s="35">
        <f t="shared" si="10"/>
        <v>1.5145233589536997</v>
      </c>
      <c r="R51" s="33">
        <v>19117.45</v>
      </c>
      <c r="S51" s="33">
        <v>19455.243500000004</v>
      </c>
      <c r="T51" s="35">
        <f t="shared" si="11"/>
        <v>0.81915748428881008</v>
      </c>
      <c r="U51" s="35">
        <f t="shared" si="12"/>
        <v>0.83363148964355727</v>
      </c>
      <c r="V51" s="35">
        <v>835707.9</v>
      </c>
      <c r="W51" s="35">
        <f t="shared" si="13"/>
        <v>35.808979804539014</v>
      </c>
      <c r="X51" s="31">
        <f>+'[1]Agregados MesTrim'!B257</f>
        <v>1052367.388888889</v>
      </c>
      <c r="Y51" s="35">
        <f t="shared" si="14"/>
        <v>45.092552763564491</v>
      </c>
      <c r="Z51" s="33">
        <v>1457405</v>
      </c>
      <c r="AA51" s="35">
        <f t="shared" si="15"/>
        <v>62.447879470846431</v>
      </c>
      <c r="AB51" s="36">
        <v>0.200625</v>
      </c>
      <c r="AC51" s="5">
        <v>53259</v>
      </c>
      <c r="AD51" s="5">
        <v>115035</v>
      </c>
      <c r="AE51" s="10">
        <v>152.39219713256401</v>
      </c>
      <c r="AF51" s="10">
        <v>126.88984046395623</v>
      </c>
      <c r="AG51" s="10">
        <v>91.711789397123738</v>
      </c>
      <c r="AH51" s="10">
        <v>134.8444098985843</v>
      </c>
      <c r="AI51" s="10">
        <v>272.71952748322735</v>
      </c>
      <c r="AJ51">
        <v>139.36976995902447</v>
      </c>
      <c r="AK51">
        <v>82.969051356864114</v>
      </c>
      <c r="AL51">
        <v>86.825856744540374</v>
      </c>
      <c r="AM51">
        <v>139.22328491918978</v>
      </c>
      <c r="AN51">
        <v>94.029593745597992</v>
      </c>
      <c r="AO51">
        <v>176.08947261628595</v>
      </c>
      <c r="AP51">
        <v>160.42355372551322</v>
      </c>
      <c r="AQ51">
        <v>143.79647651101166</v>
      </c>
      <c r="AR51">
        <v>127.97845418792981</v>
      </c>
      <c r="AS51">
        <v>89.469201644240229</v>
      </c>
      <c r="AT51">
        <v>40.681771833333336</v>
      </c>
      <c r="AU51" s="38">
        <v>135.71052753160217</v>
      </c>
      <c r="AV51" s="34">
        <f>+VLOOKUP(A51,'[2]Salario Real'!$A$5:$C$292,2)</f>
        <v>115.4238082487758</v>
      </c>
      <c r="AW51" s="31">
        <v>2624252</v>
      </c>
      <c r="AX51" s="17">
        <v>233.37942174327702</v>
      </c>
      <c r="AY51" s="17">
        <v>466</v>
      </c>
      <c r="AZ51" s="16">
        <v>2.3498972287518836</v>
      </c>
      <c r="BA51">
        <v>166.57933759284526</v>
      </c>
      <c r="BB51">
        <v>132.15851633982282</v>
      </c>
    </row>
    <row r="52" spans="1:54" x14ac:dyDescent="0.25">
      <c r="A52" s="2">
        <v>42825</v>
      </c>
      <c r="B52" s="1">
        <v>9.0530867870899367E-3</v>
      </c>
      <c r="C52" s="31">
        <v>39675</v>
      </c>
      <c r="D52" s="31">
        <v>17508</v>
      </c>
      <c r="E52" s="31">
        <v>68947</v>
      </c>
      <c r="F52" s="31">
        <v>18401</v>
      </c>
      <c r="G52" s="31">
        <f>+G51</f>
        <v>805992</v>
      </c>
      <c r="H52" s="32">
        <v>184.13291566767799</v>
      </c>
      <c r="I52" s="11">
        <v>348.3</v>
      </c>
      <c r="J52" s="11">
        <v>392.3</v>
      </c>
      <c r="K52" s="11">
        <v>179.1</v>
      </c>
      <c r="L52" s="9">
        <v>11663.220315879998</v>
      </c>
      <c r="M52" s="9">
        <v>53405.705655849997</v>
      </c>
      <c r="N52" s="9">
        <v>32942.997011380001</v>
      </c>
      <c r="O52" s="35">
        <f t="shared" si="8"/>
        <v>0.48816365561762859</v>
      </c>
      <c r="P52" s="35">
        <f t="shared" si="9"/>
        <v>2.2352938380407967</v>
      </c>
      <c r="Q52" s="35">
        <f t="shared" si="10"/>
        <v>1.378827923380654</v>
      </c>
      <c r="R52" s="33">
        <v>20265.32</v>
      </c>
      <c r="S52" s="33">
        <v>19502.228695652175</v>
      </c>
      <c r="T52" s="35">
        <f t="shared" si="11"/>
        <v>0.84820422023508879</v>
      </c>
      <c r="U52" s="35">
        <f t="shared" si="12"/>
        <v>0.81626506187131642</v>
      </c>
      <c r="V52" s="35">
        <v>879071.4</v>
      </c>
      <c r="W52" s="35">
        <f t="shared" si="13"/>
        <v>36.793500984340135</v>
      </c>
      <c r="X52" s="31">
        <f>+'[1]Agregados MesTrim'!B258</f>
        <v>1091302.4545454546</v>
      </c>
      <c r="Y52" s="35">
        <f t="shared" si="14"/>
        <v>45.67642393499662</v>
      </c>
      <c r="Z52" s="33">
        <v>1485143</v>
      </c>
      <c r="AA52" s="35">
        <f t="shared" si="15"/>
        <v>62.16060542111353</v>
      </c>
      <c r="AB52" s="36">
        <v>0.19500000000000001</v>
      </c>
      <c r="AC52" s="5">
        <v>65557</v>
      </c>
      <c r="AD52" s="5">
        <v>151128</v>
      </c>
      <c r="AE52" s="10">
        <v>150.55261392142981</v>
      </c>
      <c r="AF52" s="10">
        <v>151.5104382662683</v>
      </c>
      <c r="AG52" s="10">
        <v>126.30598379939158</v>
      </c>
      <c r="AH52" s="10">
        <v>159.58266877203567</v>
      </c>
      <c r="AI52" s="10">
        <v>408.43791192004767</v>
      </c>
      <c r="AJ52">
        <v>165.73211879236896</v>
      </c>
      <c r="AK52">
        <v>101.45988057825039</v>
      </c>
      <c r="AL52">
        <v>102.05897100862295</v>
      </c>
      <c r="AM52">
        <v>156.47325605221801</v>
      </c>
      <c r="AN52">
        <v>101.66576464995072</v>
      </c>
      <c r="AO52">
        <v>213.37714853317146</v>
      </c>
      <c r="AP52">
        <v>201.97088263130101</v>
      </c>
      <c r="AQ52">
        <v>181.81642421027749</v>
      </c>
      <c r="AR52">
        <v>171.44042440131017</v>
      </c>
      <c r="AS52">
        <v>144.35283435743091</v>
      </c>
      <c r="AT52">
        <v>40.950098833333335</v>
      </c>
      <c r="AU52" s="38">
        <v>137.48203707189776</v>
      </c>
      <c r="AV52" s="34">
        <f>+VLOOKUP(A52,'[2]Salario Real'!$A$5:$C$292,2)</f>
        <v>114.38181221786847</v>
      </c>
      <c r="AW52" s="31">
        <v>3360400</v>
      </c>
      <c r="AX52" s="17">
        <v>238.92029203041753</v>
      </c>
      <c r="AY52" s="17">
        <v>442</v>
      </c>
      <c r="AZ52" s="16">
        <v>2.316832641609115</v>
      </c>
      <c r="BA52">
        <v>171.95422946891406</v>
      </c>
      <c r="BB52">
        <v>152.62095855905741</v>
      </c>
    </row>
    <row r="53" spans="1:54" x14ac:dyDescent="0.25">
      <c r="A53" s="2">
        <v>42853</v>
      </c>
      <c r="B53" s="1">
        <v>9.9059613933012436E-3</v>
      </c>
      <c r="C53" s="31">
        <v>37730</v>
      </c>
      <c r="D53" s="31">
        <v>18571</v>
      </c>
      <c r="E53" s="31">
        <v>68117</v>
      </c>
      <c r="F53" s="31">
        <v>18860</v>
      </c>
      <c r="G53" s="31">
        <v>848868</v>
      </c>
      <c r="H53" s="32">
        <v>181.61309392057001</v>
      </c>
      <c r="I53" s="11">
        <v>337.7</v>
      </c>
      <c r="J53" s="11">
        <v>367.4</v>
      </c>
      <c r="K53" s="11">
        <v>185</v>
      </c>
      <c r="L53" s="9">
        <v>13838.443243109999</v>
      </c>
      <c r="M53" s="9">
        <v>60099.74682398</v>
      </c>
      <c r="N53" s="9">
        <v>29603.988190420001</v>
      </c>
      <c r="O53" s="35">
        <f t="shared" si="8"/>
        <v>0.56422273325669825</v>
      </c>
      <c r="P53" s="35">
        <f t="shared" si="9"/>
        <v>2.4503943706200322</v>
      </c>
      <c r="Q53" s="35">
        <f t="shared" si="10"/>
        <v>1.2070174974641124</v>
      </c>
      <c r="R53" s="33">
        <v>21019.91</v>
      </c>
      <c r="S53" s="33">
        <v>20832.600499999997</v>
      </c>
      <c r="T53" s="35">
        <f t="shared" si="11"/>
        <v>0.85702639123910951</v>
      </c>
      <c r="U53" s="35">
        <f t="shared" si="12"/>
        <v>0.84938938495174654</v>
      </c>
      <c r="V53" s="35">
        <v>909427.5</v>
      </c>
      <c r="W53" s="35">
        <f t="shared" si="13"/>
        <v>37.079291415548653</v>
      </c>
      <c r="X53" s="31">
        <f>+'[1]Agregados MesTrim'!B259</f>
        <v>1099820.5</v>
      </c>
      <c r="Y53" s="35">
        <f t="shared" si="14"/>
        <v>44.84201854935597</v>
      </c>
      <c r="Z53" s="33">
        <v>1520578</v>
      </c>
      <c r="AA53" s="35">
        <f t="shared" si="15"/>
        <v>61.997195798534946</v>
      </c>
      <c r="AB53" s="36">
        <v>0.19246527777777778</v>
      </c>
      <c r="AC53" s="5">
        <v>58046</v>
      </c>
      <c r="AD53" s="5">
        <v>124348</v>
      </c>
      <c r="AE53" s="10">
        <v>151.66066799037208</v>
      </c>
      <c r="AF53" s="10">
        <v>136.9119667087682</v>
      </c>
      <c r="AG53" s="10">
        <v>114.8834179090485</v>
      </c>
      <c r="AH53" s="10">
        <v>153.75880141715677</v>
      </c>
      <c r="AI53" s="10">
        <v>406.26505098989276</v>
      </c>
      <c r="AJ53">
        <v>150.77834478135131</v>
      </c>
      <c r="AK53">
        <v>88.111829877402286</v>
      </c>
      <c r="AL53">
        <v>100.36751168961655</v>
      </c>
      <c r="AM53">
        <v>135.31535675438289</v>
      </c>
      <c r="AN53">
        <v>101.49276245950134</v>
      </c>
      <c r="AO53">
        <v>199.27243419670569</v>
      </c>
      <c r="AP53">
        <v>171.62473146379574</v>
      </c>
      <c r="AQ53">
        <v>173.71510921375261</v>
      </c>
      <c r="AR53">
        <v>158.12702233577292</v>
      </c>
      <c r="AS53">
        <v>139.89488916734425</v>
      </c>
      <c r="AT53">
        <v>46.19</v>
      </c>
      <c r="AU53" s="38">
        <v>138.71492204015621</v>
      </c>
      <c r="AV53" s="34">
        <f>+VLOOKUP(A53,'[2]Salario Real'!$A$5:$C$292,2)</f>
        <v>115.16641665349887</v>
      </c>
      <c r="AW53" s="31">
        <v>3998354</v>
      </c>
      <c r="AX53" s="17">
        <v>245.26560926098091</v>
      </c>
      <c r="AY53" s="17">
        <v>405</v>
      </c>
      <c r="AZ53" s="16">
        <v>2.6113299353267463</v>
      </c>
      <c r="BA53">
        <v>173.08307259728613</v>
      </c>
      <c r="BB53">
        <v>151.94634480448744</v>
      </c>
    </row>
    <row r="54" spans="1:54" x14ac:dyDescent="0.25">
      <c r="A54" s="2">
        <v>42886</v>
      </c>
      <c r="B54" s="1">
        <v>9.9059613933012436E-3</v>
      </c>
      <c r="C54" s="31">
        <v>45273</v>
      </c>
      <c r="D54" s="31">
        <v>19956</v>
      </c>
      <c r="E54" s="31">
        <v>79521</v>
      </c>
      <c r="F54" s="31">
        <v>19863</v>
      </c>
      <c r="G54" s="31">
        <v>972913</v>
      </c>
      <c r="H54" s="32">
        <v>183.01275444322999</v>
      </c>
      <c r="I54" s="11">
        <v>324.5</v>
      </c>
      <c r="J54" s="11">
        <v>394.1</v>
      </c>
      <c r="K54" s="11">
        <v>196.1</v>
      </c>
      <c r="L54" s="9">
        <v>12150.067983479999</v>
      </c>
      <c r="M54" s="9">
        <v>59734.883937700004</v>
      </c>
      <c r="N54" s="9">
        <v>52277.477851750002</v>
      </c>
      <c r="O54" s="35">
        <f t="shared" si="8"/>
        <v>0.48837709507832122</v>
      </c>
      <c r="P54" s="35">
        <f t="shared" si="9"/>
        <v>2.4010687950059419</v>
      </c>
      <c r="Q54" s="35">
        <f t="shared" si="10"/>
        <v>2.1013152194681273</v>
      </c>
      <c r="R54" s="33">
        <v>22348.61</v>
      </c>
      <c r="S54" s="33">
        <v>21545.771304347829</v>
      </c>
      <c r="T54" s="35">
        <f t="shared" si="11"/>
        <v>0.89831178275532553</v>
      </c>
      <c r="U54" s="35">
        <f t="shared" si="12"/>
        <v>0.8660413435666573</v>
      </c>
      <c r="V54" s="35">
        <v>960233.4</v>
      </c>
      <c r="W54" s="35">
        <f t="shared" si="13"/>
        <v>38.596985558171518</v>
      </c>
      <c r="X54" s="31">
        <f>+'[1]Agregados MesTrim'!B260</f>
        <v>1105808.0476190476</v>
      </c>
      <c r="Y54" s="35">
        <f t="shared" si="14"/>
        <v>44.448419773840634</v>
      </c>
      <c r="Z54" s="33">
        <v>1520280</v>
      </c>
      <c r="AA54" s="35">
        <f t="shared" si="15"/>
        <v>61.108294300507559</v>
      </c>
      <c r="AB54" s="36">
        <v>0.19633928571428572</v>
      </c>
      <c r="AC54" s="5">
        <v>62478</v>
      </c>
      <c r="AD54" s="5">
        <v>143095</v>
      </c>
      <c r="AE54" s="10">
        <v>153.7174875967325</v>
      </c>
      <c r="AF54" s="10">
        <v>148.27123633757816</v>
      </c>
      <c r="AG54" s="10">
        <v>130.48812034165184</v>
      </c>
      <c r="AH54" s="10">
        <v>160.61992124676493</v>
      </c>
      <c r="AI54" s="10">
        <v>448.58363215144544</v>
      </c>
      <c r="AJ54">
        <v>164.619807845521</v>
      </c>
      <c r="AK54">
        <v>90.735481693585569</v>
      </c>
      <c r="AL54">
        <v>101.97890301226845</v>
      </c>
      <c r="AM54">
        <v>136.25889496981037</v>
      </c>
      <c r="AN54">
        <v>102.17646723482183</v>
      </c>
      <c r="AO54">
        <v>218.88616383930375</v>
      </c>
      <c r="AP54">
        <v>187.51789324581682</v>
      </c>
      <c r="AQ54">
        <v>183.49764854349652</v>
      </c>
      <c r="AR54">
        <v>172.25850054472517</v>
      </c>
      <c r="AS54">
        <v>168.07424122783132</v>
      </c>
      <c r="AT54">
        <v>45.76</v>
      </c>
      <c r="AU54" s="38">
        <v>139.63232754516324</v>
      </c>
      <c r="AV54" s="34">
        <f>+VLOOKUP(A54,'[2]Salario Real'!$A$5:$C$292,2)</f>
        <v>115.79683299472813</v>
      </c>
      <c r="AW54" s="31">
        <v>4524320</v>
      </c>
      <c r="AX54" s="17">
        <v>248.78455820151615</v>
      </c>
      <c r="AY54" s="17">
        <v>408</v>
      </c>
      <c r="AZ54" s="16">
        <v>2.5168990049223172</v>
      </c>
      <c r="BA54">
        <v>172.76267858262608</v>
      </c>
      <c r="BB54">
        <v>168.3892094693679</v>
      </c>
    </row>
    <row r="55" spans="1:54" x14ac:dyDescent="0.25">
      <c r="A55" s="2">
        <v>42916</v>
      </c>
      <c r="B55" s="1">
        <v>9.9059613933012436E-3</v>
      </c>
      <c r="C55" s="31">
        <v>45496</v>
      </c>
      <c r="D55" s="31">
        <v>19701</v>
      </c>
      <c r="E55" s="31">
        <v>80172</v>
      </c>
      <c r="F55" s="31">
        <v>23664</v>
      </c>
      <c r="G55" s="31">
        <v>1010400</v>
      </c>
      <c r="H55" s="32">
        <v>191.817954605126</v>
      </c>
      <c r="I55" s="11">
        <v>263</v>
      </c>
      <c r="J55" s="11">
        <v>372.2</v>
      </c>
      <c r="K55" s="11">
        <v>183.7</v>
      </c>
      <c r="L55" s="9">
        <v>11211.436951149999</v>
      </c>
      <c r="M55" s="9">
        <v>62109.041701159993</v>
      </c>
      <c r="N55" s="9">
        <v>62119.573085609998</v>
      </c>
      <c r="O55" s="35">
        <f t="shared" si="8"/>
        <v>0.44533964995377168</v>
      </c>
      <c r="P55" s="35">
        <f t="shared" si="9"/>
        <v>2.4670895453166377</v>
      </c>
      <c r="Q55" s="35">
        <f t="shared" si="10"/>
        <v>2.467507871984747</v>
      </c>
      <c r="R55" s="33">
        <v>21912.63</v>
      </c>
      <c r="S55" s="33">
        <v>21586.409090909092</v>
      </c>
      <c r="T55" s="35">
        <f t="shared" si="11"/>
        <v>0.87041143934413723</v>
      </c>
      <c r="U55" s="35">
        <f t="shared" si="12"/>
        <v>0.85745332290508036</v>
      </c>
      <c r="V55" s="35">
        <v>945528.2</v>
      </c>
      <c r="W55" s="35">
        <f t="shared" si="13"/>
        <v>37.558182723957422</v>
      </c>
      <c r="X55" s="31">
        <f>+'[1]Agregados MesTrim'!B261</f>
        <v>1149047.5238095238</v>
      </c>
      <c r="Y55" s="35">
        <f t="shared" si="14"/>
        <v>45.642358268900828</v>
      </c>
      <c r="Z55" s="33">
        <v>1635486</v>
      </c>
      <c r="AA55" s="35">
        <f t="shared" si="15"/>
        <v>64.964621922936018</v>
      </c>
      <c r="AB55" s="36">
        <v>0.1980952380952381</v>
      </c>
      <c r="AC55" s="5">
        <v>63512</v>
      </c>
      <c r="AD55" s="5">
        <v>136787</v>
      </c>
      <c r="AE55" s="10">
        <v>155.77274025413783</v>
      </c>
      <c r="AF55" s="10">
        <v>148.66409450255045</v>
      </c>
      <c r="AG55" s="10">
        <v>131.9886763406661</v>
      </c>
      <c r="AH55" s="10">
        <v>156.0874059820402</v>
      </c>
      <c r="AI55" s="10">
        <v>446.94986455796237</v>
      </c>
      <c r="AJ55">
        <v>165.53565371708913</v>
      </c>
      <c r="AK55">
        <v>89.287781963092499</v>
      </c>
      <c r="AL55">
        <v>97.768208337058795</v>
      </c>
      <c r="AM55">
        <v>141.56110459580503</v>
      </c>
      <c r="AN55">
        <v>104.42986092407381</v>
      </c>
      <c r="AO55">
        <v>198.30422214673715</v>
      </c>
      <c r="AP55">
        <v>195.15703716942565</v>
      </c>
      <c r="AQ55">
        <v>170.66975932659554</v>
      </c>
      <c r="AR55">
        <v>174.46486347698999</v>
      </c>
      <c r="AS55">
        <v>167.09172986174758</v>
      </c>
      <c r="AT55">
        <v>42.042889000000002</v>
      </c>
      <c r="AU55" s="38">
        <v>139.59353191773872</v>
      </c>
      <c r="AV55" s="34">
        <f>+VLOOKUP(A55,'[2]Salario Real'!$A$5:$C$292,2)</f>
        <v>116.45816998903018</v>
      </c>
      <c r="AW55" s="31">
        <v>3865651</v>
      </c>
      <c r="AX55" s="17">
        <v>251.75025292074932</v>
      </c>
      <c r="AY55" s="17">
        <v>432</v>
      </c>
      <c r="AZ55" s="16">
        <v>2.277803797344701</v>
      </c>
      <c r="BA55">
        <v>173.21805729922968</v>
      </c>
      <c r="BB55">
        <v>161.03568546945243</v>
      </c>
    </row>
    <row r="56" spans="1:54" x14ac:dyDescent="0.25">
      <c r="A56" s="2">
        <v>42947</v>
      </c>
      <c r="B56" s="1">
        <v>1.3434622388260209E-2</v>
      </c>
      <c r="C56" s="31">
        <v>38169</v>
      </c>
      <c r="D56" s="31">
        <v>14522</v>
      </c>
      <c r="E56" s="31">
        <v>72684</v>
      </c>
      <c r="F56" s="31">
        <v>18304</v>
      </c>
      <c r="G56" s="31">
        <v>1020379</v>
      </c>
      <c r="H56" s="32">
        <v>195.87968621658601</v>
      </c>
      <c r="I56" s="11">
        <v>189.3</v>
      </c>
      <c r="J56" s="11">
        <v>398.8</v>
      </c>
      <c r="K56" s="11">
        <v>195.5</v>
      </c>
      <c r="L56" s="9">
        <v>13865.348175280002</v>
      </c>
      <c r="M56" s="9">
        <v>64239.982520899997</v>
      </c>
      <c r="N56" s="9">
        <v>50704.60348174</v>
      </c>
      <c r="O56" s="35">
        <f t="shared" si="8"/>
        <v>0.5413799215095525</v>
      </c>
      <c r="P56" s="35">
        <f t="shared" si="9"/>
        <v>2.508284411995124</v>
      </c>
      <c r="Q56" s="35">
        <f t="shared" si="10"/>
        <v>1.9797883115591535</v>
      </c>
      <c r="R56" s="33">
        <v>21582.400000000001</v>
      </c>
      <c r="S56" s="33">
        <v>21741.40904761905</v>
      </c>
      <c r="T56" s="35">
        <f t="shared" si="11"/>
        <v>0.84269632974808517</v>
      </c>
      <c r="U56" s="35">
        <f t="shared" si="12"/>
        <v>0.84890492289923203</v>
      </c>
      <c r="V56" s="35">
        <v>941809</v>
      </c>
      <c r="W56" s="35">
        <f t="shared" si="13"/>
        <v>36.773435189029684</v>
      </c>
      <c r="X56" s="31">
        <f>+'[1]Agregados MesTrim'!B262</f>
        <v>1171250</v>
      </c>
      <c r="Y56" s="35">
        <f t="shared" si="14"/>
        <v>45.732081520935793</v>
      </c>
      <c r="Z56" s="33">
        <v>1652780</v>
      </c>
      <c r="AA56" s="35">
        <f t="shared" si="15"/>
        <v>64.53367743536586</v>
      </c>
      <c r="AB56" s="36">
        <v>0.20160714285714285</v>
      </c>
      <c r="AC56" s="5">
        <v>61603</v>
      </c>
      <c r="AD56" s="5">
        <v>157087</v>
      </c>
      <c r="AE56" s="10">
        <v>156.05608571179062</v>
      </c>
      <c r="AF56" s="10">
        <v>157.64197374935694</v>
      </c>
      <c r="AG56" s="10">
        <v>139.54053350341479</v>
      </c>
      <c r="AH56" s="10">
        <v>155.743367770611</v>
      </c>
      <c r="AI56" s="10">
        <v>395.66905978461739</v>
      </c>
      <c r="AJ56">
        <v>179.03569193146791</v>
      </c>
      <c r="AK56">
        <v>82.350764382799696</v>
      </c>
      <c r="AL56">
        <v>92.621101527615721</v>
      </c>
      <c r="AM56">
        <v>154.34181220545312</v>
      </c>
      <c r="AN56">
        <v>103.96950380335257</v>
      </c>
      <c r="AO56">
        <v>201.35954950331066</v>
      </c>
      <c r="AP56">
        <v>199.80435309607927</v>
      </c>
      <c r="AQ56">
        <v>182.07831270037994</v>
      </c>
      <c r="AR56">
        <v>189.04324117873557</v>
      </c>
      <c r="AS56">
        <v>139.79924049707228</v>
      </c>
      <c r="AT56">
        <v>42.476402</v>
      </c>
      <c r="AU56" s="38">
        <v>140.38570983572373</v>
      </c>
      <c r="AV56" s="34">
        <f>+VLOOKUP(A56,'[2]Salario Real'!$A$5:$C$292,2)</f>
        <v>119.92417286389968</v>
      </c>
      <c r="AW56" s="31">
        <v>4305907</v>
      </c>
      <c r="AX56" s="17">
        <v>256.11123767979177</v>
      </c>
      <c r="AY56" s="17">
        <v>440</v>
      </c>
      <c r="AZ56" s="16">
        <v>2.235447625020651</v>
      </c>
      <c r="BA56">
        <v>175.12789783063079</v>
      </c>
      <c r="BB56">
        <v>150.30605012392004</v>
      </c>
    </row>
    <row r="57" spans="1:54" x14ac:dyDescent="0.25">
      <c r="A57" s="2">
        <v>42978</v>
      </c>
      <c r="B57" s="1">
        <v>1.3434622388260209E-2</v>
      </c>
      <c r="C57" s="31">
        <v>45262</v>
      </c>
      <c r="D57" s="31">
        <v>17583</v>
      </c>
      <c r="E57" s="31">
        <v>76700</v>
      </c>
      <c r="F57" s="31">
        <v>21305</v>
      </c>
      <c r="G57" s="31">
        <v>1126090</v>
      </c>
      <c r="H57" s="32">
        <v>195.66080107923699</v>
      </c>
      <c r="I57" s="11">
        <v>189.1</v>
      </c>
      <c r="J57" s="11">
        <v>417.4</v>
      </c>
      <c r="K57" s="11">
        <v>198.7</v>
      </c>
      <c r="L57" s="9">
        <v>13873.95827166</v>
      </c>
      <c r="M57" s="9">
        <v>69934.068013549986</v>
      </c>
      <c r="N57" s="9">
        <v>47401.355638260007</v>
      </c>
      <c r="O57" s="35">
        <f t="shared" si="8"/>
        <v>0.53421962729454942</v>
      </c>
      <c r="P57" s="35">
        <f t="shared" si="9"/>
        <v>2.6928257255685297</v>
      </c>
      <c r="Q57" s="35">
        <f t="shared" si="10"/>
        <v>1.8251989840602152</v>
      </c>
      <c r="R57" s="33">
        <v>23588.98</v>
      </c>
      <c r="S57" s="33">
        <v>22481.798695652171</v>
      </c>
      <c r="T57" s="35">
        <f t="shared" si="11"/>
        <v>0.90829854444637936</v>
      </c>
      <c r="U57" s="35">
        <f t="shared" si="12"/>
        <v>0.865666299763592</v>
      </c>
      <c r="V57" s="35">
        <v>989359.1</v>
      </c>
      <c r="W57" s="35">
        <f t="shared" si="13"/>
        <v>38.095476381970727</v>
      </c>
      <c r="X57" s="31">
        <f>+'[1]Agregados MesTrim'!B263</f>
        <v>1198208.3181818181</v>
      </c>
      <c r="Y57" s="35">
        <f t="shared" si="14"/>
        <v>46.137258641454167</v>
      </c>
      <c r="Z57" s="33">
        <v>1664614</v>
      </c>
      <c r="AA57" s="35">
        <f t="shared" si="15"/>
        <v>64.096305701436236</v>
      </c>
      <c r="AB57" s="36">
        <v>0.20806818181818185</v>
      </c>
      <c r="AC57" s="5">
        <v>62232</v>
      </c>
      <c r="AD57" s="5">
        <v>16444</v>
      </c>
      <c r="AE57" s="10">
        <v>154.49389890000481</v>
      </c>
      <c r="AF57" s="10">
        <v>167.58373594089446</v>
      </c>
      <c r="AG57" s="10">
        <v>139.1581287188516</v>
      </c>
      <c r="AH57" s="10">
        <v>161.1673830712426</v>
      </c>
      <c r="AI57" s="10">
        <v>436.68217662413571</v>
      </c>
      <c r="AJ57">
        <v>188.2105089326019</v>
      </c>
      <c r="AK57">
        <v>94.991647428963859</v>
      </c>
      <c r="AL57">
        <v>89.600271220178726</v>
      </c>
      <c r="AM57">
        <v>148.48850301525079</v>
      </c>
      <c r="AN57">
        <v>106.09730276095223</v>
      </c>
      <c r="AO57">
        <v>214.36079009104222</v>
      </c>
      <c r="AP57">
        <v>216.75344949957559</v>
      </c>
      <c r="AQ57">
        <v>186.28445251304294</v>
      </c>
      <c r="AR57">
        <v>184.88008103685763</v>
      </c>
      <c r="AS57">
        <v>161.73447687666865</v>
      </c>
      <c r="AT57">
        <v>47.609828999999998</v>
      </c>
      <c r="AU57" s="38">
        <v>141.58712929093608</v>
      </c>
      <c r="AV57" s="34">
        <f>+VLOOKUP(A57,'[2]Salario Real'!$A$5:$C$292,2)</f>
        <v>119.9557991060105</v>
      </c>
      <c r="AW57" s="31">
        <v>3729455</v>
      </c>
      <c r="AX57" s="17">
        <v>259.70513928741144</v>
      </c>
      <c r="AY57" s="17">
        <v>404</v>
      </c>
      <c r="AZ57" s="16">
        <v>2.5317971156960009</v>
      </c>
      <c r="BA57">
        <v>174.72838345106243</v>
      </c>
      <c r="BB57">
        <v>149.25534277384119</v>
      </c>
    </row>
    <row r="58" spans="1:54" x14ac:dyDescent="0.25">
      <c r="A58" s="2">
        <v>43007</v>
      </c>
      <c r="B58" s="1">
        <v>1.3434622388260209E-2</v>
      </c>
      <c r="C58" s="31">
        <v>46961</v>
      </c>
      <c r="D58" s="31">
        <v>20561</v>
      </c>
      <c r="E58" s="31">
        <v>76192</v>
      </c>
      <c r="F58" s="31">
        <v>24844</v>
      </c>
      <c r="G58" s="31">
        <v>1138062</v>
      </c>
      <c r="H58" s="32">
        <v>198.91603014349701</v>
      </c>
      <c r="I58" s="11">
        <v>275.3</v>
      </c>
      <c r="J58" s="11">
        <v>422.7</v>
      </c>
      <c r="K58" s="11">
        <v>201.5</v>
      </c>
      <c r="L58" s="9">
        <v>11692.626619480001</v>
      </c>
      <c r="M58" s="9">
        <v>68471.049339449994</v>
      </c>
      <c r="N58" s="9">
        <v>51850.595858929992</v>
      </c>
      <c r="O58" s="35">
        <f t="shared" si="8"/>
        <v>0.44184066848212666</v>
      </c>
      <c r="P58" s="35">
        <f t="shared" si="9"/>
        <v>2.5873822192708231</v>
      </c>
      <c r="Q58" s="35">
        <f t="shared" si="10"/>
        <v>1.9593289584171349</v>
      </c>
      <c r="R58" s="33">
        <v>26078.29</v>
      </c>
      <c r="S58" s="33">
        <v>24374.787619047616</v>
      </c>
      <c r="T58" s="35">
        <f t="shared" si="11"/>
        <v>0.98544573956327952</v>
      </c>
      <c r="U58" s="35">
        <f t="shared" si="12"/>
        <v>0.92107383620437711</v>
      </c>
      <c r="V58" s="35">
        <v>1087342</v>
      </c>
      <c r="W58" s="35">
        <f t="shared" si="13"/>
        <v>41.088451019917926</v>
      </c>
      <c r="X58" s="31">
        <f>+'[1]Agregados MesTrim'!B264</f>
        <v>1221580.5238095238</v>
      </c>
      <c r="Y58" s="35">
        <f t="shared" si="14"/>
        <v>46.161052842098712</v>
      </c>
      <c r="Z58" s="33">
        <v>1690577</v>
      </c>
      <c r="AA58" s="35">
        <f t="shared" si="15"/>
        <v>63.883479401972693</v>
      </c>
      <c r="AB58" s="36">
        <v>0.21327380952380953</v>
      </c>
      <c r="AC58" s="5">
        <v>55889</v>
      </c>
      <c r="AD58" s="5">
        <v>160561</v>
      </c>
      <c r="AE58" s="10">
        <v>156.58297903343674</v>
      </c>
      <c r="AF58" s="10">
        <v>160.63467343223763</v>
      </c>
      <c r="AG58" s="10">
        <v>129.68331190607563</v>
      </c>
      <c r="AH58" s="10">
        <v>166.21609759691918</v>
      </c>
      <c r="AI58" s="10">
        <v>428.50326024173501</v>
      </c>
      <c r="AJ58">
        <v>178.93076832943578</v>
      </c>
      <c r="AK58">
        <v>96.244972690680015</v>
      </c>
      <c r="AL58">
        <v>87.773156477631431</v>
      </c>
      <c r="AM58">
        <v>151.25539462744473</v>
      </c>
      <c r="AN58">
        <v>103.05896327651783</v>
      </c>
      <c r="AO58">
        <v>222.00536205280238</v>
      </c>
      <c r="AP58">
        <v>215.41753181603505</v>
      </c>
      <c r="AQ58">
        <v>188.63507715652415</v>
      </c>
      <c r="AR58">
        <v>170.082335222192</v>
      </c>
      <c r="AS58">
        <v>162.79893856922462</v>
      </c>
      <c r="AT58">
        <v>51.039745000000003</v>
      </c>
      <c r="AU58" s="38">
        <v>143.70941918640071</v>
      </c>
      <c r="AV58" s="34">
        <f>+VLOOKUP(A58,'[2]Salario Real'!$A$5:$C$292,2)</f>
        <v>119.08696263193406</v>
      </c>
      <c r="AW58" s="31">
        <v>3244205</v>
      </c>
      <c r="AX58" s="17">
        <v>264.63445883440653</v>
      </c>
      <c r="AY58" s="17">
        <v>377</v>
      </c>
      <c r="AZ58" s="16">
        <v>2.8550328256371484</v>
      </c>
      <c r="BA58">
        <v>175.42295984023463</v>
      </c>
      <c r="BB58">
        <v>146.38655965775399</v>
      </c>
    </row>
    <row r="59" spans="1:54" x14ac:dyDescent="0.25">
      <c r="A59" s="2">
        <v>43039</v>
      </c>
      <c r="B59" s="1">
        <v>9.851195657013978E-3</v>
      </c>
      <c r="C59" s="31">
        <v>43854</v>
      </c>
      <c r="D59" s="31">
        <v>21176</v>
      </c>
      <c r="E59" s="31">
        <v>74416</v>
      </c>
      <c r="F59" s="31">
        <v>20694</v>
      </c>
      <c r="G59" s="31">
        <v>1160045</v>
      </c>
      <c r="H59" s="32">
        <v>204.052101450028</v>
      </c>
      <c r="I59" s="11">
        <v>347</v>
      </c>
      <c r="J59" s="11">
        <v>447.1</v>
      </c>
      <c r="K59" s="11">
        <v>217.4</v>
      </c>
      <c r="L59" s="9">
        <v>10849.680052870001</v>
      </c>
      <c r="M59" s="9">
        <v>69461.998186090001</v>
      </c>
      <c r="N59" s="9">
        <v>48788.467410500001</v>
      </c>
      <c r="O59" s="35">
        <f t="shared" si="8"/>
        <v>0.40386987666406476</v>
      </c>
      <c r="P59" s="35">
        <f t="shared" si="9"/>
        <v>2.5856622963582057</v>
      </c>
      <c r="Q59" s="35">
        <f t="shared" si="10"/>
        <v>1.8161081450964212</v>
      </c>
      <c r="R59" s="33">
        <v>27935.279999999999</v>
      </c>
      <c r="S59" s="33">
        <v>27106.665454545451</v>
      </c>
      <c r="T59" s="35">
        <f t="shared" si="11"/>
        <v>1.0398664323001579</v>
      </c>
      <c r="U59" s="35">
        <f t="shared" si="12"/>
        <v>1.0090219785794923</v>
      </c>
      <c r="V59" s="35">
        <v>1194787</v>
      </c>
      <c r="W59" s="35">
        <f t="shared" si="13"/>
        <v>44.474903958313952</v>
      </c>
      <c r="X59" s="31">
        <f>+'[1]Agregados MesTrim'!B265</f>
        <v>1230285</v>
      </c>
      <c r="Y59" s="35">
        <f t="shared" si="14"/>
        <v>45.796286046261201</v>
      </c>
      <c r="Z59" s="33">
        <v>1712671</v>
      </c>
      <c r="AA59" s="35">
        <f t="shared" si="15"/>
        <v>63.752684149718334</v>
      </c>
      <c r="AB59" s="36">
        <v>0.21645833333333331</v>
      </c>
      <c r="AC59" s="5">
        <v>59397</v>
      </c>
      <c r="AD59" s="5">
        <v>158961</v>
      </c>
      <c r="AE59" s="10">
        <v>151.42581674738798</v>
      </c>
      <c r="AF59" s="10">
        <v>159.71382534763697</v>
      </c>
      <c r="AG59" s="10">
        <v>123.4804971219022</v>
      </c>
      <c r="AH59" s="10">
        <v>162.51725768864387</v>
      </c>
      <c r="AI59" s="10">
        <v>406.41569748485375</v>
      </c>
      <c r="AJ59">
        <v>181.2851557169256</v>
      </c>
      <c r="AK59">
        <v>83.797542945293287</v>
      </c>
      <c r="AL59">
        <v>84.182403073643115</v>
      </c>
      <c r="AM59">
        <v>149.52772305938609</v>
      </c>
      <c r="AN59">
        <v>93.497766093815997</v>
      </c>
      <c r="AO59">
        <v>222.49978139421347</v>
      </c>
      <c r="AP59">
        <v>216.50882515275052</v>
      </c>
      <c r="AQ59">
        <v>193.75523675253106</v>
      </c>
      <c r="AR59">
        <v>162.6101432792432</v>
      </c>
      <c r="AS59">
        <v>153.17535257015007</v>
      </c>
      <c r="AT59">
        <v>51.107132</v>
      </c>
      <c r="AU59" s="38">
        <v>146.77865561689057</v>
      </c>
      <c r="AV59" s="34">
        <f>+VLOOKUP(A59,'[2]Salario Real'!$A$5:$C$292,2)</f>
        <v>119.38641679156675</v>
      </c>
      <c r="AW59" s="31">
        <v>3580292</v>
      </c>
      <c r="AX59" s="17">
        <v>268.64296348337621</v>
      </c>
      <c r="AY59" s="17">
        <v>363</v>
      </c>
      <c r="AZ59" s="16">
        <v>2.8276212077622587</v>
      </c>
      <c r="BA59">
        <v>176.60648788326344</v>
      </c>
      <c r="BB59">
        <v>149.3859496660148</v>
      </c>
    </row>
    <row r="60" spans="1:54" x14ac:dyDescent="0.25">
      <c r="A60" s="2">
        <v>43069</v>
      </c>
      <c r="B60" s="1">
        <v>9.851195657013978E-3</v>
      </c>
      <c r="C60" s="31">
        <v>45228</v>
      </c>
      <c r="D60" s="31">
        <v>19122</v>
      </c>
      <c r="E60" s="31">
        <v>78631</v>
      </c>
      <c r="F60" s="31">
        <v>22654</v>
      </c>
      <c r="G60" s="31">
        <v>1191537</v>
      </c>
      <c r="H60" s="32">
        <v>208.60827529530701</v>
      </c>
      <c r="I60" s="11">
        <v>327.2</v>
      </c>
      <c r="J60" s="11">
        <v>435</v>
      </c>
      <c r="K60" s="11">
        <v>218.8</v>
      </c>
      <c r="L60" s="9">
        <v>11323.548299329999</v>
      </c>
      <c r="M60" s="9">
        <v>74273.736207149996</v>
      </c>
      <c r="N60" s="9">
        <v>47423.901788819996</v>
      </c>
      <c r="O60" s="35">
        <f t="shared" si="8"/>
        <v>0.41579172767750877</v>
      </c>
      <c r="P60" s="35">
        <f t="shared" si="9"/>
        <v>2.7272727843145868</v>
      </c>
      <c r="Q60" s="35">
        <f t="shared" si="10"/>
        <v>1.7413681239076522</v>
      </c>
      <c r="R60" s="33">
        <v>26905.26</v>
      </c>
      <c r="S60" s="33">
        <v>27294.202727272725</v>
      </c>
      <c r="T60" s="35">
        <f t="shared" si="11"/>
        <v>0.98793984388042833</v>
      </c>
      <c r="U60" s="35">
        <f t="shared" si="12"/>
        <v>1.0022215128648666</v>
      </c>
      <c r="V60" s="35">
        <v>1145938</v>
      </c>
      <c r="W60" s="35">
        <f t="shared" si="13"/>
        <v>42.077936017590993</v>
      </c>
      <c r="X60" s="31">
        <f>+'[1]Agregados MesTrim'!B266</f>
        <v>1266812.45</v>
      </c>
      <c r="Y60" s="35">
        <f t="shared" si="14"/>
        <v>46.516350114393354</v>
      </c>
      <c r="Z60" s="33">
        <v>1759117</v>
      </c>
      <c r="AA60" s="35">
        <f t="shared" si="15"/>
        <v>64.593383388504975</v>
      </c>
      <c r="AB60" s="36">
        <v>0.22593750000000001</v>
      </c>
      <c r="AC60" s="5">
        <v>62011</v>
      </c>
      <c r="AD60" s="5">
        <v>158159</v>
      </c>
      <c r="AE60" s="10">
        <v>153.3553592007452</v>
      </c>
      <c r="AF60" s="10">
        <v>154.2340448378512</v>
      </c>
      <c r="AG60" s="10">
        <v>117.69475666746791</v>
      </c>
      <c r="AH60" s="10">
        <v>159.76952042811624</v>
      </c>
      <c r="AI60" s="10">
        <v>382.53230844745588</v>
      </c>
      <c r="AJ60">
        <v>170.76490386450851</v>
      </c>
      <c r="AK60">
        <v>96.056763198896235</v>
      </c>
      <c r="AL60">
        <v>83.087501348119531</v>
      </c>
      <c r="AM60">
        <v>129.94967658377189</v>
      </c>
      <c r="AN60">
        <v>97.186150133821641</v>
      </c>
      <c r="AO60">
        <v>216.07802014107727</v>
      </c>
      <c r="AP60">
        <v>223.56724113376538</v>
      </c>
      <c r="AQ60">
        <v>193.02929622362637</v>
      </c>
      <c r="AR60">
        <v>147.63078516858141</v>
      </c>
      <c r="AS60">
        <v>158.14080861281363</v>
      </c>
      <c r="AT60">
        <v>51.101855999999998</v>
      </c>
      <c r="AU60" s="38">
        <v>147.81615486667442</v>
      </c>
      <c r="AV60" s="34">
        <f>+VLOOKUP(A60,'[2]Salario Real'!$A$5:$C$292,2)</f>
        <v>119.42753756481872</v>
      </c>
      <c r="AW60" s="31">
        <v>3352362</v>
      </c>
      <c r="AX60" s="17">
        <v>272.33702706352614</v>
      </c>
      <c r="AY60" s="17">
        <v>363</v>
      </c>
      <c r="AZ60" s="16">
        <v>2.9666981437814326</v>
      </c>
      <c r="BA60">
        <v>177.39140445254768</v>
      </c>
      <c r="BB60">
        <v>151.92604285202708</v>
      </c>
    </row>
    <row r="61" spans="1:54" x14ac:dyDescent="0.25">
      <c r="A61" s="2">
        <v>43098</v>
      </c>
      <c r="B61" s="1">
        <v>9.851195657013978E-3</v>
      </c>
      <c r="C61" s="31">
        <v>33280</v>
      </c>
      <c r="D61" s="31">
        <v>18202</v>
      </c>
      <c r="E61" s="31">
        <v>90307</v>
      </c>
      <c r="F61" s="31">
        <v>27096</v>
      </c>
      <c r="G61" s="31">
        <v>1011880</v>
      </c>
      <c r="H61" s="32">
        <v>209.06169615203399</v>
      </c>
      <c r="I61" s="11">
        <v>333.3</v>
      </c>
      <c r="J61" s="11">
        <v>380.8</v>
      </c>
      <c r="K61" s="11">
        <v>188.9</v>
      </c>
      <c r="L61" s="9">
        <v>9705.6671669099978</v>
      </c>
      <c r="M61" s="9">
        <v>71938.270801269988</v>
      </c>
      <c r="N61" s="9">
        <v>53060.635787619998</v>
      </c>
      <c r="O61" s="35">
        <f t="shared" si="8"/>
        <v>0.34551583116282969</v>
      </c>
      <c r="P61" s="35">
        <f t="shared" si="9"/>
        <v>2.5609585617215114</v>
      </c>
      <c r="Q61" s="35">
        <f t="shared" si="10"/>
        <v>1.8889262696635924</v>
      </c>
      <c r="R61" s="33">
        <v>30065.61</v>
      </c>
      <c r="S61" s="33">
        <v>27806.317142857144</v>
      </c>
      <c r="T61" s="35">
        <f t="shared" si="11"/>
        <v>1.0703173774580164</v>
      </c>
      <c r="U61" s="35">
        <f t="shared" si="12"/>
        <v>0.9898879298011497</v>
      </c>
      <c r="V61" s="35">
        <v>1307017</v>
      </c>
      <c r="W61" s="35">
        <f t="shared" si="13"/>
        <v>46.529007983973855</v>
      </c>
      <c r="X61" s="31">
        <f>+'[1]Agregados MesTrim'!B267</f>
        <v>1363490.3157894737</v>
      </c>
      <c r="Y61" s="35">
        <f t="shared" si="14"/>
        <v>48.539423580136642</v>
      </c>
      <c r="Z61" s="33">
        <v>2010302</v>
      </c>
      <c r="AA61" s="35">
        <f t="shared" si="15"/>
        <v>71.565525014746257</v>
      </c>
      <c r="AB61" s="36">
        <v>0.23273026315789472</v>
      </c>
      <c r="AC61" s="5">
        <v>57148</v>
      </c>
      <c r="AD61" s="5">
        <v>157056</v>
      </c>
      <c r="AE61" s="10">
        <v>156.27025150631621</v>
      </c>
      <c r="AF61" s="10">
        <v>151.65292672826473</v>
      </c>
      <c r="AG61" s="10">
        <v>95.896491878205609</v>
      </c>
      <c r="AH61" s="10">
        <v>153.10595413777605</v>
      </c>
      <c r="AI61" s="10">
        <v>332.37513427564795</v>
      </c>
      <c r="AJ61">
        <v>165.9207391147618</v>
      </c>
      <c r="AK61">
        <v>101.44001654359317</v>
      </c>
      <c r="AL61">
        <v>71.91295206135284</v>
      </c>
      <c r="AM61">
        <v>136.52983157008623</v>
      </c>
      <c r="AN61">
        <v>109.66718287082686</v>
      </c>
      <c r="AO61">
        <v>197.64129336636645</v>
      </c>
      <c r="AP61">
        <v>198.6051609335891</v>
      </c>
      <c r="AQ61">
        <v>180.56038817440412</v>
      </c>
      <c r="AR61">
        <v>130.79386711122734</v>
      </c>
      <c r="AS61">
        <v>116.56986575622311</v>
      </c>
      <c r="AT61">
        <v>43.179904999999998</v>
      </c>
      <c r="AU61" s="38">
        <v>145.83551370234005</v>
      </c>
      <c r="AV61" s="34">
        <f>+VLOOKUP(A61,'[2]Salario Real'!$A$5:$C$292,2)</f>
        <v>116.64219226498838</v>
      </c>
      <c r="AW61" s="31">
        <v>2178912</v>
      </c>
      <c r="AX61" s="17">
        <v>280.90368925341807</v>
      </c>
      <c r="AY61" s="17">
        <v>351</v>
      </c>
      <c r="AZ61" s="16">
        <v>2.3634553690012252</v>
      </c>
      <c r="BA61">
        <v>176.78157637228574</v>
      </c>
      <c r="BB61">
        <v>146.78338490922437</v>
      </c>
    </row>
    <row r="62" spans="1:54" x14ac:dyDescent="0.25">
      <c r="A62" s="2">
        <v>43131</v>
      </c>
      <c r="B62" s="1">
        <v>-6.5221401948217794E-3</v>
      </c>
      <c r="C62" s="31">
        <v>21858</v>
      </c>
      <c r="D62" s="31">
        <v>10409</v>
      </c>
      <c r="E62" s="31">
        <v>64452</v>
      </c>
      <c r="F62" s="31">
        <v>10588</v>
      </c>
      <c r="G62" s="31">
        <v>1052361</v>
      </c>
      <c r="H62" s="32">
        <v>207.518243846784</v>
      </c>
      <c r="I62" s="11">
        <v>328.1</v>
      </c>
      <c r="J62" s="11">
        <v>343.8</v>
      </c>
      <c r="K62" s="11">
        <v>144.5</v>
      </c>
      <c r="L62" s="9">
        <v>11856.252233949999</v>
      </c>
      <c r="M62" s="9">
        <v>84972.325981789996</v>
      </c>
      <c r="N62" s="9">
        <v>48922.565851050007</v>
      </c>
      <c r="O62" s="35">
        <f t="shared" si="8"/>
        <v>0.41480071380559624</v>
      </c>
      <c r="P62" s="35">
        <f t="shared" si="9"/>
        <v>2.972826553912276</v>
      </c>
      <c r="Q62" s="35">
        <f t="shared" si="10"/>
        <v>1.711596112817855</v>
      </c>
      <c r="R62" s="33">
        <v>34938.639999999999</v>
      </c>
      <c r="S62" s="33">
        <v>33159.786086956527</v>
      </c>
      <c r="T62" s="35">
        <f t="shared" si="11"/>
        <v>1.222356991520283</v>
      </c>
      <c r="U62" s="35">
        <f t="shared" si="12"/>
        <v>1.1601223276208896</v>
      </c>
      <c r="V62" s="35">
        <v>1489055</v>
      </c>
      <c r="W62" s="35">
        <f t="shared" si="13"/>
        <v>52.095811113661988</v>
      </c>
      <c r="X62" s="31">
        <f>+'[1]Agregados MesTrim'!B268</f>
        <v>1377172.3636363635</v>
      </c>
      <c r="Y62" s="35">
        <f t="shared" si="14"/>
        <v>48.181505268076336</v>
      </c>
      <c r="Z62" s="33">
        <v>1898479</v>
      </c>
      <c r="AA62" s="35">
        <f t="shared" si="15"/>
        <v>66.419845732530959</v>
      </c>
      <c r="AB62" s="36">
        <v>0.2296590909090909</v>
      </c>
      <c r="AC62" s="5">
        <v>58253</v>
      </c>
      <c r="AD62" s="5">
        <v>164683</v>
      </c>
      <c r="AE62" s="10">
        <v>154.79795342009612</v>
      </c>
      <c r="AF62" s="10">
        <v>148.53658766522619</v>
      </c>
      <c r="AG62" s="10">
        <v>63.403155388062288</v>
      </c>
      <c r="AH62" s="10">
        <v>155.76606183802753</v>
      </c>
      <c r="AI62" s="10">
        <v>202.0958477596451</v>
      </c>
      <c r="AJ62">
        <v>163.04679921362228</v>
      </c>
      <c r="AK62">
        <v>97.470598745317346</v>
      </c>
      <c r="AL62">
        <v>68.578665959456615</v>
      </c>
      <c r="AM62">
        <v>153.49573997346442</v>
      </c>
      <c r="AN62">
        <v>102.92029464713339</v>
      </c>
      <c r="AO62">
        <v>204.92120908260387</v>
      </c>
      <c r="AP62">
        <v>197.63071066642462</v>
      </c>
      <c r="AQ62">
        <v>170.15516234247298</v>
      </c>
      <c r="AR62">
        <v>83.838155161566291</v>
      </c>
      <c r="AS62">
        <v>75.588436884151719</v>
      </c>
      <c r="AT62">
        <v>45.188713</v>
      </c>
      <c r="AU62" s="38">
        <v>147.63984960913314</v>
      </c>
      <c r="AV62" s="34">
        <f>+VLOOKUP(A62,'[2]Salario Real'!$A$5:$C$292,2)</f>
        <v>116.59202247396352</v>
      </c>
      <c r="AW62" s="31">
        <v>2733098</v>
      </c>
      <c r="AX62" s="17">
        <v>285.83008272031674</v>
      </c>
      <c r="AY62" s="17">
        <v>372</v>
      </c>
      <c r="AZ62" s="16">
        <v>2.278398041910763</v>
      </c>
      <c r="BA62">
        <v>175.32512013265054</v>
      </c>
      <c r="BB62">
        <v>142.74091260617169</v>
      </c>
    </row>
    <row r="63" spans="1:54" x14ac:dyDescent="0.25">
      <c r="A63" s="2">
        <v>43159</v>
      </c>
      <c r="B63" s="1">
        <v>-6.5221401948217794E-3</v>
      </c>
      <c r="C63" s="31">
        <v>39085</v>
      </c>
      <c r="D63" s="31">
        <v>19237</v>
      </c>
      <c r="E63" s="31">
        <v>73733</v>
      </c>
      <c r="F63" s="31">
        <v>13644</v>
      </c>
      <c r="G63" s="31">
        <v>931601</v>
      </c>
      <c r="H63" s="32">
        <v>201.67147701217399</v>
      </c>
      <c r="I63" s="11">
        <v>329.7</v>
      </c>
      <c r="J63" s="11">
        <v>417.3</v>
      </c>
      <c r="K63" s="11">
        <v>203.3</v>
      </c>
      <c r="L63" s="9">
        <v>12046.789344549999</v>
      </c>
      <c r="M63" s="9">
        <v>77705.21550892001</v>
      </c>
      <c r="N63" s="9">
        <v>45419.005296679999</v>
      </c>
      <c r="O63" s="35">
        <f t="shared" si="8"/>
        <v>0.41151219061844024</v>
      </c>
      <c r="P63" s="35">
        <f t="shared" si="9"/>
        <v>2.6543705996668723</v>
      </c>
      <c r="Q63" s="35">
        <f t="shared" si="10"/>
        <v>1.5514900967204968</v>
      </c>
      <c r="R63" s="33">
        <v>33010.9</v>
      </c>
      <c r="S63" s="33">
        <v>32140.944500000001</v>
      </c>
      <c r="T63" s="35">
        <f t="shared" si="11"/>
        <v>1.1276355371343723</v>
      </c>
      <c r="U63" s="35">
        <f t="shared" si="12"/>
        <v>1.0979183001755042</v>
      </c>
      <c r="V63" s="35">
        <v>1427163</v>
      </c>
      <c r="W63" s="35">
        <f t="shared" si="13"/>
        <v>48.75116146737296</v>
      </c>
      <c r="X63" s="31">
        <f>+'[1]Agregados MesTrim'!B269</f>
        <v>1355687.5111111111</v>
      </c>
      <c r="Y63" s="35">
        <f t="shared" si="14"/>
        <v>46.309595157300713</v>
      </c>
      <c r="Z63" s="33">
        <v>1889764.8</v>
      </c>
      <c r="AA63" s="35">
        <f t="shared" si="15"/>
        <v>64.553403430552621</v>
      </c>
      <c r="AB63" s="36">
        <v>0.2278125</v>
      </c>
      <c r="AC63" s="5">
        <v>50502</v>
      </c>
      <c r="AD63" s="5">
        <v>130593</v>
      </c>
      <c r="AE63" s="10">
        <v>157.26198913843601</v>
      </c>
      <c r="AF63" s="10">
        <v>134.04977602744844</v>
      </c>
      <c r="AG63" s="10">
        <v>98.37127764440109</v>
      </c>
      <c r="AH63" s="10">
        <v>146.15962865166827</v>
      </c>
      <c r="AI63" s="10">
        <v>302.7915756140867</v>
      </c>
      <c r="AJ63">
        <v>147.25557923614508</v>
      </c>
      <c r="AK63">
        <v>87.574409484061093</v>
      </c>
      <c r="AL63">
        <v>87.019293332635243</v>
      </c>
      <c r="AM63">
        <v>147.54860540054943</v>
      </c>
      <c r="AN63">
        <v>94.744081208620941</v>
      </c>
      <c r="AO63">
        <v>191.33589930943589</v>
      </c>
      <c r="AP63">
        <v>181.39718663016731</v>
      </c>
      <c r="AQ63">
        <v>184.80162373359039</v>
      </c>
      <c r="AR63">
        <v>115.52191302361972</v>
      </c>
      <c r="AS63">
        <v>140.85197842527697</v>
      </c>
      <c r="AT63">
        <v>43.822620000000001</v>
      </c>
      <c r="AU63" s="38">
        <v>150.0573824551617</v>
      </c>
      <c r="AV63" s="34">
        <f>+VLOOKUP(A63,'[2]Salario Real'!$A$5:$C$292,2)</f>
        <v>114.73755874044636</v>
      </c>
      <c r="AW63" s="31">
        <v>2379481</v>
      </c>
      <c r="AX63" s="17">
        <v>292.74440998808581</v>
      </c>
      <c r="AY63" s="17">
        <v>405</v>
      </c>
      <c r="AZ63" s="16">
        <v>2.320105810656333</v>
      </c>
      <c r="BA63">
        <v>175.71898829162046</v>
      </c>
      <c r="BB63">
        <v>138.81804035165726</v>
      </c>
    </row>
    <row r="64" spans="1:54" x14ac:dyDescent="0.25">
      <c r="A64" s="2">
        <v>43189</v>
      </c>
      <c r="B64" s="1">
        <v>-6.5221401948217794E-3</v>
      </c>
      <c r="C64" s="31">
        <v>49655</v>
      </c>
      <c r="D64" s="31">
        <v>27702</v>
      </c>
      <c r="E64" s="31">
        <v>79562</v>
      </c>
      <c r="F64" s="31">
        <v>18335</v>
      </c>
      <c r="G64" s="31">
        <v>1097868</v>
      </c>
      <c r="H64" s="32">
        <v>204.99493227347301</v>
      </c>
      <c r="I64" s="11">
        <v>370</v>
      </c>
      <c r="J64" s="11">
        <v>473.9</v>
      </c>
      <c r="K64" s="11">
        <v>257.5</v>
      </c>
      <c r="L64" s="9">
        <v>10187.99053392</v>
      </c>
      <c r="M64" s="9">
        <v>79964.981008300005</v>
      </c>
      <c r="N64" s="9">
        <v>48557.390696379996</v>
      </c>
      <c r="O64" s="35">
        <f t="shared" si="8"/>
        <v>0.34005565405004284</v>
      </c>
      <c r="P64" s="35">
        <f t="shared" si="9"/>
        <v>2.6690782473090819</v>
      </c>
      <c r="Q64" s="35">
        <f t="shared" si="10"/>
        <v>1.6207529048289775</v>
      </c>
      <c r="R64" s="33">
        <v>31114.93</v>
      </c>
      <c r="S64" s="33">
        <v>32156.854545454557</v>
      </c>
      <c r="T64" s="35">
        <f t="shared" si="11"/>
        <v>1.0385569005628195</v>
      </c>
      <c r="U64" s="35">
        <f t="shared" si="12"/>
        <v>1.073334350698417</v>
      </c>
      <c r="V64" s="35">
        <v>1351347</v>
      </c>
      <c r="W64" s="35">
        <f t="shared" si="13"/>
        <v>45.105380340076756</v>
      </c>
      <c r="X64" s="31">
        <f>+'[1]Agregados MesTrim'!B270</f>
        <v>1361304.5149999997</v>
      </c>
      <c r="Y64" s="35">
        <f t="shared" si="14"/>
        <v>45.437743161259625</v>
      </c>
      <c r="Z64" s="33">
        <v>1949574</v>
      </c>
      <c r="AA64" s="35">
        <f t="shared" si="15"/>
        <v>65.073054345867334</v>
      </c>
      <c r="AB64" s="36">
        <v>0.22812499999999999</v>
      </c>
      <c r="AC64" s="5">
        <v>59944</v>
      </c>
      <c r="AD64" s="5">
        <v>150670</v>
      </c>
      <c r="AE64" s="10">
        <v>159.20899851027698</v>
      </c>
      <c r="AF64" s="10">
        <v>150.30399233375329</v>
      </c>
      <c r="AG64" s="10">
        <v>134.20373476601844</v>
      </c>
      <c r="AH64" s="10">
        <v>166.97705274114031</v>
      </c>
      <c r="AI64" s="10">
        <v>399.64349983656257</v>
      </c>
      <c r="AJ64">
        <v>165.93095172954153</v>
      </c>
      <c r="AK64">
        <v>95.307817212833356</v>
      </c>
      <c r="AL64">
        <v>96.804740829854978</v>
      </c>
      <c r="AM64">
        <v>159.90361907183319</v>
      </c>
      <c r="AN64">
        <v>100.57740832511621</v>
      </c>
      <c r="AO64">
        <v>218.17281252367528</v>
      </c>
      <c r="AP64">
        <v>210.43108043796371</v>
      </c>
      <c r="AQ64">
        <v>206.63327530479947</v>
      </c>
      <c r="AR64">
        <v>160.68434188341166</v>
      </c>
      <c r="AS64">
        <v>181.40385128434858</v>
      </c>
      <c r="AT64">
        <v>43.812939</v>
      </c>
      <c r="AU64" s="38">
        <v>148.44194173235894</v>
      </c>
      <c r="AV64" s="34">
        <f>+VLOOKUP(A64,'[2]Salario Real'!$A$5:$C$292,2)</f>
        <v>113.71613986577434</v>
      </c>
      <c r="AW64" s="31">
        <v>3049728</v>
      </c>
      <c r="AX64" s="17">
        <v>299.59773973999938</v>
      </c>
      <c r="AY64" s="17">
        <v>420</v>
      </c>
      <c r="AZ64" s="16">
        <v>2.3215668815518393</v>
      </c>
      <c r="BA64">
        <v>178.55</v>
      </c>
      <c r="BB64">
        <v>155.8573195357707</v>
      </c>
    </row>
    <row r="65" spans="1:54" x14ac:dyDescent="0.25">
      <c r="A65" s="2">
        <v>43220</v>
      </c>
      <c r="B65" s="1">
        <v>-4.115984975322573E-2</v>
      </c>
      <c r="C65" s="31">
        <v>45802</v>
      </c>
      <c r="D65" s="31">
        <v>19897</v>
      </c>
      <c r="E65" s="31">
        <v>72748</v>
      </c>
      <c r="F65" s="31">
        <v>17220</v>
      </c>
      <c r="G65" s="31">
        <v>963084</v>
      </c>
      <c r="H65" s="32">
        <v>203.35519169822501</v>
      </c>
      <c r="I65" s="11">
        <v>348.6</v>
      </c>
      <c r="J65" s="11">
        <v>463</v>
      </c>
      <c r="K65" s="11">
        <v>237.4</v>
      </c>
      <c r="L65" s="9">
        <v>16584.702031209999</v>
      </c>
      <c r="M65" s="9">
        <v>82581.470512839995</v>
      </c>
      <c r="N65" s="9">
        <v>41591.311114900003</v>
      </c>
      <c r="O65" s="35">
        <f t="shared" si="8"/>
        <v>0.53880754612844273</v>
      </c>
      <c r="P65" s="35">
        <f t="shared" si="9"/>
        <v>2.6829254694457321</v>
      </c>
      <c r="Q65" s="35">
        <f t="shared" si="10"/>
        <v>1.3512279111142351</v>
      </c>
      <c r="R65" s="33">
        <v>30006.35</v>
      </c>
      <c r="S65" s="33">
        <v>31164.391428571427</v>
      </c>
      <c r="T65" s="35">
        <f t="shared" si="11"/>
        <v>0.97485307733271498</v>
      </c>
      <c r="U65" s="35">
        <f t="shared" si="12"/>
        <v>1.0124757888694942</v>
      </c>
      <c r="V65" s="35">
        <v>1327636</v>
      </c>
      <c r="W65" s="35">
        <f t="shared" si="13"/>
        <v>43.132538285319491</v>
      </c>
      <c r="X65" s="31">
        <f>+'[1]Agregados MesTrim'!B271</f>
        <v>1358142.0368421052</v>
      </c>
      <c r="Y65" s="35">
        <f t="shared" si="14"/>
        <v>44.123625301659416</v>
      </c>
      <c r="Z65" s="33">
        <v>1934578</v>
      </c>
      <c r="AA65" s="35">
        <f t="shared" si="15"/>
        <v>62.851007091504606</v>
      </c>
      <c r="AB65" s="36">
        <v>0.22815789473684209</v>
      </c>
      <c r="AC65" s="5">
        <v>58408</v>
      </c>
      <c r="AD65" s="5">
        <v>142065</v>
      </c>
      <c r="AE65" s="10">
        <v>154.08151759678202</v>
      </c>
      <c r="AF65" s="10">
        <v>143.11338190096339</v>
      </c>
      <c r="AG65" s="10">
        <v>123.19734239537473</v>
      </c>
      <c r="AH65" s="10">
        <v>159.79426729860307</v>
      </c>
      <c r="AI65" s="10">
        <v>405.30241659438423</v>
      </c>
      <c r="AJ65">
        <v>158.36234515148954</v>
      </c>
      <c r="AK65">
        <v>89.447493861065169</v>
      </c>
      <c r="AL65">
        <v>96.641664050671153</v>
      </c>
      <c r="AM65">
        <v>144.17431793660523</v>
      </c>
      <c r="AN65">
        <v>96.996283941400193</v>
      </c>
      <c r="AO65">
        <v>216.77801629502642</v>
      </c>
      <c r="AP65">
        <v>185.74360466136486</v>
      </c>
      <c r="AQ65">
        <v>201.74096915895436</v>
      </c>
      <c r="AR65">
        <v>152.97070576404602</v>
      </c>
      <c r="AS65">
        <v>170.27852883000779</v>
      </c>
      <c r="AT65">
        <v>40.086334000000001</v>
      </c>
      <c r="AU65" s="38">
        <v>148.3164877641895</v>
      </c>
      <c r="AV65" s="34">
        <f>+VLOOKUP(A65,'[2]Salario Real'!$A$5:$C$292,2)</f>
        <v>114.56948119236475</v>
      </c>
      <c r="AW65" s="31">
        <v>3368535</v>
      </c>
      <c r="AX65" s="17">
        <v>307.80381882878237</v>
      </c>
      <c r="AY65" s="17">
        <v>419</v>
      </c>
      <c r="AZ65" s="16">
        <v>2.065269766898731</v>
      </c>
      <c r="BA65">
        <v>170.21</v>
      </c>
      <c r="BB65">
        <v>151.52454398394624</v>
      </c>
    </row>
    <row r="66" spans="1:54" x14ac:dyDescent="0.25">
      <c r="A66" s="2">
        <v>43251</v>
      </c>
      <c r="B66" s="1">
        <v>-4.115984975322573E-2</v>
      </c>
      <c r="C66" s="31">
        <v>46835</v>
      </c>
      <c r="D66" s="31">
        <v>21431</v>
      </c>
      <c r="E66" s="31">
        <v>75754</v>
      </c>
      <c r="F66" s="31">
        <v>16800</v>
      </c>
      <c r="G66" s="31">
        <v>930732</v>
      </c>
      <c r="H66" s="32">
        <v>195.84667636502499</v>
      </c>
      <c r="I66" s="11">
        <v>306.5</v>
      </c>
      <c r="J66" s="11">
        <v>438.1</v>
      </c>
      <c r="K66" s="11">
        <v>216.3</v>
      </c>
      <c r="L66" s="9">
        <v>19592.135667839997</v>
      </c>
      <c r="M66" s="9">
        <v>87324.238896830007</v>
      </c>
      <c r="N66" s="9">
        <v>76418.746845839996</v>
      </c>
      <c r="O66" s="35">
        <f t="shared" ref="O66:O97" si="16">+L66/$AX66/100</f>
        <v>0.62357226754629413</v>
      </c>
      <c r="P66" s="35">
        <f t="shared" ref="P66:P97" si="17">+M66/$AX66/100</f>
        <v>2.7793281234793499</v>
      </c>
      <c r="Q66" s="35">
        <f t="shared" ref="Q66:Q97" si="18">+N66/$AX66/100</f>
        <v>2.4322315883064873</v>
      </c>
      <c r="R66" s="33">
        <v>28558.83</v>
      </c>
      <c r="S66" s="33">
        <v>29625.954347826086</v>
      </c>
      <c r="T66" s="35">
        <f t="shared" ref="T66:T97" si="19">+R66/$AX66/100</f>
        <v>0.9089613650849373</v>
      </c>
      <c r="U66" s="35">
        <f t="shared" ref="U66:U97" si="20">+S66/$AX66/100</f>
        <v>0.94292545968949104</v>
      </c>
      <c r="V66" s="35">
        <v>1252203</v>
      </c>
      <c r="W66" s="35">
        <f t="shared" ref="W66:W97" si="21">+V66/AX66/100</f>
        <v>39.854719126919889</v>
      </c>
      <c r="X66" s="31">
        <f>+'[1]Agregados MesTrim'!B272</f>
        <v>1421406.0095238094</v>
      </c>
      <c r="Y66" s="35">
        <f t="shared" ref="Y66:Y97" si="22">+X66/$AX66/100</f>
        <v>45.240058740385891</v>
      </c>
      <c r="Z66" s="33">
        <v>2015963</v>
      </c>
      <c r="AA66" s="35">
        <f t="shared" si="15"/>
        <v>64.163429679742663</v>
      </c>
      <c r="AB66" s="36">
        <v>0.28285714285714286</v>
      </c>
      <c r="AC66" s="5">
        <v>62130</v>
      </c>
      <c r="AD66" s="5">
        <v>155129</v>
      </c>
      <c r="AE66" s="10">
        <v>152.65720146368207</v>
      </c>
      <c r="AF66" s="10">
        <v>146.46412817096419</v>
      </c>
      <c r="AG66" s="10">
        <v>130.91317825850385</v>
      </c>
      <c r="AH66" s="10">
        <v>161.7840645330931</v>
      </c>
      <c r="AI66" s="10">
        <v>408.36861564526936</v>
      </c>
      <c r="AJ66">
        <v>162.07369491514035</v>
      </c>
      <c r="AK66">
        <v>91.529163250291617</v>
      </c>
      <c r="AL66">
        <v>100.71384987245868</v>
      </c>
      <c r="AM66">
        <v>149.44272522027615</v>
      </c>
      <c r="AN66">
        <v>98.990521580504293</v>
      </c>
      <c r="AO66">
        <v>211.14219951393579</v>
      </c>
      <c r="AP66">
        <v>186.1747930929819</v>
      </c>
      <c r="AQ66">
        <v>191.91952264675655</v>
      </c>
      <c r="AR66">
        <v>161.79174044410024</v>
      </c>
      <c r="AS66">
        <v>174.20086458551552</v>
      </c>
      <c r="AT66">
        <v>36.067138999999997</v>
      </c>
      <c r="AU66" s="38">
        <v>142.17092022004798</v>
      </c>
      <c r="AV66" s="34">
        <f>+VLOOKUP(A66,'[2]Salario Real'!$A$5:$C$292,2)</f>
        <v>114.9899607658031</v>
      </c>
      <c r="AW66" s="31">
        <v>3673623</v>
      </c>
      <c r="AX66" s="17">
        <v>314.1919018453699</v>
      </c>
      <c r="AY66" s="17">
        <v>462</v>
      </c>
      <c r="AZ66" s="16">
        <v>1.9379713269494825</v>
      </c>
      <c r="BA66">
        <v>167.68</v>
      </c>
      <c r="BB66">
        <v>159.56669237791792</v>
      </c>
    </row>
    <row r="67" spans="1:54" x14ac:dyDescent="0.25">
      <c r="A67" s="2">
        <v>43280</v>
      </c>
      <c r="B67" s="1">
        <v>-4.115984975322573E-2</v>
      </c>
      <c r="C67" s="31">
        <v>39420</v>
      </c>
      <c r="D67" s="31">
        <v>22894</v>
      </c>
      <c r="E67" s="31">
        <v>55358</v>
      </c>
      <c r="F67" s="31">
        <v>12945</v>
      </c>
      <c r="G67" s="31">
        <v>975962</v>
      </c>
      <c r="H67" s="32">
        <v>196.737824401696</v>
      </c>
      <c r="I67" s="11">
        <v>272.89999999999998</v>
      </c>
      <c r="J67" s="11">
        <v>413.5</v>
      </c>
      <c r="K67" s="11">
        <v>214.3</v>
      </c>
      <c r="L67" s="9">
        <v>19139.509558199999</v>
      </c>
      <c r="M67" s="9">
        <v>92127.480642419992</v>
      </c>
      <c r="N67" s="9">
        <v>90350.389987799994</v>
      </c>
      <c r="O67" s="35">
        <f t="shared" si="16"/>
        <v>0.58722358429520316</v>
      </c>
      <c r="P67" s="35">
        <f t="shared" si="17"/>
        <v>2.826583890795197</v>
      </c>
      <c r="Q67" s="35">
        <f t="shared" si="18"/>
        <v>2.7720605739541768</v>
      </c>
      <c r="R67" s="33">
        <v>26037.01</v>
      </c>
      <c r="S67" s="33">
        <v>29325.980476190474</v>
      </c>
      <c r="T67" s="35">
        <f t="shared" si="19"/>
        <v>0.79884734193617291</v>
      </c>
      <c r="U67" s="35">
        <f t="shared" si="20"/>
        <v>0.89975698258274917</v>
      </c>
      <c r="V67" s="35">
        <v>1157678</v>
      </c>
      <c r="W67" s="35">
        <f t="shared" si="21"/>
        <v>35.51897829735384</v>
      </c>
      <c r="X67" s="31">
        <f>+'[1]Agregados MesTrim'!B273</f>
        <v>1514570.75</v>
      </c>
      <c r="Y67" s="35">
        <f t="shared" si="22"/>
        <v>46.468884784073744</v>
      </c>
      <c r="Z67" s="33">
        <v>2179723</v>
      </c>
      <c r="AA67" s="35">
        <f t="shared" ref="AA67:AA98" si="23">+Z67/AX67/100</f>
        <v>66.876570109514901</v>
      </c>
      <c r="AB67" s="36">
        <v>0.30565625000000002</v>
      </c>
      <c r="AC67" s="5">
        <v>57447</v>
      </c>
      <c r="AD67" s="5">
        <v>131185</v>
      </c>
      <c r="AE67" s="10">
        <v>147.36517939710768</v>
      </c>
      <c r="AF67" s="10">
        <v>143.61633532550943</v>
      </c>
      <c r="AG67" s="10">
        <v>123.73231721256289</v>
      </c>
      <c r="AH67" s="10">
        <v>144.69082858034486</v>
      </c>
      <c r="AI67" s="10">
        <v>365.55438877750032</v>
      </c>
      <c r="AJ67">
        <v>160.6872482898531</v>
      </c>
      <c r="AK67">
        <v>83.538434367114249</v>
      </c>
      <c r="AL67">
        <v>95.714360514007666</v>
      </c>
      <c r="AM67">
        <v>149.55640963844826</v>
      </c>
      <c r="AN67">
        <v>85.686106536131845</v>
      </c>
      <c r="AO67">
        <v>173.42366584896538</v>
      </c>
      <c r="AP67">
        <v>189.57374226540577</v>
      </c>
      <c r="AQ67">
        <v>179.33761965974594</v>
      </c>
      <c r="AR67">
        <v>159.36298090890679</v>
      </c>
      <c r="AS67">
        <v>144.97728086459992</v>
      </c>
      <c r="AT67">
        <v>35.974978999999998</v>
      </c>
      <c r="AU67" s="38">
        <v>138.35076127222592</v>
      </c>
      <c r="AV67" s="34">
        <f>+VLOOKUP(A67,'[2]Salario Real'!$A$5:$C$292,2)</f>
        <v>112.38871883375438</v>
      </c>
      <c r="AW67" s="31">
        <v>3272298</v>
      </c>
      <c r="AX67" s="17">
        <v>325.93223552442299</v>
      </c>
      <c r="AY67" s="17">
        <v>608</v>
      </c>
      <c r="AZ67" s="16">
        <v>2.0421604195137144</v>
      </c>
      <c r="BA67">
        <v>165.05</v>
      </c>
      <c r="BB67">
        <v>151.12576323345138</v>
      </c>
    </row>
    <row r="68" spans="1:54" x14ac:dyDescent="0.25">
      <c r="A68" s="2">
        <v>43312</v>
      </c>
      <c r="B68" s="1">
        <v>-2.7226800635156145E-3</v>
      </c>
      <c r="C68" s="31">
        <v>41450</v>
      </c>
      <c r="D68" s="31">
        <v>25363</v>
      </c>
      <c r="E68" s="31">
        <v>46637</v>
      </c>
      <c r="F68" s="31">
        <v>10936</v>
      </c>
      <c r="G68" s="31">
        <v>954950</v>
      </c>
      <c r="H68" s="32">
        <v>189.853117364083</v>
      </c>
      <c r="I68" s="11">
        <v>248.4</v>
      </c>
      <c r="J68" s="11">
        <v>463.8</v>
      </c>
      <c r="K68" s="11">
        <v>217</v>
      </c>
      <c r="L68" s="9">
        <v>17321.025018610002</v>
      </c>
      <c r="M68" s="9">
        <v>91454.076495229994</v>
      </c>
      <c r="N68" s="9">
        <v>59703.325223470005</v>
      </c>
      <c r="O68" s="35">
        <f t="shared" si="16"/>
        <v>0.51544319914925785</v>
      </c>
      <c r="P68" s="35">
        <f t="shared" si="17"/>
        <v>2.7215122496096473</v>
      </c>
      <c r="Q68" s="35">
        <f t="shared" si="18"/>
        <v>1.7766658104800499</v>
      </c>
      <c r="R68" s="33">
        <v>29287.34</v>
      </c>
      <c r="S68" s="33">
        <v>27638.65818181818</v>
      </c>
      <c r="T68" s="35">
        <f t="shared" si="19"/>
        <v>0.87153965818724177</v>
      </c>
      <c r="U68" s="35">
        <f t="shared" si="20"/>
        <v>0.8224777908999531</v>
      </c>
      <c r="V68" s="35">
        <v>1268642</v>
      </c>
      <c r="W68" s="35">
        <f t="shared" si="21"/>
        <v>37.752551615885189</v>
      </c>
      <c r="X68" s="31">
        <f>+'[1]Agregados MesTrim'!B274</f>
        <v>1484388.0666666667</v>
      </c>
      <c r="Y68" s="35">
        <f t="shared" si="22"/>
        <v>44.17277459270413</v>
      </c>
      <c r="Z68" s="33">
        <v>2030988</v>
      </c>
      <c r="AA68" s="35">
        <f t="shared" si="23"/>
        <v>60.438625949041118</v>
      </c>
      <c r="AB68" s="36">
        <v>0.34520833333333334</v>
      </c>
      <c r="AC68" s="5">
        <v>61500</v>
      </c>
      <c r="AD68" s="5">
        <v>153219</v>
      </c>
      <c r="AE68" s="10">
        <v>146.74856942015953</v>
      </c>
      <c r="AF68" s="10">
        <v>157.32531893398848</v>
      </c>
      <c r="AG68" s="10">
        <v>129.28060551449377</v>
      </c>
      <c r="AH68" s="10">
        <v>145.37115102271557</v>
      </c>
      <c r="AI68" s="10">
        <v>390.93641069165648</v>
      </c>
      <c r="AJ68">
        <v>178.50450614289011</v>
      </c>
      <c r="AK68">
        <v>82.789111399371734</v>
      </c>
      <c r="AL68">
        <v>90.220988579634422</v>
      </c>
      <c r="AM68">
        <v>155.19249152988851</v>
      </c>
      <c r="AN68">
        <v>85.430429116776992</v>
      </c>
      <c r="AO68">
        <v>175.28278812760075</v>
      </c>
      <c r="AP68">
        <v>191.15948646301604</v>
      </c>
      <c r="AQ68">
        <v>201.39203239794779</v>
      </c>
      <c r="AR68">
        <v>168.17045886437177</v>
      </c>
      <c r="AS68">
        <v>151.63115447902575</v>
      </c>
      <c r="AT68">
        <v>36.254482000000003</v>
      </c>
      <c r="AU68" s="38">
        <v>134.69589988583485</v>
      </c>
      <c r="AV68" s="34">
        <f>+VLOOKUP(A68,'[2]Salario Real'!$A$5:$C$292,2)</f>
        <v>111.59120418167159</v>
      </c>
      <c r="AW68" s="31">
        <v>3445511</v>
      </c>
      <c r="AX68" s="17">
        <v>336.04139209128107</v>
      </c>
      <c r="AY68" s="17">
        <v>549</v>
      </c>
      <c r="AZ68" s="16">
        <v>2.01412257067296</v>
      </c>
      <c r="BA68">
        <v>169.99</v>
      </c>
      <c r="BB68">
        <v>145.96352442999225</v>
      </c>
    </row>
    <row r="69" spans="1:54" x14ac:dyDescent="0.25">
      <c r="A69" s="2">
        <v>43343</v>
      </c>
      <c r="B69" s="1">
        <v>-2.7226800635156145E-3</v>
      </c>
      <c r="C69" s="31">
        <v>49335</v>
      </c>
      <c r="D69" s="31">
        <v>28068</v>
      </c>
      <c r="E69" s="31">
        <v>52224</v>
      </c>
      <c r="F69" s="31">
        <v>11883</v>
      </c>
      <c r="G69" s="31">
        <v>1119958</v>
      </c>
      <c r="H69" s="32">
        <v>194.03239119559001</v>
      </c>
      <c r="I69" s="11">
        <v>257</v>
      </c>
      <c r="J69" s="11">
        <v>455.3</v>
      </c>
      <c r="K69" s="11">
        <v>231.5</v>
      </c>
      <c r="L69" s="9">
        <v>17365.018756279998</v>
      </c>
      <c r="M69" s="9">
        <v>98116.100896870019</v>
      </c>
      <c r="N69" s="9">
        <v>68700.874952020007</v>
      </c>
      <c r="O69" s="35">
        <f t="shared" si="16"/>
        <v>0.49740607023728295</v>
      </c>
      <c r="P69" s="35">
        <f t="shared" si="17"/>
        <v>2.8104515669738186</v>
      </c>
      <c r="Q69" s="35">
        <f t="shared" si="18"/>
        <v>1.9678776459362584</v>
      </c>
      <c r="R69" s="33">
        <v>29293.52</v>
      </c>
      <c r="S69" s="33">
        <v>26961.782173913041</v>
      </c>
      <c r="T69" s="35">
        <f t="shared" si="19"/>
        <v>0.839087758620922</v>
      </c>
      <c r="U69" s="35">
        <f t="shared" si="20"/>
        <v>0.77229712826366448</v>
      </c>
      <c r="V69" s="35">
        <v>1305555</v>
      </c>
      <c r="W69" s="35">
        <f t="shared" si="21"/>
        <v>37.396503346348879</v>
      </c>
      <c r="X69" s="31">
        <f>+'[1]Agregados MesTrim'!B275</f>
        <v>1479051.1318181818</v>
      </c>
      <c r="Y69" s="35">
        <f t="shared" si="22"/>
        <v>42.366151254033518</v>
      </c>
      <c r="Z69" s="33">
        <v>2211228</v>
      </c>
      <c r="AA69" s="35">
        <f t="shared" si="23"/>
        <v>63.338729736809512</v>
      </c>
      <c r="AB69" s="36">
        <v>0.35167613636363632</v>
      </c>
      <c r="AC69" s="5">
        <v>63512</v>
      </c>
      <c r="AD69" s="5">
        <v>161733</v>
      </c>
      <c r="AE69" s="10">
        <v>142.36758663350065</v>
      </c>
      <c r="AF69" s="10">
        <v>162.75115897284712</v>
      </c>
      <c r="AG69" s="10">
        <v>132.60358949404872</v>
      </c>
      <c r="AH69" s="10">
        <v>141.58470723056396</v>
      </c>
      <c r="AI69" s="10">
        <v>413.04154370182476</v>
      </c>
      <c r="AJ69">
        <v>183.21244575932946</v>
      </c>
      <c r="AK69">
        <v>90.74146836009524</v>
      </c>
      <c r="AL69">
        <v>86.824065697822277</v>
      </c>
      <c r="AM69">
        <v>153.76018804379015</v>
      </c>
      <c r="AN69">
        <v>100.61805437385547</v>
      </c>
      <c r="AO69">
        <v>153.87926784481695</v>
      </c>
      <c r="AP69">
        <v>211.62131797724976</v>
      </c>
      <c r="AQ69">
        <v>200.16764659053933</v>
      </c>
      <c r="AR69">
        <v>163.81353466512087</v>
      </c>
      <c r="AS69">
        <v>176.35763290373609</v>
      </c>
      <c r="AT69">
        <v>36.249523000000003</v>
      </c>
      <c r="AU69" s="38">
        <v>136.20153363747917</v>
      </c>
      <c r="AV69" s="34">
        <f>+VLOOKUP(A69,'[2]Salario Real'!$A$5:$C$292,2)</f>
        <v>110.46396594566892</v>
      </c>
      <c r="AW69" s="31">
        <v>3040524</v>
      </c>
      <c r="AX69" s="17">
        <v>349.11151663260114</v>
      </c>
      <c r="AY69" s="17">
        <v>771</v>
      </c>
      <c r="AZ69" s="16">
        <v>1.9443592991287715</v>
      </c>
      <c r="BA69">
        <v>169.61</v>
      </c>
      <c r="BB69">
        <v>146.76596003413451</v>
      </c>
    </row>
    <row r="70" spans="1:54" x14ac:dyDescent="0.25">
      <c r="A70" s="2">
        <v>43371</v>
      </c>
      <c r="B70" s="1">
        <v>-2.7226800635156145E-3</v>
      </c>
      <c r="C70" s="31">
        <v>37267</v>
      </c>
      <c r="D70" s="31">
        <v>23336</v>
      </c>
      <c r="E70" s="31">
        <v>42628</v>
      </c>
      <c r="F70" s="31">
        <v>8164</v>
      </c>
      <c r="G70" s="31">
        <v>1017897</v>
      </c>
      <c r="H70" s="32">
        <v>198.118086021599</v>
      </c>
      <c r="I70" s="11">
        <v>324.10000000000002</v>
      </c>
      <c r="J70" s="11">
        <v>434.7</v>
      </c>
      <c r="K70" s="11">
        <v>204.6</v>
      </c>
      <c r="L70" s="9">
        <v>23675.58680533</v>
      </c>
      <c r="M70" s="9">
        <v>103570.00835067</v>
      </c>
      <c r="N70" s="9">
        <v>59397.78241562</v>
      </c>
      <c r="O70" s="35">
        <f t="shared" si="16"/>
        <v>0.63657147813824866</v>
      </c>
      <c r="P70" s="35">
        <f t="shared" si="17"/>
        <v>2.7847129555299652</v>
      </c>
      <c r="Q70" s="35">
        <f t="shared" si="18"/>
        <v>1.5970431677720045</v>
      </c>
      <c r="R70" s="33">
        <v>33461.769999999997</v>
      </c>
      <c r="S70" s="33">
        <v>31351.103500000005</v>
      </c>
      <c r="T70" s="35">
        <f t="shared" si="19"/>
        <v>0.89969505571987474</v>
      </c>
      <c r="U70" s="35">
        <f t="shared" si="20"/>
        <v>0.84294503280346689</v>
      </c>
      <c r="V70" s="35">
        <v>1519367</v>
      </c>
      <c r="W70" s="35">
        <f t="shared" si="21"/>
        <v>40.851604016283027</v>
      </c>
      <c r="X70" s="31">
        <f>+'[1]Agregados MesTrim'!B276</f>
        <v>1596867.95</v>
      </c>
      <c r="Y70" s="35">
        <f t="shared" si="22"/>
        <v>42.935391620124456</v>
      </c>
      <c r="Z70" s="33">
        <v>2192387</v>
      </c>
      <c r="AA70" s="35">
        <f t="shared" si="23"/>
        <v>58.947262626111197</v>
      </c>
      <c r="AB70" s="36">
        <v>0.4185625</v>
      </c>
      <c r="AC70" s="5">
        <v>55326</v>
      </c>
      <c r="AD70" s="5">
        <v>141618</v>
      </c>
      <c r="AE70" s="10">
        <v>143.94313289286404</v>
      </c>
      <c r="AF70" s="10">
        <v>152.29854841187841</v>
      </c>
      <c r="AG70" s="10">
        <v>112.82826194833163</v>
      </c>
      <c r="AH70" s="10">
        <v>150.22039973965889</v>
      </c>
      <c r="AI70" s="10">
        <v>353.95296206386439</v>
      </c>
      <c r="AJ70">
        <v>174.26009409610049</v>
      </c>
      <c r="AK70">
        <v>75.008975835073286</v>
      </c>
      <c r="AL70">
        <v>85.446380298405657</v>
      </c>
      <c r="AM70">
        <v>150.95703155188528</v>
      </c>
      <c r="AN70">
        <v>94.342271841104392</v>
      </c>
      <c r="AO70">
        <v>183.11384124649675</v>
      </c>
      <c r="AP70">
        <v>198.71714722727117</v>
      </c>
      <c r="AQ70">
        <v>191.57733508102538</v>
      </c>
      <c r="AR70">
        <v>151.04870358369664</v>
      </c>
      <c r="AS70">
        <v>128.92101864428221</v>
      </c>
      <c r="AT70">
        <v>33.704475000000002</v>
      </c>
      <c r="AU70" s="38">
        <v>131.92414188821334</v>
      </c>
      <c r="AV70" s="34">
        <f>+VLOOKUP(A70,'[2]Salario Real'!$A$5:$C$292,2)</f>
        <v>106.11496713737584</v>
      </c>
      <c r="AW70" s="31">
        <v>2917787</v>
      </c>
      <c r="AX70" s="17">
        <v>371.92346214714019</v>
      </c>
      <c r="AY70" s="17">
        <v>623</v>
      </c>
      <c r="AZ70" s="16">
        <v>1.7494695854512807</v>
      </c>
      <c r="BA70">
        <v>167.73</v>
      </c>
      <c r="BB70">
        <v>137.74656971866582</v>
      </c>
    </row>
    <row r="71" spans="1:54" x14ac:dyDescent="0.25">
      <c r="A71" s="2">
        <v>43404</v>
      </c>
      <c r="B71" s="1">
        <v>-1.4890578347530603E-2</v>
      </c>
      <c r="C71" s="31">
        <v>38659</v>
      </c>
      <c r="D71" s="31">
        <v>22028</v>
      </c>
      <c r="E71" s="31">
        <v>37207</v>
      </c>
      <c r="F71" s="31">
        <v>7862</v>
      </c>
      <c r="G71" s="31">
        <v>1048597</v>
      </c>
      <c r="H71" s="32">
        <v>186.991235050596</v>
      </c>
      <c r="I71" s="11">
        <v>334.3</v>
      </c>
      <c r="J71" s="11">
        <v>446.2</v>
      </c>
      <c r="K71" s="11">
        <v>207.7</v>
      </c>
      <c r="L71" s="9">
        <v>25628.622169930004</v>
      </c>
      <c r="M71" s="9">
        <v>110762.41226611001</v>
      </c>
      <c r="N71" s="9">
        <v>63742.850742120005</v>
      </c>
      <c r="O71" s="35">
        <f t="shared" si="16"/>
        <v>0.65383122200601651</v>
      </c>
      <c r="P71" s="35">
        <f t="shared" si="17"/>
        <v>2.8257439234971833</v>
      </c>
      <c r="Q71" s="35">
        <f t="shared" si="18"/>
        <v>1.6261922204997439</v>
      </c>
      <c r="R71" s="33">
        <v>29491.11</v>
      </c>
      <c r="S71" s="33">
        <v>29605.815652173918</v>
      </c>
      <c r="T71" s="35">
        <f t="shared" si="19"/>
        <v>0.75237007911559206</v>
      </c>
      <c r="U71" s="35">
        <f t="shared" si="20"/>
        <v>0.75529642202371239</v>
      </c>
      <c r="V71" s="35">
        <v>1335517</v>
      </c>
      <c r="W71" s="35">
        <f t="shared" si="21"/>
        <v>34.071387307911365</v>
      </c>
      <c r="X71" s="31">
        <f>+'[1]Agregados MesTrim'!B277</f>
        <v>1444019.6500000001</v>
      </c>
      <c r="Y71" s="35">
        <f t="shared" si="22"/>
        <v>36.839480721986035</v>
      </c>
      <c r="Z71" s="33">
        <v>2121422</v>
      </c>
      <c r="AA71" s="35">
        <f t="shared" si="23"/>
        <v>54.121205949099831</v>
      </c>
      <c r="AB71" s="36">
        <v>0.5049147727272727</v>
      </c>
      <c r="AC71" s="5">
        <v>63381</v>
      </c>
      <c r="AD71" s="5">
        <v>143388</v>
      </c>
      <c r="AE71" s="10">
        <v>144.93831122594656</v>
      </c>
      <c r="AF71" s="10">
        <v>162.65991834506616</v>
      </c>
      <c r="AG71" s="10">
        <v>108.14655779259216</v>
      </c>
      <c r="AH71" s="10">
        <v>159.24882048924081</v>
      </c>
      <c r="AI71" s="10">
        <v>378.65812132282758</v>
      </c>
      <c r="AJ71">
        <v>180.38361490108497</v>
      </c>
      <c r="AK71">
        <v>100.28466703113712</v>
      </c>
      <c r="AL71">
        <v>80.611792314469739</v>
      </c>
      <c r="AM71">
        <v>154.75169119788796</v>
      </c>
      <c r="AN71">
        <v>101.59199661924214</v>
      </c>
      <c r="AO71">
        <v>204.67776231592055</v>
      </c>
      <c r="AP71">
        <v>196.93008522541334</v>
      </c>
      <c r="AQ71">
        <v>196.18113041056276</v>
      </c>
      <c r="AR71">
        <v>146.59536476884492</v>
      </c>
      <c r="AS71">
        <v>134.57615745657333</v>
      </c>
      <c r="AT71">
        <v>32.643635000000003</v>
      </c>
      <c r="AU71" s="38">
        <v>126.20208759967979</v>
      </c>
      <c r="AV71" s="34">
        <f>+VLOOKUP(A71,'[2]Salario Real'!$A$5:$C$292,2)</f>
        <v>104.54264182558626</v>
      </c>
      <c r="AW71" s="31">
        <v>3311987</v>
      </c>
      <c r="AX71" s="17">
        <v>391.97611413078363</v>
      </c>
      <c r="AY71" s="17">
        <v>670</v>
      </c>
      <c r="AZ71" s="16">
        <v>1.7630518511486217</v>
      </c>
      <c r="BA71">
        <v>165.37</v>
      </c>
      <c r="BB71">
        <v>142.84327598462417</v>
      </c>
    </row>
    <row r="72" spans="1:54" x14ac:dyDescent="0.25">
      <c r="A72" s="2">
        <v>43434</v>
      </c>
      <c r="B72" s="1">
        <v>-1.4890578347530603E-2</v>
      </c>
      <c r="C72" s="31">
        <v>36808</v>
      </c>
      <c r="D72" s="31">
        <v>26048</v>
      </c>
      <c r="E72" s="31">
        <v>33095</v>
      </c>
      <c r="F72" s="31">
        <v>7163</v>
      </c>
      <c r="G72" s="31">
        <v>980389</v>
      </c>
      <c r="H72" s="32">
        <v>172.958633261675</v>
      </c>
      <c r="I72" s="11">
        <v>341.5</v>
      </c>
      <c r="J72" s="11">
        <v>456</v>
      </c>
      <c r="K72" s="11">
        <v>222.1</v>
      </c>
      <c r="L72" s="9">
        <v>23734.096594169998</v>
      </c>
      <c r="M72" s="9">
        <v>96792.03996509999</v>
      </c>
      <c r="N72" s="9">
        <v>65415.15763781</v>
      </c>
      <c r="O72" s="35">
        <f t="shared" si="16"/>
        <v>0.58698864829212338</v>
      </c>
      <c r="P72" s="35">
        <f t="shared" si="17"/>
        <v>2.3938483809199367</v>
      </c>
      <c r="Q72" s="35">
        <f t="shared" si="18"/>
        <v>1.6178393311614931</v>
      </c>
      <c r="R72" s="33">
        <v>31482.58</v>
      </c>
      <c r="S72" s="33">
        <v>30652.195909090908</v>
      </c>
      <c r="T72" s="35">
        <f t="shared" si="19"/>
        <v>0.778623151111975</v>
      </c>
      <c r="U72" s="35">
        <f t="shared" si="20"/>
        <v>0.75808619773976449</v>
      </c>
      <c r="V72" s="35">
        <v>1389636</v>
      </c>
      <c r="W72" s="35">
        <f t="shared" si="21"/>
        <v>34.368300222492586</v>
      </c>
      <c r="X72" s="31">
        <f>+'[1]Agregados MesTrim'!B278</f>
        <v>1441895.4650000001</v>
      </c>
      <c r="Y72" s="35">
        <f t="shared" si="22"/>
        <v>35.660774642115314</v>
      </c>
      <c r="Z72" s="33">
        <v>2258096.5</v>
      </c>
      <c r="AA72" s="35">
        <f t="shared" si="23"/>
        <v>55.846954485462184</v>
      </c>
      <c r="AB72" s="36">
        <v>0.51365131578947365</v>
      </c>
      <c r="AC72" s="5">
        <v>61700</v>
      </c>
      <c r="AD72" s="5">
        <v>126849</v>
      </c>
      <c r="AE72" s="10">
        <v>141.58153261152728</v>
      </c>
      <c r="AF72" s="10">
        <v>145.99763577281567</v>
      </c>
      <c r="AG72" s="10">
        <v>101.39935751796611</v>
      </c>
      <c r="AH72" s="10">
        <v>148.34139787058086</v>
      </c>
      <c r="AI72" s="10">
        <v>340.26207352523573</v>
      </c>
      <c r="AJ72">
        <v>162.76749691108051</v>
      </c>
      <c r="AK72">
        <v>86.979230684869066</v>
      </c>
      <c r="AL72">
        <v>79.76136625661448</v>
      </c>
      <c r="AM72">
        <v>160.5649313890008</v>
      </c>
      <c r="AN72">
        <v>91.21207665868431</v>
      </c>
      <c r="AO72">
        <v>187.47869800265343</v>
      </c>
      <c r="AP72">
        <v>191.6120542940846</v>
      </c>
      <c r="AQ72">
        <v>197.13695833481842</v>
      </c>
      <c r="AR72">
        <v>133.49487445790348</v>
      </c>
      <c r="AS72">
        <v>128.24401352315539</v>
      </c>
      <c r="AT72">
        <v>32.097534000000003</v>
      </c>
      <c r="AU72" s="38">
        <v>124.23392489934662</v>
      </c>
      <c r="AV72" s="34">
        <f>+VLOOKUP(A72,'[2]Salario Real'!$A$5:$C$292,2)</f>
        <v>103.94128534758644</v>
      </c>
      <c r="AW72" s="31">
        <v>3166194</v>
      </c>
      <c r="AX72" s="17">
        <v>404.33655170718703</v>
      </c>
      <c r="AY72" s="17">
        <v>706</v>
      </c>
      <c r="AZ72" s="16">
        <v>1.7673766864168541</v>
      </c>
      <c r="BA72">
        <v>164.15</v>
      </c>
      <c r="BB72">
        <v>140.59240732535952</v>
      </c>
    </row>
    <row r="73" spans="1:54" x14ac:dyDescent="0.25">
      <c r="A73" s="2">
        <v>43465</v>
      </c>
      <c r="B73" s="1">
        <v>-1.4890578347530603E-2</v>
      </c>
      <c r="C73" s="31">
        <v>20475</v>
      </c>
      <c r="D73" s="31">
        <v>22947</v>
      </c>
      <c r="E73" s="31">
        <v>48418</v>
      </c>
      <c r="F73" s="31">
        <v>11577</v>
      </c>
      <c r="G73" s="31">
        <v>819459</v>
      </c>
      <c r="H73" s="32">
        <v>168.06079288898599</v>
      </c>
      <c r="I73" s="11">
        <v>329</v>
      </c>
      <c r="J73" s="11">
        <v>356.1</v>
      </c>
      <c r="K73" s="11">
        <v>136.30000000000001</v>
      </c>
      <c r="L73" s="9">
        <v>24206.692036380002</v>
      </c>
      <c r="M73" s="9">
        <v>99209.939249020012</v>
      </c>
      <c r="N73" s="9">
        <v>73832.984978109991</v>
      </c>
      <c r="O73" s="35">
        <f t="shared" si="16"/>
        <v>0.5836773412976286</v>
      </c>
      <c r="P73" s="35">
        <f t="shared" si="17"/>
        <v>2.3921729364813662</v>
      </c>
      <c r="Q73" s="35">
        <f t="shared" si="18"/>
        <v>1.7802779622810285</v>
      </c>
      <c r="R73" s="33">
        <v>30292.55</v>
      </c>
      <c r="S73" s="33">
        <v>30329.878571428573</v>
      </c>
      <c r="T73" s="35">
        <f t="shared" si="19"/>
        <v>0.73042095212979807</v>
      </c>
      <c r="U73" s="35">
        <f t="shared" si="20"/>
        <v>0.73132102725336812</v>
      </c>
      <c r="V73" s="35">
        <v>1307828</v>
      </c>
      <c r="W73" s="35">
        <f t="shared" si="21"/>
        <v>31.534650367235823</v>
      </c>
      <c r="X73" s="31">
        <f>+'[1]Agregados MesTrim'!B279</f>
        <v>1542330.3764705881</v>
      </c>
      <c r="Y73" s="35">
        <f t="shared" si="22"/>
        <v>37.189025753208519</v>
      </c>
      <c r="Z73" s="33">
        <v>2472935</v>
      </c>
      <c r="AA73" s="35">
        <f t="shared" si="23"/>
        <v>59.627979065978337</v>
      </c>
      <c r="AB73" s="36">
        <v>0.48635416666666664</v>
      </c>
      <c r="AC73" s="5">
        <v>59357</v>
      </c>
      <c r="AD73" s="5">
        <v>122866</v>
      </c>
      <c r="AE73" s="10">
        <v>139.08126342110404</v>
      </c>
      <c r="AF73" s="10">
        <v>145.52735628277603</v>
      </c>
      <c r="AG73" s="10">
        <v>78.78210985956423</v>
      </c>
      <c r="AH73" s="10">
        <v>135.40110840705813</v>
      </c>
      <c r="AI73" s="10">
        <v>246.56448897423118</v>
      </c>
      <c r="AJ73">
        <v>160.5303603226667</v>
      </c>
      <c r="AK73">
        <v>92.727075907050462</v>
      </c>
      <c r="AL73">
        <v>70.460963282910285</v>
      </c>
      <c r="AM73">
        <v>152.85314336972993</v>
      </c>
      <c r="AN73">
        <v>99.97240029018171</v>
      </c>
      <c r="AO73">
        <v>154.48526668333056</v>
      </c>
      <c r="AP73">
        <v>166.57558765056348</v>
      </c>
      <c r="AQ73">
        <v>167.63002275874055</v>
      </c>
      <c r="AR73">
        <v>115.19585746412424</v>
      </c>
      <c r="AS73">
        <v>71.415075031627936</v>
      </c>
      <c r="AT73">
        <v>35.989628000000003</v>
      </c>
      <c r="AU73" s="38">
        <v>123.8944172425674</v>
      </c>
      <c r="AV73" s="34">
        <f>+VLOOKUP(A73,'[2]Salario Real'!$A$5:$C$292,2)</f>
        <v>103.01929664554901</v>
      </c>
      <c r="AW73" s="31">
        <v>2454742</v>
      </c>
      <c r="AX73" s="17">
        <v>414.7272872125514</v>
      </c>
      <c r="AY73" s="17">
        <v>813</v>
      </c>
      <c r="AZ73" s="16">
        <v>1.92</v>
      </c>
      <c r="BA73">
        <v>164.8</v>
      </c>
      <c r="BB73">
        <v>136.25161596897618</v>
      </c>
    </row>
    <row r="74" spans="1:54" x14ac:dyDescent="0.25">
      <c r="A74" s="2">
        <v>43496</v>
      </c>
      <c r="B74" s="1">
        <v>1.5659293988878886E-3</v>
      </c>
      <c r="C74" s="31">
        <v>14803</v>
      </c>
      <c r="D74" s="31">
        <v>7403</v>
      </c>
      <c r="E74" s="31">
        <v>30038</v>
      </c>
      <c r="F74" s="31">
        <v>6244</v>
      </c>
      <c r="G74" s="31">
        <v>844363</v>
      </c>
      <c r="H74" s="32">
        <v>175.93110866558001</v>
      </c>
      <c r="I74" s="11">
        <v>250.1</v>
      </c>
      <c r="J74" s="11">
        <v>370.9</v>
      </c>
      <c r="K74" s="11">
        <v>141.69999999999999</v>
      </c>
      <c r="L74" s="9">
        <v>25246.34072271</v>
      </c>
      <c r="M74" s="9">
        <v>114742.43345115999</v>
      </c>
      <c r="N74" s="9">
        <v>71299.902671649994</v>
      </c>
      <c r="O74" s="35">
        <f t="shared" si="16"/>
        <v>0.59155361698452191</v>
      </c>
      <c r="P74" s="35">
        <f t="shared" si="17"/>
        <v>2.6885599887583829</v>
      </c>
      <c r="Q74" s="35">
        <f t="shared" si="18"/>
        <v>1.6706466802184345</v>
      </c>
      <c r="R74" s="33">
        <v>36326.92</v>
      </c>
      <c r="S74" s="33">
        <v>33907.909130434782</v>
      </c>
      <c r="T74" s="35">
        <f t="shared" si="19"/>
        <v>0.85118557005677042</v>
      </c>
      <c r="U74" s="35">
        <f t="shared" si="20"/>
        <v>0.7945050932647828</v>
      </c>
      <c r="V74" s="35">
        <v>1529198</v>
      </c>
      <c r="W74" s="35">
        <f t="shared" si="21"/>
        <v>35.831038562027096</v>
      </c>
      <c r="X74" s="31">
        <f>+'[1]Agregados MesTrim'!B280</f>
        <v>1516724.0454545454</v>
      </c>
      <c r="Y74" s="35">
        <f t="shared" si="22"/>
        <v>35.538758068370186</v>
      </c>
      <c r="Z74" s="33">
        <v>2210439</v>
      </c>
      <c r="AA74" s="35">
        <f t="shared" si="23"/>
        <v>51.793374728458069</v>
      </c>
      <c r="AB74" s="36">
        <v>0.458125</v>
      </c>
      <c r="AC74" s="5">
        <v>65174</v>
      </c>
      <c r="AD74" s="5">
        <v>148616</v>
      </c>
      <c r="AE74" s="10">
        <v>137.82947650373015</v>
      </c>
      <c r="AF74" s="10">
        <v>141.87941933014892</v>
      </c>
      <c r="AG74" s="10">
        <v>51.265678774314999</v>
      </c>
      <c r="AH74" s="10">
        <v>137.87627652505822</v>
      </c>
      <c r="AI74" s="10">
        <v>163.16080192942059</v>
      </c>
      <c r="AJ74">
        <v>156.92876739799868</v>
      </c>
      <c r="AK74">
        <v>88.916039773521007</v>
      </c>
      <c r="AL74">
        <v>66.685917960029059</v>
      </c>
      <c r="AM74">
        <v>153.71749844378982</v>
      </c>
      <c r="AN74">
        <v>99.334374628820953</v>
      </c>
      <c r="AO74">
        <v>168.33536612683969</v>
      </c>
      <c r="AP74">
        <v>166.52491735620146</v>
      </c>
      <c r="AQ74">
        <v>169.03623080257057</v>
      </c>
      <c r="AR74">
        <v>73.122604107917766</v>
      </c>
      <c r="AS74">
        <v>50.94263648033732</v>
      </c>
      <c r="AT74">
        <v>33.101078000000001</v>
      </c>
      <c r="AU74" s="38">
        <v>121.32144712163696</v>
      </c>
      <c r="AV74" s="34">
        <f>+VLOOKUP(A74,'[2]Salario Real'!$A$5:$C$292,2)</f>
        <v>103.6537520020445</v>
      </c>
      <c r="AW74" s="31">
        <v>2495737</v>
      </c>
      <c r="AX74" s="17">
        <v>426.78026129574948</v>
      </c>
      <c r="AY74" s="17">
        <v>663</v>
      </c>
      <c r="AZ74" s="16">
        <v>1.63</v>
      </c>
      <c r="BA74">
        <v>163.71</v>
      </c>
      <c r="BB74">
        <v>134.53623985644015</v>
      </c>
    </row>
    <row r="75" spans="1:54" x14ac:dyDescent="0.25">
      <c r="A75" s="2">
        <v>43524</v>
      </c>
      <c r="B75" s="1">
        <v>1.5659293988878886E-3</v>
      </c>
      <c r="C75" s="31">
        <v>32662</v>
      </c>
      <c r="D75" s="31">
        <v>19431</v>
      </c>
      <c r="E75" s="31">
        <v>30404</v>
      </c>
      <c r="F75" s="31">
        <v>6535</v>
      </c>
      <c r="G75" s="31">
        <v>929494</v>
      </c>
      <c r="H75" s="32">
        <v>191.26041508233499</v>
      </c>
      <c r="I75" s="11">
        <v>270.2</v>
      </c>
      <c r="J75" s="11">
        <v>318.2</v>
      </c>
      <c r="K75" s="11">
        <v>154.30000000000001</v>
      </c>
      <c r="L75" s="9">
        <v>25449.261674690002</v>
      </c>
      <c r="M75" s="9">
        <v>103781.77859850001</v>
      </c>
      <c r="N75" s="9">
        <v>69441.186936910002</v>
      </c>
      <c r="O75" s="35">
        <f t="shared" si="16"/>
        <v>0.57466846758507517</v>
      </c>
      <c r="P75" s="35">
        <f t="shared" si="17"/>
        <v>2.3434909991816109</v>
      </c>
      <c r="Q75" s="35">
        <f t="shared" si="18"/>
        <v>1.5680478669450004</v>
      </c>
      <c r="R75" s="33">
        <v>34485.800000000003</v>
      </c>
      <c r="S75" s="33">
        <v>36599.283500000005</v>
      </c>
      <c r="T75" s="35">
        <f t="shared" si="19"/>
        <v>0.77872207424999051</v>
      </c>
      <c r="U75" s="35">
        <f t="shared" si="20"/>
        <v>0.82644653634781418</v>
      </c>
      <c r="V75" s="35">
        <v>1460833</v>
      </c>
      <c r="W75" s="35">
        <f t="shared" si="21"/>
        <v>32.98699475995442</v>
      </c>
      <c r="X75" s="31">
        <f>+'[1]Agregados MesTrim'!B281</f>
        <v>1519350.2349999999</v>
      </c>
      <c r="Y75" s="35">
        <f t="shared" si="22"/>
        <v>34.308369430647119</v>
      </c>
      <c r="Z75" s="33">
        <v>2229453.7999999998</v>
      </c>
      <c r="AA75" s="35">
        <f t="shared" si="23"/>
        <v>50.343181471229407</v>
      </c>
      <c r="AB75" s="36">
        <v>0.37584375000000003</v>
      </c>
      <c r="AC75" s="5">
        <v>57157</v>
      </c>
      <c r="AD75" s="5">
        <v>133805</v>
      </c>
      <c r="AE75" s="10">
        <v>139.66674294878999</v>
      </c>
      <c r="AF75" s="10">
        <v>131.40472775517804</v>
      </c>
      <c r="AG75" s="10">
        <v>80.782915660187157</v>
      </c>
      <c r="AH75" s="10">
        <v>137.68438412908196</v>
      </c>
      <c r="AI75" s="10">
        <v>303.86298334206452</v>
      </c>
      <c r="AJ75">
        <v>141.9734416016617</v>
      </c>
      <c r="AK75">
        <v>94.210106409917387</v>
      </c>
      <c r="AL75">
        <v>85.209767226023089</v>
      </c>
      <c r="AM75">
        <v>142.97519809171757</v>
      </c>
      <c r="AN75">
        <v>85.222611480490201</v>
      </c>
      <c r="AO75">
        <v>177.30620074524973</v>
      </c>
      <c r="AP75">
        <v>179.63539302478327</v>
      </c>
      <c r="AQ75">
        <v>146.45730887971294</v>
      </c>
      <c r="AR75">
        <v>104.79337130658156</v>
      </c>
      <c r="AS75">
        <v>117.13106640251497</v>
      </c>
      <c r="AT75">
        <v>36.039966999999997</v>
      </c>
      <c r="AU75" s="38">
        <v>124.57608109542522</v>
      </c>
      <c r="AV75" s="34">
        <f>+VLOOKUP(A75,'[2]Salario Real'!$A$5:$C$292,2)</f>
        <v>102.62923554002201</v>
      </c>
      <c r="AW75" s="31">
        <v>2349555</v>
      </c>
      <c r="AX75" s="17">
        <v>442.85119351745954</v>
      </c>
      <c r="AY75" s="17">
        <v>699</v>
      </c>
      <c r="AZ75" s="16">
        <v>1.79</v>
      </c>
      <c r="BA75">
        <v>165.1</v>
      </c>
      <c r="BB75">
        <v>132.26788861262889</v>
      </c>
    </row>
    <row r="76" spans="1:54" x14ac:dyDescent="0.25">
      <c r="A76" s="2">
        <v>43553</v>
      </c>
      <c r="B76" s="1">
        <v>1.5659293988878886E-3</v>
      </c>
      <c r="C76" s="31">
        <v>29227</v>
      </c>
      <c r="D76" s="31">
        <v>21085</v>
      </c>
      <c r="E76" s="31">
        <v>33708</v>
      </c>
      <c r="F76" s="31">
        <v>9553</v>
      </c>
      <c r="G76" s="31">
        <v>951240</v>
      </c>
      <c r="H76" s="32">
        <v>185.05068552028399</v>
      </c>
      <c r="I76" s="11">
        <v>307.89999999999998</v>
      </c>
      <c r="J76" s="11">
        <v>390.7</v>
      </c>
      <c r="K76" s="11">
        <v>174.1</v>
      </c>
      <c r="L76" s="9">
        <v>27627.91480911</v>
      </c>
      <c r="M76" s="9">
        <v>108396.94998288</v>
      </c>
      <c r="N76" s="9">
        <v>60690.058299700002</v>
      </c>
      <c r="O76" s="35">
        <f t="shared" si="16"/>
        <v>0.59597560394345084</v>
      </c>
      <c r="P76" s="35">
        <f t="shared" si="17"/>
        <v>2.3382849620765871</v>
      </c>
      <c r="Q76" s="35">
        <f t="shared" si="18"/>
        <v>1.3091756796861254</v>
      </c>
      <c r="R76" s="33">
        <v>33466.03</v>
      </c>
      <c r="S76" s="33">
        <v>33541.430476190486</v>
      </c>
      <c r="T76" s="35">
        <f t="shared" si="19"/>
        <v>0.72191251415988233</v>
      </c>
      <c r="U76" s="35">
        <f t="shared" si="20"/>
        <v>0.72353901564020517</v>
      </c>
      <c r="V76" s="35">
        <v>1449314</v>
      </c>
      <c r="W76" s="35">
        <f t="shared" si="21"/>
        <v>31.263879030381428</v>
      </c>
      <c r="X76" s="31">
        <f>+'[1]Agregados MesTrim'!B282</f>
        <v>1518212.6105263156</v>
      </c>
      <c r="Y76" s="35">
        <f t="shared" si="22"/>
        <v>32.750125506201087</v>
      </c>
      <c r="Z76" s="33">
        <v>2297878</v>
      </c>
      <c r="AA76" s="35">
        <f t="shared" si="23"/>
        <v>49.568678573845837</v>
      </c>
      <c r="AB76" s="36">
        <v>0.41674342105263157</v>
      </c>
      <c r="AC76" s="5">
        <v>58651</v>
      </c>
      <c r="AD76" s="5">
        <v>125853</v>
      </c>
      <c r="AE76" s="10">
        <v>139.28130827359121</v>
      </c>
      <c r="AF76" s="10">
        <v>134.37782334673005</v>
      </c>
      <c r="AG76" s="10">
        <v>110.15188819670151</v>
      </c>
      <c r="AH76" s="10">
        <v>149.87843858142486</v>
      </c>
      <c r="AI76" s="10">
        <v>313.97617942776651</v>
      </c>
      <c r="AJ76">
        <v>150.91325081059043</v>
      </c>
      <c r="AK76">
        <v>76.184463943311655</v>
      </c>
      <c r="AL76">
        <v>96.106465574896248</v>
      </c>
      <c r="AM76">
        <v>148.82504074695805</v>
      </c>
      <c r="AN76">
        <v>99.823076179743623</v>
      </c>
      <c r="AO76">
        <v>185.88380068237356</v>
      </c>
      <c r="AP76">
        <v>188.21895988631258</v>
      </c>
      <c r="AQ76">
        <v>178.56971530903473</v>
      </c>
      <c r="AR76">
        <v>151.71723635199072</v>
      </c>
      <c r="AS76">
        <v>106.25171899869807</v>
      </c>
      <c r="AT76">
        <v>34.794620999999999</v>
      </c>
      <c r="AU76" s="38">
        <v>120.23477043485788</v>
      </c>
      <c r="AV76" s="34">
        <f>+VLOOKUP(A76,'[2]Salario Real'!$A$5:$C$292,2)</f>
        <v>101.55123148338674</v>
      </c>
      <c r="AW76" s="31">
        <v>2912403</v>
      </c>
      <c r="AX76" s="17">
        <v>463.57459309242921</v>
      </c>
      <c r="AY76" s="17">
        <v>774</v>
      </c>
      <c r="AZ76" s="16">
        <v>1.6</v>
      </c>
      <c r="BA76">
        <v>165.99</v>
      </c>
      <c r="BB76">
        <v>144.96325495611279</v>
      </c>
    </row>
    <row r="77" spans="1:54" x14ac:dyDescent="0.25">
      <c r="A77" s="2">
        <v>43585</v>
      </c>
      <c r="B77" s="1">
        <v>6.9240993173260712E-3</v>
      </c>
      <c r="C77" s="31">
        <v>30294</v>
      </c>
      <c r="D77" s="31">
        <v>20532</v>
      </c>
      <c r="E77" s="31">
        <v>28469</v>
      </c>
      <c r="F77" s="31">
        <v>7070</v>
      </c>
      <c r="G77" s="31">
        <v>908737</v>
      </c>
      <c r="H77" s="32">
        <v>182.620873698559</v>
      </c>
      <c r="I77" s="11">
        <v>318.89999999999998</v>
      </c>
      <c r="J77" s="11">
        <v>420.9</v>
      </c>
      <c r="K77" s="11">
        <v>211.9</v>
      </c>
      <c r="L77" s="9">
        <v>32464.301890800001</v>
      </c>
      <c r="M77" s="9">
        <v>117200.06304147</v>
      </c>
      <c r="N77" s="9">
        <v>72782.958135020002</v>
      </c>
      <c r="O77" s="35">
        <f t="shared" si="16"/>
        <v>0.67698369147807247</v>
      </c>
      <c r="P77" s="35">
        <f t="shared" si="17"/>
        <v>2.4439931462614295</v>
      </c>
      <c r="Q77" s="35">
        <f t="shared" si="18"/>
        <v>1.517755590145716</v>
      </c>
      <c r="R77" s="33">
        <v>29571.360000000001</v>
      </c>
      <c r="S77" s="33">
        <v>31453.982727272727</v>
      </c>
      <c r="T77" s="35">
        <f t="shared" si="19"/>
        <v>0.61665667483520581</v>
      </c>
      <c r="U77" s="35">
        <f t="shared" si="20"/>
        <v>0.65591533155472037</v>
      </c>
      <c r="V77" s="35">
        <v>1288190</v>
      </c>
      <c r="W77" s="35">
        <f t="shared" si="21"/>
        <v>26.862848443763276</v>
      </c>
      <c r="X77" s="31">
        <f>+'[1]Agregados MesTrim'!B283</f>
        <v>1543219.9473684211</v>
      </c>
      <c r="Y77" s="35">
        <f t="shared" si="22"/>
        <v>32.181031960774611</v>
      </c>
      <c r="Z77" s="33">
        <v>2360315</v>
      </c>
      <c r="AA77" s="35">
        <f t="shared" si="23"/>
        <v>49.220056144311883</v>
      </c>
      <c r="AB77" s="36">
        <v>0.48707236842105261</v>
      </c>
      <c r="AC77" s="5">
        <v>60773</v>
      </c>
      <c r="AD77" s="5">
        <v>132308</v>
      </c>
      <c r="AE77" s="10">
        <v>141.08128880235384</v>
      </c>
      <c r="AF77" s="10">
        <v>142.87528177921013</v>
      </c>
      <c r="AG77" s="10">
        <v>102.12737110999139</v>
      </c>
      <c r="AH77" s="10">
        <v>144.80281226591575</v>
      </c>
      <c r="AI77" s="10">
        <v>351.9225984996196</v>
      </c>
      <c r="AJ77">
        <v>159.99784519756219</v>
      </c>
      <c r="AK77">
        <v>82.61560666105855</v>
      </c>
      <c r="AL77">
        <v>96.090533777981904</v>
      </c>
      <c r="AM77">
        <v>135.37625544366432</v>
      </c>
      <c r="AN77">
        <v>89.587727609522474</v>
      </c>
      <c r="AO77">
        <v>172.65477457982985</v>
      </c>
      <c r="AP77">
        <v>182.53832345799532</v>
      </c>
      <c r="AQ77">
        <v>188.1243277479546</v>
      </c>
      <c r="AR77">
        <v>145.2795236912028</v>
      </c>
      <c r="AS77">
        <v>112.07268407112504</v>
      </c>
      <c r="AT77">
        <v>34.411144</v>
      </c>
      <c r="AU77" s="38">
        <v>119.07097746079026</v>
      </c>
      <c r="AV77" s="34">
        <f>+VLOOKUP(A77,'[2]Salario Real'!$A$5:$C$292,2)</f>
        <v>100.88888330138941</v>
      </c>
      <c r="AW77" s="31">
        <v>3824100</v>
      </c>
      <c r="AX77" s="17">
        <v>479.54333759384991</v>
      </c>
      <c r="AY77" s="17">
        <v>963</v>
      </c>
      <c r="AZ77" s="16">
        <v>1.5293285521423048</v>
      </c>
      <c r="BA77">
        <v>166.08</v>
      </c>
      <c r="BB77">
        <v>149.91622140468112</v>
      </c>
    </row>
    <row r="78" spans="1:54" x14ac:dyDescent="0.25">
      <c r="A78" s="2">
        <v>43616</v>
      </c>
      <c r="B78" s="1">
        <v>6.9240993173260712E-3</v>
      </c>
      <c r="C78" s="31">
        <v>30280</v>
      </c>
      <c r="D78" s="31">
        <v>21834</v>
      </c>
      <c r="E78" s="31">
        <v>27947</v>
      </c>
      <c r="F78" s="31">
        <v>7331</v>
      </c>
      <c r="G78" s="31">
        <v>973624</v>
      </c>
      <c r="H78" s="32">
        <v>188.757993369964</v>
      </c>
      <c r="I78" s="11">
        <v>284.89999999999998</v>
      </c>
      <c r="J78" s="11">
        <v>406.8</v>
      </c>
      <c r="K78" s="11">
        <v>219.8</v>
      </c>
      <c r="L78" s="9">
        <v>52645.410832630005</v>
      </c>
      <c r="M78" s="9">
        <v>126173.43882780001</v>
      </c>
      <c r="N78" s="9">
        <v>129056.42911063001</v>
      </c>
      <c r="O78" s="35">
        <f t="shared" si="16"/>
        <v>1.0652374829321822</v>
      </c>
      <c r="P78" s="35">
        <f t="shared" si="17"/>
        <v>2.5530179034431311</v>
      </c>
      <c r="Q78" s="35">
        <f t="shared" si="18"/>
        <v>2.6113528896010565</v>
      </c>
      <c r="R78" s="33">
        <v>33949.53</v>
      </c>
      <c r="S78" s="33">
        <v>33448.713043478267</v>
      </c>
      <c r="T78" s="35">
        <f t="shared" si="19"/>
        <v>0.6869413935984654</v>
      </c>
      <c r="U78" s="35">
        <f t="shared" si="20"/>
        <v>0.67680776588548153</v>
      </c>
      <c r="V78" s="35">
        <v>1468509</v>
      </c>
      <c r="W78" s="35">
        <f t="shared" si="21"/>
        <v>29.714096748081314</v>
      </c>
      <c r="X78" s="31">
        <f>+'[1]Agregados MesTrim'!B284</f>
        <v>1599847.8636363635</v>
      </c>
      <c r="Y78" s="35">
        <f t="shared" si="22"/>
        <v>32.371632861836126</v>
      </c>
      <c r="Z78" s="33">
        <v>2387910</v>
      </c>
      <c r="AA78" s="35">
        <f t="shared" si="23"/>
        <v>48.317435416269738</v>
      </c>
      <c r="AB78" s="36">
        <v>0.52588068181818182</v>
      </c>
      <c r="AC78" s="5">
        <v>66790</v>
      </c>
      <c r="AD78" s="5">
        <v>152003</v>
      </c>
      <c r="AE78" s="10">
        <v>144.39073211681242</v>
      </c>
      <c r="AF78" s="10">
        <v>148.64265180030833</v>
      </c>
      <c r="AG78" s="10">
        <v>109.47339711876565</v>
      </c>
      <c r="AH78" s="10">
        <v>155.56018206543183</v>
      </c>
      <c r="AI78" s="10">
        <v>351.10830871051536</v>
      </c>
      <c r="AJ78">
        <v>164.69198422918183</v>
      </c>
      <c r="AK78">
        <v>92.160013401050861</v>
      </c>
      <c r="AL78">
        <v>100.29624155178828</v>
      </c>
      <c r="AM78">
        <v>141.08333249401295</v>
      </c>
      <c r="AN78">
        <v>100.8077727848993</v>
      </c>
      <c r="AO78">
        <v>199.01826952469446</v>
      </c>
      <c r="AP78">
        <v>184.49513461438102</v>
      </c>
      <c r="AQ78">
        <v>184.72281053157224</v>
      </c>
      <c r="AR78">
        <v>154.94018268371224</v>
      </c>
      <c r="AS78">
        <v>112.05198919246615</v>
      </c>
      <c r="AT78">
        <v>36.472499999999997</v>
      </c>
      <c r="AU78" s="38">
        <v>119.9375528509875</v>
      </c>
      <c r="AV78" s="34">
        <f>+VLOOKUP(A78,'[2]Salario Real'!$A$5:$C$292,2)</f>
        <v>102.03515650894226</v>
      </c>
      <c r="AW78" s="31">
        <v>3975155</v>
      </c>
      <c r="AX78" s="17">
        <v>494.21290253247355</v>
      </c>
      <c r="AY78" s="17">
        <v>985</v>
      </c>
      <c r="AZ78" s="16">
        <v>1.6144017202427614</v>
      </c>
      <c r="BA78">
        <v>167.51</v>
      </c>
      <c r="BB78">
        <v>164.13569907640877</v>
      </c>
    </row>
    <row r="79" spans="1:54" x14ac:dyDescent="0.25">
      <c r="A79" s="2">
        <v>43644</v>
      </c>
      <c r="B79" s="1">
        <v>6.9240993173260712E-3</v>
      </c>
      <c r="C79" s="31">
        <v>23916</v>
      </c>
      <c r="D79" s="31">
        <v>17401</v>
      </c>
      <c r="E79" s="31">
        <v>36501</v>
      </c>
      <c r="F79" s="31">
        <v>6750</v>
      </c>
      <c r="G79" s="31">
        <v>863945</v>
      </c>
      <c r="H79" s="32">
        <v>180.29555252307301</v>
      </c>
      <c r="I79" s="11">
        <v>240.6</v>
      </c>
      <c r="J79" s="11">
        <v>411.7</v>
      </c>
      <c r="K79" s="11">
        <v>196.9</v>
      </c>
      <c r="L79" s="9">
        <v>41306.187002929997</v>
      </c>
      <c r="M79" s="9">
        <v>127408.14749958999</v>
      </c>
      <c r="N79" s="9">
        <v>136853.52735505998</v>
      </c>
      <c r="O79" s="35">
        <f t="shared" si="16"/>
        <v>0.8136815148199732</v>
      </c>
      <c r="P79" s="35">
        <f t="shared" si="17"/>
        <v>2.5097851430953746</v>
      </c>
      <c r="Q79" s="35">
        <f t="shared" si="18"/>
        <v>2.6958476084665723</v>
      </c>
      <c r="R79" s="33">
        <v>41796.36</v>
      </c>
      <c r="S79" s="33">
        <v>38822.012999999992</v>
      </c>
      <c r="T79" s="35">
        <f t="shared" si="19"/>
        <v>0.82333732514086944</v>
      </c>
      <c r="U79" s="35">
        <f t="shared" si="20"/>
        <v>0.76474631618648259</v>
      </c>
      <c r="V79" s="35">
        <v>1788909</v>
      </c>
      <c r="W79" s="35">
        <f t="shared" si="21"/>
        <v>35.239325888197627</v>
      </c>
      <c r="X79" s="31">
        <f>+'[1]Agregados MesTrim'!B285</f>
        <v>1655328.7222222222</v>
      </c>
      <c r="Y79" s="35">
        <f t="shared" si="22"/>
        <v>32.607957304973397</v>
      </c>
      <c r="Z79" s="33">
        <v>2527344</v>
      </c>
      <c r="AA79" s="35">
        <f t="shared" si="23"/>
        <v>49.785594933884816</v>
      </c>
      <c r="AB79" s="36">
        <v>0.5089583333333334</v>
      </c>
      <c r="AC79" s="5">
        <v>57300</v>
      </c>
      <c r="AD79" s="5">
        <v>121574</v>
      </c>
      <c r="AE79" s="10">
        <v>139.72616246953822</v>
      </c>
      <c r="AF79" s="10">
        <v>143.49229671209486</v>
      </c>
      <c r="AG79" s="10">
        <v>105.11621053022736</v>
      </c>
      <c r="AH79" s="10">
        <v>137.20587783602656</v>
      </c>
      <c r="AI79" s="10">
        <v>301.17654164106153</v>
      </c>
      <c r="AJ79">
        <v>165.41326614861177</v>
      </c>
      <c r="AK79">
        <v>66.345524687081308</v>
      </c>
      <c r="AL79">
        <v>94.344945361317102</v>
      </c>
      <c r="AM79">
        <v>141.61028104860873</v>
      </c>
      <c r="AN79">
        <v>92.13896293844202</v>
      </c>
      <c r="AO79">
        <v>151.17398348212112</v>
      </c>
      <c r="AP79">
        <v>173.72650820856228</v>
      </c>
      <c r="AQ79">
        <v>182.86361256162886</v>
      </c>
      <c r="AR79">
        <v>152.41717583569402</v>
      </c>
      <c r="AS79">
        <v>87.526287739365074</v>
      </c>
      <c r="AT79">
        <v>40.574233999999997</v>
      </c>
      <c r="AU79" s="38">
        <v>124.8608403162272</v>
      </c>
      <c r="AV79" s="34">
        <f>+VLOOKUP(A79,'[2]Salario Real'!$A$5:$C$292,2)</f>
        <v>101.95766967096094</v>
      </c>
      <c r="AW79" s="31">
        <v>4300756</v>
      </c>
      <c r="AX79" s="17">
        <v>507.64563592266171</v>
      </c>
      <c r="AY79" s="17">
        <v>835</v>
      </c>
      <c r="AZ79" s="16">
        <v>1.8565122668361567</v>
      </c>
      <c r="BA79">
        <v>167.48</v>
      </c>
      <c r="BB79">
        <v>150.8589717394847</v>
      </c>
    </row>
    <row r="80" spans="1:54" x14ac:dyDescent="0.25">
      <c r="A80" s="2">
        <v>43677</v>
      </c>
      <c r="B80" s="1">
        <v>-7.5368568638989331E-4</v>
      </c>
      <c r="C80" s="31">
        <v>21646</v>
      </c>
      <c r="D80" s="31">
        <v>19913</v>
      </c>
      <c r="E80" s="31">
        <v>39255</v>
      </c>
      <c r="F80" s="31">
        <v>7733</v>
      </c>
      <c r="G80" s="31">
        <v>1003628</v>
      </c>
      <c r="H80" s="32">
        <v>181.59729927133</v>
      </c>
      <c r="I80" s="11">
        <v>171.5</v>
      </c>
      <c r="J80" s="11">
        <v>418.2</v>
      </c>
      <c r="K80" s="11">
        <v>187.1</v>
      </c>
      <c r="L80" s="9">
        <v>44261.925692470002</v>
      </c>
      <c r="M80" s="9">
        <v>131014.45526111999</v>
      </c>
      <c r="N80" s="9">
        <v>99001.155431850013</v>
      </c>
      <c r="O80" s="35">
        <f t="shared" si="16"/>
        <v>0.85315476810945368</v>
      </c>
      <c r="P80" s="35">
        <f t="shared" si="17"/>
        <v>2.5253218301865004</v>
      </c>
      <c r="Q80" s="35">
        <f t="shared" si="18"/>
        <v>1.9082610275900667</v>
      </c>
      <c r="R80" s="33">
        <v>42057.77</v>
      </c>
      <c r="S80" s="33">
        <v>41390.117826086956</v>
      </c>
      <c r="T80" s="35">
        <f t="shared" si="19"/>
        <v>0.81066936086007368</v>
      </c>
      <c r="U80" s="35">
        <f t="shared" si="20"/>
        <v>0.79780027243472629</v>
      </c>
      <c r="V80" s="35">
        <v>1815854</v>
      </c>
      <c r="W80" s="35">
        <f t="shared" si="21"/>
        <v>35.000838170811448</v>
      </c>
      <c r="X80" s="31">
        <f>+'[1]Agregados MesTrim'!B286</f>
        <v>1737591.2380952381</v>
      </c>
      <c r="Y80" s="35">
        <f t="shared" si="22"/>
        <v>33.49231256014599</v>
      </c>
      <c r="Z80" s="33">
        <v>2563310</v>
      </c>
      <c r="AA80" s="35">
        <f t="shared" si="23"/>
        <v>49.408156433073742</v>
      </c>
      <c r="AB80" s="36">
        <v>0.48625000000000002</v>
      </c>
      <c r="AC80" s="5">
        <v>68384</v>
      </c>
      <c r="AD80" s="5">
        <v>166401</v>
      </c>
      <c r="AE80" s="10">
        <v>142.24989257206232</v>
      </c>
      <c r="AF80" s="10">
        <v>168.42828196148619</v>
      </c>
      <c r="AG80" s="10">
        <v>112.74036115581499</v>
      </c>
      <c r="AH80" s="10">
        <v>146.25333801371175</v>
      </c>
      <c r="AI80" s="10">
        <v>301.59932663364572</v>
      </c>
      <c r="AJ80">
        <v>192.08545088155921</v>
      </c>
      <c r="AK80">
        <v>85.171278993641948</v>
      </c>
      <c r="AL80">
        <v>89.310550204296504</v>
      </c>
      <c r="AM80">
        <v>142.22094048657979</v>
      </c>
      <c r="AN80">
        <v>96.924405183828682</v>
      </c>
      <c r="AO80">
        <v>183.86243194310086</v>
      </c>
      <c r="AP80">
        <v>187.58030221001931</v>
      </c>
      <c r="AQ80">
        <v>184.70747307275576</v>
      </c>
      <c r="AR80">
        <v>167.3210450639699</v>
      </c>
      <c r="AS80">
        <v>78.747312030771241</v>
      </c>
      <c r="AT80">
        <v>44.176544</v>
      </c>
      <c r="AU80" s="38">
        <v>124.89652000527127</v>
      </c>
      <c r="AV80" s="34">
        <f>+VLOOKUP(A80,'[2]Salario Real'!$A$5:$C$292,2)</f>
        <v>104.04488698405157</v>
      </c>
      <c r="AW80" s="31">
        <v>4443797</v>
      </c>
      <c r="AX80" s="17">
        <v>518.80300441328029</v>
      </c>
      <c r="AY80" s="17">
        <v>792</v>
      </c>
      <c r="AZ80" s="16">
        <v>1.97</v>
      </c>
      <c r="BA80">
        <v>164.56</v>
      </c>
      <c r="BB80">
        <v>146.77702963482406</v>
      </c>
    </row>
    <row r="81" spans="1:54" x14ac:dyDescent="0.25">
      <c r="A81" s="2">
        <v>43707</v>
      </c>
      <c r="B81" s="1">
        <v>-7.5368568638989331E-4</v>
      </c>
      <c r="C81" s="31">
        <v>30815</v>
      </c>
      <c r="D81" s="31">
        <v>18856</v>
      </c>
      <c r="E81" s="31">
        <v>38021</v>
      </c>
      <c r="F81" s="31">
        <v>9222</v>
      </c>
      <c r="G81" s="31">
        <v>1052690</v>
      </c>
      <c r="H81" s="32">
        <v>185.546769808709</v>
      </c>
      <c r="I81" s="11">
        <v>178.9</v>
      </c>
      <c r="J81" s="11">
        <v>435.5</v>
      </c>
      <c r="K81" s="11">
        <v>224.5</v>
      </c>
      <c r="L81" s="9">
        <v>56051.396065290006</v>
      </c>
      <c r="M81" s="9">
        <v>141394.87150938998</v>
      </c>
      <c r="N81" s="9">
        <v>102676.97577113</v>
      </c>
      <c r="O81" s="35">
        <f t="shared" si="16"/>
        <v>1.0393044956996254</v>
      </c>
      <c r="P81" s="35">
        <f t="shared" si="17"/>
        <v>2.6217424710957471</v>
      </c>
      <c r="Q81" s="35">
        <f t="shared" si="18"/>
        <v>1.9038355868866401</v>
      </c>
      <c r="R81" s="33">
        <v>24608.560000000001</v>
      </c>
      <c r="S81" s="33">
        <v>32059.386818181818</v>
      </c>
      <c r="T81" s="35">
        <f t="shared" si="19"/>
        <v>0.45629170432976701</v>
      </c>
      <c r="U81" s="35">
        <f t="shared" si="20"/>
        <v>0.59444487003853319</v>
      </c>
      <c r="V81" s="35">
        <v>1061574</v>
      </c>
      <c r="W81" s="35">
        <f t="shared" si="21"/>
        <v>19.683695825036818</v>
      </c>
      <c r="X81" s="31">
        <f>+'[1]Agregados MesTrim'!B287</f>
        <v>1783244.142857143</v>
      </c>
      <c r="Y81" s="35">
        <f t="shared" si="22"/>
        <v>33.064897303229458</v>
      </c>
      <c r="Z81" s="33">
        <v>2660651</v>
      </c>
      <c r="AA81" s="35">
        <f t="shared" si="23"/>
        <v>49.333767575863796</v>
      </c>
      <c r="AB81" s="36">
        <v>0.55443452380952385</v>
      </c>
      <c r="AC81" s="5">
        <v>65234</v>
      </c>
      <c r="AD81" s="5">
        <v>161578</v>
      </c>
      <c r="AE81" s="10">
        <v>142.53537022962428</v>
      </c>
      <c r="AF81" s="10">
        <v>169.22116121299877</v>
      </c>
      <c r="AG81" s="10">
        <v>111.73143898493225</v>
      </c>
      <c r="AH81" s="10">
        <v>147.95940313913724</v>
      </c>
      <c r="AI81" s="10">
        <v>352.80670542259838</v>
      </c>
      <c r="AJ81">
        <v>191.1807385138647</v>
      </c>
      <c r="AK81">
        <v>91.938515995062204</v>
      </c>
      <c r="AL81">
        <v>86.250288573784417</v>
      </c>
      <c r="AM81">
        <v>145.3871330151826</v>
      </c>
      <c r="AN81">
        <v>102.95555092266517</v>
      </c>
      <c r="AO81">
        <v>169.28280916190562</v>
      </c>
      <c r="AP81">
        <v>203.21990233250193</v>
      </c>
      <c r="AQ81">
        <v>189.91295637484825</v>
      </c>
      <c r="AR81">
        <v>159.60792945603919</v>
      </c>
      <c r="AS81">
        <v>109.54876868245834</v>
      </c>
      <c r="AT81">
        <v>41.862834999999997</v>
      </c>
      <c r="AU81" s="38">
        <v>117.94925151127011</v>
      </c>
      <c r="AV81" s="34">
        <f>+VLOOKUP(A81,'[2]Salario Real'!$A$5:$C$292,2)</f>
        <v>102.86987462055659</v>
      </c>
      <c r="AW81" s="31">
        <v>4152116</v>
      </c>
      <c r="AX81" s="17">
        <v>539.31640147056294</v>
      </c>
      <c r="AY81" s="17">
        <v>2532</v>
      </c>
      <c r="AZ81" s="16">
        <v>2.2000000000000002</v>
      </c>
      <c r="BA81">
        <v>165.34</v>
      </c>
      <c r="BB81">
        <v>141.27693467862889</v>
      </c>
    </row>
    <row r="82" spans="1:54" x14ac:dyDescent="0.25">
      <c r="A82" s="2">
        <v>43738</v>
      </c>
      <c r="B82" s="1">
        <v>-7.5368568638989331E-4</v>
      </c>
      <c r="C82" s="31">
        <v>27687</v>
      </c>
      <c r="D82" s="31">
        <v>21568</v>
      </c>
      <c r="E82" s="31">
        <v>26876</v>
      </c>
      <c r="F82" s="31">
        <v>8164</v>
      </c>
      <c r="G82" s="31">
        <v>948228</v>
      </c>
      <c r="H82" s="32">
        <v>176.92966687516</v>
      </c>
      <c r="I82" s="11">
        <v>288.39999999999998</v>
      </c>
      <c r="J82" s="11">
        <v>406.1</v>
      </c>
      <c r="K82" s="11">
        <v>199.3</v>
      </c>
      <c r="L82" s="9">
        <v>49417.915336530001</v>
      </c>
      <c r="M82" s="9">
        <v>139170.06907955001</v>
      </c>
      <c r="N82" s="9">
        <v>83699.15026645</v>
      </c>
      <c r="O82" s="35">
        <f t="shared" si="16"/>
        <v>0.86537358729337521</v>
      </c>
      <c r="P82" s="35">
        <f t="shared" si="17"/>
        <v>2.4370534674134965</v>
      </c>
      <c r="Q82" s="35">
        <f t="shared" si="18"/>
        <v>1.4656837186724403</v>
      </c>
      <c r="R82" s="33">
        <v>29066.959999999999</v>
      </c>
      <c r="S82" s="33">
        <v>28312.536190476192</v>
      </c>
      <c r="T82" s="35">
        <f t="shared" si="19"/>
        <v>0.5090012250743251</v>
      </c>
      <c r="U82" s="35">
        <f t="shared" si="20"/>
        <v>0.49579025828340995</v>
      </c>
      <c r="V82" s="35">
        <v>1240102</v>
      </c>
      <c r="W82" s="35">
        <f t="shared" si="21"/>
        <v>21.715839469181528</v>
      </c>
      <c r="X82" s="31">
        <f>+'[1]Agregados MesTrim'!B288</f>
        <v>1862980.5238095238</v>
      </c>
      <c r="Y82" s="35">
        <f t="shared" si="22"/>
        <v>32.623272915662852</v>
      </c>
      <c r="Z82" s="33">
        <v>2763377</v>
      </c>
      <c r="AA82" s="35">
        <f t="shared" si="23"/>
        <v>48.390415727761457</v>
      </c>
      <c r="AB82" s="36">
        <v>0.59952380952380946</v>
      </c>
      <c r="AC82" s="5">
        <v>61674</v>
      </c>
      <c r="AD82" s="5">
        <v>152563</v>
      </c>
      <c r="AE82" s="10">
        <v>139.17265141764557</v>
      </c>
      <c r="AF82" s="10">
        <v>159.53930507284309</v>
      </c>
      <c r="AG82" s="10">
        <v>101.13494425436002</v>
      </c>
      <c r="AH82" s="10">
        <v>145.95569385560381</v>
      </c>
      <c r="AI82" s="10">
        <v>324.5629225069527</v>
      </c>
      <c r="AJ82">
        <v>182.09748487566472</v>
      </c>
      <c r="AK82">
        <v>80.149989760515339</v>
      </c>
      <c r="AL82">
        <v>84.794599600370447</v>
      </c>
      <c r="AM82">
        <v>144.98800663236909</v>
      </c>
      <c r="AN82">
        <v>96.374799690097177</v>
      </c>
      <c r="AO82">
        <v>174.5884343561886</v>
      </c>
      <c r="AP82">
        <v>183.37918239028656</v>
      </c>
      <c r="AQ82">
        <v>179.65764463092361</v>
      </c>
      <c r="AR82">
        <v>147.44584994581857</v>
      </c>
      <c r="AS82">
        <v>95.445689950414604</v>
      </c>
      <c r="AT82">
        <v>42.093285000000002</v>
      </c>
      <c r="AU82" s="38">
        <v>115.25968122027703</v>
      </c>
      <c r="AV82" s="34">
        <f>+VLOOKUP(A82,'[2]Salario Real'!$A$5:$C$292,2)</f>
        <v>99.706938652140082</v>
      </c>
      <c r="AW82" s="31">
        <v>3148516</v>
      </c>
      <c r="AX82" s="17">
        <v>571.05874343928349</v>
      </c>
      <c r="AY82" s="17">
        <v>2172</v>
      </c>
      <c r="AZ82" s="16">
        <v>1.91</v>
      </c>
      <c r="BA82">
        <v>162.06</v>
      </c>
      <c r="BB82">
        <v>134.87706648739453</v>
      </c>
    </row>
    <row r="83" spans="1:54" x14ac:dyDescent="0.25">
      <c r="A83" s="2">
        <v>43769</v>
      </c>
      <c r="B83" s="1">
        <v>-1.2792000571229312E-2</v>
      </c>
      <c r="C83" s="31">
        <v>31834</v>
      </c>
      <c r="D83" s="31">
        <v>19339</v>
      </c>
      <c r="E83" s="31">
        <v>27204</v>
      </c>
      <c r="F83" s="31">
        <v>8946</v>
      </c>
      <c r="G83" s="31">
        <v>958950</v>
      </c>
      <c r="H83" s="32">
        <v>167.63972150245399</v>
      </c>
      <c r="I83" s="11">
        <v>273.2</v>
      </c>
      <c r="J83" s="11">
        <v>381.8</v>
      </c>
      <c r="K83" s="11">
        <v>216.9</v>
      </c>
      <c r="L83" s="9">
        <v>58037.317008459999</v>
      </c>
      <c r="M83" s="9">
        <v>146250.95929567004</v>
      </c>
      <c r="N83" s="9">
        <v>79940.66514985</v>
      </c>
      <c r="O83" s="35">
        <f t="shared" si="16"/>
        <v>0.98390603394429821</v>
      </c>
      <c r="P83" s="35">
        <f t="shared" si="17"/>
        <v>2.4793909976950874</v>
      </c>
      <c r="Q83" s="35">
        <f t="shared" si="18"/>
        <v>1.3552332680539456</v>
      </c>
      <c r="R83" s="33">
        <v>34995.199999999997</v>
      </c>
      <c r="S83" s="33">
        <v>32050.665217391306</v>
      </c>
      <c r="T83" s="35">
        <f t="shared" si="19"/>
        <v>0.59327326302951622</v>
      </c>
      <c r="U83" s="35">
        <f t="shared" si="20"/>
        <v>0.54335459536703201</v>
      </c>
      <c r="V83" s="35">
        <v>1495830</v>
      </c>
      <c r="W83" s="35">
        <f t="shared" si="21"/>
        <v>25.35879049233727</v>
      </c>
      <c r="X83" s="31">
        <f>+'[1]Agregados MesTrim'!B289</f>
        <v>1933929.7727272727</v>
      </c>
      <c r="Y83" s="35">
        <f t="shared" si="22"/>
        <v>32.785891400416055</v>
      </c>
      <c r="Z83" s="33">
        <v>2765670</v>
      </c>
      <c r="AA83" s="35">
        <f t="shared" si="23"/>
        <v>46.886374856061465</v>
      </c>
      <c r="AB83" s="36">
        <v>0.55122159090909095</v>
      </c>
      <c r="AC83" s="5">
        <v>66803</v>
      </c>
      <c r="AD83" s="5">
        <v>153008</v>
      </c>
      <c r="AE83" s="10">
        <v>143.5295997222274</v>
      </c>
      <c r="AF83" s="10">
        <v>163.42592120218222</v>
      </c>
      <c r="AG83" s="10">
        <v>102.58711508772342</v>
      </c>
      <c r="AH83" s="10">
        <v>158.99740185945913</v>
      </c>
      <c r="AI83" s="10">
        <v>338.1445662735465</v>
      </c>
      <c r="AJ83">
        <v>184.79281542947416</v>
      </c>
      <c r="AK83">
        <v>88.22911375216519</v>
      </c>
      <c r="AL83">
        <v>80.982856899479401</v>
      </c>
      <c r="AM83">
        <v>151.32149988972432</v>
      </c>
      <c r="AN83">
        <v>104.43706071277643</v>
      </c>
      <c r="AO83">
        <v>207.16752093074885</v>
      </c>
      <c r="AP83">
        <v>189.64067177162087</v>
      </c>
      <c r="AQ83">
        <v>179.57645433041012</v>
      </c>
      <c r="AR83">
        <v>143.93135617526514</v>
      </c>
      <c r="AS83">
        <v>110.73342058741656</v>
      </c>
      <c r="AT83">
        <v>43.772410999999998</v>
      </c>
      <c r="AU83" s="38">
        <v>115.80486762017406</v>
      </c>
      <c r="AV83" s="34">
        <f>+VLOOKUP(A83,'[2]Salario Real'!$A$5:$C$292,2)</f>
        <v>100.17656374682599</v>
      </c>
      <c r="AW83" s="31">
        <v>3928342</v>
      </c>
      <c r="AX83" s="17">
        <v>589.86646088345526</v>
      </c>
      <c r="AY83" s="17">
        <v>2146</v>
      </c>
      <c r="AZ83" s="16">
        <v>2.0099999999999998</v>
      </c>
      <c r="BA83">
        <v>162.77000000000001</v>
      </c>
      <c r="BB83">
        <v>141.63933664077578</v>
      </c>
    </row>
    <row r="84" spans="1:54" x14ac:dyDescent="0.25">
      <c r="A84" s="2">
        <v>43798</v>
      </c>
      <c r="B84" s="1">
        <v>-1.2792000571229312E-2</v>
      </c>
      <c r="C84" s="31">
        <v>27099</v>
      </c>
      <c r="D84" s="31">
        <v>17921</v>
      </c>
      <c r="E84" s="31">
        <v>22900</v>
      </c>
      <c r="F84" s="31">
        <v>6136</v>
      </c>
      <c r="G84" s="31">
        <v>844581</v>
      </c>
      <c r="H84" s="32">
        <v>168.05004646059999</v>
      </c>
      <c r="I84" s="11">
        <v>268</v>
      </c>
      <c r="J84" s="11">
        <v>357.5</v>
      </c>
      <c r="K84" s="11">
        <v>174.5</v>
      </c>
      <c r="L84" s="9">
        <v>70093.084390780001</v>
      </c>
      <c r="M84" s="9">
        <v>142641.87797115001</v>
      </c>
      <c r="N84" s="9">
        <v>88620.53284058001</v>
      </c>
      <c r="O84" s="35">
        <f t="shared" si="16"/>
        <v>1.1398602751186724</v>
      </c>
      <c r="P84" s="35">
        <f t="shared" si="17"/>
        <v>2.3196555220935084</v>
      </c>
      <c r="Q84" s="35">
        <f t="shared" si="18"/>
        <v>1.4411553696460575</v>
      </c>
      <c r="R84" s="33">
        <v>34500.21</v>
      </c>
      <c r="S84" s="33">
        <v>33824.523809523802</v>
      </c>
      <c r="T84" s="35">
        <f t="shared" si="19"/>
        <v>0.56104563244793959</v>
      </c>
      <c r="U84" s="35">
        <f t="shared" si="20"/>
        <v>0.55005756060512889</v>
      </c>
      <c r="V84" s="35">
        <v>1487301</v>
      </c>
      <c r="W84" s="35">
        <f t="shared" si="21"/>
        <v>24.186627565033749</v>
      </c>
      <c r="X84" s="31">
        <f>+'[1]Agregados MesTrim'!B290</f>
        <v>1971488.3684210526</v>
      </c>
      <c r="Y84" s="35">
        <f t="shared" si="22"/>
        <v>32.060527704745738</v>
      </c>
      <c r="Z84" s="33">
        <v>2920541</v>
      </c>
      <c r="AA84" s="35">
        <f t="shared" si="23"/>
        <v>47.494110106435237</v>
      </c>
      <c r="AB84" s="36">
        <v>0.45986842105263159</v>
      </c>
      <c r="AC84" s="5">
        <v>62648</v>
      </c>
      <c r="AD84" s="5">
        <v>144994</v>
      </c>
      <c r="AE84" s="10">
        <v>140.07828303922886</v>
      </c>
      <c r="AF84" s="10">
        <v>146.13976262797749</v>
      </c>
      <c r="AG84" s="10">
        <v>100.10753495262445</v>
      </c>
      <c r="AH84" s="10">
        <v>145.24134469643434</v>
      </c>
      <c r="AI84" s="10">
        <v>265.7071349803964</v>
      </c>
      <c r="AJ84">
        <v>162.85254475261766</v>
      </c>
      <c r="AK84">
        <v>87.322236504999353</v>
      </c>
      <c r="AL84">
        <v>78.73182662864717</v>
      </c>
      <c r="AM84">
        <v>158.99461616199187</v>
      </c>
      <c r="AN84">
        <v>98.468019580222574</v>
      </c>
      <c r="AO84">
        <v>187.40597041343943</v>
      </c>
      <c r="AP84">
        <v>172.79555805980604</v>
      </c>
      <c r="AQ84">
        <v>167.10093848317351</v>
      </c>
      <c r="AR84">
        <v>135.10768638193269</v>
      </c>
      <c r="AS84">
        <v>94.613411871666585</v>
      </c>
      <c r="AT84">
        <v>41.354537999999998</v>
      </c>
      <c r="AU84" s="38">
        <v>113.02807728305454</v>
      </c>
      <c r="AV84" s="34">
        <f>+VLOOKUP(A84,'[2]Salario Real'!$A$5:$C$292,2)</f>
        <v>98.755805953701383</v>
      </c>
      <c r="AW84" s="31">
        <v>2928889</v>
      </c>
      <c r="AX84" s="17">
        <v>614.92698641052755</v>
      </c>
      <c r="AY84" s="17">
        <v>2262</v>
      </c>
      <c r="AZ84" s="16">
        <v>1.98</v>
      </c>
      <c r="BA84">
        <v>158.58000000000001</v>
      </c>
      <c r="BB84">
        <v>137.77182967934803</v>
      </c>
    </row>
    <row r="85" spans="1:54" x14ac:dyDescent="0.25">
      <c r="A85" s="2">
        <v>43830</v>
      </c>
      <c r="B85" s="1">
        <v>-1.2792000571229312E-2</v>
      </c>
      <c r="C85" s="31">
        <v>14524</v>
      </c>
      <c r="D85" s="31">
        <v>18965</v>
      </c>
      <c r="E85" s="31">
        <v>31151</v>
      </c>
      <c r="F85" s="31">
        <v>7042</v>
      </c>
      <c r="G85" s="31">
        <v>744076</v>
      </c>
      <c r="H85" s="32">
        <v>152.96565912032901</v>
      </c>
      <c r="I85" s="11">
        <v>197.5</v>
      </c>
      <c r="J85" s="11">
        <v>326.2</v>
      </c>
      <c r="K85" s="11">
        <v>131.1</v>
      </c>
      <c r="L85" s="9">
        <v>78788.118983509994</v>
      </c>
      <c r="M85" s="9">
        <v>134421.85784172997</v>
      </c>
      <c r="N85" s="9">
        <v>102458.69120537001</v>
      </c>
      <c r="O85" s="35">
        <f t="shared" si="16"/>
        <v>1.2351452384318879</v>
      </c>
      <c r="P85" s="35">
        <f t="shared" si="17"/>
        <v>2.1073039919779069</v>
      </c>
      <c r="Q85" s="35">
        <f t="shared" si="18"/>
        <v>1.6062239613153166</v>
      </c>
      <c r="R85" s="33">
        <v>41671.410000000003</v>
      </c>
      <c r="S85" s="33">
        <v>37599.278636363648</v>
      </c>
      <c r="T85" s="35">
        <f t="shared" si="19"/>
        <v>0.65327417768427065</v>
      </c>
      <c r="U85" s="35">
        <f t="shared" si="20"/>
        <v>0.5894362065668578</v>
      </c>
      <c r="V85" s="35">
        <v>1796571.66</v>
      </c>
      <c r="W85" s="35">
        <f t="shared" si="21"/>
        <v>28.164486726927766</v>
      </c>
      <c r="X85" s="31">
        <f>+'[1]Agregados MesTrim'!B291</f>
        <v>2185255.4736842103</v>
      </c>
      <c r="Y85" s="35">
        <f t="shared" si="22"/>
        <v>34.257803434083556</v>
      </c>
      <c r="Z85" s="33">
        <v>3277067</v>
      </c>
      <c r="AA85" s="35">
        <f t="shared" si="23"/>
        <v>51.373909585523016</v>
      </c>
      <c r="AB85" s="36">
        <v>0.41868749999999999</v>
      </c>
      <c r="AC85" s="5">
        <v>66360</v>
      </c>
      <c r="AD85" s="5">
        <v>140468</v>
      </c>
      <c r="AE85" s="10">
        <v>141.33621256301575</v>
      </c>
      <c r="AF85" s="10">
        <v>152.61798658660803</v>
      </c>
      <c r="AG85" s="10">
        <v>77.174147647259161</v>
      </c>
      <c r="AH85" s="10">
        <v>141.97823236787249</v>
      </c>
      <c r="AI85" s="10">
        <v>193.6658562038925</v>
      </c>
      <c r="AJ85">
        <v>170.54315835595904</v>
      </c>
      <c r="AK85">
        <v>89.533680757702328</v>
      </c>
      <c r="AL85">
        <v>69.572808976610631</v>
      </c>
      <c r="AM85">
        <v>153.79269448019423</v>
      </c>
      <c r="AN85">
        <v>101.40271348077192</v>
      </c>
      <c r="AO85">
        <v>168.35357492003763</v>
      </c>
      <c r="AP85">
        <v>156.88908676298809</v>
      </c>
      <c r="AQ85">
        <v>155.35260516785394</v>
      </c>
      <c r="AR85">
        <v>113.71043422992042</v>
      </c>
      <c r="AS85">
        <v>50.780282568168161</v>
      </c>
      <c r="AT85">
        <v>42.348258999999999</v>
      </c>
      <c r="AU85" s="38">
        <v>113.65243126351577</v>
      </c>
      <c r="AV85" s="34">
        <f>+VLOOKUP(A85,'[2]Salario Real'!$A$5:$C$292,2)</f>
        <v>96.64849504794212</v>
      </c>
      <c r="AW85" s="31">
        <v>2745010</v>
      </c>
      <c r="AX85" s="17">
        <v>637.88546101297027</v>
      </c>
      <c r="AY85" s="17">
        <v>1738</v>
      </c>
      <c r="AZ85" s="16">
        <v>1.97</v>
      </c>
      <c r="BA85">
        <v>159.25</v>
      </c>
      <c r="BB85">
        <v>135.76515449385673</v>
      </c>
    </row>
    <row r="86" spans="1:54" x14ac:dyDescent="0.25">
      <c r="A86" s="2">
        <v>43861</v>
      </c>
      <c r="B86" s="1">
        <v>-4.7474384348041854E-2</v>
      </c>
      <c r="C86" s="31">
        <v>20683</v>
      </c>
      <c r="D86" s="31">
        <v>8691</v>
      </c>
      <c r="E86" s="31">
        <v>25727</v>
      </c>
      <c r="F86" s="31">
        <v>6304</v>
      </c>
      <c r="G86" s="31">
        <v>758095</v>
      </c>
      <c r="H86" s="32">
        <v>152.14557212158701</v>
      </c>
      <c r="I86" s="11">
        <v>207.1</v>
      </c>
      <c r="J86" s="11">
        <v>298.2</v>
      </c>
      <c r="K86" s="11">
        <v>107.9</v>
      </c>
      <c r="L86" s="9">
        <v>40394.355173559998</v>
      </c>
      <c r="M86" s="9">
        <v>170695.56111151003</v>
      </c>
      <c r="N86" s="9">
        <v>96142.319890109997</v>
      </c>
      <c r="O86" s="35">
        <f t="shared" si="16"/>
        <v>0.61926914361701968</v>
      </c>
      <c r="P86" s="35">
        <f t="shared" si="17"/>
        <v>2.6168630120364273</v>
      </c>
      <c r="Q86" s="35">
        <f t="shared" si="18"/>
        <v>1.4739181216753863</v>
      </c>
      <c r="R86" s="33">
        <v>40105.040000000001</v>
      </c>
      <c r="S86" s="33">
        <v>41310.033043478252</v>
      </c>
      <c r="T86" s="35">
        <f t="shared" si="19"/>
        <v>0.614833772412402</v>
      </c>
      <c r="U86" s="35">
        <f t="shared" si="20"/>
        <v>0.63330702212496759</v>
      </c>
      <c r="V86" s="35">
        <v>1737156</v>
      </c>
      <c r="W86" s="35">
        <f t="shared" si="21"/>
        <v>26.631619785165121</v>
      </c>
      <c r="X86" s="31">
        <f>+'[1]Agregados MesTrim'!B292</f>
        <v>2271107.4545454546</v>
      </c>
      <c r="Y86" s="35">
        <f t="shared" si="22"/>
        <v>34.817408580869376</v>
      </c>
      <c r="Z86" s="33">
        <v>3378416</v>
      </c>
      <c r="AA86" s="35">
        <f t="shared" si="23"/>
        <v>51.793097676960734</v>
      </c>
      <c r="AB86" s="36">
        <v>0.36150568181818182</v>
      </c>
      <c r="AC86" s="5">
        <v>68162</v>
      </c>
      <c r="AD86" s="5">
        <v>153413</v>
      </c>
      <c r="AE86" s="10">
        <v>134.57825947689301</v>
      </c>
      <c r="AF86" s="10">
        <v>145.19440164485715</v>
      </c>
      <c r="AG86" s="10">
        <v>53.675573622271301</v>
      </c>
      <c r="AH86" s="10">
        <v>148.35225967428164</v>
      </c>
      <c r="AI86" s="10">
        <v>218.5538489240775</v>
      </c>
      <c r="AJ86">
        <v>160.98982632895428</v>
      </c>
      <c r="AK86">
        <v>89.605344296308843</v>
      </c>
      <c r="AL86">
        <v>68.021721933365356</v>
      </c>
      <c r="AM86">
        <v>149.9994628151897</v>
      </c>
      <c r="AN86">
        <v>104.14162431328356</v>
      </c>
      <c r="AO86">
        <v>199.55054957522029</v>
      </c>
      <c r="AP86">
        <v>156.85053643941018</v>
      </c>
      <c r="AQ86">
        <v>150.80288783393621</v>
      </c>
      <c r="AR86">
        <v>76.503138914379349</v>
      </c>
      <c r="AS86">
        <v>70.932616925995021</v>
      </c>
      <c r="AT86">
        <v>43.034500000000001</v>
      </c>
      <c r="AU86" s="38">
        <v>116.05502424351262</v>
      </c>
      <c r="AV86" s="34">
        <f>+VLOOKUP(A86,'[2]Salario Real'!$A$5:$C$292,2)</f>
        <v>102.58559408970083</v>
      </c>
      <c r="AW86" s="31">
        <v>2315940</v>
      </c>
      <c r="AX86" s="17">
        <v>652.29077841058154</v>
      </c>
      <c r="AY86" s="17">
        <v>2068</v>
      </c>
      <c r="AZ86" s="16">
        <v>2.3199999999999998</v>
      </c>
      <c r="BA86">
        <v>157.6</v>
      </c>
      <c r="BB86">
        <v>133.89108598194986</v>
      </c>
    </row>
    <row r="87" spans="1:54" x14ac:dyDescent="0.25">
      <c r="A87" s="2">
        <v>43889</v>
      </c>
      <c r="B87" s="1">
        <v>-4.7474384348041854E-2</v>
      </c>
      <c r="C87" s="31">
        <v>26133</v>
      </c>
      <c r="D87" s="31">
        <v>18115</v>
      </c>
      <c r="E87" s="31">
        <v>27191</v>
      </c>
      <c r="F87" s="31">
        <v>6678</v>
      </c>
      <c r="G87" s="31">
        <v>694976</v>
      </c>
      <c r="H87" s="32">
        <v>154.20742782973301</v>
      </c>
      <c r="I87" s="11">
        <v>247.9</v>
      </c>
      <c r="J87" s="11">
        <v>343.8</v>
      </c>
      <c r="K87" s="11">
        <v>134.19999999999999</v>
      </c>
      <c r="L87" s="9">
        <v>33035.653580029997</v>
      </c>
      <c r="M87" s="9">
        <v>141997.32863856998</v>
      </c>
      <c r="N87" s="9">
        <v>93116.370157689991</v>
      </c>
      <c r="O87" s="35">
        <f t="shared" si="16"/>
        <v>0.49635079419132194</v>
      </c>
      <c r="P87" s="35">
        <f t="shared" si="17"/>
        <v>2.1334673059232498</v>
      </c>
      <c r="Q87" s="35">
        <f t="shared" si="18"/>
        <v>1.399045554464873</v>
      </c>
      <c r="R87" s="33">
        <v>34973.18</v>
      </c>
      <c r="S87" s="33">
        <v>39046.402000000009</v>
      </c>
      <c r="T87" s="35">
        <f t="shared" si="19"/>
        <v>0.52546154797099365</v>
      </c>
      <c r="U87" s="35">
        <f t="shared" si="20"/>
        <v>0.58666048776856161</v>
      </c>
      <c r="V87" s="35">
        <v>1508224</v>
      </c>
      <c r="W87" s="35">
        <f t="shared" si="21"/>
        <v>22.660613582379519</v>
      </c>
      <c r="X87" s="31">
        <f>+'[1]Agregados MesTrim'!B293</f>
        <v>2276108.3333333335</v>
      </c>
      <c r="Y87" s="35">
        <f t="shared" si="22"/>
        <v>34.197845554307953</v>
      </c>
      <c r="Z87" s="33">
        <v>3498463</v>
      </c>
      <c r="AA87" s="35">
        <f t="shared" si="23"/>
        <v>52.563358078940666</v>
      </c>
      <c r="AB87" s="36">
        <v>0.33586805555555554</v>
      </c>
      <c r="AC87" s="5">
        <v>58244</v>
      </c>
      <c r="AD87" s="5">
        <v>124654</v>
      </c>
      <c r="AE87" s="10">
        <v>130.69654643105</v>
      </c>
      <c r="AF87" s="10">
        <v>135.0047671050209</v>
      </c>
      <c r="AG87" s="10">
        <v>76.531024004605825</v>
      </c>
      <c r="AH87" s="10">
        <v>139.22468064775143</v>
      </c>
      <c r="AI87" s="10">
        <v>259.83267516838629</v>
      </c>
      <c r="AJ87">
        <v>149.4961272298616</v>
      </c>
      <c r="AK87">
        <v>84.00512226170909</v>
      </c>
      <c r="AL87">
        <v>84.916983096038194</v>
      </c>
      <c r="AM87">
        <v>144.73793559990693</v>
      </c>
      <c r="AN87">
        <v>96.86556275531764</v>
      </c>
      <c r="AO87">
        <v>183.00734612296679</v>
      </c>
      <c r="AP87">
        <v>140.69588257361087</v>
      </c>
      <c r="AQ87">
        <v>158.20794977661376</v>
      </c>
      <c r="AR87">
        <v>103.021517881492</v>
      </c>
      <c r="AS87">
        <v>93.613460895982016</v>
      </c>
      <c r="AT87">
        <v>42.734993000000003</v>
      </c>
      <c r="AU87" s="38">
        <v>111.78762384505751</v>
      </c>
      <c r="AV87" s="34">
        <f>+VLOOKUP(A87,'[2]Salario Real'!$A$5:$C$292,2)</f>
        <v>105.18362890064161</v>
      </c>
      <c r="AW87" s="31">
        <v>2633037</v>
      </c>
      <c r="AX87" s="17">
        <v>665.57068038650436</v>
      </c>
      <c r="AY87" s="17">
        <v>2283</v>
      </c>
      <c r="AZ87" s="16">
        <v>2.27</v>
      </c>
      <c r="BA87">
        <v>159.32</v>
      </c>
      <c r="BB87">
        <v>128.97363870123158</v>
      </c>
    </row>
    <row r="88" spans="1:54" x14ac:dyDescent="0.25">
      <c r="A88" s="2">
        <v>43921</v>
      </c>
      <c r="B88" s="1">
        <v>-4.7474384348041854E-2</v>
      </c>
      <c r="C88" s="31">
        <v>19164</v>
      </c>
      <c r="D88" s="31">
        <v>13928</v>
      </c>
      <c r="E88" s="31">
        <v>18922</v>
      </c>
      <c r="F88" s="31">
        <v>5740</v>
      </c>
      <c r="G88" s="31">
        <v>508402</v>
      </c>
      <c r="H88" s="32">
        <v>94.194898359699906</v>
      </c>
      <c r="I88" s="11">
        <v>234.2</v>
      </c>
      <c r="J88" s="11">
        <v>286.2</v>
      </c>
      <c r="K88" s="11">
        <v>112.6</v>
      </c>
      <c r="L88" s="9">
        <v>42622.454909560001</v>
      </c>
      <c r="M88" s="9">
        <v>136170.37587969002</v>
      </c>
      <c r="N88" s="9">
        <v>79462.265813710008</v>
      </c>
      <c r="O88" s="35">
        <f t="shared" si="16"/>
        <v>0.61974236084000367</v>
      </c>
      <c r="P88" s="35">
        <f t="shared" si="17"/>
        <v>1.9799551762848226</v>
      </c>
      <c r="Q88" s="35">
        <f t="shared" si="18"/>
        <v>1.1554034679039311</v>
      </c>
      <c r="R88" s="33">
        <v>24384.240000000002</v>
      </c>
      <c r="S88" s="33">
        <v>28432.123181818173</v>
      </c>
      <c r="T88" s="35">
        <f t="shared" si="19"/>
        <v>0.35455363838040499</v>
      </c>
      <c r="U88" s="35">
        <f t="shared" si="20"/>
        <v>0.41341098680924593</v>
      </c>
      <c r="V88" s="35">
        <v>1027211</v>
      </c>
      <c r="W88" s="35">
        <f t="shared" si="21"/>
        <v>14.935933924304145</v>
      </c>
      <c r="X88" s="31">
        <f>+'[1]Agregados MesTrim'!B294</f>
        <v>2393638.2999999998</v>
      </c>
      <c r="Y88" s="35">
        <f t="shared" si="22"/>
        <v>34.804167291319601</v>
      </c>
      <c r="Z88" s="33">
        <v>3964373</v>
      </c>
      <c r="AA88" s="35">
        <f t="shared" si="23"/>
        <v>57.643087135257893</v>
      </c>
      <c r="AB88" s="36">
        <v>0.294375</v>
      </c>
      <c r="AC88" s="5">
        <v>61162</v>
      </c>
      <c r="AD88" s="5">
        <v>95006</v>
      </c>
      <c r="AE88" s="10">
        <v>125.0898704288834</v>
      </c>
      <c r="AF88" s="10">
        <v>134.06468307505486</v>
      </c>
      <c r="AG88" s="10">
        <v>99.309060666064539</v>
      </c>
      <c r="AH88" s="10">
        <v>133.29212733925942</v>
      </c>
      <c r="AI88" s="10">
        <v>232.79231605707989</v>
      </c>
      <c r="AJ88">
        <v>151.427528334497</v>
      </c>
      <c r="AK88">
        <v>72.959380738179689</v>
      </c>
      <c r="AL88">
        <v>95.842631177617577</v>
      </c>
      <c r="AM88">
        <v>144.73861727209339</v>
      </c>
      <c r="AN88">
        <v>91.670745597971532</v>
      </c>
      <c r="AO88">
        <v>179.15779396690388</v>
      </c>
      <c r="AP88">
        <v>103.59905210852133</v>
      </c>
      <c r="AQ88">
        <v>142.16983157510302</v>
      </c>
      <c r="AR88">
        <v>140.90723677971027</v>
      </c>
      <c r="AS88">
        <v>69.570799188806106</v>
      </c>
      <c r="AT88">
        <v>41.230609999999999</v>
      </c>
      <c r="AU88" s="38">
        <v>100.35394800148104</v>
      </c>
      <c r="AV88" s="34">
        <f>+VLOOKUP(A88,'[2]Salario Real'!$A$5:$C$292,2)</f>
        <v>104.12337417597126</v>
      </c>
      <c r="AW88" s="31">
        <v>2749438</v>
      </c>
      <c r="AX88" s="17">
        <v>687.74474044003045</v>
      </c>
      <c r="AY88" s="17">
        <v>4185</v>
      </c>
      <c r="AZ88" s="16">
        <v>2.2200000000000002</v>
      </c>
      <c r="BA88">
        <v>149.66</v>
      </c>
      <c r="BB88">
        <v>128.21106089324613</v>
      </c>
    </row>
    <row r="89" spans="1:54" x14ac:dyDescent="0.25">
      <c r="A89" s="2">
        <v>43951</v>
      </c>
      <c r="B89" s="1">
        <v>-0.13890148620209986</v>
      </c>
      <c r="C89" s="31">
        <v>0</v>
      </c>
      <c r="D89" s="31">
        <v>2386</v>
      </c>
      <c r="E89" s="31">
        <v>7512</v>
      </c>
      <c r="F89" s="31">
        <v>1940</v>
      </c>
      <c r="G89" s="31">
        <v>407646</v>
      </c>
      <c r="H89" s="32">
        <v>46.906009350308601</v>
      </c>
      <c r="I89" s="11">
        <v>148</v>
      </c>
      <c r="J89" s="11">
        <v>107.1</v>
      </c>
      <c r="K89" s="11">
        <v>19.399999999999999</v>
      </c>
      <c r="L89" s="9">
        <v>40221.470662220003</v>
      </c>
      <c r="M89" s="9">
        <v>126884.22370459999</v>
      </c>
      <c r="N89" s="9">
        <v>73483.324536929998</v>
      </c>
      <c r="O89" s="35">
        <f t="shared" si="16"/>
        <v>0.57620801028090984</v>
      </c>
      <c r="P89" s="35">
        <f t="shared" si="17"/>
        <v>1.8177283145824694</v>
      </c>
      <c r="Q89" s="35">
        <f t="shared" si="18"/>
        <v>1.052713377286383</v>
      </c>
      <c r="R89" s="33">
        <v>32742.84</v>
      </c>
      <c r="S89" s="33">
        <v>29415.54409090909</v>
      </c>
      <c r="T89" s="35">
        <f t="shared" si="19"/>
        <v>0.46907003589671448</v>
      </c>
      <c r="U89" s="35">
        <f t="shared" si="20"/>
        <v>0.42140358999537347</v>
      </c>
      <c r="V89" s="35">
        <v>1383543</v>
      </c>
      <c r="W89" s="35">
        <f t="shared" si="21"/>
        <v>19.820472649124145</v>
      </c>
      <c r="X89" s="31">
        <f>+'[1]Agregados MesTrim'!B295</f>
        <v>2693825.4210526315</v>
      </c>
      <c r="Y89" s="35">
        <f t="shared" si="22"/>
        <v>38.591422947815147</v>
      </c>
      <c r="Z89" s="33">
        <v>4305189</v>
      </c>
      <c r="AA89" s="35">
        <f t="shared" si="23"/>
        <v>61.675626145201214</v>
      </c>
      <c r="AB89" s="36">
        <v>0.1961513157894737</v>
      </c>
      <c r="AC89" s="5">
        <v>68494</v>
      </c>
      <c r="AD89" s="5">
        <v>18027</v>
      </c>
      <c r="AE89" s="10">
        <v>125.898563809598</v>
      </c>
      <c r="AF89" s="10">
        <v>128.86488939738658</v>
      </c>
      <c r="AG89" s="10">
        <v>74.419257151303981</v>
      </c>
      <c r="AH89" s="10">
        <v>98.011089597608887</v>
      </c>
      <c r="AI89" s="10">
        <v>61.187818099360975</v>
      </c>
      <c r="AJ89">
        <v>155.57156298959029</v>
      </c>
      <c r="AK89">
        <v>34.875722306446278</v>
      </c>
      <c r="AL89">
        <v>95.242105241747623</v>
      </c>
      <c r="AM89">
        <v>114.08451467741401</v>
      </c>
      <c r="AN89">
        <v>58.107639385828989</v>
      </c>
      <c r="AO89">
        <v>142.82376945290889</v>
      </c>
      <c r="AP89">
        <v>63.950643879233411</v>
      </c>
      <c r="AQ89">
        <v>63.88931158942556</v>
      </c>
      <c r="AR89">
        <v>111.2142618402907</v>
      </c>
      <c r="AS89">
        <v>0</v>
      </c>
      <c r="AT89">
        <v>39.276279000000002</v>
      </c>
      <c r="AU89" s="38">
        <v>91.714784514134834</v>
      </c>
      <c r="AV89" s="34">
        <f>+VLOOKUP(A89,'[2]Salario Real'!$A$5:$C$292,2)</f>
        <v>102.3521166907942</v>
      </c>
      <c r="AW89" s="31">
        <v>3667845</v>
      </c>
      <c r="AX89" s="17">
        <v>698.03733972062366</v>
      </c>
      <c r="AY89" s="17">
        <v>4037</v>
      </c>
      <c r="AZ89" s="16">
        <v>3.29</v>
      </c>
      <c r="BA89">
        <v>127.95</v>
      </c>
      <c r="BB89">
        <v>113.29503493324727</v>
      </c>
    </row>
    <row r="90" spans="1:54" x14ac:dyDescent="0.25">
      <c r="A90" s="2">
        <v>43980</v>
      </c>
      <c r="B90" s="1">
        <v>-0.13890148620209986</v>
      </c>
      <c r="C90" s="31">
        <v>4802</v>
      </c>
      <c r="D90" s="31">
        <v>3227</v>
      </c>
      <c r="E90" s="31">
        <v>20033</v>
      </c>
      <c r="F90" s="31">
        <v>3346</v>
      </c>
      <c r="G90" s="31">
        <v>653116</v>
      </c>
      <c r="H90" s="32">
        <v>105.116159242745</v>
      </c>
      <c r="I90" s="11">
        <v>92.4</v>
      </c>
      <c r="J90" s="11">
        <v>194.3</v>
      </c>
      <c r="K90" s="11">
        <v>107.4</v>
      </c>
      <c r="L90" s="9">
        <v>38483.151687270001</v>
      </c>
      <c r="M90" s="9">
        <v>130755.87703122001</v>
      </c>
      <c r="N90" s="9">
        <v>141320.04898662001</v>
      </c>
      <c r="O90" s="35">
        <f t="shared" si="16"/>
        <v>0.54292909519299104</v>
      </c>
      <c r="P90" s="35">
        <f t="shared" si="17"/>
        <v>1.8447337833613491</v>
      </c>
      <c r="Q90" s="35">
        <f t="shared" si="18"/>
        <v>1.9937755346144252</v>
      </c>
      <c r="R90" s="33">
        <v>37824.730000000003</v>
      </c>
      <c r="S90" s="33">
        <v>38102.032380952369</v>
      </c>
      <c r="T90" s="35">
        <f t="shared" si="19"/>
        <v>0.53363993161746204</v>
      </c>
      <c r="U90" s="35">
        <f t="shared" si="20"/>
        <v>0.53755217695559876</v>
      </c>
      <c r="V90" s="35">
        <v>1597626</v>
      </c>
      <c r="W90" s="35">
        <f t="shared" si="21"/>
        <v>22.539672573744202</v>
      </c>
      <c r="X90" s="31">
        <f>+'[1]Agregados MesTrim'!B296</f>
        <v>2915701.5789473685</v>
      </c>
      <c r="Y90" s="35">
        <f t="shared" si="22"/>
        <v>41.13538394606914</v>
      </c>
      <c r="Z90" s="33">
        <v>4563448</v>
      </c>
      <c r="AA90" s="35">
        <f t="shared" si="23"/>
        <v>64.382166869660253</v>
      </c>
      <c r="AB90" s="36">
        <v>0.234375</v>
      </c>
      <c r="AC90" s="5">
        <v>60910</v>
      </c>
      <c r="AD90" s="5">
        <v>77774</v>
      </c>
      <c r="AE90" s="10">
        <v>126.61647363691699</v>
      </c>
      <c r="AF90" s="10">
        <v>140.77311329423378</v>
      </c>
      <c r="AG90" s="10">
        <v>84.61868387614517</v>
      </c>
      <c r="AH90" s="10">
        <v>120.83683868977093</v>
      </c>
      <c r="AI90" s="10">
        <v>113.52795323159592</v>
      </c>
      <c r="AJ90">
        <v>158.62696735695022</v>
      </c>
      <c r="AK90">
        <v>77.939796860255157</v>
      </c>
      <c r="AL90">
        <v>96.187294232748201</v>
      </c>
      <c r="AM90">
        <v>128.14502272202174</v>
      </c>
      <c r="AN90">
        <v>74.117615438794189</v>
      </c>
      <c r="AO90">
        <v>170.2717676367046</v>
      </c>
      <c r="AP90">
        <v>109.4037507362932</v>
      </c>
      <c r="AQ90">
        <v>91.136625730611982</v>
      </c>
      <c r="AR90">
        <v>125.58991463024779</v>
      </c>
      <c r="AS90">
        <v>17.745360467748835</v>
      </c>
      <c r="AT90">
        <v>38.416435</v>
      </c>
      <c r="AU90" s="38">
        <v>105.38673725704012</v>
      </c>
      <c r="AV90" s="34">
        <f>+VLOOKUP(A90,'[2]Salario Real'!$A$5:$C$292,2)</f>
        <v>100.55517054228567</v>
      </c>
      <c r="AW90" s="31">
        <v>4034134</v>
      </c>
      <c r="AX90" s="17">
        <v>708.80621480767536</v>
      </c>
      <c r="AY90" s="17">
        <v>2627</v>
      </c>
      <c r="AZ90" s="16">
        <v>3</v>
      </c>
      <c r="BA90">
        <v>136.47999999999999</v>
      </c>
      <c r="BB90">
        <v>131.02956940282468</v>
      </c>
    </row>
    <row r="91" spans="1:54" x14ac:dyDescent="0.25">
      <c r="A91" s="2">
        <v>44012</v>
      </c>
      <c r="B91" s="1">
        <v>-0.13890148620209986</v>
      </c>
      <c r="C91" s="31">
        <v>15657</v>
      </c>
      <c r="D91" s="31">
        <v>6875</v>
      </c>
      <c r="E91" s="31">
        <v>23773</v>
      </c>
      <c r="F91" s="31">
        <v>7453</v>
      </c>
      <c r="G91" s="31">
        <v>804649</v>
      </c>
      <c r="H91" s="32">
        <v>146.154988233484</v>
      </c>
      <c r="I91" s="11">
        <v>113.9</v>
      </c>
      <c r="J91" s="11">
        <v>241.1</v>
      </c>
      <c r="K91" s="11">
        <v>131.19999999999999</v>
      </c>
      <c r="L91" s="9">
        <v>51030.863398480004</v>
      </c>
      <c r="M91" s="9">
        <v>141481.98325011</v>
      </c>
      <c r="N91" s="9">
        <v>150240.68588725998</v>
      </c>
      <c r="O91" s="35">
        <f t="shared" si="16"/>
        <v>0.70415703952245745</v>
      </c>
      <c r="P91" s="35">
        <f t="shared" si="17"/>
        <v>1.9522604133350958</v>
      </c>
      <c r="Q91" s="35">
        <f t="shared" si="18"/>
        <v>2.0731186882749779</v>
      </c>
      <c r="R91" s="33">
        <v>38686.69</v>
      </c>
      <c r="S91" s="33">
        <v>42349.858181818177</v>
      </c>
      <c r="T91" s="35">
        <f t="shared" si="19"/>
        <v>0.53382410731726859</v>
      </c>
      <c r="U91" s="35">
        <f t="shared" si="20"/>
        <v>0.58437088411859506</v>
      </c>
      <c r="V91" s="35">
        <v>1625543</v>
      </c>
      <c r="W91" s="35">
        <f t="shared" si="21"/>
        <v>22.430299435822363</v>
      </c>
      <c r="X91" s="31">
        <f>+'[1]Agregados MesTrim'!B297</f>
        <v>3100775.3333333335</v>
      </c>
      <c r="Y91" s="35">
        <f t="shared" si="22"/>
        <v>42.78651454306565</v>
      </c>
      <c r="Z91" s="33">
        <v>4906074</v>
      </c>
      <c r="AA91" s="35">
        <f t="shared" si="23"/>
        <v>67.697199566115913</v>
      </c>
      <c r="AB91" s="36">
        <v>0.29535714285714287</v>
      </c>
      <c r="AC91" s="5">
        <v>62433</v>
      </c>
      <c r="AD91" s="5">
        <v>128037</v>
      </c>
      <c r="AE91" s="10">
        <v>129.04626719579858</v>
      </c>
      <c r="AF91" s="10">
        <v>158.70451525559091</v>
      </c>
      <c r="AG91" s="10">
        <v>91.951600105343573</v>
      </c>
      <c r="AH91" s="10">
        <v>126.45476937682065</v>
      </c>
      <c r="AI91" s="10">
        <v>200.46150396923247</v>
      </c>
      <c r="AJ91">
        <v>174.36774207991698</v>
      </c>
      <c r="AK91">
        <v>103.58070366998604</v>
      </c>
      <c r="AL91">
        <v>91.838386354272444</v>
      </c>
      <c r="AM91">
        <v>135.58304996505143</v>
      </c>
      <c r="AN91">
        <v>84.05823676574164</v>
      </c>
      <c r="AO91">
        <v>155.52787997928411</v>
      </c>
      <c r="AP91">
        <v>160.46672401836452</v>
      </c>
      <c r="AQ91">
        <v>108.26047445519642</v>
      </c>
      <c r="AR91">
        <v>131.37943922199301</v>
      </c>
      <c r="AS91">
        <v>57.165609505526291</v>
      </c>
      <c r="AT91">
        <v>39.469208000000002</v>
      </c>
      <c r="AU91" s="38">
        <v>114.104825411959</v>
      </c>
      <c r="AV91" s="34">
        <f>+VLOOKUP(A91,'[2]Salario Real'!$A$5:$C$292,2)</f>
        <v>98.476532690527492</v>
      </c>
      <c r="AW91" s="31">
        <v>3656810</v>
      </c>
      <c r="AX91" s="17">
        <v>724.70855979921635</v>
      </c>
      <c r="AY91" s="17">
        <v>2533</v>
      </c>
      <c r="AZ91" s="16">
        <v>2.77</v>
      </c>
      <c r="BA91">
        <v>143.29</v>
      </c>
      <c r="BB91">
        <v>132.52196457356672</v>
      </c>
    </row>
    <row r="92" spans="1:54" x14ac:dyDescent="0.25">
      <c r="A92" s="2">
        <v>44043</v>
      </c>
      <c r="B92" s="1">
        <v>0.10653663395450219</v>
      </c>
      <c r="C92" s="31">
        <v>21316</v>
      </c>
      <c r="D92" s="31">
        <v>9612</v>
      </c>
      <c r="E92" s="31">
        <v>22475</v>
      </c>
      <c r="F92" s="31">
        <v>7932</v>
      </c>
      <c r="G92" s="31">
        <v>867641</v>
      </c>
      <c r="H92" s="32">
        <v>154.85675479871901</v>
      </c>
      <c r="I92" s="11">
        <v>235.3</v>
      </c>
      <c r="J92" s="11">
        <v>325.3</v>
      </c>
      <c r="K92" s="11">
        <v>130.30000000000001</v>
      </c>
      <c r="L92" s="9">
        <v>48646.836670710007</v>
      </c>
      <c r="M92" s="9">
        <v>144184.89577260002</v>
      </c>
      <c r="N92" s="9">
        <v>107618.79812469</v>
      </c>
      <c r="O92" s="35">
        <f t="shared" si="16"/>
        <v>0.65852356089907205</v>
      </c>
      <c r="P92" s="35">
        <f t="shared" si="17"/>
        <v>1.9518052455238568</v>
      </c>
      <c r="Q92" s="35">
        <f t="shared" si="18"/>
        <v>1.4568164964243064</v>
      </c>
      <c r="R92" s="33">
        <v>49253.62</v>
      </c>
      <c r="S92" s="33">
        <v>45230.673913043473</v>
      </c>
      <c r="T92" s="35">
        <f t="shared" si="19"/>
        <v>0.66673747872075895</v>
      </c>
      <c r="U92" s="35">
        <f t="shared" si="20"/>
        <v>0.61227957428557356</v>
      </c>
      <c r="V92" s="35">
        <v>2080780</v>
      </c>
      <c r="W92" s="35">
        <f t="shared" si="21"/>
        <v>28.167148140026679</v>
      </c>
      <c r="X92" s="31">
        <f>+'[1]Agregados MesTrim'!B298</f>
        <v>3218857.2857142859</v>
      </c>
      <c r="Y92" s="35">
        <f t="shared" si="22"/>
        <v>43.573097592402107</v>
      </c>
      <c r="Z92" s="33">
        <v>5078775</v>
      </c>
      <c r="AA92" s="35">
        <f t="shared" si="23"/>
        <v>68.750472320410609</v>
      </c>
      <c r="AB92" s="36">
        <v>0.29532738095238092</v>
      </c>
      <c r="AC92" s="5">
        <v>63416</v>
      </c>
      <c r="AD92" s="5">
        <v>147252</v>
      </c>
      <c r="AE92" s="10">
        <v>134.33824471914363</v>
      </c>
      <c r="AF92" s="10">
        <v>162.13508491063135</v>
      </c>
      <c r="AG92" s="10">
        <v>103.11896469014225</v>
      </c>
      <c r="AH92" s="10">
        <v>137.58376827557805</v>
      </c>
      <c r="AI92" s="10">
        <v>272.47324282046441</v>
      </c>
      <c r="AJ92">
        <v>187.54474550901452</v>
      </c>
      <c r="AK92">
        <v>72.710513652805147</v>
      </c>
      <c r="AL92">
        <v>88.149424474696275</v>
      </c>
      <c r="AM92">
        <v>140.7809657405522</v>
      </c>
      <c r="AN92">
        <v>88.164746302296095</v>
      </c>
      <c r="AO92">
        <v>177.53090228331465</v>
      </c>
      <c r="AP92">
        <v>172.70323648311773</v>
      </c>
      <c r="AQ92">
        <v>138.15043369621708</v>
      </c>
      <c r="AR92">
        <v>149.38693087288931</v>
      </c>
      <c r="AS92">
        <v>77.695937578733407</v>
      </c>
      <c r="AT92">
        <v>38.183365000000002</v>
      </c>
      <c r="AU92" s="38">
        <v>117.96581908959232</v>
      </c>
      <c r="AV92" s="34">
        <f>+VLOOKUP(A92,'[2]Salario Real'!$A$5:$C$292,2)</f>
        <v>97.873511058371449</v>
      </c>
      <c r="AW92" s="31">
        <v>3507676</v>
      </c>
      <c r="AX92" s="17">
        <v>738.72583395942945</v>
      </c>
      <c r="AY92" s="17">
        <v>2263</v>
      </c>
      <c r="AZ92" s="16">
        <v>2.5299999999999998</v>
      </c>
      <c r="BA92">
        <v>145.47999999999999</v>
      </c>
      <c r="BB92">
        <v>127.46368726205003</v>
      </c>
    </row>
    <row r="93" spans="1:54" x14ac:dyDescent="0.25">
      <c r="A93" s="2">
        <v>44074</v>
      </c>
      <c r="B93" s="1">
        <v>0.10653663395450219</v>
      </c>
      <c r="C93" s="31">
        <v>25835</v>
      </c>
      <c r="D93" s="31">
        <v>13606</v>
      </c>
      <c r="E93" s="31">
        <v>28346</v>
      </c>
      <c r="F93" s="31">
        <v>8749</v>
      </c>
      <c r="G93" s="31">
        <v>922743</v>
      </c>
      <c r="H93" s="32">
        <v>156.782492454172</v>
      </c>
      <c r="I93" s="11">
        <v>243.7</v>
      </c>
      <c r="J93" s="11">
        <v>336.3</v>
      </c>
      <c r="K93" s="11">
        <v>131.4</v>
      </c>
      <c r="L93" s="9">
        <v>53548.869202590002</v>
      </c>
      <c r="M93" s="9">
        <v>157976.70891207</v>
      </c>
      <c r="N93" s="9">
        <v>141115.24570727002</v>
      </c>
      <c r="O93" s="35">
        <f t="shared" si="16"/>
        <v>0.70582424724213977</v>
      </c>
      <c r="P93" s="35">
        <f t="shared" si="17"/>
        <v>2.0822809764255363</v>
      </c>
      <c r="Q93" s="35">
        <f t="shared" si="18"/>
        <v>1.8600310997959593</v>
      </c>
      <c r="R93" s="33">
        <v>46835.42</v>
      </c>
      <c r="S93" s="33">
        <v>48748.245714285724</v>
      </c>
      <c r="T93" s="35">
        <f t="shared" si="19"/>
        <v>0.61733469927634921</v>
      </c>
      <c r="U93" s="35">
        <f t="shared" si="20"/>
        <v>0.6425475336460772</v>
      </c>
      <c r="V93" s="35">
        <v>1989115</v>
      </c>
      <c r="W93" s="35">
        <f t="shared" si="21"/>
        <v>26.218398604113627</v>
      </c>
      <c r="X93" s="31">
        <f>+'[1]Agregados MesTrim'!B299</f>
        <v>3303351.25</v>
      </c>
      <c r="Y93" s="35">
        <f t="shared" si="22"/>
        <v>43.541263226056309</v>
      </c>
      <c r="Z93" s="33">
        <v>5082501</v>
      </c>
      <c r="AA93" s="35">
        <f t="shared" si="23"/>
        <v>66.992123192377562</v>
      </c>
      <c r="AB93" s="36">
        <v>0.29653124999999997</v>
      </c>
      <c r="AC93" s="5">
        <v>64722</v>
      </c>
      <c r="AD93" s="5">
        <v>154216</v>
      </c>
      <c r="AE93" s="10">
        <v>138.89236994621288</v>
      </c>
      <c r="AF93" s="10">
        <v>164.54940863910883</v>
      </c>
      <c r="AG93" s="10">
        <v>103.39521543003457</v>
      </c>
      <c r="AH93" s="10">
        <v>146.63132681090579</v>
      </c>
      <c r="AI93" s="10">
        <v>301.5377101006477</v>
      </c>
      <c r="AJ93">
        <v>186.12503111570908</v>
      </c>
      <c r="AK93">
        <v>88.618020963924465</v>
      </c>
      <c r="AL93">
        <v>85.993774655299944</v>
      </c>
      <c r="AM93">
        <v>136.17211637500097</v>
      </c>
      <c r="AN93">
        <v>89.64207324975348</v>
      </c>
      <c r="AO93">
        <v>192.29481095382948</v>
      </c>
      <c r="AP93">
        <v>181.17807975803592</v>
      </c>
      <c r="AQ93">
        <v>142.76337280181119</v>
      </c>
      <c r="AR93">
        <v>147.81932862880842</v>
      </c>
      <c r="AS93">
        <v>92.007737385872474</v>
      </c>
      <c r="AT93">
        <v>41.314079</v>
      </c>
      <c r="AU93" s="38">
        <v>120.14847772490242</v>
      </c>
      <c r="AV93" s="34">
        <f>+VLOOKUP(A93,'[2]Salario Real'!$A$5:$C$292,2)</f>
        <v>97.263588496761329</v>
      </c>
      <c r="AW93" s="31">
        <v>3431259</v>
      </c>
      <c r="AX93" s="17">
        <v>758.67143147633396</v>
      </c>
      <c r="AY93" s="17">
        <v>2142</v>
      </c>
      <c r="AZ93" s="16">
        <v>2.38</v>
      </c>
      <c r="BA93">
        <v>148.57</v>
      </c>
      <c r="BB93">
        <v>125.18389282920486</v>
      </c>
    </row>
    <row r="94" spans="1:54" x14ac:dyDescent="0.25">
      <c r="A94" s="2">
        <v>44104</v>
      </c>
      <c r="B94" s="1">
        <v>0.10653663395450219</v>
      </c>
      <c r="C94" s="31">
        <v>32149</v>
      </c>
      <c r="D94" s="31">
        <v>17903</v>
      </c>
      <c r="E94" s="31">
        <v>35065</v>
      </c>
      <c r="F94" s="31">
        <v>9869</v>
      </c>
      <c r="G94" s="31">
        <v>1043608</v>
      </c>
      <c r="H94" s="32">
        <v>162.79804405965299</v>
      </c>
      <c r="I94" s="11">
        <v>195.5</v>
      </c>
      <c r="J94" s="11">
        <v>357.6</v>
      </c>
      <c r="K94" s="11">
        <v>122.5</v>
      </c>
      <c r="L94" s="9">
        <v>66144.468342210006</v>
      </c>
      <c r="M94" s="9">
        <v>170865.86913049003</v>
      </c>
      <c r="N94" s="9">
        <v>120644.64689835001</v>
      </c>
      <c r="O94" s="35">
        <f t="shared" si="16"/>
        <v>0.84780539785573528</v>
      </c>
      <c r="P94" s="35">
        <f t="shared" si="17"/>
        <v>2.1900698544990531</v>
      </c>
      <c r="Q94" s="35">
        <f t="shared" si="18"/>
        <v>1.546360344657097</v>
      </c>
      <c r="R94" s="33">
        <v>41260.86</v>
      </c>
      <c r="S94" s="33">
        <v>43477.789090909093</v>
      </c>
      <c r="T94" s="35">
        <f t="shared" si="19"/>
        <v>0.52886024644099516</v>
      </c>
      <c r="U94" s="35">
        <f t="shared" si="20"/>
        <v>0.55727569065035953</v>
      </c>
      <c r="V94" s="35">
        <v>1745152</v>
      </c>
      <c r="W94" s="35">
        <f t="shared" si="21"/>
        <v>22.368450798092809</v>
      </c>
      <c r="X94" s="31">
        <f>+'[1]Agregados MesTrim'!B300</f>
        <v>3347615.6363636362</v>
      </c>
      <c r="Y94" s="35">
        <f t="shared" si="22"/>
        <v>42.907996353856944</v>
      </c>
      <c r="Z94" s="33">
        <v>5259550</v>
      </c>
      <c r="AA94" s="35">
        <f t="shared" si="23"/>
        <v>67.41417675658569</v>
      </c>
      <c r="AB94" s="36">
        <v>0.29744318181818186</v>
      </c>
      <c r="AC94" s="12">
        <v>61485</v>
      </c>
      <c r="AD94" s="5">
        <v>158941</v>
      </c>
      <c r="AE94" s="10">
        <v>142.34449716890649</v>
      </c>
      <c r="AF94" s="10">
        <v>163.42015050524782</v>
      </c>
      <c r="AG94" s="10">
        <v>101.0666780054749</v>
      </c>
      <c r="AH94" s="10">
        <v>154.65448323605861</v>
      </c>
      <c r="AI94" s="10">
        <v>324.91699821058796</v>
      </c>
      <c r="AJ94">
        <v>186.73396830900941</v>
      </c>
      <c r="AK94">
        <v>81.371507887128232</v>
      </c>
      <c r="AL94">
        <v>84.72693218243684</v>
      </c>
      <c r="AM94">
        <v>143.80176358950905</v>
      </c>
      <c r="AN94">
        <v>75.007325426116353</v>
      </c>
      <c r="AO94">
        <v>193.47798511279458</v>
      </c>
      <c r="AP94">
        <v>203.1023092390285</v>
      </c>
      <c r="AQ94">
        <v>147.53397264828951</v>
      </c>
      <c r="AR94">
        <v>139.06907145406532</v>
      </c>
      <c r="AS94">
        <v>111.24162647789669</v>
      </c>
      <c r="AT94">
        <v>40.309916999999999</v>
      </c>
      <c r="AU94" s="38">
        <v>122.05424671446946</v>
      </c>
      <c r="AV94" s="34">
        <f>+VLOOKUP(A94,'[2]Salario Real'!$A$5:$C$292,2)</f>
        <v>96.634022943110637</v>
      </c>
      <c r="AW94" s="31">
        <v>3140475</v>
      </c>
      <c r="AX94" s="17">
        <v>780.18456251283885</v>
      </c>
      <c r="AY94" s="17">
        <v>1332</v>
      </c>
      <c r="AZ94" s="16">
        <v>2.27</v>
      </c>
      <c r="BA94">
        <v>151.03</v>
      </c>
      <c r="BB94">
        <v>127.17507923173878</v>
      </c>
    </row>
    <row r="95" spans="1:54" x14ac:dyDescent="0.25">
      <c r="A95" s="2">
        <v>44134</v>
      </c>
      <c r="B95" s="1">
        <v>5.085259663257724E-2</v>
      </c>
      <c r="C95" s="31">
        <v>28706</v>
      </c>
      <c r="D95" s="31">
        <v>14845</v>
      </c>
      <c r="E95" s="31">
        <v>33320</v>
      </c>
      <c r="F95" s="31">
        <v>9448</v>
      </c>
      <c r="G95" s="31">
        <v>1085354</v>
      </c>
      <c r="H95" s="32">
        <v>168.19559200912201</v>
      </c>
      <c r="I95" s="11">
        <v>259.7</v>
      </c>
      <c r="J95" s="11">
        <v>382.2</v>
      </c>
      <c r="K95" s="11">
        <v>160</v>
      </c>
      <c r="L95" s="9">
        <v>60184.679573979993</v>
      </c>
      <c r="M95" s="9">
        <v>188017.73845756002</v>
      </c>
      <c r="N95" s="9">
        <v>140670.36512647002</v>
      </c>
      <c r="O95" s="35">
        <f t="shared" si="16"/>
        <v>0.74345481338086838</v>
      </c>
      <c r="P95" s="35">
        <f t="shared" si="17"/>
        <v>2.3225627127487658</v>
      </c>
      <c r="Q95" s="35">
        <f t="shared" si="18"/>
        <v>1.7376857498221687</v>
      </c>
      <c r="R95" s="33">
        <v>45290.02</v>
      </c>
      <c r="S95" s="33">
        <v>46860.46</v>
      </c>
      <c r="T95" s="35">
        <f t="shared" si="19"/>
        <v>0.55946270056529501</v>
      </c>
      <c r="U95" s="35">
        <f t="shared" si="20"/>
        <v>0.57886217540491236</v>
      </c>
      <c r="V95" s="35">
        <v>1904265</v>
      </c>
      <c r="W95" s="35">
        <f t="shared" si="21"/>
        <v>23.523178825974718</v>
      </c>
      <c r="X95" s="31">
        <f>+'[1]Agregados MesTrim'!B301</f>
        <v>3445857.6190476189</v>
      </c>
      <c r="Y95" s="35">
        <f t="shared" si="22"/>
        <v>42.566305100237948</v>
      </c>
      <c r="Z95" s="33">
        <v>5302505</v>
      </c>
      <c r="AA95" s="35">
        <f t="shared" si="23"/>
        <v>65.501268647286537</v>
      </c>
      <c r="AB95" s="36">
        <v>0.30696428571428575</v>
      </c>
      <c r="AC95" s="5">
        <v>62865</v>
      </c>
      <c r="AD95" s="5">
        <v>153985</v>
      </c>
      <c r="AE95" s="10">
        <v>142.87903792302811</v>
      </c>
      <c r="AF95" s="10">
        <v>163.06263347828309</v>
      </c>
      <c r="AG95" s="10">
        <v>99.26207552333652</v>
      </c>
      <c r="AH95" s="10">
        <v>155.13641804483251</v>
      </c>
      <c r="AI95" s="10">
        <v>291.89780773491702</v>
      </c>
      <c r="AJ95">
        <v>182.20541720207314</v>
      </c>
      <c r="AK95">
        <v>95.693168996331508</v>
      </c>
      <c r="AL95">
        <v>80.900204567125712</v>
      </c>
      <c r="AM95">
        <v>134.30611564927744</v>
      </c>
      <c r="AN95">
        <v>83.352409029440764</v>
      </c>
      <c r="AO95">
        <v>201.20419165293413</v>
      </c>
      <c r="AP95">
        <v>210.04633867335133</v>
      </c>
      <c r="AQ95">
        <v>162.64305802925423</v>
      </c>
      <c r="AR95">
        <v>136.02194054349167</v>
      </c>
      <c r="AS95">
        <v>100.34796640716455</v>
      </c>
      <c r="AT95">
        <v>38.830295999999997</v>
      </c>
      <c r="AU95" s="38">
        <v>125.51918842952503</v>
      </c>
      <c r="AV95" s="34">
        <f>+VLOOKUP(A95,'[2]Salario Real'!$A$5:$C$292,2)</f>
        <v>98.104595515378662</v>
      </c>
      <c r="AW95" s="31">
        <v>3117397</v>
      </c>
      <c r="AX95" s="17">
        <v>809.52706863635115</v>
      </c>
      <c r="AY95" s="17">
        <v>1482</v>
      </c>
      <c r="AZ95" s="16">
        <v>1.99</v>
      </c>
      <c r="BA95">
        <v>154.81</v>
      </c>
      <c r="BB95">
        <v>131.34551189386684</v>
      </c>
    </row>
    <row r="96" spans="1:54" x14ac:dyDescent="0.25">
      <c r="A96" s="2">
        <v>44165</v>
      </c>
      <c r="B96" s="1">
        <v>5.085259663257724E-2</v>
      </c>
      <c r="C96" s="31">
        <v>32570</v>
      </c>
      <c r="D96" s="31">
        <v>11503</v>
      </c>
      <c r="E96" s="31">
        <v>31431</v>
      </c>
      <c r="F96" s="31">
        <v>10173</v>
      </c>
      <c r="G96" s="31">
        <v>1132986</v>
      </c>
      <c r="H96" s="32">
        <v>181.57908528006601</v>
      </c>
      <c r="I96" s="11">
        <v>224.9</v>
      </c>
      <c r="J96" s="11">
        <v>390.8</v>
      </c>
      <c r="K96" s="11">
        <v>157.6</v>
      </c>
      <c r="L96" s="9">
        <v>61080.239380450002</v>
      </c>
      <c r="M96" s="9">
        <v>192369.68072034002</v>
      </c>
      <c r="N96" s="9">
        <v>156601.78307838002</v>
      </c>
      <c r="O96" s="35">
        <f t="shared" si="16"/>
        <v>0.73140725526774009</v>
      </c>
      <c r="P96" s="35">
        <f t="shared" si="17"/>
        <v>2.3035368164819197</v>
      </c>
      <c r="Q96" s="35">
        <f t="shared" si="18"/>
        <v>1.8752329966809651</v>
      </c>
      <c r="R96" s="33">
        <v>54572.54</v>
      </c>
      <c r="S96" s="33">
        <v>51085.085714285713</v>
      </c>
      <c r="T96" s="35">
        <f t="shared" si="19"/>
        <v>0.65348060353483983</v>
      </c>
      <c r="U96" s="35">
        <f t="shared" si="20"/>
        <v>0.61171997206288087</v>
      </c>
      <c r="V96" s="35">
        <v>2292446.0699999998</v>
      </c>
      <c r="W96" s="35">
        <f t="shared" si="21"/>
        <v>27.450967856630303</v>
      </c>
      <c r="X96" s="31">
        <f>+'[1]Agregados MesTrim'!B302</f>
        <v>3519128.8421052634</v>
      </c>
      <c r="Y96" s="35">
        <f t="shared" si="22"/>
        <v>42.139919447689437</v>
      </c>
      <c r="Z96" s="33">
        <v>5442535</v>
      </c>
      <c r="AA96" s="35">
        <f t="shared" si="23"/>
        <v>65.171807223183848</v>
      </c>
      <c r="AB96" s="36">
        <v>0.32940789473684212</v>
      </c>
      <c r="AC96" s="5">
        <v>62458</v>
      </c>
      <c r="AD96" s="5">
        <v>128981</v>
      </c>
      <c r="AE96" s="10">
        <v>145.57665293336413</v>
      </c>
      <c r="AF96" s="10">
        <v>151.42310117654802</v>
      </c>
      <c r="AG96" s="10">
        <v>94.867673590825717</v>
      </c>
      <c r="AH96" s="10">
        <v>152.86188310928014</v>
      </c>
      <c r="AI96" s="10">
        <v>305.12038528812781</v>
      </c>
      <c r="AJ96">
        <v>167.86753938787598</v>
      </c>
      <c r="AK96">
        <v>93.549961512597335</v>
      </c>
      <c r="AL96">
        <v>79.637377862542152</v>
      </c>
      <c r="AM96">
        <v>154.39543211346222</v>
      </c>
      <c r="AN96">
        <v>86.581821383293416</v>
      </c>
      <c r="AO96">
        <v>187.11161724450534</v>
      </c>
      <c r="AP96">
        <v>217.47857915624934</v>
      </c>
      <c r="AQ96">
        <v>164.66034923331699</v>
      </c>
      <c r="AR96">
        <v>125.63911611230411</v>
      </c>
      <c r="AS96">
        <v>113.73188927307916</v>
      </c>
      <c r="AT96">
        <v>40.865082000000001</v>
      </c>
      <c r="AU96" s="38">
        <v>130.72070646376358</v>
      </c>
      <c r="AV96" s="34">
        <f>+VLOOKUP(A96,'[2]Salario Real'!$A$5:$C$292,2)</f>
        <v>97.610357546563762</v>
      </c>
      <c r="AW96" s="31">
        <v>2975869</v>
      </c>
      <c r="AX96" s="17">
        <v>835.10573542356883</v>
      </c>
      <c r="AY96" s="17">
        <v>1376</v>
      </c>
      <c r="AZ96" s="16">
        <v>2.02</v>
      </c>
      <c r="BA96">
        <v>158.84</v>
      </c>
      <c r="BB96">
        <v>132.06865946806974</v>
      </c>
    </row>
    <row r="97" spans="1:54" x14ac:dyDescent="0.25">
      <c r="A97" s="2">
        <v>44196</v>
      </c>
      <c r="B97" s="1">
        <v>5.085259663257724E-2</v>
      </c>
      <c r="C97" s="31">
        <v>30172</v>
      </c>
      <c r="D97" s="31">
        <v>17200</v>
      </c>
      <c r="E97" s="31">
        <v>38994</v>
      </c>
      <c r="F97" s="31">
        <v>11719</v>
      </c>
      <c r="G97" s="31">
        <v>993782</v>
      </c>
      <c r="H97" s="32">
        <v>189.91709240247499</v>
      </c>
      <c r="I97" s="11">
        <v>252.5</v>
      </c>
      <c r="J97" s="11">
        <v>388.2</v>
      </c>
      <c r="K97" s="11">
        <v>180.2</v>
      </c>
      <c r="L97" s="9">
        <v>51986.392478189999</v>
      </c>
      <c r="M97" s="9">
        <v>203984.85081002</v>
      </c>
      <c r="N97" s="9">
        <v>166887.49510088001</v>
      </c>
      <c r="O97" s="35">
        <f t="shared" si="16"/>
        <v>0.59853786128944553</v>
      </c>
      <c r="P97" s="35">
        <f t="shared" si="17"/>
        <v>2.3485502747761902</v>
      </c>
      <c r="Q97" s="35">
        <f t="shared" si="18"/>
        <v>1.9214351993272094</v>
      </c>
      <c r="R97" s="33">
        <v>51226.49</v>
      </c>
      <c r="S97" s="33">
        <v>52767.772173913036</v>
      </c>
      <c r="T97" s="35">
        <f t="shared" si="19"/>
        <v>0.58978883327648601</v>
      </c>
      <c r="U97" s="35">
        <f t="shared" si="20"/>
        <v>0.60753416416099548</v>
      </c>
      <c r="V97" s="35">
        <v>2156062</v>
      </c>
      <c r="W97" s="35">
        <f t="shared" si="21"/>
        <v>24.82351009120022</v>
      </c>
      <c r="X97" s="31">
        <f>+'[1]Agregados MesTrim'!B303</f>
        <v>3715066.1666666665</v>
      </c>
      <c r="Y97" s="35">
        <f t="shared" si="22"/>
        <v>42.772880593288363</v>
      </c>
      <c r="Z97" s="33">
        <v>5946554</v>
      </c>
      <c r="AA97" s="35">
        <f t="shared" si="23"/>
        <v>68.464795180689151</v>
      </c>
      <c r="AB97" s="36">
        <v>0.34215277777777781</v>
      </c>
      <c r="AC97" s="5">
        <v>63149</v>
      </c>
      <c r="AD97" s="5">
        <v>141940</v>
      </c>
      <c r="AE97" s="10">
        <v>145.28980875233822</v>
      </c>
      <c r="AF97" s="10">
        <v>147.09644240928978</v>
      </c>
      <c r="AG97" s="10">
        <v>81.341808930357274</v>
      </c>
      <c r="AH97" s="10">
        <v>146.78158067984248</v>
      </c>
      <c r="AI97" s="10">
        <v>308.00611432398654</v>
      </c>
      <c r="AJ97">
        <v>161.1131070596708</v>
      </c>
      <c r="AK97">
        <v>97.767399938537366</v>
      </c>
      <c r="AL97">
        <v>70.631543494521921</v>
      </c>
      <c r="AM97">
        <v>151.86777232521644</v>
      </c>
      <c r="AN97">
        <v>94.429287223552592</v>
      </c>
      <c r="AO97">
        <v>165.5487394276314</v>
      </c>
      <c r="AP97">
        <v>197.01119265631985</v>
      </c>
      <c r="AQ97">
        <v>168.00421056438458</v>
      </c>
      <c r="AR97">
        <v>112.47978633299437</v>
      </c>
      <c r="AS97">
        <v>105.52691701084188</v>
      </c>
      <c r="AT97">
        <v>39.31897</v>
      </c>
      <c r="AU97" s="38">
        <v>128.19569112162227</v>
      </c>
      <c r="AV97" s="34">
        <f>+VLOOKUP(A97,'[2]Salario Real'!$A$5:$C$292,2)</f>
        <v>95.352706403378903</v>
      </c>
      <c r="AW97" s="31">
        <v>846919</v>
      </c>
      <c r="AX97" s="17">
        <v>868.55645800241234</v>
      </c>
      <c r="AY97" s="17">
        <v>1356</v>
      </c>
      <c r="AZ97" s="16">
        <v>1.85</v>
      </c>
      <c r="BA97">
        <v>156.75</v>
      </c>
      <c r="BB97">
        <v>133.85435138019454</v>
      </c>
    </row>
    <row r="98" spans="1:54" x14ac:dyDescent="0.25">
      <c r="A98" s="2">
        <v>44225</v>
      </c>
      <c r="B98" s="1">
        <v>2.9911570922553699E-2</v>
      </c>
      <c r="C98" s="31">
        <v>24308</v>
      </c>
      <c r="D98" s="31">
        <v>11924</v>
      </c>
      <c r="E98" s="31">
        <v>27303</v>
      </c>
      <c r="F98" s="31">
        <v>6671</v>
      </c>
      <c r="G98" s="31">
        <v>903614</v>
      </c>
      <c r="H98" s="32">
        <v>197.76418745911201</v>
      </c>
      <c r="I98" s="11">
        <v>241.7</v>
      </c>
      <c r="J98" s="11">
        <v>370.7</v>
      </c>
      <c r="K98" s="11">
        <v>176.8</v>
      </c>
      <c r="L98" s="9">
        <v>103865.46605665001</v>
      </c>
      <c r="M98" s="9">
        <v>232831.60517127</v>
      </c>
      <c r="N98" s="9">
        <v>149584.90993323</v>
      </c>
      <c r="O98" s="35">
        <f t="shared" ref="O98:O129" si="24">+L98/$AX98/100</f>
        <v>1.1493044466752957</v>
      </c>
      <c r="P98" s="35">
        <f t="shared" ref="P98:P129" si="25">+M98/$AX98/100</f>
        <v>2.5763558313399066</v>
      </c>
      <c r="Q98" s="35">
        <f t="shared" ref="Q98:Q129" si="26">+N98/$AX98/100</f>
        <v>1.6552046475968973</v>
      </c>
      <c r="R98" s="33">
        <v>48257.14</v>
      </c>
      <c r="S98" s="33">
        <v>50334.228095238082</v>
      </c>
      <c r="T98" s="35">
        <f t="shared" ref="T98:T129" si="27">+R98/$AX98/100</f>
        <v>0.53398061638294947</v>
      </c>
      <c r="U98" s="35">
        <f t="shared" ref="U98:U129" si="28">+S98/$AX98/100</f>
        <v>0.55696425738150257</v>
      </c>
      <c r="V98" s="35">
        <v>2041472</v>
      </c>
      <c r="W98" s="35">
        <f t="shared" ref="W98:W129" si="29">+V98/AX98/100</f>
        <v>22.589537566638484</v>
      </c>
      <c r="X98" s="31">
        <f>+'[1]Agregados MesTrim'!B304</f>
        <v>3733989.25</v>
      </c>
      <c r="Y98" s="35">
        <f t="shared" ref="Y98:Y129" si="30">+X98/$AX98/100</f>
        <v>41.317779737512566</v>
      </c>
      <c r="Z98" s="33">
        <v>5806077</v>
      </c>
      <c r="AA98" s="35">
        <f t="shared" si="23"/>
        <v>64.246090324185531</v>
      </c>
      <c r="AB98" s="36">
        <v>0.34121875000000002</v>
      </c>
      <c r="AC98" s="5">
        <v>63728</v>
      </c>
      <c r="AD98" s="5">
        <v>132520</v>
      </c>
      <c r="AE98" s="10">
        <v>156.63235330704256</v>
      </c>
      <c r="AF98" s="10">
        <v>146.99696095438981</v>
      </c>
      <c r="AG98" s="10">
        <v>66.089451468816335</v>
      </c>
      <c r="AH98" s="10">
        <v>154.4682233856054</v>
      </c>
      <c r="AI98" s="10">
        <v>233.8981409692226</v>
      </c>
      <c r="AJ98">
        <v>162.58353320012236</v>
      </c>
      <c r="AK98">
        <v>92.142920891278891</v>
      </c>
      <c r="AL98">
        <v>68.605381535699493</v>
      </c>
      <c r="AM98">
        <v>133.35464571672986</v>
      </c>
      <c r="AN98">
        <v>100.51173165234542</v>
      </c>
      <c r="AO98">
        <v>199.55726662155419</v>
      </c>
      <c r="AP98">
        <v>182.14043439199568</v>
      </c>
      <c r="AQ98">
        <v>165.11787386117797</v>
      </c>
      <c r="AR98">
        <v>89.418128516343288</v>
      </c>
      <c r="AS98">
        <v>83.472842085140627</v>
      </c>
      <c r="AT98">
        <v>38.201382000000002</v>
      </c>
      <c r="AU98" s="38">
        <v>128.61840309803415</v>
      </c>
      <c r="AV98" s="34">
        <f>+VLOOKUP(A98,'[2]Salario Real'!$A$5:$C$292,2)</f>
        <v>95.335267445110176</v>
      </c>
      <c r="AW98" s="31">
        <v>3228878</v>
      </c>
      <c r="AX98" s="17">
        <v>903.72456451475227</v>
      </c>
      <c r="AY98" s="17">
        <v>1445</v>
      </c>
      <c r="AZ98" s="16">
        <v>1.88</v>
      </c>
      <c r="BA98">
        <v>160.65</v>
      </c>
      <c r="BB98">
        <v>131.5</v>
      </c>
    </row>
    <row r="99" spans="1:54" x14ac:dyDescent="0.25">
      <c r="A99" s="2">
        <v>44253</v>
      </c>
      <c r="B99" s="1">
        <v>2.9911570922553699E-2</v>
      </c>
      <c r="C99" s="31">
        <v>21809</v>
      </c>
      <c r="D99" s="31">
        <v>15055</v>
      </c>
      <c r="E99" s="31">
        <v>26676</v>
      </c>
      <c r="F99" s="31">
        <v>7546</v>
      </c>
      <c r="G99" s="31">
        <v>820255</v>
      </c>
      <c r="H99" s="32">
        <v>187.40050911029101</v>
      </c>
      <c r="I99" s="11">
        <v>251.6</v>
      </c>
      <c r="J99" s="11">
        <v>330.8</v>
      </c>
      <c r="K99" s="11">
        <v>134.1</v>
      </c>
      <c r="L99" s="9">
        <v>86141.715325599987</v>
      </c>
      <c r="M99" s="9">
        <v>212043.37650199002</v>
      </c>
      <c r="N99" s="9">
        <v>146916.97003505999</v>
      </c>
      <c r="O99" s="35">
        <f t="shared" si="24"/>
        <v>0.92028857563320965</v>
      </c>
      <c r="P99" s="35">
        <f t="shared" si="25"/>
        <v>2.265349560266765</v>
      </c>
      <c r="Q99" s="35">
        <f t="shared" si="26"/>
        <v>1.5695764656979285</v>
      </c>
      <c r="R99" s="33">
        <v>48432.27</v>
      </c>
      <c r="S99" s="33">
        <v>50621.863000000005</v>
      </c>
      <c r="T99" s="35">
        <f t="shared" si="27"/>
        <v>0.51742253569609398</v>
      </c>
      <c r="U99" s="35">
        <f t="shared" si="28"/>
        <v>0.54081488881525241</v>
      </c>
      <c r="V99" s="35">
        <v>2046378</v>
      </c>
      <c r="W99" s="35">
        <f t="shared" si="29"/>
        <v>21.862326373566667</v>
      </c>
      <c r="X99" s="31">
        <f>+'[1]Agregados MesTrim'!B305</f>
        <v>3702464.5</v>
      </c>
      <c r="Y99" s="35">
        <f t="shared" si="30"/>
        <v>39.555002685498145</v>
      </c>
      <c r="Z99" s="33">
        <v>5847732</v>
      </c>
      <c r="AA99" s="35">
        <f t="shared" ref="AA99:AA130" si="31">+Z99/AX99/100</f>
        <v>62.473807639228795</v>
      </c>
      <c r="AB99" s="36">
        <v>0.3410069444444444</v>
      </c>
      <c r="AC99" s="5">
        <v>56736</v>
      </c>
      <c r="AD99" s="5">
        <v>125190</v>
      </c>
      <c r="AE99" s="10">
        <v>150.75358368102485</v>
      </c>
      <c r="AF99" s="10">
        <v>139.79615010623877</v>
      </c>
      <c r="AG99" s="10">
        <v>81.403753371415576</v>
      </c>
      <c r="AH99" s="10">
        <v>135.99996706351325</v>
      </c>
      <c r="AI99" s="10">
        <v>265.88830340301092</v>
      </c>
      <c r="AJ99">
        <v>152.15017657461883</v>
      </c>
      <c r="AK99">
        <v>96.318453268642486</v>
      </c>
      <c r="AL99">
        <v>85.980584873246684</v>
      </c>
      <c r="AM99">
        <v>135.76887151085313</v>
      </c>
      <c r="AN99">
        <v>90.419565150021128</v>
      </c>
      <c r="AO99">
        <v>162.86012746454003</v>
      </c>
      <c r="AP99">
        <v>165.66575204463811</v>
      </c>
      <c r="AQ99">
        <v>148.33004989066148</v>
      </c>
      <c r="AR99">
        <v>118.97034139787581</v>
      </c>
      <c r="AS99">
        <v>77.97737266499324</v>
      </c>
      <c r="AT99">
        <v>37.766182000000001</v>
      </c>
      <c r="AU99" s="38">
        <v>128.12031468903098</v>
      </c>
      <c r="AV99" s="34">
        <f>+VLOOKUP(A99,'[2]Salario Real'!$A$5:$C$292,2)</f>
        <v>96.776110679338984</v>
      </c>
      <c r="AW99" s="31">
        <v>2855756</v>
      </c>
      <c r="AX99" s="17">
        <v>936.02938911123283</v>
      </c>
      <c r="AY99" s="17">
        <v>1511</v>
      </c>
      <c r="AZ99" s="16">
        <v>1.82</v>
      </c>
      <c r="BA99">
        <v>158.62</v>
      </c>
      <c r="BB99">
        <v>126.2</v>
      </c>
    </row>
    <row r="100" spans="1:54" x14ac:dyDescent="0.25">
      <c r="A100" s="2">
        <v>44286</v>
      </c>
      <c r="B100" s="1">
        <v>2.9911570922553699E-2</v>
      </c>
      <c r="C100" s="31">
        <v>43160</v>
      </c>
      <c r="D100" s="31">
        <v>22394</v>
      </c>
      <c r="E100" s="31">
        <v>32359</v>
      </c>
      <c r="F100" s="31">
        <v>11715</v>
      </c>
      <c r="G100" s="31">
        <v>983867</v>
      </c>
      <c r="H100" s="32">
        <v>188.650825233197</v>
      </c>
      <c r="I100" s="11">
        <v>307</v>
      </c>
      <c r="J100" s="11">
        <v>423.4</v>
      </c>
      <c r="K100" s="11">
        <v>151</v>
      </c>
      <c r="L100" s="9">
        <v>100431.78336557001</v>
      </c>
      <c r="M100" s="9">
        <v>247490.15044751001</v>
      </c>
      <c r="N100" s="9">
        <v>140840.46218084998</v>
      </c>
      <c r="O100" s="35">
        <f t="shared" si="24"/>
        <v>1.0237068817882595</v>
      </c>
      <c r="P100" s="35">
        <f t="shared" si="25"/>
        <v>2.522681184159711</v>
      </c>
      <c r="Q100" s="35">
        <f t="shared" si="26"/>
        <v>1.4355948439545756</v>
      </c>
      <c r="R100" s="33">
        <v>47982.39</v>
      </c>
      <c r="S100" s="33">
        <v>48159.234782608692</v>
      </c>
      <c r="T100" s="35">
        <f t="shared" si="27"/>
        <v>0.48908723116916625</v>
      </c>
      <c r="U100" s="35">
        <f t="shared" si="28"/>
        <v>0.49088982009966342</v>
      </c>
      <c r="V100" s="35">
        <v>2021651</v>
      </c>
      <c r="W100" s="35">
        <f t="shared" si="29"/>
        <v>20.606803662351464</v>
      </c>
      <c r="X100" s="31">
        <f>+'[1]Agregados MesTrim'!B306</f>
        <v>3775774</v>
      </c>
      <c r="Y100" s="35">
        <f t="shared" si="30"/>
        <v>38.48667920002584</v>
      </c>
      <c r="Z100" s="33">
        <v>6050852</v>
      </c>
      <c r="AA100" s="35">
        <f t="shared" si="31"/>
        <v>61.676678691795303</v>
      </c>
      <c r="AB100" s="36">
        <v>0.3406818181818182</v>
      </c>
      <c r="AC100" s="5">
        <v>62528</v>
      </c>
      <c r="AD100" s="5">
        <v>156790</v>
      </c>
      <c r="AE100" s="10">
        <v>158.9154049137102</v>
      </c>
      <c r="AF100" s="10">
        <v>159.21112856487156</v>
      </c>
      <c r="AG100" s="10">
        <v>142.85890532011973</v>
      </c>
      <c r="AH100" s="10">
        <v>165.541238276988</v>
      </c>
      <c r="AI100" s="10">
        <v>439.90266460762172</v>
      </c>
      <c r="AJ100">
        <v>175.5780052859584</v>
      </c>
      <c r="AK100">
        <v>101.610952130165</v>
      </c>
      <c r="AL100">
        <v>96.707495124024547</v>
      </c>
      <c r="AM100">
        <v>158.16535419373753</v>
      </c>
      <c r="AN100">
        <v>95.861487265812102</v>
      </c>
      <c r="AO100">
        <v>216.01736784914596</v>
      </c>
      <c r="AP100">
        <v>194.59218611615034</v>
      </c>
      <c r="AQ100">
        <v>180.56008316631531</v>
      </c>
      <c r="AR100">
        <v>193.12073907034042</v>
      </c>
      <c r="AS100">
        <v>156.67540908473237</v>
      </c>
      <c r="AT100">
        <v>38.194546000000003</v>
      </c>
      <c r="AU100" s="38">
        <v>128.80712482287228</v>
      </c>
      <c r="AV100" s="34">
        <f>+VLOOKUP(A100,'[2]Salario Real'!$A$5:$C$292,2)</f>
        <v>95.990525276517829</v>
      </c>
      <c r="AW100" s="31">
        <v>3395949</v>
      </c>
      <c r="AX100" s="17">
        <v>981.05996112999674</v>
      </c>
      <c r="AY100" s="17">
        <v>1572</v>
      </c>
      <c r="AZ100" s="16">
        <v>1.78</v>
      </c>
      <c r="BA100">
        <v>161.33000000000001</v>
      </c>
      <c r="BB100">
        <v>146</v>
      </c>
    </row>
    <row r="101" spans="1:54" x14ac:dyDescent="0.25">
      <c r="A101" s="2">
        <v>44316</v>
      </c>
      <c r="B101" s="1">
        <v>6.8638511802983082E-3</v>
      </c>
      <c r="C101" s="31">
        <v>29315</v>
      </c>
      <c r="D101" s="31">
        <v>15848</v>
      </c>
      <c r="E101" s="31">
        <v>29876</v>
      </c>
      <c r="F101" s="31">
        <v>8574</v>
      </c>
      <c r="G101" s="31">
        <v>955508</v>
      </c>
      <c r="H101" s="32">
        <v>181.188895278806</v>
      </c>
      <c r="I101" s="11">
        <v>314.39999999999998</v>
      </c>
      <c r="J101" s="11">
        <v>346.4</v>
      </c>
      <c r="K101" s="11">
        <v>176.6</v>
      </c>
      <c r="L101" s="9">
        <v>106669.81754449999</v>
      </c>
      <c r="M101" s="9">
        <v>250798.33102387001</v>
      </c>
      <c r="N101" s="9">
        <v>145979.70733482999</v>
      </c>
      <c r="O101" s="35">
        <f t="shared" si="24"/>
        <v>1.0446660766400926</v>
      </c>
      <c r="P101" s="35">
        <f t="shared" si="25"/>
        <v>2.4561822128296922</v>
      </c>
      <c r="Q101" s="35">
        <f t="shared" si="26"/>
        <v>1.4296457202331538</v>
      </c>
      <c r="R101" s="33">
        <v>49056.1</v>
      </c>
      <c r="S101" s="33">
        <v>48383.35318181818</v>
      </c>
      <c r="T101" s="35">
        <f t="shared" si="27"/>
        <v>0.48042871640691587</v>
      </c>
      <c r="U101" s="35">
        <f t="shared" si="28"/>
        <v>0.47384020059897503</v>
      </c>
      <c r="V101" s="35">
        <v>2073069</v>
      </c>
      <c r="W101" s="35">
        <f t="shared" si="29"/>
        <v>20.302508326038325</v>
      </c>
      <c r="X101" s="31">
        <f>+'[1]Agregados MesTrim'!B307</f>
        <v>3957188.25</v>
      </c>
      <c r="Y101" s="35">
        <f t="shared" si="30"/>
        <v>38.7545457451373</v>
      </c>
      <c r="Z101" s="33">
        <v>6277474</v>
      </c>
      <c r="AA101" s="35">
        <f t="shared" si="31"/>
        <v>61.478160230792668</v>
      </c>
      <c r="AB101" s="36">
        <v>0.34096874999999999</v>
      </c>
      <c r="AC101" s="5">
        <v>59088</v>
      </c>
      <c r="AD101" s="5">
        <v>128480</v>
      </c>
      <c r="AE101" s="10">
        <v>158.9806016677264</v>
      </c>
      <c r="AF101" s="10">
        <v>150.68998692396443</v>
      </c>
      <c r="AG101" s="10">
        <v>165.15804538978719</v>
      </c>
      <c r="AH101" s="10">
        <v>157.41986757289627</v>
      </c>
      <c r="AI101" s="10">
        <v>269.53553924817135</v>
      </c>
      <c r="AJ101">
        <v>168.56429976494738</v>
      </c>
      <c r="AK101">
        <v>87.78466962764216</v>
      </c>
      <c r="AL101">
        <v>95.653553158801515</v>
      </c>
      <c r="AM101">
        <v>138.57402469982</v>
      </c>
      <c r="AN101">
        <v>91.732684462600375</v>
      </c>
      <c r="AO101">
        <v>206.08162493465829</v>
      </c>
      <c r="AP101">
        <v>189.30721939697253</v>
      </c>
      <c r="AQ101">
        <v>157.44681618519351</v>
      </c>
      <c r="AR101">
        <v>216.2233325763616</v>
      </c>
      <c r="AS101">
        <v>106.85408832957947</v>
      </c>
      <c r="AT101">
        <v>35.335177999999999</v>
      </c>
      <c r="AU101" s="38">
        <v>129.24669274068091</v>
      </c>
      <c r="AV101" s="34">
        <f>+VLOOKUP(A101,'[2]Salario Real'!$A$5:$C$292,2)</f>
        <v>96.598955244129982</v>
      </c>
      <c r="AW101" s="31">
        <v>4212341</v>
      </c>
      <c r="AX101" s="17">
        <v>1021.0900873471148</v>
      </c>
      <c r="AY101" s="17">
        <v>1551</v>
      </c>
      <c r="AZ101" s="16">
        <v>1.73</v>
      </c>
      <c r="BA101">
        <v>161.65</v>
      </c>
      <c r="BB101">
        <v>147.30000000000001</v>
      </c>
    </row>
    <row r="102" spans="1:54" x14ac:dyDescent="0.25">
      <c r="A102" s="2">
        <v>44347</v>
      </c>
      <c r="B102" s="1">
        <v>6.8638511802983082E-3</v>
      </c>
      <c r="C102" s="31">
        <v>34953</v>
      </c>
      <c r="D102" s="31">
        <v>19919</v>
      </c>
      <c r="E102" s="31">
        <v>28025</v>
      </c>
      <c r="F102" s="31">
        <v>9606</v>
      </c>
      <c r="G102" s="31">
        <v>884205</v>
      </c>
      <c r="H102" s="32">
        <v>176.95133322243899</v>
      </c>
      <c r="I102" s="11">
        <v>300.60000000000002</v>
      </c>
      <c r="J102" s="11">
        <v>391.1</v>
      </c>
      <c r="K102" s="11">
        <v>178.8</v>
      </c>
      <c r="L102" s="9">
        <v>117400.51184379999</v>
      </c>
      <c r="M102" s="9">
        <v>239693.84117234999</v>
      </c>
      <c r="N102" s="9">
        <v>214548.16539144001</v>
      </c>
      <c r="O102" s="35">
        <f t="shared" si="24"/>
        <v>1.112779240099647</v>
      </c>
      <c r="P102" s="35">
        <f t="shared" si="25"/>
        <v>2.2719349877384634</v>
      </c>
      <c r="Q102" s="35">
        <f t="shared" si="26"/>
        <v>2.033592023574029</v>
      </c>
      <c r="R102" s="33">
        <v>59268.94</v>
      </c>
      <c r="S102" s="33">
        <v>54064.218095238088</v>
      </c>
      <c r="T102" s="35">
        <f t="shared" si="27"/>
        <v>0.56177988476286711</v>
      </c>
      <c r="U102" s="35">
        <f t="shared" si="28"/>
        <v>0.51244699519406567</v>
      </c>
      <c r="V102" s="35">
        <v>2478321</v>
      </c>
      <c r="W102" s="35">
        <f t="shared" si="29"/>
        <v>23.490733692645648</v>
      </c>
      <c r="X102" s="31">
        <f>+'[1]Agregados MesTrim'!B308</f>
        <v>4089059.789473684</v>
      </c>
      <c r="Y102" s="35">
        <f t="shared" si="30"/>
        <v>38.758100572053415</v>
      </c>
      <c r="Z102" s="33">
        <v>6584839</v>
      </c>
      <c r="AA102" s="35">
        <f t="shared" si="31"/>
        <v>62.414311688416099</v>
      </c>
      <c r="AB102" s="36">
        <v>0.34115131578947372</v>
      </c>
      <c r="AC102" s="5">
        <v>62144</v>
      </c>
      <c r="AD102" s="5">
        <v>97226</v>
      </c>
      <c r="AE102" s="10">
        <v>156.68065619461083</v>
      </c>
      <c r="AF102" s="10">
        <v>148.23633937794733</v>
      </c>
      <c r="AG102" s="10">
        <v>140.00002956356587</v>
      </c>
      <c r="AH102" s="10">
        <v>162.74341161649318</v>
      </c>
      <c r="AI102" s="10">
        <v>321.1007156203072</v>
      </c>
      <c r="AJ102">
        <v>164.83864036348311</v>
      </c>
      <c r="AK102">
        <v>89.80763106141886</v>
      </c>
      <c r="AL102">
        <v>96.813961929132205</v>
      </c>
      <c r="AM102">
        <v>131.33590439554459</v>
      </c>
      <c r="AN102">
        <v>98.148088153261014</v>
      </c>
      <c r="AO102">
        <v>216.22067330153513</v>
      </c>
      <c r="AP102">
        <v>177.52891988467493</v>
      </c>
      <c r="AQ102">
        <v>169.84737280159663</v>
      </c>
      <c r="AR102">
        <v>181.88188549190204</v>
      </c>
      <c r="AS102">
        <v>127.17449910215441</v>
      </c>
      <c r="AT102">
        <v>35.435070000000003</v>
      </c>
      <c r="AU102" s="38">
        <v>128.59930164750421</v>
      </c>
      <c r="AV102" s="34">
        <f>+VLOOKUP(A102,'[2]Salario Real'!$A$5:$C$292,2)</f>
        <v>96.773806211755868</v>
      </c>
      <c r="AW102" s="31">
        <v>4300687</v>
      </c>
      <c r="AX102" s="17">
        <v>1055.0206870617665</v>
      </c>
      <c r="AY102" s="17">
        <v>1508</v>
      </c>
      <c r="AZ102" s="16">
        <v>1.93</v>
      </c>
      <c r="BB102">
        <v>151.19999999999999</v>
      </c>
    </row>
    <row r="103" spans="1:54" x14ac:dyDescent="0.25">
      <c r="A103" s="2">
        <v>44377</v>
      </c>
      <c r="B103" s="1">
        <v>6.8638511802983082E-3</v>
      </c>
      <c r="C103" s="31">
        <v>40035</v>
      </c>
      <c r="D103" s="31">
        <v>22737</v>
      </c>
      <c r="E103" s="31">
        <v>28187</v>
      </c>
      <c r="F103" s="31">
        <v>8572</v>
      </c>
      <c r="G103" s="31">
        <v>970712</v>
      </c>
      <c r="H103" s="32">
        <v>186.43834047005501</v>
      </c>
      <c r="I103" s="11">
        <v>244.2</v>
      </c>
      <c r="J103" s="11">
        <v>400.3</v>
      </c>
      <c r="K103" s="11">
        <v>190.6</v>
      </c>
      <c r="L103" s="9">
        <v>118186.45983801999</v>
      </c>
      <c r="M103" s="9">
        <v>261725.49782701995</v>
      </c>
      <c r="N103" s="9">
        <v>221256.59773725001</v>
      </c>
      <c r="O103" s="35">
        <f t="shared" si="24"/>
        <v>1.0857608392976312</v>
      </c>
      <c r="P103" s="35">
        <f t="shared" si="25"/>
        <v>2.4044319169533082</v>
      </c>
      <c r="Q103" s="35">
        <f t="shared" si="26"/>
        <v>2.0326503525749366</v>
      </c>
      <c r="R103" s="33">
        <v>62371.95</v>
      </c>
      <c r="S103" s="33">
        <v>65582.588181818181</v>
      </c>
      <c r="T103" s="35">
        <f t="shared" si="27"/>
        <v>0.57300151703879343</v>
      </c>
      <c r="U103" s="35">
        <f t="shared" si="28"/>
        <v>0.60249715648640556</v>
      </c>
      <c r="V103" s="35">
        <v>2602437</v>
      </c>
      <c r="W103" s="35">
        <f t="shared" si="29"/>
        <v>23.908188680935687</v>
      </c>
      <c r="X103" s="31">
        <f>+'[1]Agregados MesTrim'!B309</f>
        <v>4222488.3809523806</v>
      </c>
      <c r="Y103" s="35">
        <f t="shared" si="30"/>
        <v>38.791351688770234</v>
      </c>
      <c r="Z103" s="33">
        <v>7059705</v>
      </c>
      <c r="AA103" s="35">
        <f t="shared" si="31"/>
        <v>64.856424640344827</v>
      </c>
      <c r="AB103" s="36">
        <v>0.34119047619047621</v>
      </c>
      <c r="AC103" s="5">
        <v>59469</v>
      </c>
      <c r="AD103" s="5">
        <v>142190</v>
      </c>
      <c r="AE103" s="10">
        <v>157.86406868158059</v>
      </c>
      <c r="AF103" s="10">
        <v>158.59948313826817</v>
      </c>
      <c r="AG103" s="10">
        <v>138.58134529654939</v>
      </c>
      <c r="AH103" s="10">
        <v>161.35585552738704</v>
      </c>
      <c r="AI103" s="10">
        <v>356.61894353123336</v>
      </c>
      <c r="AJ103">
        <v>182.49440854651425</v>
      </c>
      <c r="AK103">
        <v>74.505740461276062</v>
      </c>
      <c r="AL103">
        <v>92.774056096061514</v>
      </c>
      <c r="AM103">
        <v>136.67007972112913</v>
      </c>
      <c r="AN103">
        <v>92.771058120862094</v>
      </c>
      <c r="AO103">
        <v>205.82276008144854</v>
      </c>
      <c r="AP103">
        <v>190.41318814199701</v>
      </c>
      <c r="AQ103">
        <v>171.02665077284564</v>
      </c>
      <c r="AR103">
        <v>177.07118636790682</v>
      </c>
      <c r="AS103">
        <v>145.70461044921296</v>
      </c>
      <c r="AT103">
        <v>34.637596000000002</v>
      </c>
      <c r="AU103" s="38">
        <v>127.5377748379054</v>
      </c>
      <c r="AV103" s="34">
        <f>+VLOOKUP(A103,'[2]Salario Real'!$A$5:$C$292,2)</f>
        <v>95.44701395163186</v>
      </c>
      <c r="AW103" s="31">
        <v>4096192</v>
      </c>
      <c r="AX103" s="17">
        <v>1088.5128249281281</v>
      </c>
      <c r="AY103" s="17">
        <v>1573</v>
      </c>
      <c r="AZ103" s="16">
        <v>1.7</v>
      </c>
      <c r="BB103">
        <v>149</v>
      </c>
    </row>
    <row r="104" spans="1:54" x14ac:dyDescent="0.25">
      <c r="A104" s="2">
        <v>44407</v>
      </c>
      <c r="B104" s="1">
        <v>1.9707112145431527E-2</v>
      </c>
      <c r="C104" s="31">
        <v>31935</v>
      </c>
      <c r="D104" s="31">
        <v>23177</v>
      </c>
      <c r="E104" s="31">
        <v>24369</v>
      </c>
      <c r="F104" s="31">
        <v>7720</v>
      </c>
      <c r="G104" s="31">
        <v>1053191</v>
      </c>
      <c r="H104" s="32">
        <v>188.28618591681499</v>
      </c>
      <c r="I104" s="11">
        <v>297</v>
      </c>
      <c r="J104" s="11">
        <v>430.1</v>
      </c>
      <c r="K104" s="11">
        <v>198.7</v>
      </c>
      <c r="L104" s="9">
        <v>107235.00260297001</v>
      </c>
      <c r="M104" s="9">
        <v>269528.16072520998</v>
      </c>
      <c r="N104" s="9">
        <v>181315.33909113996</v>
      </c>
      <c r="O104" s="35">
        <f t="shared" si="24"/>
        <v>0.95648530188342273</v>
      </c>
      <c r="P104" s="35">
        <f t="shared" si="25"/>
        <v>2.4040632062258753</v>
      </c>
      <c r="Q104" s="35">
        <f t="shared" si="26"/>
        <v>1.6172467257615466</v>
      </c>
      <c r="R104" s="33">
        <v>66005.289999999994</v>
      </c>
      <c r="S104" s="33">
        <v>64273.625000000007</v>
      </c>
      <c r="T104" s="35">
        <f t="shared" si="27"/>
        <v>0.58873584369926901</v>
      </c>
      <c r="U104" s="35">
        <f t="shared" si="28"/>
        <v>0.57329021419321746</v>
      </c>
      <c r="V104" s="35">
        <v>2743862</v>
      </c>
      <c r="W104" s="35">
        <f t="shared" si="29"/>
        <v>24.473946096810781</v>
      </c>
      <c r="X104" s="31">
        <f>+'[1]Agregados MesTrim'!B310</f>
        <v>4442520.0952380951</v>
      </c>
      <c r="Y104" s="35">
        <f t="shared" si="30"/>
        <v>39.625169685959371</v>
      </c>
      <c r="Z104" s="33">
        <v>7205281</v>
      </c>
      <c r="AA104" s="35">
        <f t="shared" si="31"/>
        <v>64.267685038961474</v>
      </c>
      <c r="AB104" s="36">
        <v>0.34130952380952378</v>
      </c>
      <c r="AC104" s="5">
        <v>63351</v>
      </c>
      <c r="AD104" s="5">
        <v>149250</v>
      </c>
      <c r="AE104" s="10">
        <v>155.71140641795364</v>
      </c>
      <c r="AF104" s="10">
        <v>168.23251247936133</v>
      </c>
      <c r="AG104" s="10">
        <v>135.56595175620697</v>
      </c>
      <c r="AH104" s="10">
        <v>156.10512293636839</v>
      </c>
      <c r="AI104" s="10">
        <v>356.41630961795363</v>
      </c>
      <c r="AJ104">
        <v>191.72286719942801</v>
      </c>
      <c r="AK104">
        <v>85.562581041163554</v>
      </c>
      <c r="AL104">
        <v>88.367693875815391</v>
      </c>
      <c r="AM104">
        <v>153.79704351726505</v>
      </c>
      <c r="AN104">
        <v>93.871048161712906</v>
      </c>
      <c r="AO104">
        <v>194.64292177525613</v>
      </c>
      <c r="AP104">
        <v>205.98751887151263</v>
      </c>
      <c r="AQ104">
        <v>182.15176302236142</v>
      </c>
      <c r="AR104">
        <v>188.67962322997184</v>
      </c>
      <c r="AS104">
        <v>116.0697183285078</v>
      </c>
      <c r="AT104">
        <v>37.861069000000001</v>
      </c>
      <c r="AU104" s="38">
        <v>128.27869986080398</v>
      </c>
      <c r="AV104" s="34">
        <f>+VLOOKUP(A104,'[2]Salario Real'!$A$5:$C$292,2)</f>
        <v>97.451428098620212</v>
      </c>
      <c r="AW104" s="31">
        <v>3855443</v>
      </c>
      <c r="AX104" s="17">
        <v>1121.1359170058622</v>
      </c>
      <c r="AY104" s="17">
        <v>1591</v>
      </c>
      <c r="AZ104" s="16">
        <v>1.7</v>
      </c>
      <c r="BB104">
        <v>142.4</v>
      </c>
    </row>
    <row r="105" spans="1:54" x14ac:dyDescent="0.25">
      <c r="A105" s="2">
        <v>44439</v>
      </c>
      <c r="B105" s="1">
        <v>1.9707112145431527E-2</v>
      </c>
      <c r="C105" s="31">
        <v>38362</v>
      </c>
      <c r="D105" s="31">
        <v>24937</v>
      </c>
      <c r="E105" s="31">
        <v>26069</v>
      </c>
      <c r="F105" s="31">
        <v>9211</v>
      </c>
      <c r="G105" s="31">
        <v>1096465</v>
      </c>
      <c r="H105" s="32">
        <v>186.39880729862901</v>
      </c>
      <c r="I105" s="11">
        <v>315.2</v>
      </c>
      <c r="J105" s="11">
        <v>423.4</v>
      </c>
      <c r="K105" s="11">
        <v>203.4</v>
      </c>
      <c r="L105" s="9">
        <v>115738.79635929001</v>
      </c>
      <c r="M105" s="9">
        <v>277858.70976091002</v>
      </c>
      <c r="N105" s="9">
        <v>231332.51786867998</v>
      </c>
      <c r="O105" s="35">
        <f t="shared" si="24"/>
        <v>1.0074659416520686</v>
      </c>
      <c r="P105" s="35">
        <f t="shared" si="25"/>
        <v>2.4186633651044933</v>
      </c>
      <c r="Q105" s="35">
        <f t="shared" si="26"/>
        <v>2.0136690572262603</v>
      </c>
      <c r="R105" s="33">
        <v>76451.679999999993</v>
      </c>
      <c r="S105" s="33">
        <v>69119.150000000009</v>
      </c>
      <c r="T105" s="35">
        <f t="shared" si="27"/>
        <v>0.66548526686747633</v>
      </c>
      <c r="U105" s="35">
        <f t="shared" si="28"/>
        <v>0.60165814516310345</v>
      </c>
      <c r="V105" s="35">
        <v>3183796</v>
      </c>
      <c r="W105" s="35">
        <f t="shared" si="29"/>
        <v>27.71383612121544</v>
      </c>
      <c r="X105" s="31">
        <f>+'[1]Agregados MesTrim'!B311</f>
        <v>4607578.666666667</v>
      </c>
      <c r="Y105" s="35">
        <f t="shared" si="30"/>
        <v>40.107368714455433</v>
      </c>
      <c r="Z105" s="33">
        <v>7426772</v>
      </c>
      <c r="AA105" s="35">
        <f t="shared" si="31"/>
        <v>64.647465515262724</v>
      </c>
      <c r="AB105" s="36">
        <v>0.34157738095238094</v>
      </c>
      <c r="AC105" s="5">
        <v>64656</v>
      </c>
      <c r="AD105" s="5">
        <v>153390</v>
      </c>
      <c r="AE105" s="10">
        <v>154.12203709038212</v>
      </c>
      <c r="AF105" s="10">
        <v>173.55015583278976</v>
      </c>
      <c r="AG105" s="10">
        <v>136.53537229772374</v>
      </c>
      <c r="AH105" s="10">
        <v>161.20256535308215</v>
      </c>
      <c r="AI105" s="10">
        <v>391.33168241264548</v>
      </c>
      <c r="AJ105">
        <v>195.65710757592711</v>
      </c>
      <c r="AK105">
        <v>95.748853694448727</v>
      </c>
      <c r="AL105">
        <v>86.201552866061974</v>
      </c>
      <c r="AM105">
        <v>146.19415008675151</v>
      </c>
      <c r="AN105">
        <v>97.903324369629502</v>
      </c>
      <c r="AO105">
        <v>207.9369300832507</v>
      </c>
      <c r="AP105">
        <v>211.58658175904776</v>
      </c>
      <c r="AQ105">
        <v>181.83073897720868</v>
      </c>
      <c r="AR105">
        <v>184.24895553441468</v>
      </c>
      <c r="AS105">
        <v>139.68870980752789</v>
      </c>
      <c r="AT105">
        <v>39.763579999999997</v>
      </c>
      <c r="AU105" s="38">
        <v>128.74760748584697</v>
      </c>
      <c r="AV105" s="34">
        <f>+VLOOKUP(A105,'[2]Salario Real'!$A$5:$C$292,2)</f>
        <v>98.280270424987208</v>
      </c>
      <c r="AW105" s="31">
        <v>3574880</v>
      </c>
      <c r="AX105" s="17">
        <v>1148.8110076406012</v>
      </c>
      <c r="AY105" s="17">
        <v>1538</v>
      </c>
      <c r="AZ105" s="16">
        <v>1.85</v>
      </c>
      <c r="BB105">
        <v>141</v>
      </c>
    </row>
    <row r="106" spans="1:54" x14ac:dyDescent="0.25">
      <c r="A106" s="2">
        <v>44469</v>
      </c>
      <c r="B106" s="1">
        <v>1.9707112145431527E-2</v>
      </c>
      <c r="C106" s="31">
        <v>43535</v>
      </c>
      <c r="D106" s="31">
        <v>25230</v>
      </c>
      <c r="E106" s="31">
        <v>25700</v>
      </c>
      <c r="F106" s="31">
        <v>10544</v>
      </c>
      <c r="G106" s="31">
        <v>1120916</v>
      </c>
      <c r="H106" s="32">
        <v>185.51536010804901</v>
      </c>
      <c r="I106" s="11">
        <v>333.5</v>
      </c>
      <c r="J106" s="11">
        <v>432</v>
      </c>
      <c r="K106" s="11">
        <v>217.4</v>
      </c>
      <c r="L106" s="9">
        <v>110534.03190781</v>
      </c>
      <c r="M106" s="9">
        <v>303774.64887629997</v>
      </c>
      <c r="N106" s="9">
        <v>205180.11631267</v>
      </c>
      <c r="O106" s="35">
        <f t="shared" si="24"/>
        <v>0.92920340412069402</v>
      </c>
      <c r="P106" s="35">
        <f t="shared" si="25"/>
        <v>2.5536790158604741</v>
      </c>
      <c r="Q106" s="35">
        <f t="shared" si="26"/>
        <v>1.7248449119690699</v>
      </c>
      <c r="R106" s="33">
        <v>77363.64</v>
      </c>
      <c r="S106" s="33">
        <v>76501.896818181805</v>
      </c>
      <c r="T106" s="35">
        <f t="shared" si="27"/>
        <v>0.6503567851675246</v>
      </c>
      <c r="U106" s="35">
        <f t="shared" si="28"/>
        <v>0.64311254839987353</v>
      </c>
      <c r="V106" s="35">
        <v>3235692</v>
      </c>
      <c r="W106" s="35">
        <f t="shared" si="29"/>
        <v>27.200817424209589</v>
      </c>
      <c r="X106" s="31">
        <f>+'[1]Agregados MesTrim'!B312</f>
        <v>4707507.6818181816</v>
      </c>
      <c r="Y106" s="35">
        <f t="shared" si="30"/>
        <v>39.573623501928026</v>
      </c>
      <c r="Z106" s="33">
        <v>7681869</v>
      </c>
      <c r="AA106" s="35">
        <f t="shared" si="31"/>
        <v>64.577566760277392</v>
      </c>
      <c r="AB106" s="36">
        <v>0.34159090909090906</v>
      </c>
      <c r="AC106" s="5">
        <v>61422</v>
      </c>
      <c r="AD106" s="5">
        <v>161220</v>
      </c>
      <c r="AE106" s="10">
        <v>155.30310706352802</v>
      </c>
      <c r="AF106" s="10">
        <v>171.63830221843105</v>
      </c>
      <c r="AG106" s="10">
        <v>120.40680151665758</v>
      </c>
      <c r="AH106" s="10">
        <v>163.83081275149021</v>
      </c>
      <c r="AI106" s="10">
        <v>416.39571633571921</v>
      </c>
      <c r="AJ106">
        <v>195.99394773169413</v>
      </c>
      <c r="AK106">
        <v>85.923140880552481</v>
      </c>
      <c r="AL106">
        <v>85.999417522727086</v>
      </c>
      <c r="AM106">
        <v>154.07623150257999</v>
      </c>
      <c r="AN106">
        <v>95.402466009297072</v>
      </c>
      <c r="AO106">
        <v>202.43062149719646</v>
      </c>
      <c r="AP106">
        <v>216.79178634870851</v>
      </c>
      <c r="AQ106">
        <v>181.27495817533659</v>
      </c>
      <c r="AR106">
        <v>157.5830406173379</v>
      </c>
      <c r="AS106">
        <v>158.57853938482344</v>
      </c>
      <c r="AT106">
        <v>40.519817000000003</v>
      </c>
      <c r="AU106" s="38">
        <v>130.67054914633499</v>
      </c>
      <c r="AV106" s="34">
        <f>+VLOOKUP(A106,'[2]Salario Real'!$A$5:$C$292,2)</f>
        <v>98.330776041257835</v>
      </c>
      <c r="AW106" s="31">
        <v>3701792</v>
      </c>
      <c r="AX106" s="17">
        <v>1189.5568980659132</v>
      </c>
      <c r="AY106" s="17">
        <v>1619</v>
      </c>
      <c r="AZ106" s="16">
        <v>1.58</v>
      </c>
      <c r="BB106">
        <v>141.30000000000001</v>
      </c>
    </row>
    <row r="107" spans="1:54" x14ac:dyDescent="0.25">
      <c r="A107" s="2">
        <v>44498</v>
      </c>
      <c r="B107" s="1">
        <v>2.5010150428882438E-2</v>
      </c>
      <c r="C107" s="31">
        <v>41002</v>
      </c>
      <c r="D107" s="31">
        <v>25938</v>
      </c>
      <c r="E107" s="31">
        <v>25291</v>
      </c>
      <c r="F107" s="31">
        <v>9131</v>
      </c>
      <c r="G107" s="31">
        <v>1151997</v>
      </c>
      <c r="H107" s="32">
        <v>188.220276492279</v>
      </c>
      <c r="I107" s="11">
        <v>311.2</v>
      </c>
      <c r="J107" s="11">
        <v>447.7</v>
      </c>
      <c r="K107" s="11">
        <v>216.2</v>
      </c>
      <c r="L107" s="9">
        <v>127231.08475556</v>
      </c>
      <c r="M107" s="9">
        <v>285669.26275246998</v>
      </c>
      <c r="N107" s="9">
        <v>221846.29153814999</v>
      </c>
      <c r="O107" s="35">
        <f t="shared" si="24"/>
        <v>1.0332356330432906</v>
      </c>
      <c r="P107" s="35">
        <f t="shared" si="25"/>
        <v>2.3199021065342271</v>
      </c>
      <c r="Q107" s="35">
        <f t="shared" si="26"/>
        <v>1.8015997734838922</v>
      </c>
      <c r="R107" s="33">
        <v>83560.960000000006</v>
      </c>
      <c r="S107" s="33">
        <v>82054.697142857156</v>
      </c>
      <c r="T107" s="35">
        <f t="shared" si="27"/>
        <v>0.6785932979285717</v>
      </c>
      <c r="U107" s="35">
        <f t="shared" si="28"/>
        <v>0.66636103205015329</v>
      </c>
      <c r="V107" s="35">
        <v>3505469</v>
      </c>
      <c r="W107" s="35">
        <f t="shared" si="29"/>
        <v>28.467693160734058</v>
      </c>
      <c r="X107" s="31">
        <f>+'[1]Agregados MesTrim'!B313</f>
        <v>4998786.7894736845</v>
      </c>
      <c r="Y107" s="35">
        <f t="shared" si="30"/>
        <v>40.594832959203963</v>
      </c>
      <c r="Z107" s="33">
        <v>8186815</v>
      </c>
      <c r="AA107" s="35">
        <f t="shared" si="31"/>
        <v>66.484609444184215</v>
      </c>
      <c r="AB107" s="36">
        <v>0.34141447368421057</v>
      </c>
      <c r="AC107" s="5">
        <v>62800</v>
      </c>
      <c r="AD107" s="5">
        <v>140850</v>
      </c>
      <c r="AE107" s="10">
        <v>153.83919960469541</v>
      </c>
      <c r="AF107" s="10">
        <v>161.55963364381918</v>
      </c>
      <c r="AG107" s="10">
        <v>115.31269141606795</v>
      </c>
      <c r="AH107" s="10">
        <v>160.80907686240587</v>
      </c>
      <c r="AI107" s="10">
        <v>372.48930849962488</v>
      </c>
      <c r="AJ107">
        <v>182.26717782079112</v>
      </c>
      <c r="AK107">
        <v>88.683285978394707</v>
      </c>
      <c r="AL107">
        <v>81.212173826561681</v>
      </c>
      <c r="AM107">
        <v>150.15466878309417</v>
      </c>
      <c r="AN107">
        <v>100.53027257360192</v>
      </c>
      <c r="AO107">
        <v>203.34850018027839</v>
      </c>
      <c r="AP107">
        <v>221.65319177354289</v>
      </c>
      <c r="AQ107">
        <v>187.73846932372146</v>
      </c>
      <c r="AR107">
        <v>147.05016491760708</v>
      </c>
      <c r="AS107">
        <v>149.54533499628238</v>
      </c>
      <c r="AT107">
        <v>40.210735</v>
      </c>
      <c r="AU107" s="38">
        <v>131.25159846701814</v>
      </c>
      <c r="AV107" s="34">
        <f>+VLOOKUP(A107,'[2]Salario Real'!$A$5:$C$292,2)</f>
        <v>98.514796819742813</v>
      </c>
      <c r="AW107" s="31">
        <v>3338045</v>
      </c>
      <c r="AX107" s="17">
        <v>1231.3849879607208</v>
      </c>
      <c r="AY107" s="17">
        <v>1712</v>
      </c>
      <c r="AZ107" s="16">
        <v>1.52</v>
      </c>
      <c r="BB107">
        <v>139.5</v>
      </c>
    </row>
    <row r="108" spans="1:54" x14ac:dyDescent="0.25">
      <c r="A108" s="2">
        <v>44530</v>
      </c>
      <c r="B108" s="1">
        <v>2.5010150428882438E-2</v>
      </c>
      <c r="C108" s="31">
        <v>46490</v>
      </c>
      <c r="D108" s="31">
        <v>32513</v>
      </c>
      <c r="E108" s="31">
        <v>27811</v>
      </c>
      <c r="F108" s="31">
        <v>9054</v>
      </c>
      <c r="G108" s="31">
        <v>1150124</v>
      </c>
      <c r="H108" s="32">
        <v>189.90745602706701</v>
      </c>
      <c r="I108" s="11">
        <v>326.60000000000002</v>
      </c>
      <c r="J108" s="11">
        <v>450.9</v>
      </c>
      <c r="K108" s="11">
        <v>213.8</v>
      </c>
      <c r="L108" s="9">
        <v>114451.37403407</v>
      </c>
      <c r="M108" s="9">
        <v>312196.21068517002</v>
      </c>
      <c r="N108" s="9">
        <v>228249.97159633003</v>
      </c>
      <c r="O108" s="35">
        <f t="shared" si="24"/>
        <v>0.90652224711733087</v>
      </c>
      <c r="P108" s="35">
        <f t="shared" si="25"/>
        <v>2.4727777437393494</v>
      </c>
      <c r="Q108" s="35">
        <f t="shared" si="26"/>
        <v>1.8078741203611741</v>
      </c>
      <c r="R108" s="33">
        <v>79315.789999999994</v>
      </c>
      <c r="S108" s="33">
        <v>88706.951363636355</v>
      </c>
      <c r="T108" s="35">
        <f t="shared" si="27"/>
        <v>0.62822774116527946</v>
      </c>
      <c r="U108" s="35">
        <f t="shared" si="28"/>
        <v>0.7026112666952643</v>
      </c>
      <c r="V108" s="35">
        <v>3315874</v>
      </c>
      <c r="W108" s="35">
        <f t="shared" si="29"/>
        <v>26.263673765446701</v>
      </c>
      <c r="X108" s="31">
        <f>+'[1]Agregados MesTrim'!B314</f>
        <v>5264643.6190476194</v>
      </c>
      <c r="Y108" s="35">
        <f t="shared" si="30"/>
        <v>41.69907617177472</v>
      </c>
      <c r="Z108" s="33">
        <v>8617294</v>
      </c>
      <c r="AA108" s="35">
        <f t="shared" si="31"/>
        <v>68.254040520520761</v>
      </c>
      <c r="AB108" s="36">
        <v>0.34175595238095241</v>
      </c>
      <c r="AC108" s="5">
        <v>62394</v>
      </c>
      <c r="AD108" s="5">
        <v>152870</v>
      </c>
      <c r="AE108" s="10">
        <v>155.84283028490344</v>
      </c>
      <c r="AF108" s="10">
        <v>161.76270006955696</v>
      </c>
      <c r="AG108" s="10">
        <v>111.81447011743481</v>
      </c>
      <c r="AH108" s="10">
        <v>160.09594996889629</v>
      </c>
      <c r="AI108" s="10">
        <v>380.04417739176165</v>
      </c>
      <c r="AJ108">
        <v>177.43101831743729</v>
      </c>
      <c r="AK108">
        <v>106.62097016636297</v>
      </c>
      <c r="AL108">
        <v>81.415849806789026</v>
      </c>
      <c r="AM108">
        <v>163.11661013217588</v>
      </c>
      <c r="AN108">
        <v>97.71435597971545</v>
      </c>
      <c r="AO108">
        <v>209.88571489612801</v>
      </c>
      <c r="AP108">
        <v>218.54469160893345</v>
      </c>
      <c r="AQ108">
        <v>186.38266251160121</v>
      </c>
      <c r="AR108">
        <v>133.33624320526815</v>
      </c>
      <c r="AS108">
        <v>169.41292941326896</v>
      </c>
      <c r="AT108">
        <v>39.691459999999999</v>
      </c>
      <c r="AU108" s="38">
        <v>132.55445198042304</v>
      </c>
      <c r="AV108" s="34">
        <f>+VLOOKUP(A108,'[2]Salario Real'!$A$5:$C$292,2)</f>
        <v>100.3793481588406</v>
      </c>
      <c r="AW108" s="31">
        <v>2920428</v>
      </c>
      <c r="AX108" s="17">
        <v>1262.5324353375368</v>
      </c>
      <c r="AY108" s="17">
        <v>1872</v>
      </c>
      <c r="AZ108" s="16">
        <v>1.45</v>
      </c>
      <c r="BB108">
        <v>143.80000000000001</v>
      </c>
    </row>
    <row r="109" spans="1:54" x14ac:dyDescent="0.25">
      <c r="A109" s="2">
        <v>44561</v>
      </c>
      <c r="B109" s="1">
        <v>2.5010150428882438E-2</v>
      </c>
      <c r="C109" s="31">
        <v>39849</v>
      </c>
      <c r="D109" s="31">
        <v>19615</v>
      </c>
      <c r="E109" s="31">
        <v>32723</v>
      </c>
      <c r="F109" s="31">
        <v>11367</v>
      </c>
      <c r="G109" s="31">
        <v>1034552</v>
      </c>
      <c r="H109" s="32">
        <v>197.92973595523799</v>
      </c>
      <c r="I109" s="11">
        <v>306.8</v>
      </c>
      <c r="J109" s="11">
        <v>428.5</v>
      </c>
      <c r="K109" s="11">
        <v>196.7</v>
      </c>
      <c r="L109" s="9">
        <v>126241.91810290999</v>
      </c>
      <c r="M109" s="9">
        <v>349998.41563072999</v>
      </c>
      <c r="N109" s="9">
        <v>259595.07857695001</v>
      </c>
      <c r="O109" s="35">
        <f t="shared" si="24"/>
        <v>0.96293391935364558</v>
      </c>
      <c r="P109" s="35">
        <f t="shared" si="25"/>
        <v>2.6696785916713379</v>
      </c>
      <c r="Q109" s="35">
        <f t="shared" si="26"/>
        <v>1.9801101743023815</v>
      </c>
      <c r="R109" s="33">
        <v>83500.11</v>
      </c>
      <c r="S109" s="33">
        <v>84643.486086956531</v>
      </c>
      <c r="T109" s="35">
        <f t="shared" si="27"/>
        <v>0.63691275764057909</v>
      </c>
      <c r="U109" s="35">
        <f t="shared" si="28"/>
        <v>0.64563407329589706</v>
      </c>
      <c r="V109" s="35">
        <v>3486253</v>
      </c>
      <c r="W109" s="35">
        <f t="shared" si="29"/>
        <v>26.592048945357579</v>
      </c>
      <c r="X109" s="31">
        <f>+'[1]Agregados MesTrim'!B315</f>
        <v>5642222.9000000004</v>
      </c>
      <c r="Y109" s="35">
        <f t="shared" si="30"/>
        <v>43.037113920710105</v>
      </c>
      <c r="Z109" s="33">
        <v>9442876</v>
      </c>
      <c r="AA109" s="35">
        <f t="shared" si="31"/>
        <v>72.027308625318469</v>
      </c>
      <c r="AB109" s="36">
        <v>0.34200000000000003</v>
      </c>
      <c r="AC109" s="5">
        <v>63084</v>
      </c>
      <c r="AD109" s="5">
        <v>150740</v>
      </c>
      <c r="AE109" s="10">
        <v>158.98914156966958</v>
      </c>
      <c r="AF109" s="10">
        <v>165.71407407189614</v>
      </c>
      <c r="AG109" s="10">
        <v>104.10820830913627</v>
      </c>
      <c r="AH109" s="10">
        <v>148.15775766620419</v>
      </c>
      <c r="AI109" s="10">
        <v>336.43609346063926</v>
      </c>
      <c r="AJ109">
        <v>182.9769671247185</v>
      </c>
      <c r="AK109">
        <v>104.9605349232239</v>
      </c>
      <c r="AL109">
        <v>73.205673947273283</v>
      </c>
      <c r="AM109">
        <v>154.06172808490203</v>
      </c>
      <c r="AN109">
        <v>103.02550218340612</v>
      </c>
      <c r="AO109">
        <v>156.80918042674557</v>
      </c>
      <c r="AP109">
        <v>201.7131420230443</v>
      </c>
      <c r="AQ109">
        <v>182.27315649790145</v>
      </c>
      <c r="AR109">
        <v>127.26263021330031</v>
      </c>
      <c r="AS109">
        <v>145.46372060302448</v>
      </c>
      <c r="AT109">
        <v>37.765217</v>
      </c>
      <c r="AU109" s="38">
        <v>133.45911824883018</v>
      </c>
      <c r="AV109" s="34">
        <f>+VLOOKUP(A109,'[2]Salario Real'!$A$5:$C$292,2)</f>
        <v>98.059360448988869</v>
      </c>
      <c r="AW109" s="31">
        <v>2957255</v>
      </c>
      <c r="AX109" s="17">
        <v>1311.0133059561128</v>
      </c>
      <c r="AY109" s="17">
        <v>1688</v>
      </c>
      <c r="AZ109" s="16">
        <v>1.42</v>
      </c>
      <c r="BB109">
        <v>147.19999999999999</v>
      </c>
    </row>
    <row r="110" spans="1:54" x14ac:dyDescent="0.25">
      <c r="A110" s="2">
        <v>44592</v>
      </c>
      <c r="B110" s="1">
        <v>1.874703148602741E-2</v>
      </c>
      <c r="C110" s="31">
        <v>18651</v>
      </c>
      <c r="D110" s="31">
        <v>9298</v>
      </c>
      <c r="E110" s="31">
        <v>20147</v>
      </c>
      <c r="F110" s="31">
        <v>4682</v>
      </c>
      <c r="G110" s="31">
        <v>886157</v>
      </c>
      <c r="H110" s="32">
        <v>189.73793995485701</v>
      </c>
      <c r="I110" s="11">
        <v>324.5</v>
      </c>
      <c r="J110" s="11">
        <v>353.8</v>
      </c>
      <c r="K110" s="11">
        <v>157.1</v>
      </c>
      <c r="L110" s="9">
        <v>108988.47210314001</v>
      </c>
      <c r="M110" s="9">
        <v>359213.57152698003</v>
      </c>
      <c r="N110" s="9">
        <v>238619.85187392001</v>
      </c>
      <c r="O110" s="35">
        <f t="shared" si="24"/>
        <v>0.8003124572362118</v>
      </c>
      <c r="P110" s="35">
        <f t="shared" si="25"/>
        <v>2.637738565866826</v>
      </c>
      <c r="Q110" s="35">
        <f t="shared" si="26"/>
        <v>1.7522076997082323</v>
      </c>
      <c r="R110" s="33">
        <v>90907.520000000004</v>
      </c>
      <c r="S110" s="33">
        <v>85002.125714285721</v>
      </c>
      <c r="T110" s="35">
        <f t="shared" si="27"/>
        <v>0.66754234928258971</v>
      </c>
      <c r="U110" s="35">
        <f t="shared" si="28"/>
        <v>0.62417849143094339</v>
      </c>
      <c r="V110" s="35">
        <v>3782133</v>
      </c>
      <c r="W110" s="35">
        <f t="shared" si="29"/>
        <v>27.772553339032992</v>
      </c>
      <c r="X110" s="31">
        <f>+'[1]Agregados MesTrim'!B316</f>
        <v>5891023.9454545453</v>
      </c>
      <c r="Y110" s="35">
        <f t="shared" si="30"/>
        <v>43.258335110546604</v>
      </c>
      <c r="Z110" s="33">
        <v>9149386</v>
      </c>
      <c r="AA110" s="35">
        <f t="shared" si="31"/>
        <v>67.184789827433818</v>
      </c>
      <c r="AB110" s="36">
        <v>0.36925595238095243</v>
      </c>
      <c r="AC110" s="5">
        <v>59651</v>
      </c>
      <c r="AD110" s="5">
        <v>117858</v>
      </c>
      <c r="AE110" s="10">
        <v>156.84246101771828</v>
      </c>
      <c r="AF110" s="10">
        <v>144.40610714886975</v>
      </c>
      <c r="AG110" s="10">
        <v>67.502378758341678</v>
      </c>
      <c r="AH110" s="10">
        <v>154.85833507919131</v>
      </c>
      <c r="AI110" s="10">
        <v>207.17726250327291</v>
      </c>
      <c r="AJ110">
        <v>159.74263191496939</v>
      </c>
      <c r="AK110">
        <v>90.432062651763786</v>
      </c>
      <c r="AL110">
        <v>68.309416899155678</v>
      </c>
      <c r="AM110">
        <v>150.64709529585221</v>
      </c>
      <c r="AN110">
        <v>100.2914967037611</v>
      </c>
      <c r="AO110">
        <v>206.04638652671022</v>
      </c>
      <c r="AP110">
        <v>177.05129942441306</v>
      </c>
      <c r="AQ110">
        <v>161.58916968515757</v>
      </c>
      <c r="AR110">
        <v>94.313239124621745</v>
      </c>
      <c r="AS110">
        <v>67.992328454754173</v>
      </c>
      <c r="AT110">
        <v>40.139918999999999</v>
      </c>
      <c r="AU110" s="38">
        <v>132.21725536833441</v>
      </c>
      <c r="AV110" s="34">
        <f>+VLOOKUP(A110,'[2]Salario Real'!$A$5:$C$292,2)</f>
        <v>98.771441924248805</v>
      </c>
      <c r="AW110" s="31">
        <v>2517871</v>
      </c>
      <c r="AX110" s="17">
        <v>1361.8240115806684</v>
      </c>
      <c r="AY110" s="17">
        <v>1756</v>
      </c>
      <c r="AZ110" s="16">
        <v>1.54</v>
      </c>
      <c r="BB110">
        <v>139.6</v>
      </c>
    </row>
    <row r="111" spans="1:54" x14ac:dyDescent="0.25">
      <c r="A111" s="2">
        <v>44620</v>
      </c>
      <c r="B111" s="1">
        <v>1.874703148602741E-2</v>
      </c>
      <c r="C111" s="31">
        <v>37661</v>
      </c>
      <c r="D111" s="31">
        <v>20024</v>
      </c>
      <c r="E111" s="31">
        <v>25432</v>
      </c>
      <c r="F111" s="31">
        <v>7237</v>
      </c>
      <c r="G111" s="31">
        <v>948858</v>
      </c>
      <c r="H111" s="32">
        <v>199.91848276795599</v>
      </c>
      <c r="I111" s="11">
        <v>259.60000000000002</v>
      </c>
      <c r="J111" s="11">
        <v>318.89999999999998</v>
      </c>
      <c r="K111" s="11">
        <v>163.69999999999999</v>
      </c>
      <c r="L111" s="9">
        <v>146690.22590413</v>
      </c>
      <c r="M111" s="9">
        <v>335525.23135603999</v>
      </c>
      <c r="N111" s="9">
        <v>243350.53058806001</v>
      </c>
      <c r="O111" s="35">
        <f t="shared" si="24"/>
        <v>1.0289168053878519</v>
      </c>
      <c r="P111" s="35">
        <f t="shared" si="25"/>
        <v>2.3534461621151324</v>
      </c>
      <c r="Q111" s="35">
        <f t="shared" si="26"/>
        <v>1.7069129792311259</v>
      </c>
      <c r="R111" s="33">
        <v>87969.87</v>
      </c>
      <c r="S111" s="33">
        <v>88995.794500000004</v>
      </c>
      <c r="T111" s="35">
        <f t="shared" si="27"/>
        <v>0.61703959519388984</v>
      </c>
      <c r="U111" s="35">
        <f t="shared" si="28"/>
        <v>0.62423565036800222</v>
      </c>
      <c r="V111" s="35">
        <v>3689707</v>
      </c>
      <c r="W111" s="35">
        <f t="shared" si="29"/>
        <v>25.880398750891203</v>
      </c>
      <c r="X111" s="31">
        <f>+'[1]Agregados MesTrim'!B317</f>
        <v>5716607.2631578948</v>
      </c>
      <c r="Y111" s="35">
        <f t="shared" si="30"/>
        <v>40.097513291100668</v>
      </c>
      <c r="Z111" s="33">
        <v>9205450</v>
      </c>
      <c r="AA111" s="35">
        <f t="shared" si="31"/>
        <v>64.56900688357949</v>
      </c>
      <c r="AB111" s="36">
        <v>0.38315789473684214</v>
      </c>
      <c r="AC111" s="5">
        <v>57255</v>
      </c>
      <c r="AD111" s="5">
        <v>121553</v>
      </c>
      <c r="AE111" s="10">
        <v>163.22197071379017</v>
      </c>
      <c r="AF111" s="10">
        <v>142.66329455840591</v>
      </c>
      <c r="AG111" s="10">
        <v>104.00905134116641</v>
      </c>
      <c r="AH111" s="10">
        <v>145.22786096927021</v>
      </c>
      <c r="AI111" s="10">
        <v>317.2458961845046</v>
      </c>
      <c r="AJ111">
        <v>157.25322342897158</v>
      </c>
      <c r="AK111">
        <v>91.316755360021858</v>
      </c>
      <c r="AL111">
        <v>85.884800085245899</v>
      </c>
      <c r="AM111">
        <v>147.35580679201541</v>
      </c>
      <c r="AN111">
        <v>81.388835624735862</v>
      </c>
      <c r="AO111">
        <v>199.36861369283719</v>
      </c>
      <c r="AP111">
        <v>184.43044647666875</v>
      </c>
      <c r="AQ111">
        <v>145.74092383351493</v>
      </c>
      <c r="AR111">
        <v>127.68458373186411</v>
      </c>
      <c r="AS111">
        <v>137.38347701091675</v>
      </c>
      <c r="AT111">
        <v>39.426281000000003</v>
      </c>
      <c r="AU111" s="38">
        <v>136.46845193514761</v>
      </c>
      <c r="AV111" s="34">
        <f>+VLOOKUP(A111,'[2]Salario Real'!$A$5:$C$292,2)</f>
        <v>97.998989179334004</v>
      </c>
      <c r="AW111" s="31">
        <v>2643817</v>
      </c>
      <c r="AX111" s="17">
        <v>1425.6762561948328</v>
      </c>
      <c r="AY111" s="17">
        <v>1795</v>
      </c>
      <c r="AZ111" s="16">
        <v>1.49</v>
      </c>
      <c r="BB111">
        <v>137.80000000000001</v>
      </c>
    </row>
    <row r="112" spans="1:54" x14ac:dyDescent="0.25">
      <c r="A112" s="2">
        <v>44651</v>
      </c>
      <c r="B112" s="1">
        <v>1.874703148602741E-2</v>
      </c>
      <c r="C112" s="31">
        <v>48746</v>
      </c>
      <c r="D112" s="31">
        <v>24623</v>
      </c>
      <c r="E112" s="31">
        <v>33827</v>
      </c>
      <c r="F112" s="31">
        <v>10307</v>
      </c>
      <c r="G112" s="31">
        <v>1058689</v>
      </c>
      <c r="H112" s="32">
        <v>193.61818831390099</v>
      </c>
      <c r="I112" s="11">
        <v>311.10000000000002</v>
      </c>
      <c r="J112" s="11">
        <v>416.7</v>
      </c>
      <c r="K112" s="11">
        <v>196.4</v>
      </c>
      <c r="L112" s="9">
        <v>184412.12177483001</v>
      </c>
      <c r="M112" s="9">
        <v>384314.16498055001</v>
      </c>
      <c r="N112" s="9">
        <v>231162.49739859</v>
      </c>
      <c r="O112" s="35">
        <f t="shared" si="24"/>
        <v>1.2118909715517157</v>
      </c>
      <c r="P112" s="35">
        <f t="shared" si="25"/>
        <v>2.525576205603496</v>
      </c>
      <c r="Q112" s="35">
        <f t="shared" si="26"/>
        <v>1.5191178370625653</v>
      </c>
      <c r="R112" s="33">
        <v>90959.59</v>
      </c>
      <c r="S112" s="33">
        <v>89298.579565217413</v>
      </c>
      <c r="T112" s="35">
        <f t="shared" si="27"/>
        <v>0.59775412177970599</v>
      </c>
      <c r="U112" s="35">
        <f t="shared" si="28"/>
        <v>0.58683855109924898</v>
      </c>
      <c r="V112" s="35">
        <v>3802758</v>
      </c>
      <c r="W112" s="35">
        <f t="shared" si="29"/>
        <v>24.990375051500905</v>
      </c>
      <c r="X112" s="31">
        <f>+'[1]Agregados MesTrim'!B318</f>
        <v>5800396.5238095243</v>
      </c>
      <c r="Y112" s="35">
        <f t="shared" si="30"/>
        <v>38.118145981790619</v>
      </c>
      <c r="Z112" s="33">
        <v>9251632</v>
      </c>
      <c r="AA112" s="35">
        <f t="shared" si="31"/>
        <v>60.798439847728261</v>
      </c>
      <c r="AB112" s="36">
        <v>0.40541666666666665</v>
      </c>
      <c r="AC112" s="5">
        <v>64820</v>
      </c>
      <c r="AD112" s="5">
        <v>140248</v>
      </c>
      <c r="AE112" s="10">
        <v>162.13442557196794</v>
      </c>
      <c r="AF112" s="10">
        <v>158.69410639294159</v>
      </c>
      <c r="AG112" s="10">
        <v>169.84793175510839</v>
      </c>
      <c r="AH112" s="10">
        <v>163.6535218570078</v>
      </c>
      <c r="AI112" s="10">
        <v>422.3230635259614</v>
      </c>
      <c r="AJ112">
        <v>178.27882673322804</v>
      </c>
      <c r="AK112">
        <v>89.769328241989726</v>
      </c>
      <c r="AL112">
        <v>96.713021968912003</v>
      </c>
      <c r="AM112">
        <v>157.2972077256687</v>
      </c>
      <c r="AN112">
        <v>93.837758219467531</v>
      </c>
      <c r="AO112">
        <v>210.94089525089308</v>
      </c>
      <c r="AP112">
        <v>205.47531255653686</v>
      </c>
      <c r="AQ112">
        <v>182.45552746910232</v>
      </c>
      <c r="AR112">
        <v>214.53885307412531</v>
      </c>
      <c r="AS112">
        <v>177.86582953973758</v>
      </c>
      <c r="AT112">
        <v>36.913711999999997</v>
      </c>
      <c r="AU112" s="38">
        <v>137.17988931265145</v>
      </c>
      <c r="AV112" s="34">
        <f>+VLOOKUP(A112,'[2]Salario Real'!$A$5:$C$292,2)</f>
        <v>96.792032626312164</v>
      </c>
      <c r="AW112" s="31">
        <v>2934752</v>
      </c>
      <c r="AX112" s="17">
        <v>1521.6890471484176</v>
      </c>
      <c r="AY112" s="17">
        <v>1785</v>
      </c>
      <c r="AZ112" s="16">
        <v>1.51</v>
      </c>
      <c r="BB112">
        <v>153.9</v>
      </c>
    </row>
    <row r="113" spans="1:54" x14ac:dyDescent="0.25">
      <c r="A113" s="2">
        <v>44680</v>
      </c>
      <c r="B113" s="1">
        <v>1.3888104283082736E-2</v>
      </c>
      <c r="C113" s="31">
        <v>43826</v>
      </c>
      <c r="D113" s="31">
        <v>27431</v>
      </c>
      <c r="E113" s="31">
        <v>30861</v>
      </c>
      <c r="F113" s="31">
        <v>10338</v>
      </c>
      <c r="G113" s="31">
        <v>1049302</v>
      </c>
      <c r="H113" s="32">
        <v>200.758272331093</v>
      </c>
      <c r="I113" s="11">
        <v>284.10000000000002</v>
      </c>
      <c r="J113" s="11">
        <v>354.5</v>
      </c>
      <c r="K113" s="11">
        <v>176.3</v>
      </c>
      <c r="L113" s="9">
        <v>142321.23676809002</v>
      </c>
      <c r="M113" s="9">
        <v>423795.16564349993</v>
      </c>
      <c r="N113" s="9">
        <v>265628.44761853002</v>
      </c>
      <c r="O113" s="35">
        <f t="shared" si="24"/>
        <v>0.88199936205258556</v>
      </c>
      <c r="P113" s="35">
        <f t="shared" si="25"/>
        <v>2.6263618432969089</v>
      </c>
      <c r="Q113" s="35">
        <f t="shared" si="26"/>
        <v>1.6461641752335527</v>
      </c>
      <c r="R113" s="33">
        <v>88250.97</v>
      </c>
      <c r="S113" s="33">
        <v>91169.736190476193</v>
      </c>
      <c r="T113" s="35">
        <f t="shared" si="27"/>
        <v>0.54691275180074772</v>
      </c>
      <c r="U113" s="35">
        <f t="shared" si="28"/>
        <v>0.56500105665559874</v>
      </c>
      <c r="V113" s="35">
        <v>3720833</v>
      </c>
      <c r="W113" s="35">
        <f t="shared" si="29"/>
        <v>23.058908191275759</v>
      </c>
      <c r="X113" s="31">
        <f>+'[1]Agregados MesTrim'!B319</f>
        <v>5909559.2105263155</v>
      </c>
      <c r="Y113" s="35">
        <f t="shared" si="30"/>
        <v>36.622977512410358</v>
      </c>
      <c r="Z113" s="33">
        <v>9623304</v>
      </c>
      <c r="AA113" s="35">
        <f t="shared" si="31"/>
        <v>59.637958336946802</v>
      </c>
      <c r="AB113" s="36">
        <v>0.4327302631578947</v>
      </c>
      <c r="AC113" s="5">
        <v>59406</v>
      </c>
      <c r="AD113" s="5">
        <v>130364</v>
      </c>
      <c r="AE113" s="10">
        <v>167.72412703089378</v>
      </c>
      <c r="AF113" s="10">
        <v>153.0804189105196</v>
      </c>
      <c r="AG113" s="10">
        <v>177.47021200670864</v>
      </c>
      <c r="AH113" s="10">
        <v>159.39908871723051</v>
      </c>
      <c r="AI113" s="10">
        <v>349.73638095724391</v>
      </c>
      <c r="AJ113">
        <v>171.21216522326148</v>
      </c>
      <c r="AK113">
        <v>89.269112423577269</v>
      </c>
      <c r="AL113">
        <v>95.638625225369751</v>
      </c>
      <c r="AM113">
        <v>143.14389552923262</v>
      </c>
      <c r="AN113">
        <v>102.53522007324973</v>
      </c>
      <c r="AO113">
        <v>207.00702567289966</v>
      </c>
      <c r="AP113">
        <v>202.60814868948069</v>
      </c>
      <c r="AQ113">
        <v>158.49350358535929</v>
      </c>
      <c r="AR113">
        <v>220.18051560721668</v>
      </c>
      <c r="AS113">
        <v>159.84093002270947</v>
      </c>
      <c r="AT113">
        <v>35.716076000000001</v>
      </c>
      <c r="AU113" s="38">
        <v>136.20006712650991</v>
      </c>
      <c r="AV113" s="34">
        <f>+VLOOKUP(A113,'[2]Salario Real'!$A$5:$C$292,2)</f>
        <v>96.389117678284236</v>
      </c>
      <c r="AW113" s="31">
        <v>3927838</v>
      </c>
      <c r="AX113" s="17">
        <v>1613.6206316167916</v>
      </c>
      <c r="AY113" s="17">
        <v>1801</v>
      </c>
      <c r="AZ113" s="16">
        <v>1.51</v>
      </c>
      <c r="BB113">
        <v>157.69999999999999</v>
      </c>
    </row>
    <row r="114" spans="1:54" x14ac:dyDescent="0.25">
      <c r="A114" s="2">
        <v>44712</v>
      </c>
      <c r="B114" s="1">
        <v>1.3888104283082736E-2</v>
      </c>
      <c r="C114" s="31">
        <v>46422</v>
      </c>
      <c r="D114" s="31">
        <v>26781</v>
      </c>
      <c r="E114" s="31">
        <v>33730</v>
      </c>
      <c r="F114" s="31">
        <v>10759</v>
      </c>
      <c r="G114" s="31">
        <v>1098484</v>
      </c>
      <c r="H114" s="32">
        <v>202.531537313222</v>
      </c>
      <c r="I114" s="11">
        <v>328.7</v>
      </c>
      <c r="J114" s="11">
        <v>446.9</v>
      </c>
      <c r="K114" s="11">
        <v>192</v>
      </c>
      <c r="L114" s="9">
        <v>175172.02429942999</v>
      </c>
      <c r="M114" s="9">
        <v>416664.37160334003</v>
      </c>
      <c r="N114" s="9">
        <v>434631.13550273003</v>
      </c>
      <c r="O114" s="35">
        <f t="shared" si="24"/>
        <v>1.0334018708004451</v>
      </c>
      <c r="P114" s="35">
        <f t="shared" si="25"/>
        <v>2.4580508379281456</v>
      </c>
      <c r="Q114" s="35">
        <f t="shared" si="26"/>
        <v>2.5640431474885026</v>
      </c>
      <c r="R114" s="33">
        <v>92288.03</v>
      </c>
      <c r="S114" s="33">
        <v>89075.76</v>
      </c>
      <c r="T114" s="35">
        <f t="shared" si="27"/>
        <v>0.54443980559056615</v>
      </c>
      <c r="U114" s="35">
        <f t="shared" si="28"/>
        <v>0.52548948609296264</v>
      </c>
      <c r="V114" s="35">
        <v>3875359</v>
      </c>
      <c r="W114" s="35">
        <f t="shared" si="29"/>
        <v>22.862116577346498</v>
      </c>
      <c r="X114" s="31">
        <f>+'[1]Agregados MesTrim'!B320</f>
        <v>6228671.25</v>
      </c>
      <c r="Y114" s="35">
        <f t="shared" si="30"/>
        <v>36.745139802394185</v>
      </c>
      <c r="Z114" s="33">
        <v>10235871</v>
      </c>
      <c r="AA114" s="35">
        <f t="shared" si="31"/>
        <v>60.385031702270744</v>
      </c>
      <c r="AB114" s="36">
        <v>0.45521875000000001</v>
      </c>
      <c r="AC114" s="5">
        <v>62291</v>
      </c>
      <c r="AD114" s="5">
        <v>138552</v>
      </c>
      <c r="AE114" s="10">
        <v>167.3125706013405</v>
      </c>
      <c r="AF114" s="10">
        <v>161.00729824313166</v>
      </c>
      <c r="AG114" s="10">
        <v>170.29308265171875</v>
      </c>
      <c r="AH114" s="10">
        <v>168.17806595287615</v>
      </c>
      <c r="AI114" s="10">
        <v>340.70498604597185</v>
      </c>
      <c r="AJ114">
        <v>177.8414995533482</v>
      </c>
      <c r="AK114">
        <v>101.7624598949233</v>
      </c>
      <c r="AL114">
        <v>97.084786375967724</v>
      </c>
      <c r="AM114">
        <v>147.15301989215234</v>
      </c>
      <c r="AN114">
        <v>105.69475744471053</v>
      </c>
      <c r="AO114">
        <v>219.6445403090425</v>
      </c>
      <c r="AP114">
        <v>212.61040822433009</v>
      </c>
      <c r="AQ114">
        <v>192.90946577296592</v>
      </c>
      <c r="AR114">
        <v>203.6488641631972</v>
      </c>
      <c r="AS114">
        <v>169.67151326103854</v>
      </c>
      <c r="AT114">
        <v>36.299999999999997</v>
      </c>
      <c r="AU114" s="38">
        <v>135.77993212393011</v>
      </c>
      <c r="AV114" s="34">
        <f>+VLOOKUP(A114,'[2]Salario Real'!$A$5:$C$292,2)</f>
        <v>98.15127227256967</v>
      </c>
      <c r="AW114" s="31">
        <v>4142910</v>
      </c>
      <c r="AX114" s="17">
        <v>1695.10070814703</v>
      </c>
      <c r="AY114" s="17">
        <v>1916</v>
      </c>
      <c r="AZ114" s="16">
        <v>1.3</v>
      </c>
      <c r="BB114">
        <v>164.7</v>
      </c>
    </row>
    <row r="115" spans="1:54" x14ac:dyDescent="0.25">
      <c r="A115" s="2">
        <v>44742</v>
      </c>
      <c r="B115" s="1">
        <v>1.3888104283082736E-2</v>
      </c>
      <c r="C115" s="31">
        <v>48392</v>
      </c>
      <c r="D115" s="31">
        <v>31892</v>
      </c>
      <c r="E115" s="31">
        <v>37236</v>
      </c>
      <c r="F115" s="31">
        <v>12587</v>
      </c>
      <c r="G115" s="31">
        <v>1109725</v>
      </c>
      <c r="H115" s="32">
        <v>199.48807196757801</v>
      </c>
      <c r="I115" s="11">
        <v>268.7</v>
      </c>
      <c r="J115" s="11">
        <v>463.6</v>
      </c>
      <c r="K115" s="11">
        <v>217.7</v>
      </c>
      <c r="L115" s="9">
        <v>148270.24123883998</v>
      </c>
      <c r="M115" s="9">
        <v>465273.31630771002</v>
      </c>
      <c r="N115" s="9">
        <v>464107.22889827</v>
      </c>
      <c r="O115" s="35">
        <f t="shared" si="24"/>
        <v>0.83068802369387329</v>
      </c>
      <c r="P115" s="35">
        <f t="shared" si="25"/>
        <v>2.6067062977159412</v>
      </c>
      <c r="Q115" s="35">
        <f t="shared" si="26"/>
        <v>2.6001732615685076</v>
      </c>
      <c r="R115" s="33">
        <v>88449.89</v>
      </c>
      <c r="S115" s="33">
        <v>88059.204999999973</v>
      </c>
      <c r="T115" s="35">
        <f t="shared" si="27"/>
        <v>0.49554289320730943</v>
      </c>
      <c r="U115" s="35">
        <f t="shared" si="28"/>
        <v>0.49335406996250142</v>
      </c>
      <c r="V115" s="35">
        <v>3737808</v>
      </c>
      <c r="W115" s="35">
        <f t="shared" si="29"/>
        <v>20.9411700859484</v>
      </c>
      <c r="X115" s="31">
        <f>+'[1]Agregados MesTrim'!B321</f>
        <v>6628583.75</v>
      </c>
      <c r="Y115" s="35">
        <f t="shared" si="30"/>
        <v>37.136819156495918</v>
      </c>
      <c r="Z115" s="33">
        <v>11535821</v>
      </c>
      <c r="AA115" s="35">
        <f t="shared" si="31"/>
        <v>64.629748141706429</v>
      </c>
      <c r="AB115" s="36">
        <v>0.48206249999999995</v>
      </c>
      <c r="AC115" s="5">
        <v>63798</v>
      </c>
      <c r="AD115" s="5">
        <v>133930</v>
      </c>
      <c r="AE115" s="10">
        <v>165.35057459007109</v>
      </c>
      <c r="AF115" s="10">
        <v>161.34802691974176</v>
      </c>
      <c r="AG115" s="10">
        <v>157.48251141668007</v>
      </c>
      <c r="AH115" s="10">
        <v>168.70543458119542</v>
      </c>
      <c r="AI115" s="10">
        <v>376.21006975159423</v>
      </c>
      <c r="AJ115">
        <v>184.26731206069579</v>
      </c>
      <c r="AK115">
        <v>80.687868578386755</v>
      </c>
      <c r="AL115">
        <v>92.678278007898015</v>
      </c>
      <c r="AM115">
        <v>148.29169956054088</v>
      </c>
      <c r="AN115">
        <v>102.26703376531904</v>
      </c>
      <c r="AO115">
        <v>215.87412022067718</v>
      </c>
      <c r="AP115">
        <v>211.66141511668778</v>
      </c>
      <c r="AQ115">
        <v>197.58457712239189</v>
      </c>
      <c r="AR115">
        <v>189.79684076798225</v>
      </c>
      <c r="AS115">
        <v>176.5350450789322</v>
      </c>
      <c r="AT115">
        <v>39.092655000000001</v>
      </c>
      <c r="AU115" s="38">
        <v>135.1883291792592</v>
      </c>
      <c r="AV115" s="34">
        <f>+VLOOKUP(A115,'[2]Salario Real'!$A$5:$C$292,2)</f>
        <v>97.929331576021312</v>
      </c>
      <c r="AW115" s="31">
        <v>3931703</v>
      </c>
      <c r="AX115" s="17">
        <v>1784.9088587977622</v>
      </c>
      <c r="AY115" s="17">
        <v>2356</v>
      </c>
      <c r="AZ115" s="16">
        <v>1.4</v>
      </c>
      <c r="BB115">
        <v>161.5</v>
      </c>
    </row>
    <row r="116" spans="1:54" x14ac:dyDescent="0.25">
      <c r="A116" s="2">
        <v>44771</v>
      </c>
      <c r="B116" s="1">
        <v>-4.9997286616432213E-3</v>
      </c>
      <c r="C116" s="31">
        <v>44033</v>
      </c>
      <c r="D116" s="31">
        <v>22937</v>
      </c>
      <c r="E116" s="31">
        <v>29432</v>
      </c>
      <c r="F116" s="31">
        <v>8619</v>
      </c>
      <c r="G116" s="31">
        <v>1152412</v>
      </c>
      <c r="H116" s="32">
        <v>201.659122464116</v>
      </c>
      <c r="I116" s="11">
        <v>227.3</v>
      </c>
      <c r="J116" s="11">
        <v>462.7</v>
      </c>
      <c r="K116" s="11">
        <v>234.5</v>
      </c>
      <c r="L116" s="9">
        <v>164744.77845923</v>
      </c>
      <c r="M116" s="9">
        <v>490805.63438862003</v>
      </c>
      <c r="N116" s="9">
        <v>396759.18120342999</v>
      </c>
      <c r="O116" s="35">
        <f t="shared" si="24"/>
        <v>0.85931234306644166</v>
      </c>
      <c r="P116" s="35">
        <f t="shared" si="25"/>
        <v>2.5600528503613229</v>
      </c>
      <c r="Q116" s="35">
        <f t="shared" si="26"/>
        <v>2.069504507649182</v>
      </c>
      <c r="R116" s="33">
        <v>122528.3</v>
      </c>
      <c r="S116" s="33">
        <v>107190.25714285711</v>
      </c>
      <c r="T116" s="35">
        <f t="shared" si="27"/>
        <v>0.63911027438726642</v>
      </c>
      <c r="U116" s="35">
        <f t="shared" si="28"/>
        <v>0.55910670966799547</v>
      </c>
      <c r="V116" s="35">
        <v>5152973</v>
      </c>
      <c r="W116" s="35">
        <f t="shared" si="29"/>
        <v>26.878019102037445</v>
      </c>
      <c r="X116" s="31">
        <f>+'[1]Agregados MesTrim'!B322</f>
        <v>7084612.9047619049</v>
      </c>
      <c r="Y116" s="35">
        <f t="shared" si="30"/>
        <v>36.953494804791625</v>
      </c>
      <c r="Z116" s="33">
        <v>11977634</v>
      </c>
      <c r="AA116" s="35">
        <f t="shared" si="31"/>
        <v>62.475599124857283</v>
      </c>
      <c r="AB116" s="36">
        <v>0.51071428571428568</v>
      </c>
      <c r="AC116" s="5">
        <v>63316</v>
      </c>
      <c r="AD116" s="5">
        <v>146112</v>
      </c>
      <c r="AE116" s="10">
        <v>162.42732838914085</v>
      </c>
      <c r="AF116" s="10">
        <v>173.76778315702484</v>
      </c>
      <c r="AG116" s="10">
        <v>128.69147208806805</v>
      </c>
      <c r="AH116" s="10">
        <v>160.22470465805299</v>
      </c>
      <c r="AI116" s="10">
        <v>409.70148049745853</v>
      </c>
      <c r="AJ116">
        <v>194.93534880580034</v>
      </c>
      <c r="AK116">
        <v>99.272475540279984</v>
      </c>
      <c r="AL116">
        <v>88.400407002195706</v>
      </c>
      <c r="AM116">
        <v>152.59996295892117</v>
      </c>
      <c r="AN116">
        <v>102.00104710522608</v>
      </c>
      <c r="AO116">
        <v>194.81038160711768</v>
      </c>
      <c r="AP116">
        <v>221.76484041545768</v>
      </c>
      <c r="AQ116">
        <v>197.85263515319744</v>
      </c>
      <c r="AR116">
        <v>166.462171094203</v>
      </c>
      <c r="AS116">
        <v>160.25030201627618</v>
      </c>
      <c r="AT116">
        <v>34.744396000000002</v>
      </c>
      <c r="AU116" s="38">
        <v>133.47567379680041</v>
      </c>
      <c r="AV116" s="34">
        <f>+VLOOKUP(A116,'[2]Salario Real'!$A$5:$C$292,2)</f>
        <v>96.078545724147205</v>
      </c>
      <c r="AW116" s="31">
        <v>3479766</v>
      </c>
      <c r="AX116" s="17">
        <v>1917.1699299854231</v>
      </c>
      <c r="AY116" s="17">
        <v>2398</v>
      </c>
      <c r="AZ116" s="16">
        <v>1.4</v>
      </c>
      <c r="BB116">
        <v>152.4</v>
      </c>
    </row>
    <row r="117" spans="1:54" x14ac:dyDescent="0.25">
      <c r="A117" s="2">
        <v>44804</v>
      </c>
      <c r="B117" s="1">
        <v>-4.9997286616432213E-3</v>
      </c>
      <c r="C117" s="31">
        <v>54057</v>
      </c>
      <c r="D117" s="31">
        <v>32479</v>
      </c>
      <c r="E117" s="31">
        <v>29171</v>
      </c>
      <c r="F117" s="31">
        <v>9016</v>
      </c>
      <c r="G117" s="31">
        <v>1231313</v>
      </c>
      <c r="H117" s="32">
        <v>195.667675543163</v>
      </c>
      <c r="I117" s="11">
        <v>281.89999999999998</v>
      </c>
      <c r="J117" s="11">
        <v>456.1</v>
      </c>
      <c r="K117" s="11">
        <v>223.1</v>
      </c>
      <c r="L117" s="9">
        <v>150166.74866704002</v>
      </c>
      <c r="M117" s="9">
        <v>518606.30334204994</v>
      </c>
      <c r="N117" s="9">
        <v>420040.33965119004</v>
      </c>
      <c r="O117" s="35">
        <f t="shared" si="24"/>
        <v>0.73223386538912405</v>
      </c>
      <c r="P117" s="35">
        <f t="shared" si="25"/>
        <v>2.5287961648107715</v>
      </c>
      <c r="Q117" s="35">
        <f t="shared" si="26"/>
        <v>2.0481748739470391</v>
      </c>
      <c r="R117" s="33">
        <v>136241</v>
      </c>
      <c r="S117" s="33">
        <v>129111.74478260873</v>
      </c>
      <c r="T117" s="35">
        <f t="shared" si="27"/>
        <v>0.66432998609881977</v>
      </c>
      <c r="U117" s="35">
        <f t="shared" si="28"/>
        <v>0.62956675021927921</v>
      </c>
      <c r="V117" s="35">
        <v>5755492</v>
      </c>
      <c r="W117" s="35">
        <f t="shared" si="29"/>
        <v>28.064576158071858</v>
      </c>
      <c r="X117" s="31">
        <f>+'[1]Agregados MesTrim'!B323</f>
        <v>7232147</v>
      </c>
      <c r="Y117" s="35">
        <f t="shared" si="30"/>
        <v>35.26495046259658</v>
      </c>
      <c r="Z117" s="33">
        <v>11866563</v>
      </c>
      <c r="AA117" s="35">
        <f t="shared" si="31"/>
        <v>57.863004769715197</v>
      </c>
      <c r="AB117" s="36">
        <v>0.60488636363636372</v>
      </c>
      <c r="AC117" s="5">
        <v>65719</v>
      </c>
      <c r="AD117" s="5">
        <v>143726</v>
      </c>
      <c r="AE117" s="10">
        <v>160.31876340085051</v>
      </c>
      <c r="AF117" s="10">
        <v>180.90672544991025</v>
      </c>
      <c r="AG117" s="10">
        <v>156.92116050421953</v>
      </c>
      <c r="AH117" s="10">
        <v>163.60845647398338</v>
      </c>
      <c r="AI117" s="10">
        <v>441.52023243327341</v>
      </c>
      <c r="AJ117">
        <v>202.29379561832826</v>
      </c>
      <c r="AK117">
        <v>105.63891253022422</v>
      </c>
      <c r="AL117">
        <v>86.434986936222344</v>
      </c>
      <c r="AM117">
        <v>139.04421817076778</v>
      </c>
      <c r="AN117">
        <v>105.32349149175941</v>
      </c>
      <c r="AO117">
        <v>203.47819461078319</v>
      </c>
      <c r="AP117">
        <v>229.55755128716402</v>
      </c>
      <c r="AQ117">
        <v>196.81919968041859</v>
      </c>
      <c r="AR117">
        <v>190.77138089813158</v>
      </c>
      <c r="AS117">
        <v>197.20788075531095</v>
      </c>
      <c r="AT117">
        <v>37.046005000000001</v>
      </c>
      <c r="AU117" s="38">
        <v>131.35369318623273</v>
      </c>
      <c r="AV117" s="34">
        <f>+VLOOKUP(A117,'[2]Salario Real'!$A$5:$C$292,2)</f>
        <v>97.129114148567893</v>
      </c>
      <c r="AW117" s="31">
        <v>3146980</v>
      </c>
      <c r="AX117" s="17">
        <v>2050.803107655207</v>
      </c>
      <c r="AY117" s="17">
        <v>2394</v>
      </c>
      <c r="AZ117" s="16">
        <v>1.18</v>
      </c>
      <c r="BA117">
        <v>171.4</v>
      </c>
      <c r="BB117">
        <v>151.5</v>
      </c>
    </row>
    <row r="118" spans="1:54" x14ac:dyDescent="0.25">
      <c r="A118" s="2">
        <v>44834</v>
      </c>
      <c r="B118" s="1">
        <v>-4.9997286616432213E-3</v>
      </c>
      <c r="C118" s="31">
        <v>52193</v>
      </c>
      <c r="D118" s="31">
        <v>35391</v>
      </c>
      <c r="E118" s="31">
        <v>34605</v>
      </c>
      <c r="F118" s="31">
        <v>11334</v>
      </c>
      <c r="G118" s="31">
        <v>1217863</v>
      </c>
      <c r="H118" s="32">
        <v>192.422788805453</v>
      </c>
      <c r="I118" s="11">
        <v>293.60000000000002</v>
      </c>
      <c r="J118" s="11">
        <v>428.7</v>
      </c>
      <c r="K118" s="11">
        <v>203.9</v>
      </c>
      <c r="L118" s="9">
        <v>497156.45544607</v>
      </c>
      <c r="M118" s="9">
        <v>561655.80678641004</v>
      </c>
      <c r="N118" s="9">
        <v>430877.35611898999</v>
      </c>
      <c r="O118" s="35">
        <f t="shared" si="24"/>
        <v>2.2834190781712529</v>
      </c>
      <c r="P118" s="35">
        <f t="shared" si="25"/>
        <v>2.5796619364643387</v>
      </c>
      <c r="Q118" s="35">
        <f t="shared" si="26"/>
        <v>1.9790019108397521</v>
      </c>
      <c r="R118" s="33">
        <v>139115.1</v>
      </c>
      <c r="S118" s="33">
        <v>142119.73636363636</v>
      </c>
      <c r="T118" s="35">
        <f t="shared" si="27"/>
        <v>0.6389499118877684</v>
      </c>
      <c r="U118" s="35">
        <f t="shared" si="28"/>
        <v>0.652750082680157</v>
      </c>
      <c r="V118" s="35">
        <v>5863701</v>
      </c>
      <c r="W118" s="35">
        <f t="shared" si="29"/>
        <v>26.931736650343627</v>
      </c>
      <c r="X118" s="31">
        <f>+'[1]Agregados MesTrim'!B324</f>
        <v>7570013.5238095243</v>
      </c>
      <c r="Y118" s="35">
        <f t="shared" si="30"/>
        <v>34.768759638797725</v>
      </c>
      <c r="Z118" s="33">
        <v>12873147</v>
      </c>
      <c r="AA118" s="35">
        <f t="shared" si="31"/>
        <v>59.125832791467566</v>
      </c>
      <c r="AB118" s="36">
        <v>0.66488095238095246</v>
      </c>
      <c r="AC118" s="5">
        <v>64477</v>
      </c>
      <c r="AD118" s="5">
        <v>136913</v>
      </c>
      <c r="AE118" s="10">
        <v>154.68067999982239</v>
      </c>
      <c r="AF118" s="10">
        <v>173.47974828550036</v>
      </c>
      <c r="AG118" s="10">
        <v>132.1949007254027</v>
      </c>
      <c r="AH118" s="10">
        <v>154.77852004688239</v>
      </c>
      <c r="AI118" s="10">
        <v>430.65369519285912</v>
      </c>
      <c r="AJ118">
        <v>196.60525315242245</v>
      </c>
      <c r="AK118">
        <v>92.09383799998983</v>
      </c>
      <c r="AL118">
        <v>86.173426169801985</v>
      </c>
      <c r="AM118">
        <v>144.74591845863046</v>
      </c>
      <c r="AN118">
        <v>99.015445921960819</v>
      </c>
      <c r="AO118">
        <v>171.03333892289984</v>
      </c>
      <c r="AP118">
        <v>228.91735664907534</v>
      </c>
      <c r="AQ118">
        <v>188.43874255750015</v>
      </c>
      <c r="AR118">
        <v>159.15384248904186</v>
      </c>
      <c r="AS118">
        <v>190.59021115058823</v>
      </c>
      <c r="AT118">
        <v>37.189380999999997</v>
      </c>
      <c r="AU118" s="38">
        <v>131.09571292647325</v>
      </c>
      <c r="AV118" s="34">
        <f>+VLOOKUP(A118,'[2]Salario Real'!$A$5:$C$292,2)</f>
        <v>96.81300360122053</v>
      </c>
      <c r="AW118" s="31">
        <v>2873464</v>
      </c>
      <c r="AX118" s="17">
        <v>2177.2457811127392</v>
      </c>
      <c r="AY118" s="17">
        <v>2801</v>
      </c>
      <c r="AZ118" s="16">
        <v>1.18</v>
      </c>
      <c r="BA118">
        <v>170.28</v>
      </c>
      <c r="BB118">
        <v>149.19999999999999</v>
      </c>
    </row>
    <row r="119" spans="1:54" x14ac:dyDescent="0.25">
      <c r="A119" s="2">
        <v>44865</v>
      </c>
      <c r="B119" s="1">
        <v>-1.939194740195993E-2</v>
      </c>
      <c r="C119" s="31">
        <v>52415</v>
      </c>
      <c r="D119" s="31">
        <v>37460</v>
      </c>
      <c r="E119" s="31">
        <v>33087</v>
      </c>
      <c r="F119" s="31">
        <v>12096</v>
      </c>
      <c r="G119" s="31">
        <v>1135811</v>
      </c>
      <c r="H119" s="32">
        <v>188.78241387729301</v>
      </c>
      <c r="I119" s="11">
        <v>274.8</v>
      </c>
      <c r="J119" s="11">
        <v>493</v>
      </c>
      <c r="K119" s="11">
        <v>205.3</v>
      </c>
      <c r="L119" s="9">
        <v>166406.11209766997</v>
      </c>
      <c r="M119" s="9">
        <v>600050.60739253997</v>
      </c>
      <c r="N119" s="9">
        <v>507003.67601589998</v>
      </c>
      <c r="O119" s="35">
        <f t="shared" si="24"/>
        <v>0.71868350362046018</v>
      </c>
      <c r="P119" s="35">
        <f t="shared" si="25"/>
        <v>2.5915302475028148</v>
      </c>
      <c r="Q119" s="35">
        <f t="shared" si="26"/>
        <v>2.1896742471436039</v>
      </c>
      <c r="R119" s="33">
        <v>149938.29999999999</v>
      </c>
      <c r="S119" s="33">
        <v>142131.41904761904</v>
      </c>
      <c r="T119" s="35">
        <f t="shared" si="27"/>
        <v>0.64756144718799946</v>
      </c>
      <c r="U119" s="35">
        <f t="shared" si="28"/>
        <v>0.61384467750641547</v>
      </c>
      <c r="V119" s="35">
        <v>6312971</v>
      </c>
      <c r="W119" s="35">
        <f t="shared" si="29"/>
        <v>27.264792496752811</v>
      </c>
      <c r="X119" s="31">
        <f>+'[1]Agregados MesTrim'!B325</f>
        <v>7907854.9052631576</v>
      </c>
      <c r="Y119" s="35">
        <f t="shared" si="30"/>
        <v>34.152861320989572</v>
      </c>
      <c r="Z119" s="33">
        <v>13162075</v>
      </c>
      <c r="AA119" s="35">
        <f t="shared" si="31"/>
        <v>56.845064503178889</v>
      </c>
      <c r="AB119" s="36">
        <v>0.69062500000000004</v>
      </c>
      <c r="AC119" s="5">
        <v>60809</v>
      </c>
      <c r="AD119" s="5">
        <v>118203</v>
      </c>
      <c r="AE119" s="10">
        <v>155.01611637638078</v>
      </c>
      <c r="AF119" s="10">
        <v>165.94364442931891</v>
      </c>
      <c r="AG119" s="10">
        <v>125.19656215431652</v>
      </c>
      <c r="AH119" s="10">
        <v>149.52460620515524</v>
      </c>
      <c r="AI119" s="10">
        <v>433.93580695588832</v>
      </c>
      <c r="AJ119">
        <v>184.70107800898359</v>
      </c>
      <c r="AK119">
        <v>99.930348058670319</v>
      </c>
      <c r="AL119">
        <v>81.636521840135501</v>
      </c>
      <c r="AM119">
        <v>153.82996585045126</v>
      </c>
      <c r="AN119">
        <v>94.928941343851236</v>
      </c>
      <c r="AO119">
        <v>175.29079322789909</v>
      </c>
      <c r="AP119">
        <v>206.86490601874999</v>
      </c>
      <c r="AQ119">
        <v>208.57280458687208</v>
      </c>
      <c r="AR119">
        <v>150.17018733172361</v>
      </c>
      <c r="AS119">
        <v>191.1128435119997</v>
      </c>
      <c r="AT119">
        <v>35.649963</v>
      </c>
      <c r="AU119" s="38">
        <v>130.55398286543601</v>
      </c>
      <c r="AV119" s="34">
        <f>+VLOOKUP(A119,'[2]Salario Real'!$A$5:$C$292,2)</f>
        <v>95.860110559822346</v>
      </c>
      <c r="AW119" s="31">
        <v>2916139</v>
      </c>
      <c r="AX119" s="17">
        <v>2315.429688581662</v>
      </c>
      <c r="AY119" s="17">
        <v>2554</v>
      </c>
      <c r="AZ119" s="16">
        <v>1.28</v>
      </c>
      <c r="BA119">
        <v>168.75</v>
      </c>
      <c r="BB119">
        <v>146.6</v>
      </c>
    </row>
    <row r="120" spans="1:54" x14ac:dyDescent="0.25">
      <c r="A120" s="2">
        <v>44895</v>
      </c>
      <c r="B120" s="1">
        <v>-1.939194740195993E-2</v>
      </c>
      <c r="C120" s="31">
        <v>53378</v>
      </c>
      <c r="D120" s="31">
        <v>31365</v>
      </c>
      <c r="E120" s="31">
        <v>35212</v>
      </c>
      <c r="F120" s="31">
        <v>11623</v>
      </c>
      <c r="G120" s="31">
        <v>1150824</v>
      </c>
      <c r="H120" s="32">
        <v>186.347726405526</v>
      </c>
      <c r="I120" s="11">
        <v>312.10000000000002</v>
      </c>
      <c r="J120" s="11">
        <v>459</v>
      </c>
      <c r="K120" s="11">
        <v>215</v>
      </c>
      <c r="L120" s="9">
        <v>118405.67239943</v>
      </c>
      <c r="M120" s="9">
        <v>613189.71952855994</v>
      </c>
      <c r="N120" s="9">
        <v>521007.25116828998</v>
      </c>
      <c r="O120" s="35">
        <f t="shared" si="24"/>
        <v>0.48740218709387295</v>
      </c>
      <c r="P120" s="35">
        <f t="shared" si="25"/>
        <v>2.5241190252565757</v>
      </c>
      <c r="Q120" s="35">
        <f t="shared" si="26"/>
        <v>2.1446613879658503</v>
      </c>
      <c r="R120" s="33">
        <v>168525.29</v>
      </c>
      <c r="S120" s="33">
        <v>155103.03909090906</v>
      </c>
      <c r="T120" s="35">
        <f t="shared" si="27"/>
        <v>0.69371334381294913</v>
      </c>
      <c r="U120" s="35">
        <f t="shared" si="28"/>
        <v>0.63846232149076898</v>
      </c>
      <c r="V120" s="35">
        <v>7089753.9100000001</v>
      </c>
      <c r="W120" s="35">
        <f t="shared" si="29"/>
        <v>29.184087988912701</v>
      </c>
      <c r="X120" s="31">
        <f>+'[1]Agregados MesTrim'!B326</f>
        <v>8058166.4857142847</v>
      </c>
      <c r="Y120" s="35">
        <f t="shared" si="30"/>
        <v>33.170437610914639</v>
      </c>
      <c r="Z120" s="33">
        <v>13955240</v>
      </c>
      <c r="AA120" s="35">
        <f t="shared" si="31"/>
        <v>57.445005459490496</v>
      </c>
      <c r="AB120" s="36">
        <v>0.69178571428571434</v>
      </c>
      <c r="AC120" s="5">
        <v>65089</v>
      </c>
      <c r="AD120" s="5">
        <v>127178</v>
      </c>
      <c r="AE120" s="10">
        <v>154.95910739378402</v>
      </c>
      <c r="AF120" s="10">
        <v>164.9495006956376</v>
      </c>
      <c r="AG120" s="10">
        <v>119.66925700889941</v>
      </c>
      <c r="AH120" s="10">
        <v>151.74389401499508</v>
      </c>
      <c r="AI120" s="10">
        <v>393.33029473795983</v>
      </c>
      <c r="AJ120">
        <v>181.92286491450335</v>
      </c>
      <c r="AK120">
        <v>105.2149043912864</v>
      </c>
      <c r="AL120">
        <v>81.717388900312201</v>
      </c>
      <c r="AM120">
        <v>160.00847659628812</v>
      </c>
      <c r="AN120">
        <v>100.0732553880828</v>
      </c>
      <c r="AO120">
        <v>172.67827228927837</v>
      </c>
      <c r="AP120">
        <v>229.4403310094539</v>
      </c>
      <c r="AQ120">
        <v>197.01683111515928</v>
      </c>
      <c r="AR120">
        <v>132.99235957521233</v>
      </c>
      <c r="AS120">
        <v>194.7597460518935</v>
      </c>
      <c r="AT120">
        <v>35.146853999999998</v>
      </c>
      <c r="AU120" s="38">
        <v>129.92222452479533</v>
      </c>
      <c r="AV120" s="34">
        <f>+VLOOKUP(A120,'[2]Salario Real'!$A$5:$C$292,2)</f>
        <v>98.072236486318261</v>
      </c>
      <c r="AW120" s="31">
        <v>3323050</v>
      </c>
      <c r="AX120" s="17">
        <v>2429.3217292565255</v>
      </c>
      <c r="AY120" s="17">
        <v>2401</v>
      </c>
      <c r="AZ120" s="16">
        <v>1.19</v>
      </c>
      <c r="BA120">
        <v>170.25</v>
      </c>
      <c r="BB120">
        <v>148</v>
      </c>
    </row>
    <row r="121" spans="1:54" x14ac:dyDescent="0.25">
      <c r="A121" s="2">
        <v>44925</v>
      </c>
      <c r="B121" s="1">
        <v>-1.939194740195993E-2</v>
      </c>
      <c r="C121" s="31">
        <v>37119</v>
      </c>
      <c r="D121" s="31">
        <v>22605</v>
      </c>
      <c r="E121" s="31">
        <v>33517</v>
      </c>
      <c r="F121" s="31">
        <v>11830</v>
      </c>
      <c r="G121" s="31">
        <v>936892</v>
      </c>
      <c r="H121" s="32">
        <v>182.008329705466</v>
      </c>
      <c r="I121" s="11">
        <v>327.3</v>
      </c>
      <c r="J121" s="11">
        <v>439.6</v>
      </c>
      <c r="K121" s="11">
        <v>198.4</v>
      </c>
      <c r="L121" s="9">
        <v>285815.02621857997</v>
      </c>
      <c r="M121" s="9">
        <v>662235.71224431996</v>
      </c>
      <c r="N121" s="9">
        <v>562229.89561182004</v>
      </c>
      <c r="O121" s="35">
        <f t="shared" si="24"/>
        <v>1.1191786593651432</v>
      </c>
      <c r="P121" s="35">
        <f t="shared" si="25"/>
        <v>2.5931459462404507</v>
      </c>
      <c r="Q121" s="35">
        <f t="shared" si="26"/>
        <v>2.2015487049467679</v>
      </c>
      <c r="R121" s="33">
        <v>202085.1</v>
      </c>
      <c r="S121" s="33">
        <v>177083.50636363635</v>
      </c>
      <c r="T121" s="35">
        <f t="shared" si="27"/>
        <v>0.79131364885870481</v>
      </c>
      <c r="U121" s="35">
        <f t="shared" si="28"/>
        <v>0.69341379237411749</v>
      </c>
      <c r="V121" s="35">
        <v>8491921</v>
      </c>
      <c r="W121" s="35">
        <f t="shared" si="29"/>
        <v>33.252194210903532</v>
      </c>
      <c r="X121" s="31">
        <f>+'[1]Agregados MesTrim'!B327</f>
        <v>9001184.6500000004</v>
      </c>
      <c r="Y121" s="35">
        <f t="shared" si="30"/>
        <v>35.246340623046748</v>
      </c>
      <c r="Z121" s="33">
        <v>15901993</v>
      </c>
      <c r="AA121" s="35">
        <f t="shared" si="31"/>
        <v>62.268143989614188</v>
      </c>
      <c r="AB121" s="36">
        <v>0.69299999999999995</v>
      </c>
      <c r="AC121" s="5">
        <v>65061</v>
      </c>
      <c r="AD121" s="5">
        <v>116147</v>
      </c>
      <c r="AE121" s="10">
        <v>155.40607353875623</v>
      </c>
      <c r="AF121" s="10">
        <v>163.12991598074356</v>
      </c>
      <c r="AG121" s="10">
        <v>92.801219924407775</v>
      </c>
      <c r="AH121" s="10">
        <v>143.8544308876123</v>
      </c>
      <c r="AI121" s="10">
        <v>318.60231049050242</v>
      </c>
      <c r="AJ121">
        <v>180.8602756454363</v>
      </c>
      <c r="AK121">
        <v>100.73121509596707</v>
      </c>
      <c r="AL121">
        <v>73.45492006933199</v>
      </c>
      <c r="AM121">
        <v>156.49706718691948</v>
      </c>
      <c r="AN121">
        <v>111.25471233976616</v>
      </c>
      <c r="AO121">
        <v>145.1851682343777</v>
      </c>
      <c r="AP121">
        <v>217.92960328326996</v>
      </c>
      <c r="AQ121">
        <v>194.81760279274934</v>
      </c>
      <c r="AR121">
        <v>114.10358069276569</v>
      </c>
      <c r="AS121">
        <v>135.2668411816785</v>
      </c>
      <c r="AT121">
        <v>35.905445</v>
      </c>
      <c r="AU121" s="38">
        <v>134.16492843558973</v>
      </c>
      <c r="AV121" s="34">
        <f>+VLOOKUP(A121,'[2]Salario Real'!$A$5:$C$292,2)</f>
        <v>97.527697870090734</v>
      </c>
      <c r="AW121" s="31">
        <v>2622045</v>
      </c>
      <c r="AX121" s="17">
        <v>2553.7926748952596</v>
      </c>
      <c r="AY121" s="17">
        <v>2196</v>
      </c>
      <c r="AZ121" s="16">
        <v>1.25</v>
      </c>
      <c r="BA121">
        <v>172.35</v>
      </c>
      <c r="BB121">
        <v>146.19999999999999</v>
      </c>
    </row>
    <row r="122" spans="1:54" x14ac:dyDescent="0.25">
      <c r="A122" s="2">
        <v>44957</v>
      </c>
      <c r="B122" s="1">
        <v>1.520618574226118E-2</v>
      </c>
      <c r="C122" s="31">
        <v>27184</v>
      </c>
      <c r="D122" s="31">
        <v>11358</v>
      </c>
      <c r="E122" s="31">
        <v>22112</v>
      </c>
      <c r="F122" s="31">
        <v>5293</v>
      </c>
      <c r="G122" s="31">
        <v>965633</v>
      </c>
      <c r="H122" s="32">
        <v>187.69839744631099</v>
      </c>
      <c r="I122" s="11">
        <v>328.8</v>
      </c>
      <c r="J122" s="11">
        <v>442.4</v>
      </c>
      <c r="K122" s="11">
        <v>193.5</v>
      </c>
      <c r="L122" s="9">
        <v>130038.24346172999</v>
      </c>
      <c r="M122" s="9">
        <v>729271.10035303002</v>
      </c>
      <c r="N122" s="9">
        <v>471846.29124127998</v>
      </c>
      <c r="O122" s="35">
        <f t="shared" si="24"/>
        <v>0.48037410936843117</v>
      </c>
      <c r="P122" s="35">
        <f t="shared" si="25"/>
        <v>2.6939994419666391</v>
      </c>
      <c r="Q122" s="35">
        <f t="shared" si="26"/>
        <v>1.7430467828530281</v>
      </c>
      <c r="R122" s="33">
        <v>253548.5</v>
      </c>
      <c r="S122" s="33">
        <v>234985.76818181816</v>
      </c>
      <c r="T122" s="35">
        <f t="shared" si="27"/>
        <v>0.93663319056633232</v>
      </c>
      <c r="U122" s="35">
        <f t="shared" si="28"/>
        <v>0.86806062662495298</v>
      </c>
      <c r="V122" s="35">
        <v>10646220</v>
      </c>
      <c r="W122" s="35">
        <f t="shared" si="29"/>
        <v>39.328187727677737</v>
      </c>
      <c r="X122" s="31">
        <f>+'[1]Agregados MesTrim'!B328</f>
        <v>9279926.7727272734</v>
      </c>
      <c r="Y122" s="35">
        <f t="shared" si="30"/>
        <v>34.280965658883702</v>
      </c>
      <c r="Z122" s="33">
        <v>15632714</v>
      </c>
      <c r="AA122" s="35">
        <f t="shared" si="31"/>
        <v>57.748788855114391</v>
      </c>
      <c r="AB122" s="36">
        <v>0.69468750000000001</v>
      </c>
      <c r="AC122" s="5">
        <v>65678</v>
      </c>
      <c r="AD122" s="5">
        <v>133073</v>
      </c>
      <c r="AE122" s="10">
        <v>158.16037524902072</v>
      </c>
      <c r="AF122" s="10">
        <v>152.15455248641103</v>
      </c>
      <c r="AG122" s="10">
        <v>80.588449321291705</v>
      </c>
      <c r="AH122" s="10">
        <v>152.88327824328422</v>
      </c>
      <c r="AI122" s="10">
        <v>237.71087701491172</v>
      </c>
      <c r="AJ122">
        <v>169.627353706001</v>
      </c>
      <c r="AK122">
        <v>90.662280612678529</v>
      </c>
      <c r="AL122">
        <v>68.815480007951763</v>
      </c>
      <c r="AM122">
        <v>166.70419222297474</v>
      </c>
      <c r="AN122">
        <v>109.94249184392166</v>
      </c>
      <c r="AO122">
        <v>170.3319202488716</v>
      </c>
      <c r="AP122">
        <v>220.80047997891083</v>
      </c>
      <c r="AQ122">
        <v>195.59525429136147</v>
      </c>
      <c r="AR122">
        <v>101.1653171484118</v>
      </c>
      <c r="AS122">
        <v>99.258950311910269</v>
      </c>
      <c r="AT122">
        <v>38.519779</v>
      </c>
      <c r="AU122" s="38">
        <v>136.22999118628957</v>
      </c>
      <c r="AV122" s="34">
        <f>+VLOOKUP(A122,'[2]Salario Real'!$A$5:$C$292,2)</f>
        <v>96.23039547389422</v>
      </c>
      <c r="AW122" s="31">
        <v>1885017</v>
      </c>
      <c r="AX122" s="17">
        <v>2707.0202353889754</v>
      </c>
      <c r="AY122" s="17">
        <v>1820</v>
      </c>
      <c r="AZ122" s="16">
        <v>1.8</v>
      </c>
      <c r="BA122">
        <v>170.02</v>
      </c>
      <c r="BB122">
        <v>143</v>
      </c>
    </row>
    <row r="123" spans="1:54" x14ac:dyDescent="0.25">
      <c r="A123" s="2">
        <v>44985</v>
      </c>
      <c r="B123" s="1">
        <v>1.520618574226118E-2</v>
      </c>
      <c r="C123" s="31">
        <v>46286</v>
      </c>
      <c r="D123" s="31">
        <v>23960</v>
      </c>
      <c r="E123" s="31">
        <v>30125</v>
      </c>
      <c r="F123" s="31">
        <v>10287</v>
      </c>
      <c r="G123" s="31">
        <v>900151</v>
      </c>
      <c r="H123" s="32">
        <v>184.40223934110199</v>
      </c>
      <c r="I123" s="11">
        <v>315.5</v>
      </c>
      <c r="J123" s="11">
        <v>358.4</v>
      </c>
      <c r="K123" s="11">
        <v>167.5</v>
      </c>
      <c r="L123" s="9">
        <v>102541.79927578999</v>
      </c>
      <c r="M123" s="9">
        <v>691567.03934896004</v>
      </c>
      <c r="N123" s="9">
        <v>465696.65430593002</v>
      </c>
      <c r="O123" s="35">
        <f t="shared" si="24"/>
        <v>0.35534665099449186</v>
      </c>
      <c r="P123" s="35">
        <f t="shared" si="25"/>
        <v>2.3965449514874009</v>
      </c>
      <c r="Q123" s="35">
        <f t="shared" si="26"/>
        <v>1.6138174642506238</v>
      </c>
      <c r="R123" s="33">
        <v>247459.3</v>
      </c>
      <c r="S123" s="33">
        <v>249608.97499999995</v>
      </c>
      <c r="T123" s="35">
        <f t="shared" si="27"/>
        <v>0.85754135516912411</v>
      </c>
      <c r="U123" s="35">
        <f t="shared" si="28"/>
        <v>0.86499080327098643</v>
      </c>
      <c r="V123" s="35">
        <v>10408160</v>
      </c>
      <c r="W123" s="35">
        <f t="shared" si="29"/>
        <v>36.068265089318004</v>
      </c>
      <c r="X123" s="31">
        <f>+'[1]Agregados MesTrim'!B329</f>
        <v>9478409.1888888888</v>
      </c>
      <c r="Y123" s="35">
        <f t="shared" si="30"/>
        <v>32.846322044422074</v>
      </c>
      <c r="Z123" s="33">
        <v>16395978</v>
      </c>
      <c r="AA123" s="35">
        <f t="shared" si="31"/>
        <v>56.818350304244561</v>
      </c>
      <c r="AB123" s="36">
        <v>0.6977430555555556</v>
      </c>
      <c r="AC123" s="5">
        <v>55754</v>
      </c>
      <c r="AD123" s="5">
        <v>111584</v>
      </c>
      <c r="AE123" s="10">
        <v>159.51645108511531</v>
      </c>
      <c r="AF123" s="10">
        <v>138.41570065461087</v>
      </c>
      <c r="AG123" s="10">
        <v>107.59053583162191</v>
      </c>
      <c r="AH123" s="10">
        <v>137.65694044782907</v>
      </c>
      <c r="AI123" s="10">
        <v>350.11902533010641</v>
      </c>
      <c r="AJ123">
        <v>150.87410630968495</v>
      </c>
      <c r="AK123">
        <v>94.570660696384692</v>
      </c>
      <c r="AL123">
        <v>87.149869512462431</v>
      </c>
      <c r="AM123">
        <v>152.15402296379563</v>
      </c>
      <c r="AN123">
        <v>101.69951655162699</v>
      </c>
      <c r="AO123">
        <v>145.90963410955425</v>
      </c>
      <c r="AP123">
        <v>207.38531760526365</v>
      </c>
      <c r="AQ123">
        <v>165.31447075108755</v>
      </c>
      <c r="AR123">
        <v>122.22151156549799</v>
      </c>
      <c r="AS123">
        <v>168.79982196323454</v>
      </c>
      <c r="AT123">
        <v>36.18</v>
      </c>
      <c r="AU123" s="38">
        <v>137.8684124400867</v>
      </c>
      <c r="AV123" s="34">
        <f>+VLOOKUP(A123,'[2]Salario Real'!$A$5:$C$292,2)</f>
        <v>96.501212721944597</v>
      </c>
      <c r="AW123" s="31">
        <v>1554451</v>
      </c>
      <c r="AX123" s="17">
        <v>2885.6835709246479</v>
      </c>
      <c r="AY123" s="17">
        <v>1995</v>
      </c>
      <c r="AZ123" s="16">
        <v>1.17</v>
      </c>
      <c r="BA123">
        <v>170.11</v>
      </c>
      <c r="BB123">
        <v>137.30000000000001</v>
      </c>
    </row>
    <row r="124" spans="1:54" x14ac:dyDescent="0.25">
      <c r="A124" s="2">
        <v>45016</v>
      </c>
      <c r="B124" s="1">
        <v>1.520618574226118E-2</v>
      </c>
      <c r="C124" s="31">
        <v>61104</v>
      </c>
      <c r="D124" s="31">
        <v>32420</v>
      </c>
      <c r="E124" s="31">
        <v>38087</v>
      </c>
      <c r="F124" s="31">
        <v>13173</v>
      </c>
      <c r="G124" s="31">
        <v>1118429</v>
      </c>
      <c r="H124" s="32">
        <v>196.691268242532</v>
      </c>
      <c r="I124" s="11">
        <v>314.7</v>
      </c>
      <c r="J124" s="11">
        <v>412.8</v>
      </c>
      <c r="K124" s="11">
        <v>200.6</v>
      </c>
      <c r="L124" s="9">
        <v>130296.96276426</v>
      </c>
      <c r="M124" s="9">
        <v>847637.47562596994</v>
      </c>
      <c r="N124" s="9">
        <v>447644.98538623995</v>
      </c>
      <c r="O124" s="35">
        <f t="shared" si="24"/>
        <v>0.41924692139936925</v>
      </c>
      <c r="P124" s="35">
        <f t="shared" si="25"/>
        <v>2.7273805511635256</v>
      </c>
      <c r="Q124" s="35">
        <f t="shared" si="26"/>
        <v>1.4403542340629676</v>
      </c>
      <c r="R124" s="33">
        <v>245716.2</v>
      </c>
      <c r="S124" s="33">
        <v>235179.50434782612</v>
      </c>
      <c r="T124" s="35">
        <f t="shared" si="27"/>
        <v>0.79062288331565445</v>
      </c>
      <c r="U124" s="35">
        <f t="shared" si="28"/>
        <v>0.75671973530530234</v>
      </c>
      <c r="V124" s="35">
        <v>10360330</v>
      </c>
      <c r="W124" s="35">
        <f t="shared" si="29"/>
        <v>33.335669266827637</v>
      </c>
      <c r="X124" s="31">
        <f>+'[1]Agregados MesTrim'!B330</f>
        <v>9650347.1818181816</v>
      </c>
      <c r="Y124" s="35">
        <f t="shared" si="30"/>
        <v>31.051209948250012</v>
      </c>
      <c r="Z124" s="33">
        <v>16551450</v>
      </c>
      <c r="AA124" s="35">
        <f t="shared" si="31"/>
        <v>53.256379197036601</v>
      </c>
      <c r="AB124" s="36">
        <v>0.7098011363636364</v>
      </c>
      <c r="AC124" s="5">
        <v>63583</v>
      </c>
      <c r="AD124" s="5">
        <v>146826</v>
      </c>
      <c r="AE124" s="10">
        <v>162.15894707501377</v>
      </c>
      <c r="AF124" s="10">
        <v>160.02984913645361</v>
      </c>
      <c r="AG124" s="10">
        <v>164.8669006553886</v>
      </c>
      <c r="AH124" s="10">
        <v>162.7309119797192</v>
      </c>
      <c r="AI124" s="10">
        <v>473.04422237442373</v>
      </c>
      <c r="AJ124">
        <v>176.23877762913685</v>
      </c>
      <c r="AK124">
        <v>102.98554209446229</v>
      </c>
      <c r="AL124">
        <v>96.779797642768528</v>
      </c>
      <c r="AM124">
        <v>159.45513441054118</v>
      </c>
      <c r="AN124">
        <v>111.24476120580364</v>
      </c>
      <c r="AO124">
        <v>178.61719321823153</v>
      </c>
      <c r="AP124">
        <v>244.1888815573954</v>
      </c>
      <c r="AQ124">
        <v>189.13304981691601</v>
      </c>
      <c r="AR124">
        <v>193.90003699638444</v>
      </c>
      <c r="AS124">
        <v>222.90169014379356</v>
      </c>
      <c r="AT124">
        <v>38.193283000000001</v>
      </c>
      <c r="AU124" s="38">
        <v>138.94264218782919</v>
      </c>
      <c r="AV124" s="34">
        <f>+VLOOKUP(A124,'[2]Salario Real'!$A$5:$C$292,2)</f>
        <v>96.662496085825254</v>
      </c>
      <c r="AW124" s="31">
        <v>2111736</v>
      </c>
      <c r="AX124" s="17">
        <v>3107.8812058858457</v>
      </c>
      <c r="AY124" s="17">
        <v>2302</v>
      </c>
      <c r="AZ124" s="16">
        <v>1.18</v>
      </c>
      <c r="BA124">
        <v>172.84</v>
      </c>
      <c r="BB124">
        <v>155.1</v>
      </c>
    </row>
    <row r="125" spans="1:54" x14ac:dyDescent="0.25">
      <c r="A125" s="2">
        <v>45044</v>
      </c>
      <c r="B125" s="1">
        <v>-2.8000000000000001E-2</v>
      </c>
      <c r="C125" s="31">
        <v>54399</v>
      </c>
      <c r="D125" s="31">
        <v>30736</v>
      </c>
      <c r="E125" s="31">
        <v>33795</v>
      </c>
      <c r="F125" s="31">
        <v>12750</v>
      </c>
      <c r="G125" s="31">
        <v>1035525</v>
      </c>
      <c r="H125" s="32">
        <v>198.439346228934</v>
      </c>
      <c r="I125" s="11">
        <v>313.3</v>
      </c>
      <c r="J125" s="11">
        <v>429.9</v>
      </c>
      <c r="K125" s="11">
        <v>185.1</v>
      </c>
      <c r="L125" s="9">
        <v>123410.65116549999</v>
      </c>
      <c r="M125" s="9">
        <v>921091.02301430015</v>
      </c>
      <c r="N125" s="9">
        <v>499466.66416426003</v>
      </c>
      <c r="O125" s="35">
        <f t="shared" si="24"/>
        <v>0.36631858373224185</v>
      </c>
      <c r="P125" s="35">
        <f t="shared" si="25"/>
        <v>2.7340651382399108</v>
      </c>
      <c r="Q125" s="35">
        <f t="shared" si="26"/>
        <v>1.4825618316587199</v>
      </c>
      <c r="R125" s="33">
        <v>297960</v>
      </c>
      <c r="S125" s="33">
        <v>275505.14</v>
      </c>
      <c r="T125" s="35">
        <f t="shared" si="27"/>
        <v>0.88443164490304271</v>
      </c>
      <c r="U125" s="35">
        <f t="shared" si="28"/>
        <v>0.8177791117916603</v>
      </c>
      <c r="V125" s="35">
        <v>12475740</v>
      </c>
      <c r="W125" s="35">
        <f t="shared" si="29"/>
        <v>37.031612463359799</v>
      </c>
      <c r="X125" s="31">
        <f>+'[1]Agregados MesTrim'!B331</f>
        <v>9700698.722222222</v>
      </c>
      <c r="Y125" s="35">
        <f t="shared" si="30"/>
        <v>28.794485594052372</v>
      </c>
      <c r="Z125" s="33">
        <v>17952663</v>
      </c>
      <c r="AA125" s="35">
        <f t="shared" si="31"/>
        <v>53.288707435494679</v>
      </c>
      <c r="AB125" s="36">
        <v>0.74236111111111114</v>
      </c>
      <c r="AC125" s="5">
        <v>58656</v>
      </c>
      <c r="AD125" s="5">
        <v>130167</v>
      </c>
      <c r="AE125" s="10">
        <v>160.544945392637</v>
      </c>
      <c r="AF125" s="10">
        <v>154.3834431658378</v>
      </c>
      <c r="AG125" s="10">
        <v>172.88078983885396</v>
      </c>
      <c r="AH125" s="10">
        <v>160.13833640171239</v>
      </c>
      <c r="AI125" s="10">
        <v>392.3452593974348</v>
      </c>
      <c r="AJ125">
        <v>168.30779961365974</v>
      </c>
      <c r="AK125">
        <v>105.3792622336905</v>
      </c>
      <c r="AL125">
        <v>95.75532899818532</v>
      </c>
      <c r="AM125">
        <v>145.71750773766593</v>
      </c>
      <c r="AN125">
        <v>109.93021048034934</v>
      </c>
      <c r="AO125">
        <v>181.61358514856113</v>
      </c>
      <c r="AP125">
        <v>226.85732656920993</v>
      </c>
      <c r="AQ125">
        <v>190.84178592227977</v>
      </c>
      <c r="AR125">
        <v>201.87568266416829</v>
      </c>
      <c r="AS125">
        <v>198.47963195621267</v>
      </c>
      <c r="AT125">
        <v>37.083359000000002</v>
      </c>
      <c r="AU125" s="38">
        <v>138.66952535709842</v>
      </c>
      <c r="AV125" s="34">
        <f>+VLOOKUP(A125,'[2]Salario Real'!$A$5:$C$292,2)</f>
        <v>95.289246602687115</v>
      </c>
      <c r="AW125" s="31">
        <v>2878991</v>
      </c>
      <c r="AX125" s="17">
        <v>3368.9432271802571</v>
      </c>
      <c r="AY125" s="17">
        <v>2684</v>
      </c>
      <c r="AZ125" s="16">
        <v>1.07</v>
      </c>
      <c r="BA125">
        <v>168.24</v>
      </c>
      <c r="BB125">
        <v>150</v>
      </c>
    </row>
    <row r="126" spans="1:54" x14ac:dyDescent="0.25">
      <c r="A126" s="2">
        <v>45077</v>
      </c>
      <c r="B126" s="1">
        <v>-2.8000000000000001E-2</v>
      </c>
      <c r="C126" s="31">
        <v>53282</v>
      </c>
      <c r="D126" s="31">
        <v>30279</v>
      </c>
      <c r="E126" s="31">
        <v>38604</v>
      </c>
      <c r="F126" s="31">
        <v>13765</v>
      </c>
      <c r="G126" s="31">
        <v>1077128</v>
      </c>
      <c r="H126" s="32">
        <v>193.01435724666101</v>
      </c>
      <c r="I126" s="11">
        <v>292.60000000000002</v>
      </c>
      <c r="J126" s="11">
        <v>442</v>
      </c>
      <c r="K126" s="11">
        <v>235.5</v>
      </c>
      <c r="L126" s="9">
        <v>270670.91484019998</v>
      </c>
      <c r="M126" s="9">
        <v>1018321.5615014799</v>
      </c>
      <c r="N126" s="9">
        <v>803737.00280042004</v>
      </c>
      <c r="O126" s="35">
        <f t="shared" si="24"/>
        <v>0.74529659582355279</v>
      </c>
      <c r="P126" s="35">
        <f t="shared" si="25"/>
        <v>2.803964340567775</v>
      </c>
      <c r="Q126" s="35">
        <f t="shared" si="26"/>
        <v>2.213102403256856</v>
      </c>
      <c r="R126" s="33">
        <v>342078.5</v>
      </c>
      <c r="S126" s="33">
        <v>321411.84782608692</v>
      </c>
      <c r="T126" s="35">
        <f t="shared" si="27"/>
        <v>0.94191849798470517</v>
      </c>
      <c r="U126" s="35">
        <f t="shared" si="28"/>
        <v>0.88501254811055474</v>
      </c>
      <c r="V126" s="35">
        <v>14357580</v>
      </c>
      <c r="W126" s="35">
        <f t="shared" si="29"/>
        <v>39.533821003936936</v>
      </c>
      <c r="X126" s="31">
        <f>+'[1]Agregados MesTrim'!B332</f>
        <v>10296975.050000001</v>
      </c>
      <c r="Y126" s="35">
        <f t="shared" si="30"/>
        <v>28.352881788484172</v>
      </c>
      <c r="Z126" s="33">
        <v>19305785</v>
      </c>
      <c r="AA126" s="35">
        <f t="shared" si="31"/>
        <v>53.158780834269471</v>
      </c>
      <c r="AB126" s="36">
        <v>0.90046875000000004</v>
      </c>
      <c r="AC126" s="5">
        <v>62511</v>
      </c>
      <c r="AD126" s="5">
        <v>142181</v>
      </c>
      <c r="AE126" s="10">
        <v>159.60092713711276</v>
      </c>
      <c r="AF126" s="10">
        <v>158.94551964916829</v>
      </c>
      <c r="AG126" s="10">
        <v>155.22694662837898</v>
      </c>
      <c r="AH126" s="10">
        <v>162.56844567344061</v>
      </c>
      <c r="AI126" s="10">
        <v>371.02318743002513</v>
      </c>
      <c r="AJ126">
        <v>176.57712596018661</v>
      </c>
      <c r="AK126">
        <v>96.894362812783086</v>
      </c>
      <c r="AL126">
        <v>97.327539960376242</v>
      </c>
      <c r="AM126">
        <v>154.08958417678454</v>
      </c>
      <c r="AN126">
        <v>108.67603738554725</v>
      </c>
      <c r="AO126">
        <v>187.21627379211836</v>
      </c>
      <c r="AP126">
        <v>237.12945504229992</v>
      </c>
      <c r="AQ126">
        <v>193.1103178108807</v>
      </c>
      <c r="AR126">
        <v>176.18407420744927</v>
      </c>
      <c r="AS126">
        <v>194.6791093148972</v>
      </c>
      <c r="AT126">
        <v>38.311549999999997</v>
      </c>
      <c r="AU126" s="38">
        <v>137.90611482990411</v>
      </c>
      <c r="AV126" s="34">
        <f>+VLOOKUP(A126,'[2]Salario Real'!$A$5:$C$292,2)</f>
        <v>95.589787825738256</v>
      </c>
      <c r="AW126" s="31">
        <v>3493949</v>
      </c>
      <c r="AX126" s="17">
        <v>3631.7207989003173</v>
      </c>
      <c r="AY126" s="17">
        <v>2584</v>
      </c>
      <c r="AZ126" s="16">
        <v>1.1299999999999999</v>
      </c>
      <c r="BA126">
        <v>164.88</v>
      </c>
      <c r="BB126">
        <v>153.80000000000001</v>
      </c>
    </row>
    <row r="127" spans="1:54" x14ac:dyDescent="0.25">
      <c r="A127" s="2">
        <v>45107</v>
      </c>
      <c r="B127" s="1">
        <v>-2.8000000000000001E-2</v>
      </c>
      <c r="C127" s="31">
        <v>53522</v>
      </c>
      <c r="D127" s="31">
        <v>23291</v>
      </c>
      <c r="E127" s="31">
        <v>44138</v>
      </c>
      <c r="F127" s="31">
        <v>14422</v>
      </c>
      <c r="G127" s="31">
        <v>1082922</v>
      </c>
      <c r="H127" s="32">
        <v>191.527821575117</v>
      </c>
      <c r="I127" s="11">
        <v>288.8</v>
      </c>
      <c r="J127" s="11">
        <v>422.9</v>
      </c>
      <c r="K127" s="11">
        <v>217.5</v>
      </c>
      <c r="L127" s="9">
        <v>282167.54562031</v>
      </c>
      <c r="M127" s="9">
        <v>1149173.56690614</v>
      </c>
      <c r="N127" s="9">
        <v>812476.14397003013</v>
      </c>
      <c r="O127" s="35">
        <f t="shared" si="24"/>
        <v>0.73297429096315259</v>
      </c>
      <c r="P127" s="35">
        <f t="shared" si="25"/>
        <v>2.9851579087343354</v>
      </c>
      <c r="Q127" s="35">
        <f t="shared" si="26"/>
        <v>2.1105337406600886</v>
      </c>
      <c r="R127" s="33">
        <v>426280.97</v>
      </c>
      <c r="S127" s="33">
        <v>396378.40772727277</v>
      </c>
      <c r="T127" s="35">
        <f t="shared" si="27"/>
        <v>1.1073314298068764</v>
      </c>
      <c r="U127" s="35">
        <f t="shared" si="28"/>
        <v>1.0296548517594253</v>
      </c>
      <c r="V127" s="35">
        <v>17982338.870000001</v>
      </c>
      <c r="W127" s="35">
        <f t="shared" si="29"/>
        <v>46.711935116852331</v>
      </c>
      <c r="X127" s="31">
        <f>+'[1]Agregados MesTrim'!B333</f>
        <v>10974952.699999999</v>
      </c>
      <c r="Y127" s="35">
        <f t="shared" si="30"/>
        <v>28.509154573223942</v>
      </c>
      <c r="Z127" s="33">
        <v>20753203</v>
      </c>
      <c r="AA127" s="35">
        <f t="shared" si="31"/>
        <v>53.909687666945018</v>
      </c>
      <c r="AB127" s="36">
        <v>0.92446875000000006</v>
      </c>
      <c r="AC127" s="5">
        <v>62175</v>
      </c>
      <c r="AD127" s="5">
        <v>134099</v>
      </c>
      <c r="AE127" s="10">
        <v>160.91575839224129</v>
      </c>
      <c r="AF127" s="10">
        <v>161.31937470983519</v>
      </c>
      <c r="AG127" s="10">
        <v>149.46108632434652</v>
      </c>
      <c r="AH127" s="10">
        <v>163.31582055234404</v>
      </c>
      <c r="AI127" s="10">
        <v>376.30511144612922</v>
      </c>
      <c r="AJ127">
        <v>180.54901710693341</v>
      </c>
      <c r="AK127">
        <v>93.644227293216517</v>
      </c>
      <c r="AL127">
        <v>92.638222742054765</v>
      </c>
      <c r="AM127">
        <v>155.92796662192842</v>
      </c>
      <c r="AN127">
        <v>104.52960976193827</v>
      </c>
      <c r="AO127">
        <v>187.98860775741244</v>
      </c>
      <c r="AP127">
        <v>235.10195990767974</v>
      </c>
      <c r="AQ127">
        <v>196.94016390322417</v>
      </c>
      <c r="AR127">
        <v>169.10398294448817</v>
      </c>
      <c r="AS127">
        <v>195.44653982982351</v>
      </c>
      <c r="AT127">
        <v>41.787384000000003</v>
      </c>
      <c r="AU127" s="38">
        <v>141.87573619720658</v>
      </c>
      <c r="AV127" s="34">
        <f>+VLOOKUP(A127,'[2]Salario Real'!$A$5:$C$292,2)</f>
        <v>95.31925069038239</v>
      </c>
      <c r="AW127" s="31">
        <v>3017678</v>
      </c>
      <c r="AX127" s="17">
        <v>3849.6240468343367</v>
      </c>
      <c r="AY127" s="17">
        <v>2037</v>
      </c>
      <c r="AZ127" s="16">
        <v>1.1200000000000001</v>
      </c>
      <c r="BA127">
        <v>164.37</v>
      </c>
      <c r="BB127">
        <v>152.6</v>
      </c>
    </row>
    <row r="128" spans="1:54" x14ac:dyDescent="0.25">
      <c r="A128" s="2">
        <v>45138</v>
      </c>
      <c r="B128" s="1">
        <v>1.7779309563314749E-2</v>
      </c>
      <c r="C128" s="31">
        <v>49254</v>
      </c>
      <c r="D128" s="31">
        <v>28663</v>
      </c>
      <c r="E128" s="31">
        <v>30928</v>
      </c>
      <c r="F128" s="31">
        <v>10617</v>
      </c>
      <c r="G128" s="31">
        <v>1069463</v>
      </c>
      <c r="H128" s="32">
        <v>190.194307956648</v>
      </c>
      <c r="I128" s="11">
        <v>195</v>
      </c>
      <c r="J128" s="11">
        <v>345.8</v>
      </c>
      <c r="K128" s="11">
        <v>165.7</v>
      </c>
      <c r="L128" s="9">
        <v>167200.1374641</v>
      </c>
      <c r="M128" s="9">
        <v>1178300.9763478499</v>
      </c>
      <c r="N128" s="9">
        <v>702577.22031439003</v>
      </c>
      <c r="O128" s="35">
        <f t="shared" si="24"/>
        <v>0.40858747280041591</v>
      </c>
      <c r="P128" s="35">
        <f t="shared" si="25"/>
        <v>2.8794175975339842</v>
      </c>
      <c r="Q128" s="35">
        <f t="shared" si="26"/>
        <v>1.7168900411761563</v>
      </c>
      <c r="R128" s="33">
        <v>457137.8</v>
      </c>
      <c r="S128" s="33">
        <v>447564.01428571442</v>
      </c>
      <c r="T128" s="35">
        <f t="shared" si="27"/>
        <v>1.1171090003657813</v>
      </c>
      <c r="U128" s="35">
        <f t="shared" si="28"/>
        <v>1.0937135117647474</v>
      </c>
      <c r="V128" s="35">
        <v>19421130</v>
      </c>
      <c r="W128" s="35">
        <f t="shared" si="29"/>
        <v>47.459473096020254</v>
      </c>
      <c r="X128" s="31">
        <f>+'[1]Agregados MesTrim'!B334</f>
        <v>11757547.857142856</v>
      </c>
      <c r="Y128" s="35">
        <f t="shared" si="30"/>
        <v>28.731954639160644</v>
      </c>
      <c r="Z128" s="33">
        <v>22297348</v>
      </c>
      <c r="AA128" s="35">
        <f t="shared" si="31"/>
        <v>54.488095570062143</v>
      </c>
      <c r="AB128" s="36">
        <v>0.92601190476190487</v>
      </c>
      <c r="AC128" s="5">
        <v>60797</v>
      </c>
      <c r="AD128" s="5">
        <v>154367</v>
      </c>
      <c r="AE128" s="10">
        <v>156.53929847102577</v>
      </c>
      <c r="AF128" s="10">
        <v>165.60703065487425</v>
      </c>
      <c r="AG128" s="10">
        <v>119.14411586564239</v>
      </c>
      <c r="AH128" s="10">
        <v>156.99247820352119</v>
      </c>
      <c r="AI128" s="10">
        <v>388.48350925293181</v>
      </c>
      <c r="AJ128">
        <v>188.4978043187437</v>
      </c>
      <c r="AK128">
        <v>85.047213150593535</v>
      </c>
      <c r="AL128">
        <v>88.742143195236295</v>
      </c>
      <c r="AM128">
        <v>163.85203201739546</v>
      </c>
      <c r="AN128">
        <v>108.02904662628541</v>
      </c>
      <c r="AO128">
        <v>178.73147744882363</v>
      </c>
      <c r="AP128">
        <v>232.28852515726865</v>
      </c>
      <c r="AQ128">
        <v>163.19091945100041</v>
      </c>
      <c r="AR128">
        <v>139.27222995217056</v>
      </c>
      <c r="AS128">
        <v>179.7842932100894</v>
      </c>
      <c r="AT128">
        <v>43.564861000000001</v>
      </c>
      <c r="AU128" s="38">
        <v>137.22324537296925</v>
      </c>
      <c r="AV128" s="34">
        <f>+VLOOKUP(A128,'[2]Salario Real'!$A$5:$C$292,2)</f>
        <v>99.336468405273422</v>
      </c>
      <c r="AW128" s="31">
        <v>2551641</v>
      </c>
      <c r="AX128" s="17">
        <v>4092.1503617848998</v>
      </c>
      <c r="AY128" s="17">
        <v>1962</v>
      </c>
      <c r="AZ128" s="16">
        <v>1.2</v>
      </c>
      <c r="BA128">
        <v>170.19</v>
      </c>
      <c r="BB128">
        <v>150.19999999999999</v>
      </c>
    </row>
    <row r="129" spans="1:54" x14ac:dyDescent="0.25">
      <c r="A129" s="2">
        <v>45169</v>
      </c>
      <c r="B129" s="1">
        <v>1.7779309563314749E-2</v>
      </c>
      <c r="C129" s="31">
        <v>63455</v>
      </c>
      <c r="D129" s="31">
        <v>28862</v>
      </c>
      <c r="E129" s="31">
        <v>30294</v>
      </c>
      <c r="F129" s="31">
        <v>12346</v>
      </c>
      <c r="G129" s="31">
        <v>1209673</v>
      </c>
      <c r="H129" s="32">
        <v>189.118644824245</v>
      </c>
      <c r="I129" s="11">
        <v>264.3</v>
      </c>
      <c r="J129" s="11">
        <v>421.9</v>
      </c>
      <c r="K129" s="11">
        <v>188.3</v>
      </c>
      <c r="L129" s="9">
        <v>249116.20846503001</v>
      </c>
      <c r="M129" s="9">
        <v>1381544.9667014801</v>
      </c>
      <c r="N129" s="9">
        <v>868136.62385104992</v>
      </c>
      <c r="O129" s="35">
        <f t="shared" si="24"/>
        <v>0.54160677841694094</v>
      </c>
      <c r="P129" s="35">
        <f t="shared" si="25"/>
        <v>3.0036348227352119</v>
      </c>
      <c r="Q129" s="35">
        <f t="shared" si="26"/>
        <v>1.8874270886140678</v>
      </c>
      <c r="R129" s="33">
        <v>653602.9</v>
      </c>
      <c r="S129" s="33">
        <v>547474.54695652169</v>
      </c>
      <c r="T129" s="35">
        <f t="shared" si="27"/>
        <v>1.4210065383307349</v>
      </c>
      <c r="U129" s="35">
        <f t="shared" si="28"/>
        <v>1.1902715101093864</v>
      </c>
      <c r="V129" s="35">
        <v>27569190</v>
      </c>
      <c r="W129" s="35">
        <f t="shared" si="29"/>
        <v>59.938533391578147</v>
      </c>
      <c r="X129" s="31">
        <f>+'[1]Agregados MesTrim'!B335</f>
        <v>12815206.727272727</v>
      </c>
      <c r="Y129" s="35">
        <f t="shared" si="30"/>
        <v>27.861707084706268</v>
      </c>
      <c r="Z129" s="33">
        <v>23847873</v>
      </c>
      <c r="AA129" s="35">
        <f t="shared" si="31"/>
        <v>51.847969857968799</v>
      </c>
      <c r="AB129" s="36">
        <v>1.0401704545454544</v>
      </c>
      <c r="AC129" s="5">
        <v>65703</v>
      </c>
      <c r="AD129" s="5">
        <v>162403</v>
      </c>
      <c r="AE129" s="10">
        <v>159.52465232523429</v>
      </c>
      <c r="AF129" s="10">
        <v>178.24098164626517</v>
      </c>
      <c r="AG129" s="10">
        <v>160.76434194471247</v>
      </c>
      <c r="AH129" s="10">
        <v>161.52037212434414</v>
      </c>
      <c r="AI129" s="10">
        <v>428.27400692667146</v>
      </c>
      <c r="AJ129">
        <v>198.15966577758462</v>
      </c>
      <c r="AK129">
        <v>108.14088008974754</v>
      </c>
      <c r="AL129">
        <v>86.211536175200962</v>
      </c>
      <c r="AM129">
        <v>164.94088078659732</v>
      </c>
      <c r="AN129">
        <v>95.283298436399491</v>
      </c>
      <c r="AO129">
        <v>190.08195695584101</v>
      </c>
      <c r="AP129">
        <v>255.66235572672616</v>
      </c>
      <c r="AQ129">
        <v>190.15551409813895</v>
      </c>
      <c r="AR129">
        <v>177.89769200643238</v>
      </c>
      <c r="AS129">
        <v>226.39641990872255</v>
      </c>
      <c r="AT129">
        <v>44.064959999999999</v>
      </c>
      <c r="AU129" s="38">
        <v>141.1504429021723</v>
      </c>
      <c r="AV129" s="34">
        <f>+VLOOKUP(A129,'[2]Salario Real'!$A$5:$C$292,2)</f>
        <v>95.748336183517068</v>
      </c>
      <c r="AW129" s="31">
        <v>2078639</v>
      </c>
      <c r="AX129" s="17">
        <v>4599.5770066462283</v>
      </c>
      <c r="AY129" s="17">
        <v>2066</v>
      </c>
      <c r="AZ129" s="16">
        <v>1.27</v>
      </c>
      <c r="BA129">
        <v>170.17</v>
      </c>
      <c r="BB129">
        <v>151.9</v>
      </c>
    </row>
    <row r="130" spans="1:54" x14ac:dyDescent="0.25">
      <c r="A130" s="2">
        <v>45198</v>
      </c>
      <c r="B130" s="1">
        <v>1.7779309563314749E-2</v>
      </c>
      <c r="C130" s="31">
        <v>56750</v>
      </c>
      <c r="D130" s="31">
        <v>35555</v>
      </c>
      <c r="E130" s="31">
        <v>43282</v>
      </c>
      <c r="F130" s="31">
        <v>12840</v>
      </c>
      <c r="G130" s="31">
        <v>1122528</v>
      </c>
      <c r="H130" s="32">
        <v>188.09488699820201</v>
      </c>
      <c r="I130" s="11">
        <v>306</v>
      </c>
      <c r="J130" s="11">
        <v>447.3</v>
      </c>
      <c r="K130" s="11">
        <v>192.7</v>
      </c>
      <c r="L130" s="9">
        <v>319905.88802328001</v>
      </c>
      <c r="M130" s="9">
        <v>1612390.41851537</v>
      </c>
      <c r="N130" s="9">
        <v>800305.26483282004</v>
      </c>
      <c r="O130" s="35">
        <f t="shared" ref="O130:O153" si="32">+L130/$AX130/100</f>
        <v>0.61713534913603785</v>
      </c>
      <c r="P130" s="35">
        <f t="shared" ref="P130:P153" si="33">+M130/$AX130/100</f>
        <v>3.1104870561234339</v>
      </c>
      <c r="Q130" s="35">
        <f t="shared" ref="Q130:Q153" si="34">+N130/$AX130/100</f>
        <v>1.5438811460452708</v>
      </c>
      <c r="R130" s="33">
        <v>562568.5</v>
      </c>
      <c r="S130" s="33">
        <v>566641.4</v>
      </c>
      <c r="T130" s="35">
        <f t="shared" ref="T130:T153" si="35">+R130/$AX130/100</f>
        <v>1.0852595111821519</v>
      </c>
      <c r="U130" s="35">
        <f t="shared" ref="U130:U153" si="36">+S130/$AX130/100</f>
        <v>1.093116604963787</v>
      </c>
      <c r="V130" s="35">
        <v>24171980</v>
      </c>
      <c r="W130" s="35">
        <f t="shared" ref="W130:W153" si="37">+V130/AX130/100</f>
        <v>46.630536901914617</v>
      </c>
      <c r="X130" s="31">
        <f>+'[1]Agregados MesTrim'!B336</f>
        <v>13714113.619047619</v>
      </c>
      <c r="Y130" s="35">
        <f t="shared" ref="Y130:Y153" si="38">+X130/$AX130/100</f>
        <v>26.456106665240078</v>
      </c>
      <c r="Z130" s="33">
        <v>27104920</v>
      </c>
      <c r="AA130" s="35">
        <f t="shared" si="31"/>
        <v>52.288516384815956</v>
      </c>
      <c r="AB130" s="36">
        <v>1.1373511904761906</v>
      </c>
      <c r="AC130" s="5">
        <v>59521</v>
      </c>
      <c r="AD130" s="5">
        <v>143807</v>
      </c>
      <c r="AE130" s="10">
        <v>157.06024317862355</v>
      </c>
      <c r="AF130" s="10">
        <v>164.01162424612622</v>
      </c>
      <c r="AG130" s="10">
        <v>126.09308039702037</v>
      </c>
      <c r="AH130" s="10">
        <v>165.17666308994373</v>
      </c>
      <c r="AI130" s="10">
        <v>423.98228969223049</v>
      </c>
      <c r="AJ130">
        <v>188.27239835933261</v>
      </c>
      <c r="AK130">
        <v>78.630345143386464</v>
      </c>
      <c r="AL130">
        <v>86.375514496519969</v>
      </c>
      <c r="AM130">
        <v>157.51878697328257</v>
      </c>
      <c r="AN130">
        <v>104.50532522890545</v>
      </c>
      <c r="AO130">
        <v>184.75839215803171</v>
      </c>
      <c r="AP130">
        <v>254.53025007031209</v>
      </c>
      <c r="AQ130">
        <v>196.06708388678658</v>
      </c>
      <c r="AR130">
        <v>140.83738929574895</v>
      </c>
      <c r="AS130">
        <v>207.37466164646429</v>
      </c>
      <c r="AT130">
        <v>43.381981000000003</v>
      </c>
      <c r="AU130" s="38">
        <v>137.3471562691206</v>
      </c>
      <c r="AV130" s="34">
        <f>+VLOOKUP(A130,'[2]Salario Real'!$A$5:$C$292,2)</f>
        <v>96.198616735223069</v>
      </c>
      <c r="AW130" s="31">
        <v>1907363</v>
      </c>
      <c r="AX130" s="17">
        <v>5183.723286490299</v>
      </c>
      <c r="AY130" s="17">
        <v>2539</v>
      </c>
      <c r="AZ130" s="16">
        <v>1.03</v>
      </c>
      <c r="BA130">
        <v>169.86</v>
      </c>
      <c r="BB130">
        <v>148.4</v>
      </c>
    </row>
    <row r="131" spans="1:54" x14ac:dyDescent="0.25">
      <c r="A131" s="2">
        <v>45230</v>
      </c>
      <c r="B131" s="1">
        <v>-1.9436463658509373E-2</v>
      </c>
      <c r="C131" s="31">
        <v>51937</v>
      </c>
      <c r="D131" s="31">
        <v>28563</v>
      </c>
      <c r="E131" s="31">
        <v>40788</v>
      </c>
      <c r="F131" s="31">
        <v>12143</v>
      </c>
      <c r="G131" s="31">
        <v>1133331</v>
      </c>
      <c r="H131" s="32">
        <v>188.40435047744401</v>
      </c>
      <c r="I131" s="11">
        <v>338.1</v>
      </c>
      <c r="J131" s="11">
        <v>458.5</v>
      </c>
      <c r="K131" s="11">
        <v>196.5</v>
      </c>
      <c r="L131" s="9">
        <v>273553.85047713999</v>
      </c>
      <c r="M131" s="9">
        <v>1517544.2125231302</v>
      </c>
      <c r="N131" s="9">
        <v>948529.07231346006</v>
      </c>
      <c r="O131" s="35">
        <f t="shared" si="32"/>
        <v>0.4868642603517398</v>
      </c>
      <c r="P131" s="35">
        <f t="shared" si="33"/>
        <v>2.7008870074116529</v>
      </c>
      <c r="Q131" s="35">
        <f t="shared" si="34"/>
        <v>1.6881681775216182</v>
      </c>
      <c r="R131" s="33">
        <v>579150</v>
      </c>
      <c r="S131" s="33">
        <v>683071.73</v>
      </c>
      <c r="T131" s="35">
        <f t="shared" si="35"/>
        <v>1.0307565983476195</v>
      </c>
      <c r="U131" s="35">
        <f t="shared" si="36"/>
        <v>1.2157138786881179</v>
      </c>
      <c r="V131" s="35">
        <v>24364060</v>
      </c>
      <c r="W131" s="35">
        <f t="shared" si="37"/>
        <v>43.36254097822205</v>
      </c>
      <c r="X131" s="31">
        <f>+'[1]Agregados MesTrim'!B337</f>
        <v>15696732.65</v>
      </c>
      <c r="Y131" s="35">
        <f t="shared" si="38"/>
        <v>27.936649834215686</v>
      </c>
      <c r="Z131" s="33">
        <v>29474479</v>
      </c>
      <c r="AA131" s="35">
        <f t="shared" ref="AA131:AA153" si="39">+Z131/AX131/100</f>
        <v>52.457936134176535</v>
      </c>
      <c r="AB131" s="36">
        <v>1.2208125000000001</v>
      </c>
      <c r="AC131" s="5">
        <v>62344</v>
      </c>
      <c r="AD131" s="5">
        <v>141550</v>
      </c>
      <c r="AE131" s="10">
        <v>151.94497704240098</v>
      </c>
      <c r="AF131" s="10">
        <v>164.19463627748601</v>
      </c>
      <c r="AG131" s="10">
        <v>113.11343828087242</v>
      </c>
      <c r="AH131" s="10">
        <v>156.39660252944387</v>
      </c>
      <c r="AI131" s="10">
        <v>399.36830649310468</v>
      </c>
      <c r="AJ131">
        <v>183.69358619230314</v>
      </c>
      <c r="AK131">
        <v>95.571711175475869</v>
      </c>
      <c r="AL131">
        <v>82.057159388828254</v>
      </c>
      <c r="AM131">
        <v>151.12340589708538</v>
      </c>
      <c r="AN131">
        <v>96.23102476405127</v>
      </c>
      <c r="AO131">
        <v>186.47475263483645</v>
      </c>
      <c r="AP131">
        <v>238.13435149598212</v>
      </c>
      <c r="AQ131">
        <v>201.39189039805839</v>
      </c>
      <c r="AR131">
        <v>128.19161526742928</v>
      </c>
      <c r="AS131">
        <v>189.50042385022024</v>
      </c>
      <c r="AT131">
        <v>45.112063999999997</v>
      </c>
      <c r="AU131" s="38">
        <v>135.6423904995051</v>
      </c>
      <c r="AV131" s="34">
        <f>+VLOOKUP(A131,'[2]Salario Real'!$A$5:$C$292,2)</f>
        <v>96.499505644928433</v>
      </c>
      <c r="AW131" s="31">
        <v>1860826</v>
      </c>
      <c r="AX131" s="17">
        <v>5618.6882618886084</v>
      </c>
      <c r="AY131" s="17">
        <v>2560</v>
      </c>
      <c r="AZ131" s="16">
        <v>1.22</v>
      </c>
      <c r="BA131">
        <v>167.67</v>
      </c>
      <c r="BB131">
        <v>147.5</v>
      </c>
    </row>
    <row r="132" spans="1:54" x14ac:dyDescent="0.25">
      <c r="A132" s="2">
        <v>45260</v>
      </c>
      <c r="B132" s="1">
        <v>-1.9436463658509373E-2</v>
      </c>
      <c r="C132" s="31">
        <v>56569</v>
      </c>
      <c r="D132" s="31">
        <v>30397</v>
      </c>
      <c r="E132" s="31">
        <v>29715</v>
      </c>
      <c r="F132" s="31">
        <v>13104</v>
      </c>
      <c r="G132" s="31">
        <v>1027315</v>
      </c>
      <c r="H132" s="32">
        <v>183.33541761330201</v>
      </c>
      <c r="I132" s="11">
        <v>280</v>
      </c>
      <c r="J132" s="11">
        <v>413.3</v>
      </c>
      <c r="K132" s="11">
        <v>201.6</v>
      </c>
      <c r="L132" s="9">
        <v>243781.47323702998</v>
      </c>
      <c r="M132" s="9">
        <v>1665239.9347130598</v>
      </c>
      <c r="N132" s="9">
        <v>915880.31134404999</v>
      </c>
      <c r="O132" s="35">
        <f t="shared" si="32"/>
        <v>0.38460551189309283</v>
      </c>
      <c r="P132" s="35">
        <f t="shared" si="33"/>
        <v>2.6271908566752074</v>
      </c>
      <c r="Q132" s="35">
        <f t="shared" si="34"/>
        <v>1.4449523636883868</v>
      </c>
      <c r="R132" s="33">
        <v>813393.9</v>
      </c>
      <c r="S132" s="33">
        <v>703051.42272727273</v>
      </c>
      <c r="T132" s="35">
        <f t="shared" si="35"/>
        <v>1.2832631336838602</v>
      </c>
      <c r="U132" s="35">
        <f t="shared" si="36"/>
        <v>1.1091796629774286</v>
      </c>
      <c r="V132" s="35">
        <v>34677760</v>
      </c>
      <c r="W132" s="35">
        <f t="shared" si="37"/>
        <v>54.709890210311166</v>
      </c>
      <c r="X132" s="31">
        <f>+'[1]Agregados MesTrim'!B338</f>
        <v>16737873.85</v>
      </c>
      <c r="Y132" s="35">
        <f t="shared" si="38"/>
        <v>26.406758703201657</v>
      </c>
      <c r="Z132" s="33">
        <v>29247419</v>
      </c>
      <c r="AA132" s="35">
        <f t="shared" si="39"/>
        <v>46.142630966503283</v>
      </c>
      <c r="AB132" s="36">
        <v>1.2934999999999999</v>
      </c>
      <c r="AC132" s="5">
        <v>62820</v>
      </c>
      <c r="AD132" s="5">
        <v>132314</v>
      </c>
      <c r="AE132" s="10">
        <v>152.54179371111184</v>
      </c>
      <c r="AF132" s="10">
        <v>158.74545104012253</v>
      </c>
      <c r="AG132" s="10">
        <v>114.4784406876974</v>
      </c>
      <c r="AH132" s="10">
        <v>154.77658418438398</v>
      </c>
      <c r="AI132" s="10">
        <v>377.0941135183204</v>
      </c>
      <c r="AJ132">
        <v>175.00580511169457</v>
      </c>
      <c r="AK132">
        <v>101.52016124450434</v>
      </c>
      <c r="AL132">
        <v>82.937639540611073</v>
      </c>
      <c r="AM132">
        <v>166.18887670393278</v>
      </c>
      <c r="AN132">
        <v>109.1540625158473</v>
      </c>
      <c r="AO132">
        <v>168.83764025541427</v>
      </c>
      <c r="AP132">
        <v>233.02117174812747</v>
      </c>
      <c r="AQ132">
        <v>183.17552029836722</v>
      </c>
      <c r="AR132">
        <v>116.63327666574742</v>
      </c>
      <c r="AS132">
        <v>206.63798613461296</v>
      </c>
      <c r="AT132">
        <v>47.507378000000003</v>
      </c>
      <c r="AU132" s="38">
        <v>132.47495677682943</v>
      </c>
      <c r="AV132" s="34">
        <f>+VLOOKUP(A132,'[2]Salario Real'!$A$5:$C$292,2)</f>
        <v>94.043885681096256</v>
      </c>
      <c r="AW132" s="31">
        <v>1898983</v>
      </c>
      <c r="AX132" s="17">
        <v>6338.4810071258898</v>
      </c>
      <c r="AY132" s="17">
        <v>1957</v>
      </c>
      <c r="AZ132" s="16">
        <v>1.41</v>
      </c>
      <c r="BA132">
        <v>166.65</v>
      </c>
      <c r="BB132">
        <v>146.4</v>
      </c>
    </row>
    <row r="133" spans="1:54" x14ac:dyDescent="0.25">
      <c r="A133" s="2">
        <v>45289</v>
      </c>
      <c r="B133" s="1">
        <v>-1.9436463658509373E-2</v>
      </c>
      <c r="C133" s="31">
        <v>36973</v>
      </c>
      <c r="D133" s="31">
        <v>21810</v>
      </c>
      <c r="E133" s="31">
        <v>25072</v>
      </c>
      <c r="F133" s="31">
        <v>9689</v>
      </c>
      <c r="G133" s="31">
        <v>817610</v>
      </c>
      <c r="H133" s="32">
        <v>166.12418465096101</v>
      </c>
      <c r="I133" s="11">
        <v>209</v>
      </c>
      <c r="J133" s="11">
        <v>333.1</v>
      </c>
      <c r="K133" s="11">
        <v>143.19999999999999</v>
      </c>
      <c r="L133" s="9">
        <v>595782.04181256995</v>
      </c>
      <c r="M133" s="9">
        <v>2079428.0379071401</v>
      </c>
      <c r="N133" s="9">
        <v>1046363.2126708399</v>
      </c>
      <c r="O133" s="35">
        <f t="shared" si="32"/>
        <v>0.74916466924537639</v>
      </c>
      <c r="P133" s="35">
        <f t="shared" si="33"/>
        <v>2.614771693182977</v>
      </c>
      <c r="Q133" s="35">
        <f t="shared" si="34"/>
        <v>1.3157468589455903</v>
      </c>
      <c r="R133" s="33">
        <v>929704.2</v>
      </c>
      <c r="S133" s="33">
        <v>928601.7990476191</v>
      </c>
      <c r="T133" s="35">
        <f t="shared" si="35"/>
        <v>1.169054269192211</v>
      </c>
      <c r="U133" s="35">
        <f t="shared" si="36"/>
        <v>1.1676680578147187</v>
      </c>
      <c r="V133" s="35">
        <v>40176190</v>
      </c>
      <c r="W133" s="35">
        <f t="shared" si="37"/>
        <v>50.519451713111991</v>
      </c>
      <c r="X133" s="31">
        <f>+'[1]Agregados MesTrim'!B339</f>
        <v>19107187.368421052</v>
      </c>
      <c r="Y133" s="35">
        <f t="shared" si="38"/>
        <v>24.026285957735933</v>
      </c>
      <c r="Z133" s="33">
        <v>41182011</v>
      </c>
      <c r="AA133" s="35">
        <f t="shared" si="39"/>
        <v>51.784218866033513</v>
      </c>
      <c r="AB133" s="36">
        <v>1.2117105263157895</v>
      </c>
      <c r="AC133" s="5">
        <v>60959</v>
      </c>
      <c r="AD133" s="5">
        <v>122024</v>
      </c>
      <c r="AE133" s="10">
        <v>147.85691316514138</v>
      </c>
      <c r="AF133" s="10">
        <v>147.86702349735575</v>
      </c>
      <c r="AG133" s="10">
        <v>77.363450867590799</v>
      </c>
      <c r="AH133" s="10">
        <v>142.58257198828659</v>
      </c>
      <c r="AI133" s="10">
        <v>305.81302421834278</v>
      </c>
      <c r="AJ133">
        <v>168.3102857715522</v>
      </c>
      <c r="AK133">
        <v>75.9207668008914</v>
      </c>
      <c r="AL133">
        <v>73.198861291294563</v>
      </c>
      <c r="AM133">
        <v>165.53866768327867</v>
      </c>
      <c r="AN133">
        <v>112.8524706719256</v>
      </c>
      <c r="AO133">
        <v>143.03294362694913</v>
      </c>
      <c r="AP133">
        <v>217.00877292476605</v>
      </c>
      <c r="AQ133">
        <v>155.47107591752052</v>
      </c>
      <c r="AR133">
        <v>91.397206152042912</v>
      </c>
      <c r="AS133">
        <v>134.54281139298683</v>
      </c>
      <c r="AT133">
        <v>39.808849000000002</v>
      </c>
      <c r="AU133" s="38">
        <v>126.00767607429617</v>
      </c>
      <c r="AV133" s="34">
        <f>+VLOOKUP(A133,'[2]Salario Real'!$A$5:$C$292,2)</f>
        <v>83.230995787022309</v>
      </c>
      <c r="AW133" s="31">
        <v>1930294</v>
      </c>
      <c r="AX133" s="17">
        <v>7952.6179793381507</v>
      </c>
      <c r="AY133" s="17">
        <v>1907</v>
      </c>
      <c r="AZ133" s="16">
        <v>2.86</v>
      </c>
      <c r="BA133">
        <v>163.62</v>
      </c>
      <c r="BB133">
        <v>139.30000000000001</v>
      </c>
    </row>
    <row r="134" spans="1:54" x14ac:dyDescent="0.25">
      <c r="A134" s="2">
        <v>45322</v>
      </c>
      <c r="B134" s="1">
        <v>-2.1226422806742251E-2</v>
      </c>
      <c r="C134" s="31">
        <v>22643</v>
      </c>
      <c r="D134" s="31">
        <v>15302</v>
      </c>
      <c r="E134" s="31">
        <v>15942</v>
      </c>
      <c r="F134" s="31">
        <v>6609</v>
      </c>
      <c r="G134" s="31">
        <v>773300</v>
      </c>
      <c r="H134" s="32">
        <v>145.94879841660699</v>
      </c>
      <c r="I134" s="11">
        <v>285</v>
      </c>
      <c r="J134" s="11">
        <v>407.8</v>
      </c>
      <c r="K134" s="11">
        <v>155.5</v>
      </c>
      <c r="L134" s="9">
        <v>969839.32064808998</v>
      </c>
      <c r="M134" s="9">
        <v>2850797.2580764499</v>
      </c>
      <c r="N134" s="9">
        <v>1021902.7502912299</v>
      </c>
      <c r="O134" s="35">
        <f t="shared" si="32"/>
        <v>1.0110930741607702</v>
      </c>
      <c r="P134" s="35">
        <f t="shared" si="33"/>
        <v>2.9720607342992134</v>
      </c>
      <c r="Q134" s="35">
        <f t="shared" si="34"/>
        <v>1.0653711097162459</v>
      </c>
      <c r="R134" s="33">
        <v>1260563</v>
      </c>
      <c r="S134" s="33">
        <v>1118803.4608695654</v>
      </c>
      <c r="T134" s="35">
        <f t="shared" si="35"/>
        <v>1.3141831762313103</v>
      </c>
      <c r="U134" s="35">
        <f t="shared" si="36"/>
        <v>1.1663936556793655</v>
      </c>
      <c r="V134" s="35">
        <v>54505400</v>
      </c>
      <c r="W134" s="35">
        <f t="shared" si="37"/>
        <v>56.823879245827513</v>
      </c>
      <c r="X134" s="31">
        <f>+'[1]Agregados MesTrim'!B340</f>
        <v>22391052.40909091</v>
      </c>
      <c r="Y134" s="35">
        <f t="shared" si="38"/>
        <v>23.343493640651694</v>
      </c>
      <c r="Z134" s="33">
        <v>46328159</v>
      </c>
      <c r="AA134" s="35">
        <f t="shared" si="39"/>
        <v>48.298805488951494</v>
      </c>
      <c r="AB134" s="36">
        <v>1.0916761363636365</v>
      </c>
      <c r="AC134" s="5">
        <v>66556</v>
      </c>
      <c r="AD134" s="5">
        <v>116135</v>
      </c>
      <c r="AE134" s="10">
        <v>146.24938786295868</v>
      </c>
      <c r="AF134" s="10">
        <v>146.73873623713621</v>
      </c>
      <c r="AG134" s="10">
        <v>66.733578949541823</v>
      </c>
      <c r="AH134" s="10">
        <v>147.01182458518949</v>
      </c>
      <c r="AI134" s="10">
        <v>189.77500057836656</v>
      </c>
      <c r="AJ134">
        <v>159.83948267697039</v>
      </c>
      <c r="AK134">
        <v>100.63309743870974</v>
      </c>
      <c r="AL134">
        <v>68.752243181971266</v>
      </c>
      <c r="AM134">
        <v>164.13258138119377</v>
      </c>
      <c r="AN134">
        <v>110.78798071559373</v>
      </c>
      <c r="AO134">
        <v>158.01801393511693</v>
      </c>
      <c r="AP134">
        <v>192.15865656923404</v>
      </c>
      <c r="AQ134">
        <v>179.60367272290677</v>
      </c>
      <c r="AR134">
        <v>82.0081666800601</v>
      </c>
      <c r="AS134">
        <v>82.940675286476761</v>
      </c>
      <c r="AT134">
        <v>35.597560999999999</v>
      </c>
      <c r="AU134" s="38">
        <v>123.59383465732863</v>
      </c>
      <c r="AV134" s="34">
        <f>+VLOOKUP(A134,'[2]Salario Real'!$A$5:$C$292,2)</f>
        <v>82.800243176613364</v>
      </c>
      <c r="AW134" s="31">
        <v>2130427</v>
      </c>
      <c r="AX134" s="17">
        <v>9591.9885659693409</v>
      </c>
      <c r="AY134" s="17">
        <v>1853</v>
      </c>
      <c r="AZ134" s="16">
        <v>2.61</v>
      </c>
      <c r="BA134">
        <v>159.46</v>
      </c>
      <c r="BB134">
        <v>137.5</v>
      </c>
    </row>
    <row r="135" spans="1:54" x14ac:dyDescent="0.25">
      <c r="A135" s="2">
        <v>45351</v>
      </c>
      <c r="B135" s="1">
        <v>-2.1226422806742251E-2</v>
      </c>
      <c r="C135" s="31">
        <v>37491</v>
      </c>
      <c r="D135" s="31">
        <v>23584</v>
      </c>
      <c r="E135" s="31">
        <v>33234</v>
      </c>
      <c r="F135" s="31">
        <v>8359</v>
      </c>
      <c r="G135" s="31">
        <v>689283</v>
      </c>
      <c r="H135" s="32">
        <v>140.47920412949799</v>
      </c>
      <c r="I135" s="11">
        <v>261.39999999999998</v>
      </c>
      <c r="J135" s="11">
        <v>323.60000000000002</v>
      </c>
      <c r="K135" s="11">
        <v>119.5</v>
      </c>
      <c r="L135" s="9">
        <v>500010.48116915999</v>
      </c>
      <c r="M135" s="9">
        <v>2673177.70231514</v>
      </c>
      <c r="N135" s="9">
        <v>1092286.2760590799</v>
      </c>
      <c r="O135" s="35">
        <f t="shared" si="32"/>
        <v>0.4603286465999023</v>
      </c>
      <c r="P135" s="35">
        <f t="shared" si="33"/>
        <v>2.4610289587338818</v>
      </c>
      <c r="Q135" s="35">
        <f t="shared" si="34"/>
        <v>1.0056002465832636</v>
      </c>
      <c r="R135" s="33">
        <v>1014712</v>
      </c>
      <c r="S135" s="33">
        <v>1118848.0095238094</v>
      </c>
      <c r="T135" s="35">
        <f t="shared" si="35"/>
        <v>0.93418242064940582</v>
      </c>
      <c r="U135" s="35">
        <f t="shared" si="36"/>
        <v>1.0300539876100034</v>
      </c>
      <c r="V135" s="35">
        <v>43738360</v>
      </c>
      <c r="W135" s="35">
        <f t="shared" si="37"/>
        <v>40.267196032012187</v>
      </c>
      <c r="X135" s="31">
        <f>+'[1]Agregados MesTrim'!B341</f>
        <v>23465090.52631579</v>
      </c>
      <c r="Y135" s="35">
        <f t="shared" si="38"/>
        <v>21.602853882314516</v>
      </c>
      <c r="Z135" s="33">
        <v>48770232</v>
      </c>
      <c r="AA135" s="35">
        <f t="shared" si="39"/>
        <v>44.899728578545556</v>
      </c>
      <c r="AB135" s="36">
        <v>1.0889473684210527</v>
      </c>
      <c r="AC135" s="5">
        <v>57824</v>
      </c>
      <c r="AD135" s="5">
        <v>106228</v>
      </c>
      <c r="AE135" s="10">
        <v>141.70012971993975</v>
      </c>
      <c r="AF135" s="10">
        <v>133.88202492363064</v>
      </c>
      <c r="AG135" s="10">
        <v>89.481991101032619</v>
      </c>
      <c r="AH135" s="10">
        <v>129.8580736680793</v>
      </c>
      <c r="AI135" s="10">
        <v>289.67701178287854</v>
      </c>
      <c r="AJ135">
        <v>148.47604645675648</v>
      </c>
      <c r="AK135">
        <v>82.521082361087878</v>
      </c>
      <c r="AL135">
        <v>86.168568501803975</v>
      </c>
      <c r="AM135">
        <v>156.70238537737521</v>
      </c>
      <c r="AN135">
        <v>98.5647568389914</v>
      </c>
      <c r="AO135">
        <v>151.79983871076072</v>
      </c>
      <c r="AP135">
        <v>138.1154390769687</v>
      </c>
      <c r="AQ135">
        <v>148.32567881375147</v>
      </c>
      <c r="AR135">
        <v>103.25060338801126</v>
      </c>
      <c r="AS135">
        <v>136.80897456337865</v>
      </c>
      <c r="AT135">
        <v>36.039585000000002</v>
      </c>
      <c r="AU135" s="38">
        <v>115.11533530962106</v>
      </c>
      <c r="AV135" s="34">
        <f>+VLOOKUP(A135,'[2]Salario Real'!$A$5:$C$292,2)</f>
        <v>83.406635038914516</v>
      </c>
      <c r="AW135" s="31">
        <v>2362125</v>
      </c>
      <c r="AX135" s="17">
        <v>10862.032699080477</v>
      </c>
      <c r="AY135" s="17">
        <v>1683</v>
      </c>
      <c r="AZ135" s="16">
        <v>2.57</v>
      </c>
      <c r="BA135">
        <v>161.08000000000001</v>
      </c>
      <c r="BB135">
        <v>133.6</v>
      </c>
    </row>
    <row r="136" spans="1:54" x14ac:dyDescent="0.25">
      <c r="A136" s="2">
        <v>45380</v>
      </c>
      <c r="B136" s="1">
        <v>-2.1226422806742251E-2</v>
      </c>
      <c r="C136" s="31">
        <v>43159</v>
      </c>
      <c r="D136" s="31">
        <v>23484</v>
      </c>
      <c r="E136" s="31">
        <v>30176</v>
      </c>
      <c r="F136" s="31">
        <v>9076</v>
      </c>
      <c r="G136" s="31">
        <v>639095</v>
      </c>
      <c r="H136" s="32">
        <v>120.541856291711</v>
      </c>
      <c r="I136" s="11">
        <v>189.1</v>
      </c>
      <c r="J136" s="11">
        <v>241.4</v>
      </c>
      <c r="K136" s="11">
        <v>87.3</v>
      </c>
      <c r="L136" s="9">
        <v>548602.32231065002</v>
      </c>
      <c r="M136" s="9">
        <v>2818322.1106570703</v>
      </c>
      <c r="N136" s="9">
        <v>1056715.95079666</v>
      </c>
      <c r="O136" s="35">
        <f t="shared" si="32"/>
        <v>0.45497298079719234</v>
      </c>
      <c r="P136" s="35">
        <f t="shared" si="33"/>
        <v>2.337322244885053</v>
      </c>
      <c r="Q136" s="35">
        <f t="shared" si="34"/>
        <v>0.87636742762027919</v>
      </c>
      <c r="R136" s="33">
        <v>1213485</v>
      </c>
      <c r="S136" s="33">
        <v>1104552.138095238</v>
      </c>
      <c r="T136" s="35">
        <f t="shared" si="35"/>
        <v>1.0063808794634463</v>
      </c>
      <c r="U136" s="35">
        <f t="shared" si="36"/>
        <v>0.91603946661847113</v>
      </c>
      <c r="V136" s="35">
        <v>51706700</v>
      </c>
      <c r="W136" s="35">
        <f t="shared" si="37"/>
        <v>42.881975648774052</v>
      </c>
      <c r="X136" s="31">
        <f>+'[1]Agregados MesTrim'!B342</f>
        <v>24744754.368421052</v>
      </c>
      <c r="Y136" s="35">
        <f t="shared" si="38"/>
        <v>20.521594962771299</v>
      </c>
      <c r="Z136" s="33">
        <v>50513936</v>
      </c>
      <c r="AA136" s="35">
        <f t="shared" si="39"/>
        <v>41.892779339538805</v>
      </c>
      <c r="AB136" s="36">
        <v>0.85414473684210523</v>
      </c>
      <c r="AC136" s="5">
        <v>59870</v>
      </c>
      <c r="AD136" s="5">
        <v>105969</v>
      </c>
      <c r="AE136" s="10">
        <v>142.72094347654397</v>
      </c>
      <c r="AF136" s="10">
        <v>141.24878823361348</v>
      </c>
      <c r="AG136" s="10">
        <v>133.40247045347468</v>
      </c>
      <c r="AH136" s="10">
        <v>139.64853074156053</v>
      </c>
      <c r="AI136" s="10">
        <v>348.99308748029711</v>
      </c>
      <c r="AJ136">
        <v>158.00969685229902</v>
      </c>
      <c r="AK136">
        <v>82.261889872093079</v>
      </c>
      <c r="AL136">
        <v>97.099193469350084</v>
      </c>
      <c r="AM136">
        <v>155.18377430987928</v>
      </c>
      <c r="AN136">
        <v>106.23777067192562</v>
      </c>
      <c r="AO136">
        <v>157.77233716033402</v>
      </c>
      <c r="AP136">
        <v>132.59665000578747</v>
      </c>
      <c r="AQ136">
        <v>127.95710925267684</v>
      </c>
      <c r="AR136">
        <v>162.49754249814958</v>
      </c>
      <c r="AS136">
        <v>157.39234881535378</v>
      </c>
      <c r="AT136">
        <v>36.680523000000001</v>
      </c>
      <c r="AU136" s="38">
        <v>112.38729837164938</v>
      </c>
      <c r="AV136" s="34">
        <f>+VLOOKUP(A136,'[2]Salario Real'!$A$5:$C$292,2)</f>
        <v>82.640487948293213</v>
      </c>
      <c r="AW136" s="31">
        <v>2907942</v>
      </c>
      <c r="AX136" s="17">
        <v>12057.909930154592</v>
      </c>
      <c r="AY136" s="17">
        <v>1452</v>
      </c>
      <c r="AZ136" s="16">
        <v>2.56</v>
      </c>
      <c r="BA136">
        <v>158.61000000000001</v>
      </c>
      <c r="BB136">
        <v>142.6</v>
      </c>
    </row>
    <row r="137" spans="1:54" x14ac:dyDescent="0.25">
      <c r="A137" s="2">
        <v>45412</v>
      </c>
      <c r="B137" s="1">
        <v>-1.7349283044115316E-2</v>
      </c>
      <c r="C137" s="31">
        <v>42974</v>
      </c>
      <c r="D137" s="31">
        <v>20611</v>
      </c>
      <c r="E137" s="31">
        <v>22450</v>
      </c>
      <c r="F137" s="31">
        <v>7118</v>
      </c>
      <c r="G137" s="31">
        <v>661560</v>
      </c>
      <c r="H137" s="32">
        <v>119.26099157977499</v>
      </c>
      <c r="I137" s="11">
        <v>265</v>
      </c>
      <c r="J137" s="11">
        <v>316.89999999999998</v>
      </c>
      <c r="K137" s="11">
        <v>114.2</v>
      </c>
      <c r="L137" s="9">
        <v>598571.49160395004</v>
      </c>
      <c r="M137" s="9">
        <v>3280468.82666492</v>
      </c>
      <c r="N137" s="9">
        <v>1249072.1898291099</v>
      </c>
      <c r="O137" s="35">
        <f t="shared" si="32"/>
        <v>0.45612901498200209</v>
      </c>
      <c r="P137" s="35">
        <f t="shared" si="33"/>
        <v>2.4998133649436904</v>
      </c>
      <c r="Q137" s="35">
        <f t="shared" si="34"/>
        <v>0.95182960695551533</v>
      </c>
      <c r="R137" s="33">
        <v>1323586</v>
      </c>
      <c r="S137" s="33">
        <v>1230270.1804545454</v>
      </c>
      <c r="T137" s="35">
        <f t="shared" si="35"/>
        <v>1.0086113135896368</v>
      </c>
      <c r="U137" s="35">
        <f t="shared" si="36"/>
        <v>0.93750192490583795</v>
      </c>
      <c r="V137" s="35">
        <v>56303860</v>
      </c>
      <c r="W137" s="35">
        <f t="shared" si="37"/>
        <v>42.905191045211268</v>
      </c>
      <c r="X137" s="31">
        <f>+'[1]Agregados MesTrim'!B343</f>
        <v>26074451.399999999</v>
      </c>
      <c r="Y137" s="35">
        <f t="shared" si="38"/>
        <v>19.869495958466729</v>
      </c>
      <c r="Z137" s="33">
        <v>52413743</v>
      </c>
      <c r="AA137" s="35">
        <f t="shared" si="39"/>
        <v>39.940807909255334</v>
      </c>
      <c r="AB137" s="36">
        <v>0.62668750000000006</v>
      </c>
      <c r="AC137" s="5">
        <v>59853</v>
      </c>
      <c r="AD137" s="5">
        <v>136230</v>
      </c>
      <c r="AE137" s="10">
        <v>140.45109093657109</v>
      </c>
      <c r="AF137" s="10">
        <v>147.26370307292794</v>
      </c>
      <c r="AG137" s="10">
        <v>142.37815808205971</v>
      </c>
      <c r="AH137" s="10">
        <v>128.02987533947791</v>
      </c>
      <c r="AI137" s="10">
        <v>338.29553382878998</v>
      </c>
      <c r="AJ137">
        <v>164.09911090933383</v>
      </c>
      <c r="AK137">
        <v>88.014618580353414</v>
      </c>
      <c r="AL137">
        <v>95.606825236268421</v>
      </c>
      <c r="AM137">
        <v>142.2605815453623</v>
      </c>
      <c r="AN137">
        <v>105.91350169037894</v>
      </c>
      <c r="AO137">
        <v>122.00813669652118</v>
      </c>
      <c r="AP137">
        <v>146.70728352105402</v>
      </c>
      <c r="AQ137">
        <v>153.23695103928901</v>
      </c>
      <c r="AR137">
        <v>172.85223682506</v>
      </c>
      <c r="AS137">
        <v>156.55152647638619</v>
      </c>
      <c r="AT137">
        <v>37.165118999999997</v>
      </c>
      <c r="AU137" s="38">
        <v>115.96549337979063</v>
      </c>
      <c r="AV137" s="34">
        <f>+VLOOKUP(A137,'[2]Salario Real'!$A$5:$C$292,2)</f>
        <v>85.023358688344302</v>
      </c>
      <c r="AW137" s="31">
        <v>3826521</v>
      </c>
      <c r="AX137" s="17">
        <v>13122.854980570977</v>
      </c>
      <c r="AY137" s="17">
        <v>1211</v>
      </c>
      <c r="AZ137" s="16">
        <v>2.4500000000000002</v>
      </c>
      <c r="BA137">
        <v>161.94</v>
      </c>
      <c r="BB137">
        <v>147.30000000000001</v>
      </c>
    </row>
    <row r="138" spans="1:54" x14ac:dyDescent="0.25">
      <c r="A138" s="2">
        <v>45443</v>
      </c>
      <c r="B138" s="1">
        <v>-1.7349283044115316E-2</v>
      </c>
      <c r="C138" s="31">
        <v>38440</v>
      </c>
      <c r="D138" s="31">
        <v>22974</v>
      </c>
      <c r="E138" s="31">
        <v>27851</v>
      </c>
      <c r="F138" s="31">
        <v>9003</v>
      </c>
      <c r="G138" s="31">
        <v>785471</v>
      </c>
      <c r="H138" s="32">
        <v>129.537753411659</v>
      </c>
      <c r="I138" s="11">
        <v>249</v>
      </c>
      <c r="J138" s="11">
        <v>312.10000000000002</v>
      </c>
      <c r="K138" s="11">
        <v>123.2</v>
      </c>
      <c r="L138" s="9">
        <v>1021528.2921216</v>
      </c>
      <c r="M138" s="9">
        <v>3097295.5372332004</v>
      </c>
      <c r="N138" s="9">
        <v>5511952.1066116206</v>
      </c>
      <c r="O138" s="35">
        <f t="shared" si="32"/>
        <v>0.74722780654505394</v>
      </c>
      <c r="P138" s="35">
        <f t="shared" si="33"/>
        <v>2.2656106231789521</v>
      </c>
      <c r="Q138" s="35">
        <f t="shared" si="34"/>
        <v>4.0318842994066708</v>
      </c>
      <c r="R138" s="33">
        <v>1651417</v>
      </c>
      <c r="S138" s="33">
        <v>1490848.2595652174</v>
      </c>
      <c r="T138" s="35">
        <f t="shared" si="35"/>
        <v>1.2079789782800487</v>
      </c>
      <c r="U138" s="35">
        <f t="shared" si="36"/>
        <v>1.0905261102193935</v>
      </c>
      <c r="V138" s="35">
        <v>70434120</v>
      </c>
      <c r="W138" s="35">
        <f t="shared" si="37"/>
        <v>51.521170191208121</v>
      </c>
      <c r="X138" s="31">
        <f>+'[1]Agregados MesTrim'!B344</f>
        <v>29739714.045454547</v>
      </c>
      <c r="Y138" s="35">
        <f t="shared" si="38"/>
        <v>21.754014514183268</v>
      </c>
      <c r="Z138" s="33">
        <v>58000179</v>
      </c>
      <c r="AA138" s="35">
        <f t="shared" si="39"/>
        <v>42.425987481344762</v>
      </c>
      <c r="AB138" s="36">
        <v>0.35585227272727271</v>
      </c>
      <c r="AC138" s="5">
        <v>62314</v>
      </c>
      <c r="AD138" s="5">
        <v>150654</v>
      </c>
      <c r="AE138" s="10">
        <v>141.47813867887197</v>
      </c>
      <c r="AF138" s="10">
        <v>151.02786831160003</v>
      </c>
      <c r="AG138" s="10">
        <v>119.13719826140903</v>
      </c>
      <c r="AH138" s="10">
        <v>145.85226256987946</v>
      </c>
      <c r="AI138" s="10">
        <v>332.17536412825586</v>
      </c>
      <c r="AJ138">
        <v>170.66448606027706</v>
      </c>
      <c r="AK138">
        <v>81.920446890906319</v>
      </c>
      <c r="AL138">
        <v>97.26986630188803</v>
      </c>
      <c r="AM138">
        <v>134.41223168126081</v>
      </c>
      <c r="AN138">
        <v>111.7520462459501</v>
      </c>
      <c r="AO138">
        <v>167.77874091957065</v>
      </c>
      <c r="AP138">
        <v>170.27125250128546</v>
      </c>
      <c r="AQ138">
        <v>152.72309163399268</v>
      </c>
      <c r="AR138">
        <v>149.57972472668678</v>
      </c>
      <c r="AS138">
        <v>139.64402852931775</v>
      </c>
      <c r="AT138">
        <v>38.304001</v>
      </c>
      <c r="AU138" s="38">
        <v>122.41924490009525</v>
      </c>
      <c r="AV138" s="34">
        <f>+VLOOKUP(A138,'[2]Salario Real'!$A$5:$C$292,2)</f>
        <v>87.882875597925064</v>
      </c>
      <c r="AW138" s="31">
        <v>3976076</v>
      </c>
      <c r="AX138" s="17">
        <v>13670.908432126276</v>
      </c>
      <c r="AY138" s="17">
        <v>1341</v>
      </c>
      <c r="AZ138" s="16">
        <v>2.5099999999999998</v>
      </c>
      <c r="BA138">
        <v>161.91</v>
      </c>
      <c r="BB138">
        <v>156.80000000000001</v>
      </c>
    </row>
    <row r="139" spans="1:54" x14ac:dyDescent="0.25">
      <c r="A139" s="2">
        <v>45471</v>
      </c>
      <c r="B139" s="1">
        <v>-1.7349283044115316E-2</v>
      </c>
      <c r="C139" s="31">
        <v>32029</v>
      </c>
      <c r="D139" s="31">
        <v>20884</v>
      </c>
      <c r="E139" s="31">
        <v>32333</v>
      </c>
      <c r="F139" s="31">
        <v>10051</v>
      </c>
      <c r="G139" s="31">
        <v>727486</v>
      </c>
      <c r="H139" s="32">
        <v>132.87614105057301</v>
      </c>
      <c r="I139" s="11">
        <v>231.9</v>
      </c>
      <c r="J139" s="11">
        <v>274.8</v>
      </c>
      <c r="K139" s="11">
        <v>106.5</v>
      </c>
      <c r="L139" s="9">
        <v>673935.95077524008</v>
      </c>
      <c r="M139" s="9">
        <v>3394161.9259518799</v>
      </c>
      <c r="N139" s="9">
        <v>2516053.3342365697</v>
      </c>
      <c r="O139" s="35">
        <f t="shared" si="32"/>
        <v>0.47139481091676833</v>
      </c>
      <c r="P139" s="35">
        <f t="shared" si="33"/>
        <v>2.3740984843804291</v>
      </c>
      <c r="Q139" s="35">
        <f t="shared" si="34"/>
        <v>1.7598919962417994</v>
      </c>
      <c r="R139" s="33">
        <v>1611295</v>
      </c>
      <c r="S139" s="33">
        <v>1576609.05</v>
      </c>
      <c r="T139" s="35">
        <f t="shared" si="35"/>
        <v>1.1270449379980456</v>
      </c>
      <c r="U139" s="35">
        <f t="shared" si="36"/>
        <v>1.1027833196307364</v>
      </c>
      <c r="V139" s="35">
        <v>68821420</v>
      </c>
      <c r="W139" s="35">
        <f t="shared" si="37"/>
        <v>48.138195077150648</v>
      </c>
      <c r="X139" s="31">
        <f>+'[1]Agregados MesTrim'!B345</f>
        <v>33263064.470588237</v>
      </c>
      <c r="Y139" s="35">
        <f t="shared" si="38"/>
        <v>23.266359315878912</v>
      </c>
      <c r="Z139" s="33">
        <v>66159388</v>
      </c>
      <c r="AA139" s="35">
        <f t="shared" si="39"/>
        <v>46.276196069899449</v>
      </c>
      <c r="AB139" s="36">
        <v>0.33426470588235296</v>
      </c>
      <c r="AC139" s="5">
        <v>53088</v>
      </c>
      <c r="AD139" s="5">
        <v>123882</v>
      </c>
      <c r="AE139" s="10">
        <v>142.79947841579664</v>
      </c>
      <c r="AF139" s="10">
        <v>152.07974085233045</v>
      </c>
      <c r="AG139" s="10">
        <v>114.2122611949124</v>
      </c>
      <c r="AH139" s="10">
        <v>143.83969949130571</v>
      </c>
      <c r="AI139" s="10">
        <v>249.5568614649041</v>
      </c>
      <c r="AJ139">
        <v>175.77166628755242</v>
      </c>
      <c r="AK139">
        <v>68.700418798264465</v>
      </c>
      <c r="AL139">
        <v>92.792755488722079</v>
      </c>
      <c r="AM139">
        <v>136.3137560072999</v>
      </c>
      <c r="AN139">
        <v>103.99845471193126</v>
      </c>
      <c r="AO139">
        <v>162.59104550296891</v>
      </c>
      <c r="AP139">
        <v>156.07587532903162</v>
      </c>
      <c r="AQ139">
        <v>138.40218392713209</v>
      </c>
      <c r="AR139">
        <v>139.03539365492796</v>
      </c>
      <c r="AS139">
        <v>116.87373117704573</v>
      </c>
      <c r="AT139">
        <v>37.229033999999999</v>
      </c>
      <c r="AU139" s="38">
        <v>117.78272407268767</v>
      </c>
      <c r="AV139" s="34">
        <f>+VLOOKUP(A139,'[2]Salario Real'!$A$5:$C$292,2)</f>
        <v>89.658510944675825</v>
      </c>
      <c r="AW139" s="31">
        <v>3968846</v>
      </c>
      <c r="AX139" s="17">
        <v>14296.634904923323</v>
      </c>
      <c r="AY139" s="17">
        <v>1455</v>
      </c>
      <c r="AZ139" s="16">
        <v>2.46</v>
      </c>
      <c r="BA139">
        <v>161.84</v>
      </c>
      <c r="BB139">
        <v>147.4</v>
      </c>
    </row>
    <row r="140" spans="1:54" x14ac:dyDescent="0.25">
      <c r="A140" s="2">
        <v>45504</v>
      </c>
      <c r="B140" s="1">
        <v>3.8681129876147802E-2</v>
      </c>
      <c r="C140" s="31">
        <v>44436</v>
      </c>
      <c r="D140" s="31">
        <v>28330</v>
      </c>
      <c r="E140" s="31">
        <v>33043</v>
      </c>
      <c r="F140" s="31">
        <v>11634</v>
      </c>
      <c r="G140" s="31">
        <v>915741</v>
      </c>
      <c r="H140" s="32">
        <v>142.01002303913199</v>
      </c>
      <c r="I140" s="11">
        <v>170</v>
      </c>
      <c r="J140" s="11">
        <v>313.89999999999998</v>
      </c>
      <c r="K140" s="11">
        <v>116.6</v>
      </c>
      <c r="L140" s="9">
        <v>891391.72085380007</v>
      </c>
      <c r="M140" s="9">
        <v>3736331.8707703203</v>
      </c>
      <c r="N140" s="9">
        <v>1930490.19541903</v>
      </c>
      <c r="O140" s="35">
        <f t="shared" si="32"/>
        <v>0.59933863311501012</v>
      </c>
      <c r="P140" s="35">
        <f t="shared" si="33"/>
        <v>2.5121705574588926</v>
      </c>
      <c r="Q140" s="35">
        <f t="shared" si="34"/>
        <v>1.2979897926987101</v>
      </c>
      <c r="R140" s="33">
        <v>1507785</v>
      </c>
      <c r="S140" s="33">
        <v>1583252.8773913044</v>
      </c>
      <c r="T140" s="35">
        <f t="shared" si="35"/>
        <v>1.0137785440342113</v>
      </c>
      <c r="U140" s="35">
        <f t="shared" si="36"/>
        <v>1.064520337368877</v>
      </c>
      <c r="V140" s="35">
        <v>64329790</v>
      </c>
      <c r="W140" s="35">
        <f t="shared" si="37"/>
        <v>43.252957712290929</v>
      </c>
      <c r="X140" s="31">
        <f>+'[1]Agregados MesTrim'!B346</f>
        <v>35423019.227272727</v>
      </c>
      <c r="Y140" s="35">
        <f t="shared" si="38"/>
        <v>23.81712038355629</v>
      </c>
      <c r="Z140" s="33">
        <v>67956751</v>
      </c>
      <c r="AA140" s="35">
        <f t="shared" si="39"/>
        <v>45.691591364866639</v>
      </c>
      <c r="AB140" s="36">
        <v>0.36906250000000002</v>
      </c>
      <c r="AC140" s="5">
        <v>66637</v>
      </c>
      <c r="AD140" s="5">
        <v>183668</v>
      </c>
      <c r="AE140" s="10">
        <v>144.497887336242</v>
      </c>
      <c r="AF140" s="10">
        <v>178.65528918635053</v>
      </c>
      <c r="AG140" s="10">
        <v>108.6012288295195</v>
      </c>
      <c r="AH140" s="10">
        <v>146.5693446537517</v>
      </c>
      <c r="AI140" s="10">
        <v>353.34643949827512</v>
      </c>
      <c r="AJ140">
        <v>205.03291829756304</v>
      </c>
      <c r="AK140">
        <v>85.824132904860292</v>
      </c>
      <c r="AL140">
        <v>88.946609305038123</v>
      </c>
      <c r="AM140">
        <v>144.30905002329953</v>
      </c>
      <c r="AN140">
        <v>101.12688678687138</v>
      </c>
      <c r="AO140">
        <v>172.58362664004511</v>
      </c>
      <c r="AP140">
        <v>214.52086037808004</v>
      </c>
      <c r="AQ140">
        <v>152.01905832735179</v>
      </c>
      <c r="AR140">
        <v>127.68653966269237</v>
      </c>
      <c r="AS140">
        <v>162.20072049347982</v>
      </c>
      <c r="AT140">
        <v>39.098652000000001</v>
      </c>
      <c r="AU140" s="38">
        <v>119.99838206173499</v>
      </c>
      <c r="AV140" s="34">
        <f>+VLOOKUP(A140,'[2]Salario Real'!$A$5:$C$292,2)</f>
        <v>91.588238417735496</v>
      </c>
      <c r="AW140" s="31">
        <v>4405351</v>
      </c>
      <c r="AX140" s="17">
        <v>14872.922778577939</v>
      </c>
      <c r="AY140" s="17">
        <v>1562</v>
      </c>
      <c r="AZ140" s="16">
        <v>2.37</v>
      </c>
      <c r="BA140">
        <v>164.21</v>
      </c>
      <c r="BB140">
        <v>149.69999999999999</v>
      </c>
    </row>
    <row r="141" spans="1:54" x14ac:dyDescent="0.25">
      <c r="A141" s="2">
        <v>45534</v>
      </c>
      <c r="B141" s="1">
        <v>3.8681129876147802E-2</v>
      </c>
      <c r="C141" s="31">
        <v>51650</v>
      </c>
      <c r="D141" s="31">
        <v>32754</v>
      </c>
      <c r="E141" s="31">
        <v>38682</v>
      </c>
      <c r="F141" s="31">
        <v>14222</v>
      </c>
      <c r="G141" s="31">
        <v>893248</v>
      </c>
      <c r="H141" s="32">
        <v>139.664969526372</v>
      </c>
      <c r="I141" s="11">
        <v>223.9</v>
      </c>
      <c r="J141" s="11">
        <v>346.9</v>
      </c>
      <c r="K141" s="11">
        <v>153</v>
      </c>
      <c r="L141" s="9">
        <v>747211.65104269003</v>
      </c>
      <c r="M141" s="9">
        <v>3891618.90909641</v>
      </c>
      <c r="N141" s="9">
        <v>2140461.1319460901</v>
      </c>
      <c r="O141" s="35">
        <f t="shared" si="32"/>
        <v>0.48227546725418813</v>
      </c>
      <c r="P141" s="35">
        <f t="shared" si="33"/>
        <v>2.5117814010805315</v>
      </c>
      <c r="Q141" s="35">
        <f t="shared" si="34"/>
        <v>1.3815254233632817</v>
      </c>
      <c r="R141" s="33">
        <v>1717565</v>
      </c>
      <c r="S141" s="33">
        <v>1581154.6363636365</v>
      </c>
      <c r="T141" s="35">
        <f t="shared" si="35"/>
        <v>1.1085740723642898</v>
      </c>
      <c r="U141" s="35">
        <f t="shared" si="36"/>
        <v>1.0205302473392939</v>
      </c>
      <c r="V141" s="35">
        <v>73570870</v>
      </c>
      <c r="W141" s="35">
        <f t="shared" si="37"/>
        <v>47.48510767469282</v>
      </c>
      <c r="X141" s="31">
        <f>+'[1]Agregados MesTrim'!B347</f>
        <v>37101278.136363633</v>
      </c>
      <c r="Y141" s="35">
        <f t="shared" si="38"/>
        <v>23.946409593551817</v>
      </c>
      <c r="Z141" s="33">
        <v>70695637</v>
      </c>
      <c r="AA141" s="35">
        <f t="shared" si="39"/>
        <v>45.629335837349714</v>
      </c>
      <c r="AB141" s="36">
        <v>0.38843749999999999</v>
      </c>
      <c r="AC141" s="5">
        <v>63257</v>
      </c>
      <c r="AD141" s="5">
        <v>176435</v>
      </c>
      <c r="AE141" s="10">
        <v>145.41623288542493</v>
      </c>
      <c r="AF141" s="10">
        <v>173.07671840855471</v>
      </c>
      <c r="AG141" s="10">
        <v>129.49547603053196</v>
      </c>
      <c r="AH141" s="10">
        <v>143.07197758030972</v>
      </c>
      <c r="AI141" s="10">
        <v>376.51340890874297</v>
      </c>
      <c r="AJ141">
        <v>198.22137360313721</v>
      </c>
      <c r="AK141">
        <v>84.584784346889776</v>
      </c>
      <c r="AL141">
        <v>85.675771643250542</v>
      </c>
      <c r="AM141">
        <v>144.44122316800025</v>
      </c>
      <c r="AN141">
        <v>108.62298450485983</v>
      </c>
      <c r="AO141">
        <v>144.2710178559883</v>
      </c>
      <c r="AP141">
        <v>209.30152624141959</v>
      </c>
      <c r="AQ141">
        <v>164.32656610085311</v>
      </c>
      <c r="AR141">
        <v>148.49444761403075</v>
      </c>
      <c r="AS141">
        <v>184.09103937131778</v>
      </c>
      <c r="AT141">
        <v>41.455303000000001</v>
      </c>
      <c r="AU141" s="38">
        <v>121.34190692498174</v>
      </c>
      <c r="AV141" s="34">
        <f>+VLOOKUP(A141,'[2]Salario Real'!$A$5:$C$292,2)</f>
        <v>92.351143548519516</v>
      </c>
      <c r="AW141" s="31">
        <v>3233433</v>
      </c>
      <c r="AX141" s="17">
        <v>15493.461761530256</v>
      </c>
      <c r="AY141" s="17">
        <v>1433</v>
      </c>
      <c r="AZ141" s="16">
        <v>2.54</v>
      </c>
      <c r="BA141">
        <v>162.68</v>
      </c>
      <c r="BB141">
        <v>147.30000000000001</v>
      </c>
    </row>
    <row r="142" spans="1:54" x14ac:dyDescent="0.25">
      <c r="A142" s="2">
        <v>45565</v>
      </c>
      <c r="B142" s="1">
        <v>3.8681129876147802E-2</v>
      </c>
      <c r="C142" s="31">
        <v>49611</v>
      </c>
      <c r="D142" s="31">
        <v>31918</v>
      </c>
      <c r="E142" s="31">
        <v>44488</v>
      </c>
      <c r="F142" s="31">
        <v>15272</v>
      </c>
      <c r="G142" s="31">
        <v>917850</v>
      </c>
      <c r="H142" s="32">
        <v>141.67454432799499</v>
      </c>
      <c r="I142" s="11">
        <v>222.4</v>
      </c>
      <c r="J142" s="11">
        <v>370.9</v>
      </c>
      <c r="K142" s="11">
        <v>141.4</v>
      </c>
      <c r="L142" s="9">
        <v>945012.90338753001</v>
      </c>
      <c r="M142" s="9">
        <v>4155790.60619736</v>
      </c>
      <c r="N142" s="9">
        <v>2154299.0946968501</v>
      </c>
      <c r="O142" s="35">
        <f t="shared" si="32"/>
        <v>0.58949231619999187</v>
      </c>
      <c r="P142" s="35">
        <f t="shared" si="33"/>
        <v>2.5923525713858275</v>
      </c>
      <c r="Q142" s="35">
        <f t="shared" si="34"/>
        <v>1.3438364265377811</v>
      </c>
      <c r="R142" s="33">
        <v>1697401</v>
      </c>
      <c r="S142" s="33">
        <v>1769567.9523809524</v>
      </c>
      <c r="T142" s="35">
        <f t="shared" si="35"/>
        <v>1.0588266503276043</v>
      </c>
      <c r="U142" s="35">
        <f t="shared" si="36"/>
        <v>1.1038438810549784</v>
      </c>
      <c r="V142" s="35">
        <v>71935920</v>
      </c>
      <c r="W142" s="35">
        <f t="shared" si="37"/>
        <v>44.873114374172346</v>
      </c>
      <c r="X142" s="31">
        <f>+'[1]Agregados MesTrim'!B348</f>
        <v>38611413</v>
      </c>
      <c r="Y142" s="35">
        <f t="shared" si="38"/>
        <v>24.08552433467738</v>
      </c>
      <c r="Z142" s="33">
        <v>73915672</v>
      </c>
      <c r="AA142" s="35">
        <f t="shared" si="39"/>
        <v>46.108069566633866</v>
      </c>
      <c r="AB142" s="36">
        <v>0.39380952380952378</v>
      </c>
      <c r="AC142" s="5">
        <v>60944</v>
      </c>
      <c r="AD142" s="5">
        <v>162515</v>
      </c>
      <c r="AE142" s="10">
        <v>148.87289495149139</v>
      </c>
      <c r="AF142" s="10">
        <v>171.94940606744632</v>
      </c>
      <c r="AG142" s="10">
        <v>99.29467068893284</v>
      </c>
      <c r="AH142" s="10">
        <v>155.3005706512611</v>
      </c>
      <c r="AI142" s="10">
        <v>401.71657292262444</v>
      </c>
      <c r="AJ142">
        <v>197.33896142477818</v>
      </c>
      <c r="AK142">
        <v>82.595591463534703</v>
      </c>
      <c r="AL142">
        <v>85.941633395920121</v>
      </c>
      <c r="AM142">
        <v>149.94808334851894</v>
      </c>
      <c r="AN142">
        <v>104.37444911959429</v>
      </c>
      <c r="AO142">
        <v>169.28729800230502</v>
      </c>
      <c r="AP142">
        <v>209.01761323295455</v>
      </c>
      <c r="AQ142">
        <v>168.92796473490969</v>
      </c>
      <c r="AR142">
        <v>114.74972238653548</v>
      </c>
      <c r="AS142">
        <v>180.89338114788401</v>
      </c>
      <c r="AT142">
        <v>39.002048000000002</v>
      </c>
      <c r="AU142" s="38">
        <v>122.67080886345714</v>
      </c>
      <c r="AV142" s="34">
        <f>+VLOOKUP(A142,'[2]Salario Real'!$A$5:$C$292,2)</f>
        <v>92.619614487845709</v>
      </c>
      <c r="AW142" s="31">
        <v>4114660</v>
      </c>
      <c r="AX142" s="17">
        <v>16030.962192676381</v>
      </c>
      <c r="AY142" s="17">
        <v>1312</v>
      </c>
      <c r="AZ142" s="16">
        <v>2.16</v>
      </c>
      <c r="BA142">
        <v>165.24</v>
      </c>
      <c r="BB142">
        <v>144.80000000000001</v>
      </c>
    </row>
    <row r="143" spans="1:54" x14ac:dyDescent="0.25">
      <c r="A143" s="2">
        <v>45596</v>
      </c>
      <c r="B143" s="1">
        <v>3.7534007680953607E-2</v>
      </c>
      <c r="C143" s="31">
        <v>52419</v>
      </c>
      <c r="D143" s="31">
        <v>35965</v>
      </c>
      <c r="E143" s="31">
        <v>43627</v>
      </c>
      <c r="F143" s="31">
        <v>16164</v>
      </c>
      <c r="G143" s="31">
        <v>907076</v>
      </c>
      <c r="H143" s="32">
        <v>135.97852022462999</v>
      </c>
      <c r="I143" s="11">
        <v>276.5</v>
      </c>
      <c r="J143" s="11">
        <v>359.6</v>
      </c>
      <c r="K143" s="11">
        <v>151.5</v>
      </c>
      <c r="L143" s="9">
        <v>998269.69691283</v>
      </c>
      <c r="M143" s="9">
        <v>4384271.8938083602</v>
      </c>
      <c r="N143" s="9">
        <v>2207143.8934424501</v>
      </c>
      <c r="O143" s="35">
        <f t="shared" si="32"/>
        <v>0.60639106557131617</v>
      </c>
      <c r="P143" s="35">
        <f t="shared" si="33"/>
        <v>2.6631914338004532</v>
      </c>
      <c r="Q143" s="35">
        <f t="shared" si="34"/>
        <v>1.3407121758306368</v>
      </c>
      <c r="R143" s="33">
        <v>1848744</v>
      </c>
      <c r="S143" s="33">
        <v>1794353.8260869565</v>
      </c>
      <c r="T143" s="35">
        <f t="shared" si="35"/>
        <v>1.1230049831177731</v>
      </c>
      <c r="U143" s="35">
        <f t="shared" si="36"/>
        <v>1.0899661003211338</v>
      </c>
      <c r="V143" s="35">
        <v>78458910</v>
      </c>
      <c r="W143" s="35">
        <f t="shared" si="37"/>
        <v>47.659246980646792</v>
      </c>
      <c r="X143" s="31">
        <f>+'[1]Agregados MesTrim'!B349</f>
        <v>41505023.31818182</v>
      </c>
      <c r="Y143" s="35">
        <f t="shared" si="38"/>
        <v>25.21189954408915</v>
      </c>
      <c r="Z143" s="33">
        <v>77350038</v>
      </c>
      <c r="AA143" s="35">
        <f t="shared" si="39"/>
        <v>46.985671417107568</v>
      </c>
      <c r="AB143" s="36">
        <v>0.40508522727272728</v>
      </c>
      <c r="AC143" s="5">
        <v>65938</v>
      </c>
      <c r="AD143" s="5">
        <v>171606</v>
      </c>
      <c r="AE143" s="10">
        <v>149.83379743404359</v>
      </c>
      <c r="AF143" s="10">
        <v>174.01057886417055</v>
      </c>
      <c r="AG143" s="10">
        <v>101.92021365121755</v>
      </c>
      <c r="AH143" s="10">
        <v>155.84698555977587</v>
      </c>
      <c r="AI143" s="10">
        <v>402.1274056695259</v>
      </c>
      <c r="AJ143">
        <v>197.38141774339095</v>
      </c>
      <c r="AK143">
        <v>91.761261183674137</v>
      </c>
      <c r="AL143">
        <v>82.007563138256614</v>
      </c>
      <c r="AM143">
        <v>138.10273402549117</v>
      </c>
      <c r="AN143">
        <v>108.61067960276097</v>
      </c>
      <c r="AO143">
        <v>181.04093730729539</v>
      </c>
      <c r="AP143">
        <v>196.25111243454705</v>
      </c>
      <c r="AQ143">
        <v>170.45908494913076</v>
      </c>
      <c r="AR143">
        <v>112.88261920677041</v>
      </c>
      <c r="AS143">
        <v>191.20189263100721</v>
      </c>
      <c r="AT143">
        <v>42.424849999999999</v>
      </c>
      <c r="AU143" s="38">
        <v>123.69402975172434</v>
      </c>
      <c r="AV143" s="34">
        <f>+VLOOKUP(A143,'[2]Salario Real'!$A$5:$C$292,2)</f>
        <v>93.7544646691872</v>
      </c>
      <c r="AW143" s="31">
        <v>4146668</v>
      </c>
      <c r="AX143" s="17">
        <v>16462.473700404909</v>
      </c>
      <c r="AY143" s="17">
        <v>967</v>
      </c>
      <c r="AZ143" s="16">
        <v>2.4300000000000002</v>
      </c>
      <c r="BA143">
        <v>167.62</v>
      </c>
      <c r="BB143">
        <v>148</v>
      </c>
    </row>
    <row r="144" spans="1:54" x14ac:dyDescent="0.25">
      <c r="A144" s="2">
        <v>45625</v>
      </c>
      <c r="B144" s="1">
        <v>3.7534007680953607E-2</v>
      </c>
      <c r="C144" s="31">
        <v>53701</v>
      </c>
      <c r="D144" s="31">
        <v>32262</v>
      </c>
      <c r="E144" s="31">
        <v>40118</v>
      </c>
      <c r="F144" s="31">
        <v>13411</v>
      </c>
      <c r="G144" s="31">
        <v>877342</v>
      </c>
      <c r="H144" s="32">
        <v>139.780473793602</v>
      </c>
      <c r="I144" s="11">
        <v>274.2</v>
      </c>
      <c r="J144" s="11">
        <v>338.5</v>
      </c>
      <c r="K144" s="11">
        <v>158.1</v>
      </c>
      <c r="L144" s="9">
        <v>965140.23340943991</v>
      </c>
      <c r="M144" s="9">
        <v>4269832.6567598507</v>
      </c>
      <c r="N144" s="9">
        <v>2628648.0869681099</v>
      </c>
      <c r="O144" s="35">
        <f t="shared" si="32"/>
        <v>0.57237776640978344</v>
      </c>
      <c r="P144" s="35">
        <f t="shared" si="33"/>
        <v>2.5322302339280456</v>
      </c>
      <c r="Q144" s="35">
        <f t="shared" si="34"/>
        <v>1.5589234275117732</v>
      </c>
      <c r="R144" s="33">
        <v>2258295</v>
      </c>
      <c r="S144" s="33">
        <v>2082782.2857142857</v>
      </c>
      <c r="T144" s="35">
        <f t="shared" si="35"/>
        <v>1.3392850108716017</v>
      </c>
      <c r="U144" s="35">
        <f t="shared" si="36"/>
        <v>1.2351969499848499</v>
      </c>
      <c r="V144" s="35">
        <v>97352450</v>
      </c>
      <c r="W144" s="35">
        <f t="shared" si="37"/>
        <v>57.735006744746386</v>
      </c>
      <c r="X144" s="31">
        <f>+'[1]Agregados MesTrim'!B350</f>
        <v>44007645.421052635</v>
      </c>
      <c r="Y144" s="35">
        <f t="shared" si="38"/>
        <v>26.098795718082918</v>
      </c>
      <c r="Z144" s="33">
        <v>81410547</v>
      </c>
      <c r="AA144" s="35">
        <f t="shared" si="39"/>
        <v>48.280638855401101</v>
      </c>
      <c r="AB144" s="36">
        <v>0.36171052631578943</v>
      </c>
      <c r="AC144" s="5">
        <v>59960</v>
      </c>
      <c r="AD144" s="5">
        <v>151174</v>
      </c>
      <c r="AE144" s="10">
        <v>150.48319704918254</v>
      </c>
      <c r="AF144" s="10">
        <v>159.26530941795204</v>
      </c>
      <c r="AG144" s="10">
        <v>98.966516989195995</v>
      </c>
      <c r="AH144" s="10">
        <v>153.78040115801662</v>
      </c>
      <c r="AI144" s="10">
        <v>372.46121443266821</v>
      </c>
      <c r="AJ144">
        <v>179.17609973973293</v>
      </c>
      <c r="AK144">
        <v>89.192988654918366</v>
      </c>
      <c r="AL144">
        <v>82.91553577107986</v>
      </c>
      <c r="AM144">
        <v>152.47377161294989</v>
      </c>
      <c r="AN144">
        <v>109.00503942808845</v>
      </c>
      <c r="AO144">
        <v>174.18370903893646</v>
      </c>
      <c r="AP144">
        <v>191.64223609994596</v>
      </c>
      <c r="AQ144">
        <v>161.65589844585023</v>
      </c>
      <c r="AR144">
        <v>100.65604492818342</v>
      </c>
      <c r="AS144">
        <v>195.9923991967041</v>
      </c>
      <c r="AT144">
        <v>45.015701</v>
      </c>
      <c r="AU144" s="38">
        <v>125.51637550588359</v>
      </c>
      <c r="AV144" s="34">
        <f>+VLOOKUP(A144,'[2]Salario Real'!$A$5:$C$292,2)</f>
        <v>94.535650538669074</v>
      </c>
      <c r="AW144" s="31">
        <v>3437203</v>
      </c>
      <c r="AX144" s="17">
        <v>16861.944856161052</v>
      </c>
      <c r="AY144" s="17">
        <v>755</v>
      </c>
      <c r="AZ144" s="16">
        <v>2.66</v>
      </c>
      <c r="BA144">
        <v>167.57</v>
      </c>
      <c r="BB144">
        <v>148.1</v>
      </c>
    </row>
    <row r="145" spans="1:54" x14ac:dyDescent="0.25">
      <c r="A145" s="2">
        <v>45657</v>
      </c>
      <c r="B145" s="1">
        <v>3.7534007680953607E-2</v>
      </c>
      <c r="C145" s="31">
        <v>38018</v>
      </c>
      <c r="D145" s="31">
        <v>26667</v>
      </c>
      <c r="E145" s="31">
        <v>49462</v>
      </c>
      <c r="F145" s="31">
        <v>15529</v>
      </c>
      <c r="G145" s="31">
        <v>772763</v>
      </c>
      <c r="H145" s="32">
        <v>145.225412790614</v>
      </c>
      <c r="I145" s="11">
        <v>196.5</v>
      </c>
      <c r="J145" s="11">
        <v>256.3</v>
      </c>
      <c r="K145" s="11">
        <v>83.1</v>
      </c>
      <c r="L145" s="9">
        <v>992011.89647055999</v>
      </c>
      <c r="M145" s="9">
        <v>4475623.1861312194</v>
      </c>
      <c r="N145" s="9">
        <v>2559542.8738407902</v>
      </c>
      <c r="O145" s="35">
        <f t="shared" si="32"/>
        <v>0.57282427925944135</v>
      </c>
      <c r="P145" s="35">
        <f t="shared" si="33"/>
        <v>2.5843900007186504</v>
      </c>
      <c r="Q145" s="35">
        <f t="shared" si="34"/>
        <v>1.4779745153842532</v>
      </c>
      <c r="R145" s="33">
        <v>2533635</v>
      </c>
      <c r="S145" s="33">
        <v>2409941.1818181816</v>
      </c>
      <c r="T145" s="35">
        <f t="shared" si="35"/>
        <v>1.4630143528974966</v>
      </c>
      <c r="U145" s="35">
        <f t="shared" si="36"/>
        <v>1.391588977354179</v>
      </c>
      <c r="V145" s="35">
        <v>109527300</v>
      </c>
      <c r="W145" s="35">
        <f t="shared" si="37"/>
        <v>63.245105129235256</v>
      </c>
      <c r="X145" s="31">
        <f>+'[1]Agregados MesTrim'!B351</f>
        <v>47267605.526315786</v>
      </c>
      <c r="Y145" s="35">
        <f t="shared" si="38"/>
        <v>27.294059843701646</v>
      </c>
      <c r="Z145" s="33">
        <v>88866662</v>
      </c>
      <c r="AA145" s="35">
        <f t="shared" si="39"/>
        <v>51.314890266392176</v>
      </c>
      <c r="AB145" s="36">
        <v>0.3292434210526316</v>
      </c>
      <c r="AC145" s="5">
        <v>63924</v>
      </c>
      <c r="AD145" s="5">
        <v>160539</v>
      </c>
      <c r="AE145" s="10">
        <v>149.68294230252181</v>
      </c>
      <c r="AF145" s="10">
        <v>164.04244483713245</v>
      </c>
      <c r="AG145" s="10">
        <v>79.995650502541508</v>
      </c>
      <c r="AH145" s="10">
        <v>140.42361275251307</v>
      </c>
      <c r="AI145" s="10">
        <v>296.88254321725219</v>
      </c>
      <c r="AJ145">
        <v>185.16539994732739</v>
      </c>
      <c r="AK145">
        <v>89.704135708057407</v>
      </c>
      <c r="AL145">
        <v>73.310101588129726</v>
      </c>
      <c r="AM145">
        <v>149.90285977052457</v>
      </c>
      <c r="AN145">
        <v>114.36071274827439</v>
      </c>
      <c r="AO145">
        <v>141.71344393904636</v>
      </c>
      <c r="AP145">
        <v>164.72969524816659</v>
      </c>
      <c r="AQ145">
        <v>135.01419891985111</v>
      </c>
      <c r="AR145">
        <v>91.023560357230139</v>
      </c>
      <c r="AS145">
        <v>138.62128592560353</v>
      </c>
      <c r="AT145">
        <v>46.029193999999997</v>
      </c>
      <c r="AU145" s="38">
        <v>126.93544700241777</v>
      </c>
      <c r="AV145" s="34">
        <f>+VLOOKUP(A145,'[2]Salario Real'!$A$5:$C$292,2)</f>
        <v>94.614714851128085</v>
      </c>
      <c r="AW145" s="31">
        <v>3659767</v>
      </c>
      <c r="AX145" s="17">
        <v>17317.909390172023</v>
      </c>
      <c r="AY145" s="17">
        <v>626</v>
      </c>
      <c r="AZ145" s="16">
        <v>2.66</v>
      </c>
      <c r="BA145">
        <v>169.22</v>
      </c>
      <c r="BB145">
        <v>148.6</v>
      </c>
    </row>
    <row r="146" spans="1:54" x14ac:dyDescent="0.25">
      <c r="A146" s="2">
        <v>45688</v>
      </c>
      <c r="B146" s="1">
        <v>8.5972973421308829E-3</v>
      </c>
      <c r="C146" s="31">
        <v>30058</v>
      </c>
      <c r="D146" s="31">
        <v>11132</v>
      </c>
      <c r="E146" s="31">
        <v>34089</v>
      </c>
      <c r="F146" s="31">
        <v>9798</v>
      </c>
      <c r="G146" s="31">
        <v>840461</v>
      </c>
      <c r="H146" s="32">
        <v>143.77339143412399</v>
      </c>
      <c r="I146" s="11">
        <v>220.9</v>
      </c>
      <c r="J146" s="11">
        <v>299.7</v>
      </c>
      <c r="K146" s="11">
        <v>120.8</v>
      </c>
      <c r="L146" s="9">
        <v>1042743.2759491099</v>
      </c>
      <c r="M146" s="9">
        <v>5337719.1659588004</v>
      </c>
      <c r="N146" s="9">
        <v>2570019.9034962598</v>
      </c>
      <c r="O146" s="35">
        <f t="shared" si="32"/>
        <v>0.58909331399612863</v>
      </c>
      <c r="P146" s="35">
        <f t="shared" si="33"/>
        <v>3.0155214089424458</v>
      </c>
      <c r="Q146" s="35">
        <f t="shared" si="34"/>
        <v>1.4519216540702111</v>
      </c>
      <c r="R146" s="33">
        <v>2564659</v>
      </c>
      <c r="S146" s="33">
        <v>2645427.5217391304</v>
      </c>
      <c r="T146" s="35">
        <f t="shared" si="35"/>
        <v>1.4488930347739126</v>
      </c>
      <c r="U146" s="35">
        <f t="shared" si="36"/>
        <v>1.4945228625899347</v>
      </c>
      <c r="V146" s="35">
        <v>110074200</v>
      </c>
      <c r="W146" s="35">
        <f t="shared" si="37"/>
        <v>62.185944286671493</v>
      </c>
      <c r="X146" s="31">
        <f>+'[1]Agregados MesTrim'!B352</f>
        <v>47524230.863636367</v>
      </c>
      <c r="Y146" s="35">
        <f t="shared" si="38"/>
        <v>26.848609145040392</v>
      </c>
      <c r="Z146" s="33">
        <v>90720443</v>
      </c>
      <c r="AA146" s="35">
        <f t="shared" si="39"/>
        <v>51.2521227868125</v>
      </c>
      <c r="AB146" s="36">
        <v>0.31497159090909088</v>
      </c>
      <c r="AC146" s="5">
        <v>67120</v>
      </c>
      <c r="AD146" s="5">
        <v>170036</v>
      </c>
      <c r="AE146" s="10">
        <v>150.39720811780688</v>
      </c>
      <c r="AF146" s="10">
        <v>150.30983931579678</v>
      </c>
      <c r="AG146" s="10">
        <v>74.370088390723737</v>
      </c>
      <c r="AH146" s="10">
        <v>147.69665399304714</v>
      </c>
      <c r="AI146" s="10">
        <v>211.01212061332703</v>
      </c>
      <c r="AJ146">
        <v>167.70541798949591</v>
      </c>
      <c r="AK146">
        <v>89.089337819751236</v>
      </c>
      <c r="AL146">
        <v>69.980996004553305</v>
      </c>
      <c r="AM146">
        <v>153.0985576508632</v>
      </c>
      <c r="AN146">
        <v>116.06620121143824</v>
      </c>
      <c r="AO146">
        <v>161.82710573033012</v>
      </c>
      <c r="AP146">
        <v>176.51667867849253</v>
      </c>
      <c r="AQ146">
        <v>151.17911051940112</v>
      </c>
      <c r="AR146">
        <v>81.930606882417081</v>
      </c>
      <c r="AS146">
        <v>110.14652809086954</v>
      </c>
      <c r="AT146">
        <v>47.383319999999998</v>
      </c>
      <c r="AU146" s="38">
        <v>128.79356598348218</v>
      </c>
      <c r="AV146" s="34">
        <f>+VLOOKUP(A146,'[2]Salario Real'!$A$5:$C$292,2)</f>
        <v>94.697055918811742</v>
      </c>
      <c r="AW146" s="31">
        <v>2905671</v>
      </c>
      <c r="AX146" s="17">
        <v>17700.816681751756</v>
      </c>
      <c r="AY146" s="17">
        <v>625</v>
      </c>
      <c r="AZ146" s="16">
        <v>2.61</v>
      </c>
      <c r="BA146">
        <v>169.68</v>
      </c>
      <c r="BB146">
        <v>146.30000000000001</v>
      </c>
    </row>
    <row r="147" spans="1:54" x14ac:dyDescent="0.25">
      <c r="A147" s="2">
        <v>45716</v>
      </c>
      <c r="B147" s="1">
        <v>8.5972973421308829E-3</v>
      </c>
      <c r="C147" s="31">
        <v>42419</v>
      </c>
      <c r="D147" s="31">
        <v>2249</v>
      </c>
      <c r="E147" s="31">
        <v>45617</v>
      </c>
      <c r="F147" s="31">
        <v>14167</v>
      </c>
      <c r="G147" s="31">
        <v>743953</v>
      </c>
      <c r="H147" s="32">
        <v>146.59972837590601</v>
      </c>
      <c r="I147" s="11">
        <v>261.5</v>
      </c>
      <c r="J147" s="11">
        <v>316.39999999999998</v>
      </c>
      <c r="K147" s="11">
        <v>114.8</v>
      </c>
      <c r="L147" s="9">
        <v>996504.42098562</v>
      </c>
      <c r="M147" s="9">
        <v>4755088.2340298602</v>
      </c>
      <c r="N147" s="9">
        <v>2615716.4699718403</v>
      </c>
      <c r="O147" s="35">
        <f t="shared" si="32"/>
        <v>0.54976750520864137</v>
      </c>
      <c r="P147" s="35">
        <f t="shared" si="33"/>
        <v>2.6233631687091976</v>
      </c>
      <c r="Q147" s="35">
        <f t="shared" si="34"/>
        <v>1.443080319309817</v>
      </c>
      <c r="R147" s="33">
        <v>2205801</v>
      </c>
      <c r="S147" s="33">
        <v>2361265.7000000002</v>
      </c>
      <c r="T147" s="35">
        <f t="shared" si="35"/>
        <v>1.2169315932961884</v>
      </c>
      <c r="U147" s="35">
        <f t="shared" si="36"/>
        <v>1.3027008467657055</v>
      </c>
      <c r="V147" s="35">
        <v>94929980</v>
      </c>
      <c r="W147" s="35">
        <f t="shared" si="37"/>
        <v>52.372490452663371</v>
      </c>
      <c r="X147" s="31">
        <f>+'[1]Agregados MesTrim'!B353</f>
        <v>47068332.200000003</v>
      </c>
      <c r="Y147" s="35">
        <f t="shared" si="38"/>
        <v>25.96741070383969</v>
      </c>
      <c r="Z147" s="33">
        <v>86717367</v>
      </c>
      <c r="AA147" s="35">
        <f t="shared" si="39"/>
        <v>47.841624693143359</v>
      </c>
      <c r="AB147" s="36">
        <v>0.28478124999999999</v>
      </c>
      <c r="AC147" s="5">
        <v>59096</v>
      </c>
      <c r="AD147" s="5">
        <v>149004</v>
      </c>
      <c r="AE147" s="10">
        <v>150.75108568940334</v>
      </c>
      <c r="AF147" s="10">
        <v>141.24666399160085</v>
      </c>
      <c r="AG147" s="10">
        <v>90.421139925986992</v>
      </c>
      <c r="AH147" s="10">
        <v>130.33604546962886</v>
      </c>
      <c r="AI147" s="10">
        <v>328.50535754891274</v>
      </c>
      <c r="AJ147">
        <v>157.15503473267856</v>
      </c>
      <c r="AK147">
        <v>85.26011401690586</v>
      </c>
      <c r="AL147">
        <v>85.868398040367794</v>
      </c>
      <c r="AM147">
        <v>144.26675204095275</v>
      </c>
      <c r="AN147">
        <v>91.491009635159884</v>
      </c>
      <c r="AO147">
        <v>143.12667062787727</v>
      </c>
      <c r="AP147">
        <v>167.88571568111877</v>
      </c>
      <c r="AQ147">
        <v>144.15455258762674</v>
      </c>
      <c r="AR147">
        <v>102.68772346733243</v>
      </c>
      <c r="AS147">
        <v>154.47235940619225</v>
      </c>
      <c r="AT147">
        <v>47.257618000000001</v>
      </c>
      <c r="AU147" s="38">
        <v>130.87919009654959</v>
      </c>
      <c r="AV147" s="34">
        <f>+VLOOKUP(A147,'[2]Salario Real'!$A$5:$C$292,2)</f>
        <v>94.612322422369346</v>
      </c>
      <c r="AW147" s="31">
        <v>2644364</v>
      </c>
      <c r="AX147" s="17">
        <v>18125.924350647794</v>
      </c>
      <c r="AY147" s="17">
        <v>784</v>
      </c>
      <c r="AZ147" s="16">
        <v>2.56</v>
      </c>
      <c r="BA147">
        <v>170.93</v>
      </c>
      <c r="BB147">
        <v>141.19999999999999</v>
      </c>
    </row>
    <row r="148" spans="1:54" x14ac:dyDescent="0.25">
      <c r="A148" s="2">
        <v>45747</v>
      </c>
      <c r="B148" s="1">
        <v>8.5972973421308829E-3</v>
      </c>
      <c r="C148" s="31">
        <v>41565</v>
      </c>
      <c r="D148" s="31">
        <v>24292</v>
      </c>
      <c r="E148" s="31">
        <v>47915</v>
      </c>
      <c r="F148" s="31">
        <v>16425</v>
      </c>
      <c r="G148" s="31">
        <v>747985</v>
      </c>
      <c r="H148" s="32">
        <v>141.198026080105</v>
      </c>
      <c r="I148" s="11">
        <v>234.7</v>
      </c>
      <c r="J148" s="11">
        <v>330.8</v>
      </c>
      <c r="K148" s="11">
        <v>123.5</v>
      </c>
      <c r="L148" s="9">
        <v>1019501.52258975</v>
      </c>
      <c r="M148" s="9">
        <v>4367980.50852858</v>
      </c>
      <c r="N148" s="9">
        <v>2227921.78717248</v>
      </c>
      <c r="O148" s="35">
        <f t="shared" si="32"/>
        <v>0.5422332193325311</v>
      </c>
      <c r="P148" s="35">
        <f t="shared" si="33"/>
        <v>2.3231589954910485</v>
      </c>
      <c r="Q148" s="35">
        <f t="shared" si="34"/>
        <v>1.1849449719416887</v>
      </c>
      <c r="R148" s="33">
        <v>2338761</v>
      </c>
      <c r="S148" s="33">
        <v>2318368.8095238097</v>
      </c>
      <c r="T148" s="35">
        <f t="shared" si="35"/>
        <v>1.243896039564502</v>
      </c>
      <c r="U148" s="35">
        <f t="shared" si="36"/>
        <v>1.2330502263448622</v>
      </c>
      <c r="V148" s="35">
        <v>100274600</v>
      </c>
      <c r="W148" s="35">
        <f t="shared" si="37"/>
        <v>53.332160835978804</v>
      </c>
      <c r="X148" s="31">
        <f>+'[1]Agregados MesTrim'!B354</f>
        <v>49181330.777777776</v>
      </c>
      <c r="Y148" s="35">
        <f t="shared" si="38"/>
        <v>26.157637558942334</v>
      </c>
      <c r="Z148" s="33">
        <v>90460078</v>
      </c>
      <c r="AA148" s="35">
        <f t="shared" si="39"/>
        <v>48.112198195068224</v>
      </c>
      <c r="AB148" s="36">
        <v>0.29506944444444444</v>
      </c>
      <c r="AC148" s="5">
        <v>58596</v>
      </c>
      <c r="AD148" s="5">
        <v>142383</v>
      </c>
      <c r="AE148" s="10">
        <v>149.152613545881</v>
      </c>
      <c r="AF148" s="10">
        <v>146.41999831079957</v>
      </c>
      <c r="AG148" s="10">
        <v>130.35438536366536</v>
      </c>
      <c r="AH148" s="10">
        <v>139.99327886645091</v>
      </c>
      <c r="AI148" s="10">
        <v>344.72768196213394</v>
      </c>
      <c r="AJ148">
        <v>163.58663499674367</v>
      </c>
      <c r="AK148">
        <v>86.005215530226124</v>
      </c>
      <c r="AL148">
        <v>97.331351219282425</v>
      </c>
      <c r="AM148">
        <v>159.57962787455617</v>
      </c>
      <c r="AN148">
        <v>104.13885678264541</v>
      </c>
      <c r="AO148">
        <v>136.09383739673339</v>
      </c>
      <c r="AP148">
        <v>166.99496899667236</v>
      </c>
      <c r="AQ148">
        <v>159.64274567018037</v>
      </c>
      <c r="AR148">
        <v>160.77103782987732</v>
      </c>
      <c r="AS148">
        <v>151.39938737586453</v>
      </c>
      <c r="AT148">
        <v>44.113937</v>
      </c>
      <c r="AU148" s="38">
        <v>129.49996400505884</v>
      </c>
      <c r="AV148" s="34">
        <f>+VLOOKUP(A148,'[2]Salario Real'!$A$5:$C$292,2)</f>
        <v>93.180919651117506</v>
      </c>
      <c r="AW148" s="31">
        <v>3231778</v>
      </c>
      <c r="AX148" s="17">
        <v>18801.900847106313</v>
      </c>
      <c r="AY148" s="17">
        <v>801</v>
      </c>
      <c r="AZ148" s="16">
        <v>2.42</v>
      </c>
      <c r="BA148">
        <v>168.88</v>
      </c>
      <c r="BB148">
        <v>150.4</v>
      </c>
    </row>
    <row r="149" spans="1:54" x14ac:dyDescent="0.25">
      <c r="A149" s="2">
        <v>45777</v>
      </c>
      <c r="B149" s="1">
        <v>-6.1022349444650459E-4</v>
      </c>
      <c r="C149" s="31">
        <v>45479</v>
      </c>
      <c r="D149" s="31">
        <v>22628</v>
      </c>
      <c r="E149" s="31">
        <v>52621</v>
      </c>
      <c r="F149" s="31">
        <v>16413</v>
      </c>
      <c r="G149" s="31">
        <v>844752</v>
      </c>
      <c r="H149" s="32">
        <v>148.341695396674</v>
      </c>
      <c r="I149" s="11">
        <v>237.5</v>
      </c>
      <c r="J149" s="11">
        <v>317.39999999999998</v>
      </c>
      <c r="K149" s="11">
        <v>140.19999999999999</v>
      </c>
      <c r="L149" s="9">
        <v>1170534.9056994501</v>
      </c>
      <c r="M149" s="9">
        <v>4714092.5051223505</v>
      </c>
      <c r="N149" s="9">
        <v>2450378.7551605199</v>
      </c>
      <c r="O149" s="35">
        <f t="shared" si="32"/>
        <v>0.60571798056559945</v>
      </c>
      <c r="P149" s="35">
        <f t="shared" si="33"/>
        <v>2.439406615299434</v>
      </c>
      <c r="Q149" s="35">
        <f t="shared" si="34"/>
        <v>1.2680001800627847</v>
      </c>
      <c r="R149" s="33">
        <v>2100844</v>
      </c>
      <c r="S149" s="33">
        <v>2190276.3181818184</v>
      </c>
      <c r="T149" s="35">
        <f t="shared" si="35"/>
        <v>1.0871260472176743</v>
      </c>
      <c r="U149" s="35">
        <f t="shared" si="36"/>
        <v>1.1334046869255789</v>
      </c>
      <c r="V149" s="35">
        <v>90145800</v>
      </c>
      <c r="W149" s="35">
        <f t="shared" si="37"/>
        <v>46.647845926339606</v>
      </c>
      <c r="X149" s="31">
        <f>+'[1]Agregados MesTrim'!B355</f>
        <v>51505326.263157897</v>
      </c>
      <c r="Y149" s="35">
        <f t="shared" si="38"/>
        <v>26.652517631544036</v>
      </c>
      <c r="Z149" s="33">
        <v>92422259</v>
      </c>
      <c r="AA149" s="35">
        <f t="shared" si="39"/>
        <v>47.825847660082381</v>
      </c>
      <c r="AB149" s="36">
        <v>0.33154605263157899</v>
      </c>
      <c r="AC149" s="5">
        <v>62943</v>
      </c>
      <c r="AD149" s="5">
        <v>158960</v>
      </c>
      <c r="AE149" s="10">
        <v>147.59770777917677</v>
      </c>
      <c r="AF149" s="10">
        <v>150.28502919807968</v>
      </c>
      <c r="AG149" s="10">
        <v>133.29621204882588</v>
      </c>
      <c r="AH149" s="10">
        <v>140.80594767962407</v>
      </c>
      <c r="AI149" s="10">
        <v>334.03494941953289</v>
      </c>
      <c r="AJ149">
        <v>170.66421657902049</v>
      </c>
      <c r="AK149">
        <v>78.564272162879931</v>
      </c>
      <c r="AL149">
        <v>95.906121252523931</v>
      </c>
      <c r="AM149">
        <v>130.81605982617282</v>
      </c>
      <c r="AN149">
        <v>111.05049981687563</v>
      </c>
      <c r="AO149">
        <v>141.76491519586966</v>
      </c>
      <c r="AP149">
        <v>195.61356459338631</v>
      </c>
      <c r="AQ149">
        <v>155.84200593303419</v>
      </c>
      <c r="AR149">
        <v>155.04263988723653</v>
      </c>
      <c r="AS149">
        <v>165.73826823619152</v>
      </c>
      <c r="AT149">
        <v>44.102862999999999</v>
      </c>
      <c r="AU149" s="38">
        <v>130.83983461888693</v>
      </c>
      <c r="AV149" s="34">
        <f>+VLOOKUP(A149,'[2]Salario Real'!$A$5:$C$292,2)</f>
        <v>92.953512328414277</v>
      </c>
      <c r="AW149" s="31">
        <v>3400222</v>
      </c>
      <c r="AX149" s="17">
        <v>19324.750845375984</v>
      </c>
      <c r="AY149" s="17">
        <v>686</v>
      </c>
      <c r="AZ149" s="16">
        <v>2.33</v>
      </c>
      <c r="BA149">
        <v>171.39</v>
      </c>
      <c r="BB149">
        <v>158.69999999999999</v>
      </c>
    </row>
    <row r="150" spans="1:54" x14ac:dyDescent="0.25">
      <c r="A150" s="2">
        <v>45807</v>
      </c>
      <c r="B150" s="1">
        <v>-6.1022349444650459E-4</v>
      </c>
      <c r="C150" s="31">
        <v>48109</v>
      </c>
      <c r="D150" s="31">
        <v>26346</v>
      </c>
      <c r="E150" s="31">
        <v>58952</v>
      </c>
      <c r="F150" s="31">
        <v>16407</v>
      </c>
      <c r="G150" s="31">
        <v>822221</v>
      </c>
      <c r="H150" s="32">
        <v>145.51028661036599</v>
      </c>
      <c r="I150" s="11">
        <v>199.3</v>
      </c>
      <c r="J150" s="11">
        <v>350.3</v>
      </c>
      <c r="K150" s="11">
        <v>148.4</v>
      </c>
      <c r="L150" s="9">
        <v>1159843.6620219201</v>
      </c>
      <c r="M150" s="9">
        <v>4388329.5585688595</v>
      </c>
      <c r="N150" s="9">
        <v>4779705.9081244208</v>
      </c>
      <c r="O150" s="35">
        <f t="shared" si="32"/>
        <v>0.59130937489959068</v>
      </c>
      <c r="P150" s="35">
        <f t="shared" si="33"/>
        <v>2.2372501511170979</v>
      </c>
      <c r="Q150" s="35">
        <f t="shared" si="34"/>
        <v>2.4367809259826929</v>
      </c>
      <c r="R150" s="33">
        <v>2278992</v>
      </c>
      <c r="S150" s="33">
        <v>2247617.4781818185</v>
      </c>
      <c r="T150" s="35">
        <f t="shared" si="35"/>
        <v>1.1618715341099994</v>
      </c>
      <c r="U150" s="35">
        <f t="shared" si="36"/>
        <v>1.145876232767626</v>
      </c>
      <c r="V150" s="35">
        <v>97314460</v>
      </c>
      <c r="W150" s="35">
        <f t="shared" si="37"/>
        <v>49.612680049463172</v>
      </c>
      <c r="X150" s="31">
        <f>+'[1]Agregados MesTrim'!B356</f>
        <v>53983261.899999999</v>
      </c>
      <c r="Y150" s="35">
        <f t="shared" si="38"/>
        <v>27.521647868888913</v>
      </c>
      <c r="Z150" s="33">
        <v>95334490</v>
      </c>
      <c r="AA150" s="35">
        <f t="shared" si="39"/>
        <v>48.603255364606099</v>
      </c>
      <c r="AB150" s="36">
        <v>0.32753125</v>
      </c>
      <c r="AC150" s="5">
        <v>61854</v>
      </c>
      <c r="AD150" s="5">
        <v>154830</v>
      </c>
      <c r="AE150" s="10">
        <v>147.85561786533893</v>
      </c>
      <c r="AF150" s="10">
        <v>155.81034853687942</v>
      </c>
      <c r="AG150" s="10">
        <v>124.03089175131079</v>
      </c>
      <c r="AH150" s="10">
        <v>146.6604679808477</v>
      </c>
      <c r="AI150" s="10">
        <v>376.9173284348426</v>
      </c>
      <c r="AJ150">
        <v>176.77633278124887</v>
      </c>
      <c r="AK150">
        <v>82.024469154831436</v>
      </c>
      <c r="AL150">
        <v>97.857761818714891</v>
      </c>
      <c r="AM150">
        <v>123.64933941291272</v>
      </c>
      <c r="AN150">
        <v>100.24801432596138</v>
      </c>
      <c r="AO150">
        <v>164.41125342117022</v>
      </c>
      <c r="AP150">
        <v>193.86449709680841</v>
      </c>
      <c r="AQ150">
        <v>167.19755663620373</v>
      </c>
      <c r="AR150">
        <v>146.02309683562228</v>
      </c>
      <c r="AS150">
        <v>175.11743172676501</v>
      </c>
      <c r="AT150">
        <v>45.4893</v>
      </c>
      <c r="AU150" s="38">
        <v>129.6686424683746</v>
      </c>
      <c r="AV150" s="34">
        <f>+VLOOKUP(A150,'[2]Salario Real'!$A$5:$C$292,2)</f>
        <v>93.392075365378375</v>
      </c>
      <c r="AW150" s="31">
        <v>3884691</v>
      </c>
      <c r="AX150" s="17">
        <v>19614.836348888792</v>
      </c>
      <c r="AY150" s="17">
        <v>678</v>
      </c>
      <c r="AZ150" s="16">
        <v>2.4500000000000002</v>
      </c>
      <c r="BA150">
        <v>171.03</v>
      </c>
      <c r="BB150">
        <v>164.8</v>
      </c>
    </row>
    <row r="151" spans="1:54" x14ac:dyDescent="0.25">
      <c r="A151" s="2">
        <v>45838</v>
      </c>
      <c r="B151" s="1">
        <v>-6.1022349444650459E-4</v>
      </c>
      <c r="C151" s="31">
        <v>42848</v>
      </c>
      <c r="D151" s="31">
        <v>22760</v>
      </c>
      <c r="E151" s="31">
        <v>59807</v>
      </c>
      <c r="F151" s="31">
        <v>18695</v>
      </c>
      <c r="G151" s="31">
        <v>815090</v>
      </c>
      <c r="H151" s="32">
        <v>147.328958093408</v>
      </c>
      <c r="I151" s="11">
        <v>146.5</v>
      </c>
      <c r="J151" s="11">
        <v>320.10000000000002</v>
      </c>
      <c r="K151" s="11">
        <v>98.6</v>
      </c>
      <c r="L151" s="9">
        <v>1699588.50893317</v>
      </c>
      <c r="M151" s="9">
        <v>5109748.3974868506</v>
      </c>
      <c r="N151" s="9">
        <v>2885544.5825813301</v>
      </c>
      <c r="O151" s="35">
        <f t="shared" si="32"/>
        <v>0.8526769071695135</v>
      </c>
      <c r="P151" s="35">
        <f t="shared" si="33"/>
        <v>2.5635407847740321</v>
      </c>
      <c r="Q151" s="35">
        <f t="shared" si="34"/>
        <v>1.4476664305759559</v>
      </c>
      <c r="R151" s="33">
        <v>1994825</v>
      </c>
      <c r="S151" s="33">
        <v>2102784.3338095238</v>
      </c>
      <c r="T151" s="35">
        <f t="shared" si="35"/>
        <v>1.0007958999511615</v>
      </c>
      <c r="U151" s="35">
        <f t="shared" si="36"/>
        <v>1.0549586754517846</v>
      </c>
      <c r="V151" s="35">
        <v>85336780</v>
      </c>
      <c r="W151" s="35">
        <f t="shared" si="37"/>
        <v>42.813128740132235</v>
      </c>
      <c r="X151" s="31">
        <f>+'[1]Agregados MesTrim'!B357</f>
        <v>55263316.473684214</v>
      </c>
      <c r="Y151" s="35">
        <f t="shared" si="38"/>
        <v>27.725389718179112</v>
      </c>
      <c r="Z151" s="33">
        <v>102198739</v>
      </c>
      <c r="AA151" s="35">
        <f t="shared" si="39"/>
        <v>51.272707616647516</v>
      </c>
      <c r="AB151" s="36">
        <v>0.32161184210526317</v>
      </c>
      <c r="AC151" s="5">
        <v>56590</v>
      </c>
      <c r="AD151" s="5">
        <v>143191</v>
      </c>
      <c r="AE151" s="10">
        <v>145.87769346978843</v>
      </c>
      <c r="AF151" s="10">
        <v>160.9938930011534</v>
      </c>
      <c r="AG151" s="10">
        <v>115.89133729587979</v>
      </c>
      <c r="AH151" s="10">
        <v>140.24938806185011</v>
      </c>
      <c r="AI151" s="10">
        <v>355.06710894607181</v>
      </c>
      <c r="AJ151">
        <v>184.08802196936239</v>
      </c>
      <c r="AK151">
        <v>79.718404351516185</v>
      </c>
      <c r="AL151">
        <v>93.292104191489287</v>
      </c>
      <c r="AM151">
        <v>124.78457004605852</v>
      </c>
      <c r="AN151">
        <v>109.2088237779969</v>
      </c>
      <c r="AO151">
        <v>134.47782437729489</v>
      </c>
      <c r="AP151">
        <v>184.63633432012736</v>
      </c>
      <c r="AQ151">
        <v>150.98229925525408</v>
      </c>
      <c r="AR151">
        <v>141.12870260653705</v>
      </c>
      <c r="AS151">
        <v>155.81785874962995</v>
      </c>
      <c r="AT151">
        <v>45.476807000000001</v>
      </c>
      <c r="AU151" s="38">
        <v>126.81516189577935</v>
      </c>
      <c r="AV151" s="34">
        <f>+VLOOKUP(A151,'[2]Salario Real'!$A$5:$C$292,2)</f>
        <v>93.494158080818863</v>
      </c>
      <c r="AW151" s="31">
        <v>4063340</v>
      </c>
      <c r="AX151" s="17">
        <v>19932.385815103225</v>
      </c>
      <c r="AY151" s="17">
        <v>677</v>
      </c>
      <c r="AZ151" s="16">
        <v>2.34</v>
      </c>
      <c r="BA151">
        <v>171.68</v>
      </c>
      <c r="BB151">
        <v>156.4</v>
      </c>
    </row>
    <row r="152" spans="1:54" x14ac:dyDescent="0.25">
      <c r="A152" s="2">
        <v>45869</v>
      </c>
      <c r="B152" s="1"/>
      <c r="C152" s="31">
        <v>37112</v>
      </c>
      <c r="D152" s="31">
        <v>18225</v>
      </c>
      <c r="E152" s="31">
        <v>50186</v>
      </c>
      <c r="F152" s="31">
        <v>15094</v>
      </c>
      <c r="G152" s="31">
        <v>891087</v>
      </c>
      <c r="H152" s="32">
        <v>144.593371044517</v>
      </c>
      <c r="I152" s="11">
        <v>132.30000000000001</v>
      </c>
      <c r="J152" s="11">
        <v>327.5</v>
      </c>
      <c r="K152" s="11">
        <v>128.30000000000001</v>
      </c>
      <c r="L152" s="9">
        <v>1745087.7111750897</v>
      </c>
      <c r="M152" s="9">
        <v>5139093.7861645315</v>
      </c>
      <c r="N152" s="9">
        <v>3102870.5957340202</v>
      </c>
      <c r="O152" s="35">
        <f t="shared" si="32"/>
        <v>0.85916507628179484</v>
      </c>
      <c r="P152" s="35">
        <f t="shared" si="33"/>
        <v>2.5301478410137888</v>
      </c>
      <c r="Q152" s="35">
        <f t="shared" si="34"/>
        <v>1.5276470259946049</v>
      </c>
      <c r="R152" s="33">
        <v>2319511</v>
      </c>
      <c r="S152" s="33">
        <v>2111192.8260869565</v>
      </c>
      <c r="T152" s="35">
        <f t="shared" si="35"/>
        <v>1.1419728833627176</v>
      </c>
      <c r="U152" s="35">
        <f t="shared" si="36"/>
        <v>1.0394108753703717</v>
      </c>
      <c r="V152" s="35">
        <v>98824720</v>
      </c>
      <c r="W152" s="35">
        <f t="shared" si="37"/>
        <v>48.654716638943817</v>
      </c>
      <c r="X152" s="31">
        <f>+'[1]Agregados MesTrim'!B358</f>
        <v>57332759.136363633</v>
      </c>
      <c r="Y152" s="35">
        <f t="shared" si="38"/>
        <v>28.226835855528758</v>
      </c>
      <c r="Z152" s="33">
        <v>101679186</v>
      </c>
      <c r="AA152" s="35">
        <f t="shared" si="39"/>
        <v>50.060065770067077</v>
      </c>
      <c r="AB152" s="36">
        <v>0.32497159090909095</v>
      </c>
      <c r="AC152" s="5">
        <v>66984</v>
      </c>
      <c r="AD152" s="5">
        <v>179363</v>
      </c>
      <c r="AE152" s="10">
        <v>143.87986181402491</v>
      </c>
      <c r="AF152" s="10">
        <v>177.81635522647093</v>
      </c>
      <c r="AG152" s="10">
        <v>103.34861283700043</v>
      </c>
      <c r="AH152" s="10">
        <v>138.83331465071211</v>
      </c>
      <c r="AI152" s="10">
        <v>345.50404308545052</v>
      </c>
      <c r="AJ152">
        <v>205.04532650220699</v>
      </c>
      <c r="AK152">
        <v>81.989058647810822</v>
      </c>
      <c r="AL152">
        <v>88.69686540426116</v>
      </c>
      <c r="AM152">
        <v>130.88339846235095</v>
      </c>
      <c r="AN152">
        <v>110.01951856859142</v>
      </c>
      <c r="AO152">
        <v>140.64747424245377</v>
      </c>
      <c r="AP152">
        <v>184.91499542140693</v>
      </c>
      <c r="AQ152">
        <v>157.57139050597192</v>
      </c>
      <c r="AR152">
        <v>133.47030795268628</v>
      </c>
      <c r="AS152">
        <v>135.13189472472089</v>
      </c>
      <c r="AT152">
        <v>46.374457999999997</v>
      </c>
      <c r="AU152" s="38">
        <v>127.60766868657109</v>
      </c>
      <c r="AV152" s="39" cm="1">
        <f t="array" ref="AV152">+AV151*(1+(1+_xll.BDH("ARCVCOVA Index","PX_LAST",$A152,$A152)/100)/(1+AX152/AX151-1)-1)</f>
        <v>94.024759621511606</v>
      </c>
      <c r="AW152" s="31">
        <v>3794232</v>
      </c>
      <c r="AX152" s="17">
        <v>20311.436758199001</v>
      </c>
      <c r="AY152" s="17">
        <v>734</v>
      </c>
      <c r="AZ152" s="16">
        <v>2.4500000000000002</v>
      </c>
      <c r="BA152">
        <v>170.59</v>
      </c>
      <c r="BB152">
        <v>154.30000000000001</v>
      </c>
    </row>
    <row r="153" spans="1:54" s="9" customFormat="1" x14ac:dyDescent="0.25">
      <c r="A153" s="18">
        <v>45900</v>
      </c>
      <c r="C153" s="31" cm="1">
        <f t="array" ref="C153">+_xll.BDH("ARVHTOTL Index","PX_LAST",$A153,$A153)</f>
        <v>44545</v>
      </c>
      <c r="D153" s="31" cm="1">
        <f t="array" ref="D153">+_xll.BDH("ARVETOTL Index","PX_LAST",$A153,$A153)</f>
        <v>25503</v>
      </c>
      <c r="E153" s="31" cm="1">
        <f t="array" ref="E153">+_xll.BDH("ARVSCATA Index","PX_LAST",$A153,$A153)</f>
        <v>51766</v>
      </c>
      <c r="F153" s="31" cm="1">
        <f t="array" ref="F153">+_xll.BDH("ARVSLTRK Index","PX_LAST",$A153,$A153)</f>
        <v>15467</v>
      </c>
      <c r="G153" s="31" cm="1">
        <f t="array" ref="G153">+_xll.BDH("ARCMTOTL Index","PX_LAST",$A153,$A153)*1000</f>
        <v>889621</v>
      </c>
      <c r="H153" s="31" cm="1">
        <f t="array" ref="H153">+_xll.BDH("ARCONNAC Index","PX_LAST",$A153,$A153)</f>
        <v>145.30000000000001</v>
      </c>
      <c r="I153" s="5">
        <v>162.30000000000001</v>
      </c>
      <c r="J153" s="5">
        <v>370.3</v>
      </c>
      <c r="K153" s="5">
        <v>123.8</v>
      </c>
      <c r="L153" s="5">
        <v>974125</v>
      </c>
      <c r="M153" s="5">
        <v>5327443</v>
      </c>
      <c r="N153" s="5">
        <v>3193855</v>
      </c>
      <c r="O153" s="31">
        <f t="shared" si="32"/>
        <v>0.47076377834858901</v>
      </c>
      <c r="P153" s="31">
        <f t="shared" si="33"/>
        <v>2.574584571401763</v>
      </c>
      <c r="Q153" s="31">
        <f t="shared" si="34"/>
        <v>1.5434890258411733</v>
      </c>
      <c r="R153" s="31" cm="1">
        <f t="array" ref="R153">+_xll.BDH("MERVAL Index","PX_LAST",$A153-2,$A153-2)</f>
        <v>1984845</v>
      </c>
      <c r="S153" s="31" cm="1">
        <f t="array" ref="S153">_xll.BQL("MERVAL Index", "avg(px_last(dates=range(2025-08-01;2025-08-31)))")</f>
        <v>2183140.9500000002</v>
      </c>
      <c r="T153" s="31">
        <f t="shared" si="35"/>
        <v>0.95921276184915205</v>
      </c>
      <c r="U153" s="31">
        <f t="shared" si="36"/>
        <v>1.055042917787274</v>
      </c>
      <c r="V153" s="31" cm="1">
        <f t="array" ref="V153">+_xll.BDH(V1,"PX_LAST",$A153-2,$A153-2)</f>
        <v>83939310</v>
      </c>
      <c r="W153" s="31">
        <f t="shared" si="37"/>
        <v>40.565211577131784</v>
      </c>
      <c r="X153" s="31">
        <f>+'[1]Agregados MesTrim'!B359</f>
        <v>58889214.299999997</v>
      </c>
      <c r="Y153" s="31">
        <f t="shared" si="38"/>
        <v>28.459293240444254</v>
      </c>
      <c r="Z153" s="31">
        <f>+'[1]Agregados MesTrim'!$D$360</f>
        <v>153600235.36363637</v>
      </c>
      <c r="AA153" s="31">
        <f t="shared" si="39"/>
        <v>74.230131815750568</v>
      </c>
      <c r="AB153" s="40" cm="1">
        <f t="array" ref="AB153">_xll.BQL("BADLARPP Index", "avg(px_last(dates=range(2025-08-01;2025-08-31)))")/100</f>
        <v>0.48031249999999998</v>
      </c>
      <c r="AC153" s="5">
        <v>61330</v>
      </c>
      <c r="AD153" s="5">
        <v>167525</v>
      </c>
      <c r="AE153" s="5">
        <v>145.81729192288111</v>
      </c>
      <c r="AF153" s="5">
        <v>174.18390905261921</v>
      </c>
      <c r="AG153" s="5">
        <v>112.01310569442606</v>
      </c>
      <c r="AH153" s="5">
        <v>145.40648360177613</v>
      </c>
      <c r="AI153" s="5">
        <v>391.24658072408147</v>
      </c>
      <c r="AJ153" s="5">
        <v>201.76814800584498</v>
      </c>
      <c r="AK153" s="5">
        <v>77.106314005065087</v>
      </c>
      <c r="AL153" s="5">
        <v>86.693667469711983</v>
      </c>
      <c r="AM153" s="5">
        <v>128.02363700257214</v>
      </c>
      <c r="AN153" s="5">
        <v>112.02144596770434</v>
      </c>
      <c r="AO153" s="5">
        <v>154.11387763198923</v>
      </c>
      <c r="AP153" s="5">
        <v>200.93352983153505</v>
      </c>
      <c r="AQ153" s="5">
        <v>170.29720325071852</v>
      </c>
      <c r="AR153" s="5">
        <v>141.79312276112967</v>
      </c>
      <c r="AS153" s="5">
        <v>158.02943241920238</v>
      </c>
      <c r="AT153" s="5">
        <v>39.944302</v>
      </c>
      <c r="AU153" s="31" cm="1">
        <f t="array" ref="AU153">+_xll.BDH("ARLTLEAD Index","PX_LAST",$A153,$A153)</f>
        <v>122.06</v>
      </c>
      <c r="AV153" s="31">
        <f>+AV152</f>
        <v>94.024759621511606</v>
      </c>
      <c r="AW153" s="31" cm="1">
        <f t="array" ref="AW153">+_xll.BDH("AROCSBS Index","PX_LAST",$A153,$A153)</f>
        <v>3904901</v>
      </c>
      <c r="AX153" s="5">
        <f>+AX152*(1+0.0187579351135028)</f>
        <v>20692.437370971315</v>
      </c>
      <c r="AY153" s="17">
        <v>829</v>
      </c>
      <c r="AZ153" s="16">
        <v>2.12</v>
      </c>
      <c r="BA153">
        <v>171.79</v>
      </c>
      <c r="BB153">
        <v>150.80000000000001</v>
      </c>
    </row>
    <row r="154" spans="1:54" s="9" customFormat="1" x14ac:dyDescent="0.25">
      <c r="A154" s="18"/>
      <c r="C154" s="33"/>
      <c r="D154" s="33"/>
      <c r="E154" s="33"/>
      <c r="F154" s="33"/>
      <c r="G154" s="33"/>
      <c r="H154" s="33"/>
      <c r="O154" s="33"/>
      <c r="P154" s="33"/>
      <c r="Q154" s="33"/>
      <c r="R154" s="33"/>
      <c r="S154" s="33"/>
      <c r="T154" s="35"/>
      <c r="U154" s="35"/>
      <c r="V154" s="33"/>
      <c r="W154" s="33"/>
      <c r="X154" s="33"/>
      <c r="Y154" s="33"/>
      <c r="Z154" s="33"/>
      <c r="AA154" s="33"/>
      <c r="AB154" s="33"/>
      <c r="AU154" s="33"/>
      <c r="AV154" s="33"/>
      <c r="AW154" s="33"/>
      <c r="AZ154"/>
      <c r="BA154"/>
    </row>
    <row r="155" spans="1:54" s="9" customFormat="1" x14ac:dyDescent="0.25">
      <c r="A155" s="18"/>
      <c r="C155" s="33"/>
      <c r="D155" s="33"/>
      <c r="E155" s="33"/>
      <c r="F155" s="33"/>
      <c r="G155" s="33"/>
      <c r="H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U155" s="33"/>
      <c r="AV155" s="37"/>
      <c r="AW155" s="33"/>
      <c r="AZ155"/>
      <c r="BA155"/>
    </row>
    <row r="156" spans="1:54" s="9" customFormat="1" x14ac:dyDescent="0.25">
      <c r="A156"/>
      <c r="C156" s="33"/>
      <c r="D156" s="33"/>
      <c r="E156" s="33"/>
      <c r="F156" s="33"/>
      <c r="G156" s="33"/>
      <c r="H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U156" s="33"/>
      <c r="AV156" s="33"/>
      <c r="AW156" s="33"/>
      <c r="AZ156"/>
      <c r="BA156"/>
    </row>
    <row r="157" spans="1:54" s="9" customFormat="1" x14ac:dyDescent="0.25">
      <c r="A157"/>
      <c r="C157" s="33"/>
      <c r="D157" s="33"/>
      <c r="E157" s="33"/>
      <c r="F157" s="33"/>
      <c r="G157" s="33"/>
      <c r="H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U157" s="33"/>
      <c r="AV157" s="33"/>
      <c r="AW157" s="33"/>
      <c r="AZ157"/>
      <c r="BA157"/>
    </row>
    <row r="158" spans="1:54" s="9" customFormat="1" x14ac:dyDescent="0.25">
      <c r="A158"/>
      <c r="C158" s="33"/>
      <c r="D158" s="33"/>
      <c r="E158" s="33"/>
      <c r="F158" s="33"/>
      <c r="G158" s="33"/>
      <c r="H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U158" s="33"/>
      <c r="AV158" s="33"/>
      <c r="AW158" s="33"/>
      <c r="AZ158"/>
      <c r="BA158"/>
    </row>
    <row r="159" spans="1:54" s="9" customFormat="1" x14ac:dyDescent="0.25">
      <c r="A159"/>
      <c r="C159" s="33"/>
      <c r="D159" s="33"/>
      <c r="E159" s="33"/>
      <c r="F159" s="33"/>
      <c r="G159" s="33"/>
      <c r="H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U159" s="33"/>
      <c r="AV159" s="33"/>
      <c r="AW159" s="33"/>
      <c r="AZ159"/>
      <c r="BA159"/>
    </row>
    <row r="160" spans="1:54" s="9" customFormat="1" x14ac:dyDescent="0.25">
      <c r="A160"/>
      <c r="C160" s="33"/>
      <c r="D160" s="33"/>
      <c r="E160" s="33"/>
      <c r="F160" s="33"/>
      <c r="G160" s="33"/>
      <c r="H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U160" s="33"/>
      <c r="AV160" s="33"/>
      <c r="AW160" s="33"/>
      <c r="AZ160"/>
      <c r="BA160"/>
    </row>
    <row r="161" spans="1:53" s="9" customFormat="1" x14ac:dyDescent="0.25">
      <c r="A161"/>
      <c r="C161" s="33"/>
      <c r="D161" s="33"/>
      <c r="E161" s="33"/>
      <c r="F161" s="33"/>
      <c r="G161" s="33"/>
      <c r="H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U161" s="33"/>
      <c r="AV161" s="33"/>
      <c r="AW161" s="33"/>
      <c r="AZ161"/>
      <c r="BA161"/>
    </row>
    <row r="162" spans="1:53" s="9" customFormat="1" x14ac:dyDescent="0.25">
      <c r="A162"/>
      <c r="C162" s="33"/>
      <c r="D162" s="33"/>
      <c r="E162" s="33"/>
      <c r="F162" s="33"/>
      <c r="G162" s="33"/>
      <c r="H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U162" s="33"/>
      <c r="AV162" s="33"/>
      <c r="AW162" s="33"/>
      <c r="AZ162"/>
      <c r="BA162"/>
    </row>
    <row r="163" spans="1:53" s="9" customFormat="1" x14ac:dyDescent="0.25">
      <c r="A163"/>
      <c r="C163" s="33"/>
      <c r="D163" s="33"/>
      <c r="E163" s="33"/>
      <c r="F163" s="33"/>
      <c r="G163" s="33"/>
      <c r="H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U163" s="33"/>
      <c r="AV163" s="33"/>
      <c r="AW163" s="33"/>
      <c r="AZ163"/>
      <c r="BA163"/>
    </row>
    <row r="164" spans="1:53" s="9" customFormat="1" x14ac:dyDescent="0.25">
      <c r="A164"/>
      <c r="C164" s="33"/>
      <c r="D164" s="33"/>
      <c r="E164" s="33"/>
      <c r="F164" s="33"/>
      <c r="G164" s="33"/>
      <c r="H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U164" s="33"/>
      <c r="AV164" s="33"/>
      <c r="AW164" s="33"/>
      <c r="AZ164"/>
      <c r="BA164"/>
    </row>
    <row r="165" spans="1:53" s="9" customFormat="1" x14ac:dyDescent="0.25">
      <c r="A165"/>
      <c r="C165" s="33"/>
      <c r="D165" s="33"/>
      <c r="E165" s="33"/>
      <c r="F165" s="33"/>
      <c r="G165" s="33"/>
      <c r="H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U165" s="33"/>
      <c r="AV165" s="33"/>
      <c r="AW165" s="33"/>
      <c r="AZ165"/>
      <c r="BA165"/>
    </row>
    <row r="166" spans="1:53" s="9" customFormat="1" x14ac:dyDescent="0.25">
      <c r="A166"/>
      <c r="C166" s="33"/>
      <c r="D166" s="33"/>
      <c r="E166" s="33"/>
      <c r="F166" s="33"/>
      <c r="G166" s="33"/>
      <c r="H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U166" s="33"/>
      <c r="AV166" s="33"/>
      <c r="AW166" s="33"/>
      <c r="AZ166"/>
      <c r="BA166"/>
    </row>
    <row r="167" spans="1:53" s="9" customFormat="1" x14ac:dyDescent="0.25">
      <c r="A167"/>
      <c r="C167" s="33"/>
      <c r="D167" s="33"/>
      <c r="E167" s="33"/>
      <c r="F167" s="33"/>
      <c r="G167" s="33"/>
      <c r="H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U167" s="33"/>
      <c r="AV167" s="33"/>
      <c r="AW167" s="33"/>
      <c r="AZ167"/>
      <c r="BA167"/>
    </row>
    <row r="168" spans="1:53" s="9" customFormat="1" x14ac:dyDescent="0.25">
      <c r="A168"/>
      <c r="C168" s="33"/>
      <c r="D168" s="33"/>
      <c r="E168" s="33"/>
      <c r="F168" s="33"/>
      <c r="G168" s="33"/>
      <c r="H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U168" s="33"/>
      <c r="AV168" s="33"/>
      <c r="AW168" s="33"/>
      <c r="AZ168"/>
      <c r="BA168"/>
    </row>
    <row r="169" spans="1:53" s="9" customFormat="1" x14ac:dyDescent="0.25">
      <c r="A169"/>
      <c r="C169" s="33"/>
      <c r="D169" s="33"/>
      <c r="E169" s="33"/>
      <c r="F169" s="33"/>
      <c r="G169" s="33"/>
      <c r="H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U169" s="33"/>
      <c r="AV169" s="33"/>
      <c r="AW169" s="33"/>
      <c r="AZ169"/>
      <c r="BA169"/>
    </row>
    <row r="170" spans="1:53" s="9" customFormat="1" x14ac:dyDescent="0.25">
      <c r="A170"/>
      <c r="C170" s="33"/>
      <c r="D170" s="33"/>
      <c r="E170" s="33"/>
      <c r="F170" s="33"/>
      <c r="G170" s="33"/>
      <c r="H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U170" s="33"/>
      <c r="AV170" s="33"/>
      <c r="AW170" s="33"/>
      <c r="AZ170"/>
      <c r="BA170"/>
    </row>
    <row r="171" spans="1:53" s="9" customFormat="1" x14ac:dyDescent="0.25">
      <c r="A171"/>
      <c r="C171" s="33"/>
      <c r="D171" s="33"/>
      <c r="E171" s="33"/>
      <c r="F171" s="33"/>
      <c r="G171" s="33"/>
      <c r="H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U171" s="33"/>
      <c r="AV171" s="33"/>
      <c r="AW171" s="33"/>
      <c r="AZ171"/>
      <c r="BA171"/>
    </row>
    <row r="172" spans="1:53" s="9" customFormat="1" x14ac:dyDescent="0.25">
      <c r="A172"/>
      <c r="C172" s="33"/>
      <c r="D172" s="33"/>
      <c r="E172" s="33"/>
      <c r="F172" s="33"/>
      <c r="G172" s="33"/>
      <c r="H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U172" s="33"/>
      <c r="AV172" s="33"/>
      <c r="AW172" s="33"/>
      <c r="AZ172"/>
      <c r="BA172"/>
    </row>
    <row r="173" spans="1:53" s="9" customFormat="1" x14ac:dyDescent="0.25">
      <c r="A173"/>
      <c r="C173" s="33"/>
      <c r="D173" s="33"/>
      <c r="E173" s="33"/>
      <c r="F173" s="33"/>
      <c r="G173" s="33"/>
      <c r="H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U173" s="33"/>
      <c r="AV173" s="33"/>
      <c r="AW173" s="33"/>
      <c r="AZ173"/>
      <c r="BA173"/>
    </row>
    <row r="174" spans="1:53" s="9" customFormat="1" x14ac:dyDescent="0.25">
      <c r="A174"/>
      <c r="C174" s="33"/>
      <c r="D174" s="33"/>
      <c r="E174" s="33"/>
      <c r="F174" s="33"/>
      <c r="G174" s="33"/>
      <c r="H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U174" s="33"/>
      <c r="AV174" s="33"/>
      <c r="AW174" s="33"/>
      <c r="AZ174"/>
      <c r="BA174"/>
    </row>
    <row r="175" spans="1:53" s="9" customFormat="1" x14ac:dyDescent="0.25">
      <c r="A175"/>
      <c r="C175" s="33"/>
      <c r="D175" s="33"/>
      <c r="E175" s="33"/>
      <c r="F175" s="33"/>
      <c r="G175" s="33"/>
      <c r="H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U175" s="33"/>
      <c r="AV175" s="33"/>
      <c r="AW175" s="33"/>
      <c r="AZ175"/>
      <c r="BA175"/>
    </row>
    <row r="176" spans="1:53" s="9" customFormat="1" x14ac:dyDescent="0.25">
      <c r="A176"/>
      <c r="C176" s="33"/>
      <c r="D176" s="33"/>
      <c r="E176" s="33"/>
      <c r="F176" s="33"/>
      <c r="G176" s="33"/>
      <c r="H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U176" s="33"/>
      <c r="AV176" s="33"/>
      <c r="AW176" s="33"/>
      <c r="AZ176"/>
      <c r="BA17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7298-EF7E-4A00-8BC2-DE9F91A0F9B6}">
  <dimension ref="A1:AZ153"/>
  <sheetViews>
    <sheetView tabSelected="1" topLeftCell="AL1" zoomScale="85" zoomScaleNormal="85" workbookViewId="0">
      <selection activeCell="BB1" sqref="BB1"/>
    </sheetView>
  </sheetViews>
  <sheetFormatPr defaultRowHeight="15" x14ac:dyDescent="0.25"/>
  <cols>
    <col min="1" max="1" width="10.7109375" bestFit="1" customWidth="1"/>
    <col min="3" max="3" width="12" bestFit="1" customWidth="1"/>
    <col min="4" max="4" width="12" customWidth="1"/>
    <col min="5" max="5" width="12.7109375" bestFit="1" customWidth="1"/>
    <col min="6" max="6" width="12" bestFit="1" customWidth="1"/>
    <col min="7" max="7" width="20.140625" bestFit="1" customWidth="1"/>
    <col min="8" max="8" width="14.28515625" bestFit="1" customWidth="1"/>
    <col min="9" max="9" width="15.140625" bestFit="1" customWidth="1"/>
    <col min="10" max="10" width="12" bestFit="1" customWidth="1"/>
    <col min="11" max="11" width="20" bestFit="1" customWidth="1"/>
    <col min="12" max="12" width="19" bestFit="1" customWidth="1"/>
    <col min="13" max="14" width="12" bestFit="1" customWidth="1"/>
    <col min="15" max="15" width="20.5703125" bestFit="1" customWidth="1"/>
    <col min="16" max="16" width="12.7109375" bestFit="1" customWidth="1"/>
    <col min="17" max="17" width="16.42578125" bestFit="1" customWidth="1"/>
    <col min="18" max="19" width="12" bestFit="1" customWidth="1"/>
    <col min="20" max="20" width="14.85546875" bestFit="1" customWidth="1"/>
    <col min="21" max="21" width="15.7109375" bestFit="1" customWidth="1"/>
    <col min="22" max="22" width="12" bestFit="1" customWidth="1"/>
    <col min="23" max="23" width="13.85546875" bestFit="1" customWidth="1"/>
    <col min="24" max="40" width="12" bestFit="1" customWidth="1"/>
    <col min="41" max="41" width="12.28515625" bestFit="1" customWidth="1"/>
    <col min="42" max="43" width="12" bestFit="1" customWidth="1"/>
    <col min="44" max="44" width="12.7109375" bestFit="1" customWidth="1"/>
    <col min="45" max="47" width="12" bestFit="1" customWidth="1"/>
    <col min="48" max="48" width="14.140625" bestFit="1" customWidth="1"/>
  </cols>
  <sheetData>
    <row r="1" spans="1:52" x14ac:dyDescent="0.25">
      <c r="A1" t="str">
        <f>+base_mensual!A1</f>
        <v>Date</v>
      </c>
      <c r="B1" t="str">
        <f>+base_mensual!B1</f>
        <v>DPBI_desest</v>
      </c>
      <c r="C1" t="str">
        <f>+base_mensual!AE1</f>
        <v>ipi_desest</v>
      </c>
      <c r="D1" t="str">
        <f>+base_mensual!H1</f>
        <v>ISAC_desest</v>
      </c>
      <c r="E1" t="str">
        <f>+[3]Sheet1!B1</f>
        <v>prod_autos</v>
      </c>
      <c r="F1" t="str">
        <f>+[3]Sheet1!C1</f>
        <v>expo_autos</v>
      </c>
      <c r="G1" t="str">
        <f>+[3]Sheet1!D1</f>
        <v>vtas_concesionarios</v>
      </c>
      <c r="H1" t="str">
        <f>+[3]Sheet1!E1</f>
        <v>vtas_autos_livianos</v>
      </c>
      <c r="I1" t="str">
        <f>+[3]Sheet1!F1</f>
        <v>despacho_cem</v>
      </c>
      <c r="J1" t="str">
        <f>+[3]Sheet1!G1</f>
        <v>hierro_primario</v>
      </c>
      <c r="K1" t="str">
        <f>+[3]Sheet1!H1</f>
        <v>acero_crudo</v>
      </c>
      <c r="L1" t="str">
        <f>+[3]Sheet1!I1</f>
        <v>lamin_tot_no_planos</v>
      </c>
      <c r="M1" t="str">
        <f>+[3]Sheet1!J1</f>
        <v>reca_derech_comex</v>
      </c>
      <c r="N1" t="str">
        <f>+[3]Sheet1!K1</f>
        <v>reca_iva</v>
      </c>
      <c r="O1" t="str">
        <f>+[3]Sheet1!L1</f>
        <v>reca_gananc</v>
      </c>
      <c r="P1" t="str">
        <f>+[3]Sheet1!M1</f>
        <v>reca_derech_comex_real</v>
      </c>
      <c r="Q1" t="str">
        <f>+[3]Sheet1!N1</f>
        <v>reca_iva_real</v>
      </c>
      <c r="R1" t="str">
        <f>+[3]Sheet1!O1</f>
        <v>reca_gananc_real</v>
      </c>
      <c r="S1" t="str">
        <f>+[3]Sheet1!P1</f>
        <v>merval_px</v>
      </c>
      <c r="T1" t="str">
        <f>+[3]Sheet1!Q1</f>
        <v>merval_avg</v>
      </c>
      <c r="U1" t="str">
        <f>+[3]Sheet1!R1</f>
        <v>merval_px_real</v>
      </c>
      <c r="V1" t="str">
        <f>+[3]Sheet1!S1</f>
        <v>merval_avg_real</v>
      </c>
      <c r="W1" t="str">
        <f>+[3]Sheet1!T1</f>
        <v>IBG INDEX</v>
      </c>
      <c r="X1" t="str">
        <f>+[3]Sheet1!U1</f>
        <v>IBG INDEX real</v>
      </c>
      <c r="Y1" t="str">
        <f>+[3]Sheet1!V1</f>
        <v>M1</v>
      </c>
      <c r="Z1" t="str">
        <f>+[3]Sheet1!W1</f>
        <v>M1 real</v>
      </c>
      <c r="AA1" t="str">
        <f>+[3]Sheet1!X1</f>
        <v>M2</v>
      </c>
      <c r="AB1" t="str">
        <f>+[3]Sheet1!Y1</f>
        <v>M2 real</v>
      </c>
      <c r="AC1" t="str">
        <f>+[3]Sheet1!Z1</f>
        <v>badlar_TNA</v>
      </c>
      <c r="AD1" t="str">
        <f>+[3]Sheet1!AA1</f>
        <v>faena_aves</v>
      </c>
      <c r="AE1" t="str">
        <f>+[3]Sheet1!AB1</f>
        <v>vta_usados</v>
      </c>
      <c r="AF1" t="str">
        <f>+[3]Sheet1!AC1</f>
        <v>bcnd</v>
      </c>
      <c r="AG1" t="str">
        <f>+[3]Sheet1!AD1</f>
        <v>bcd</v>
      </c>
      <c r="AH1" s="16" t="str">
        <f>+[3]Sheet1!AE1</f>
        <v>bui</v>
      </c>
      <c r="AI1" s="16" t="str">
        <f>+[3]Sheet1!AF1</f>
        <v>bk</v>
      </c>
      <c r="AJ1" s="16" t="str">
        <f>+[3]Sheet1!AG1</f>
        <v>alim_beb</v>
      </c>
      <c r="AK1" s="16" t="str">
        <f>+[3]Sheet1!AH1</f>
        <v>cigarrillos</v>
      </c>
      <c r="AL1" s="16" t="str">
        <f>+[3]Sheet1!AI1</f>
        <v>insum_text</v>
      </c>
      <c r="AM1" s="16" t="str">
        <f>+[3]Sheet1!AJ1</f>
        <v>pasta_papel</v>
      </c>
      <c r="AN1" s="16" t="str">
        <f>+[3]Sheet1!AK1</f>
        <v>combustible</v>
      </c>
      <c r="AO1" s="16" t="str">
        <f>+[3]Sheet1!AL1</f>
        <v>quim_plast</v>
      </c>
      <c r="AP1" s="16" t="str">
        <f>+[3]Sheet1!AM1</f>
        <v>min_no_met</v>
      </c>
      <c r="AQ1" s="16" t="str">
        <f>+[3]Sheet1!AN1</f>
        <v>metalicas</v>
      </c>
      <c r="AR1" s="16" t="str">
        <f>+[3]Sheet1!AO1</f>
        <v>metalmec</v>
      </c>
      <c r="AS1" s="16" t="str">
        <f>+[3]Sheet1!AP1</f>
        <v>automov</v>
      </c>
      <c r="AT1" s="16" t="str">
        <f>+[3]Sheet1!AQ1</f>
        <v>ICC</v>
      </c>
      <c r="AU1" s="16" t="str">
        <f>+[3]Sheet1!AR1</f>
        <v>IL</v>
      </c>
      <c r="AV1" s="16" t="str">
        <f>+[3]Sheet1!AS1</f>
        <v>salario</v>
      </c>
      <c r="AW1" s="16" t="str">
        <f>+[3]Sheet1!AT1</f>
        <v>molienda_soja</v>
      </c>
      <c r="AX1" s="16" t="str">
        <f>+base_mensual!AY1</f>
        <v>EMBI</v>
      </c>
      <c r="AY1" t="str">
        <f>+base_mensual!AZ1</f>
        <v>ICG</v>
      </c>
      <c r="AZ1" t="str">
        <f>+base_mensual!BB1</f>
        <v>EMAE</v>
      </c>
    </row>
    <row r="2" spans="1:52" x14ac:dyDescent="0.25">
      <c r="A2" s="2">
        <f>+base_mensual!A2</f>
        <v>41305</v>
      </c>
      <c r="B2" s="1">
        <f>+base_mensual!B2</f>
        <v>-1.3364764199237378E-3</v>
      </c>
      <c r="C2">
        <f>+base_mensual!AE2</f>
        <v>160.42710436080856</v>
      </c>
      <c r="D2">
        <f>+base_mensual!H2</f>
        <v>179.86247152585901</v>
      </c>
      <c r="E2">
        <f>+[3]Sheet1!B2</f>
        <v>70641.685858823985</v>
      </c>
      <c r="F2">
        <f>+[3]Sheet1!C2</f>
        <v>39691.164770680967</v>
      </c>
      <c r="G2">
        <f>+[3]Sheet1!D2</f>
        <v>85505.413725143124</v>
      </c>
      <c r="H2">
        <f>+[3]Sheet1!E2</f>
        <v>21347.43585602114</v>
      </c>
      <c r="I2">
        <f>+[3]Sheet1!F2</f>
        <v>977817.57834632776</v>
      </c>
      <c r="J2">
        <f>+[3]Sheet1!G2</f>
        <v>330.29692850244408</v>
      </c>
      <c r="K2">
        <f>+[3]Sheet1!H2</f>
        <v>422.31402424930138</v>
      </c>
      <c r="L2">
        <f>+[3]Sheet1!I2</f>
        <v>213.88724148177309</v>
      </c>
      <c r="M2">
        <f>+[3]Sheet1!J2</f>
        <v>6183.449091002245</v>
      </c>
      <c r="N2">
        <f>+[3]Sheet1!K2</f>
        <v>17525.72800815793</v>
      </c>
      <c r="O2">
        <f>+[3]Sheet1!L2</f>
        <v>13242.20165111363</v>
      </c>
      <c r="P2">
        <f>+[3]Sheet1!M2</f>
        <v>0.60838188092646872</v>
      </c>
      <c r="Q2">
        <f>+[3]Sheet1!N2</f>
        <v>1.8477451321663201</v>
      </c>
      <c r="R2">
        <f>+[3]Sheet1!O2</f>
        <v>1.306341412647223</v>
      </c>
      <c r="S2">
        <f>+[3]Sheet1!P2</f>
        <v>3361.9866982378062</v>
      </c>
      <c r="T2">
        <f>+[3]Sheet1!Q2</f>
        <v>3337.9858098686091</v>
      </c>
      <c r="U2">
        <f>+[3]Sheet1!R2</f>
        <v>0.30317064459449988</v>
      </c>
      <c r="V2">
        <f>+[3]Sheet1!S2</f>
        <v>0.30693870275328461</v>
      </c>
      <c r="W2">
        <f>+[3]Sheet1!T2</f>
        <v>183531.88224185919</v>
      </c>
      <c r="X2">
        <f>+[3]Sheet1!U2</f>
        <v>18.138306195399672</v>
      </c>
      <c r="Y2">
        <f>+[3]Sheet1!V2</f>
        <v>404128.73303042538</v>
      </c>
      <c r="Z2">
        <f>+[3]Sheet1!W2</f>
        <v>41.452313372964092</v>
      </c>
      <c r="AA2">
        <f>+[3]Sheet1!X2</f>
        <v>544993.83052890934</v>
      </c>
      <c r="AB2">
        <f>+[3]Sheet1!Y2</f>
        <v>55.331484495192917</v>
      </c>
      <c r="AC2">
        <f>+[3]Sheet1!Z2</f>
        <v>0.13530087319094769</v>
      </c>
      <c r="AD2">
        <f>+[3]Sheet1!AA2</f>
        <v>61820.9934091865</v>
      </c>
      <c r="AE2">
        <f>+[3]Sheet1!AB2</f>
        <v>161959.4318295944</v>
      </c>
      <c r="AF2">
        <f>+[3]Sheet1!AC2</f>
        <v>155.4454517988562</v>
      </c>
      <c r="AG2">
        <f>+[3]Sheet1!AD2</f>
        <v>177.86705335402101</v>
      </c>
      <c r="AH2" s="16">
        <f>+[3]Sheet1!AE2</f>
        <v>156.3043032772261</v>
      </c>
      <c r="AI2" s="16">
        <f>+[3]Sheet1!AF2</f>
        <v>395.79238162455027</v>
      </c>
      <c r="AJ2" s="16">
        <f>+[3]Sheet1!AG2</f>
        <v>165.8953550621151</v>
      </c>
      <c r="AK2" s="16">
        <f>+[3]Sheet1!AH2</f>
        <v>113.4848504067666</v>
      </c>
      <c r="AL2" s="16">
        <f>+[3]Sheet1!AI2</f>
        <v>89.206228243824853</v>
      </c>
      <c r="AM2" s="16">
        <f>+[3]Sheet1!AJ2</f>
        <v>154.44920561849179</v>
      </c>
      <c r="AN2" s="16">
        <f>+[3]Sheet1!AK2</f>
        <v>106.2025220924441</v>
      </c>
      <c r="AO2" s="16">
        <f>+[3]Sheet1!AL2</f>
        <v>200.8733916905544</v>
      </c>
      <c r="AP2" s="16">
        <f>+[3]Sheet1!AM2</f>
        <v>189.63889750793859</v>
      </c>
      <c r="AQ2" s="16">
        <f>+[3]Sheet1!AN2</f>
        <v>183.65763211271079</v>
      </c>
      <c r="AR2" s="16">
        <f>+[3]Sheet1!AO2</f>
        <v>181.98656341429469</v>
      </c>
      <c r="AS2" s="16">
        <f>+[3]Sheet1!AP2</f>
        <v>248.12321617584209</v>
      </c>
      <c r="AT2" s="16">
        <f>+[3]Sheet1!AQ2</f>
        <v>49.273047753356828</v>
      </c>
      <c r="AU2" s="16">
        <f>+[3]Sheet1!AR2</f>
        <v>141.6253657447179</v>
      </c>
      <c r="AV2" s="16">
        <f>+[3]Sheet1!AS2</f>
        <v>131.29064105129191</v>
      </c>
      <c r="AW2" s="16">
        <f>+[3]Sheet1!AT2</f>
        <v>2776253.8979094489</v>
      </c>
      <c r="AX2" s="16">
        <f>+base_mensual!AY2</f>
        <v>1101.6959999999999</v>
      </c>
      <c r="AY2">
        <f>+base_mensual!AZ2</f>
        <v>1.7623827820797868</v>
      </c>
      <c r="AZ2">
        <f>+[3]Sheet1!AX2</f>
        <v>148.44706350924611</v>
      </c>
    </row>
    <row r="3" spans="1:52" x14ac:dyDescent="0.25">
      <c r="A3" s="2">
        <f>+base_mensual!A3</f>
        <v>41333</v>
      </c>
      <c r="B3" s="1">
        <f>+base_mensual!B3</f>
        <v>-1.3364764199237378E-3</v>
      </c>
      <c r="C3">
        <f>+base_mensual!AE3</f>
        <v>161.81947720879052</v>
      </c>
      <c r="D3">
        <f>+base_mensual!H3</f>
        <v>184.56115774381999</v>
      </c>
      <c r="E3">
        <f>+[3]Sheet1!B3</f>
        <v>56164.061687039553</v>
      </c>
      <c r="F3">
        <f>+[3]Sheet1!C3</f>
        <v>34433.006624960173</v>
      </c>
      <c r="G3">
        <f>+[3]Sheet1!D3</f>
        <v>83940.337126647239</v>
      </c>
      <c r="H3">
        <f>+[3]Sheet1!E3</f>
        <v>15895.988949166331</v>
      </c>
      <c r="I3">
        <f>+[3]Sheet1!F3</f>
        <v>995442.99302252394</v>
      </c>
      <c r="J3">
        <f>+[3]Sheet1!G3</f>
        <v>340.10838850296108</v>
      </c>
      <c r="K3">
        <f>+[3]Sheet1!H3</f>
        <v>428.95052968107711</v>
      </c>
      <c r="L3">
        <f>+[3]Sheet1!I3</f>
        <v>215.51812918924961</v>
      </c>
      <c r="M3">
        <f>+[3]Sheet1!J3</f>
        <v>6028.4852112645422</v>
      </c>
      <c r="N3">
        <f>+[3]Sheet1!K3</f>
        <v>18037.46944012761</v>
      </c>
      <c r="O3">
        <f>+[3]Sheet1!L3</f>
        <v>12756.955026706581</v>
      </c>
      <c r="P3">
        <f>+[3]Sheet1!M3</f>
        <v>0.60770940302917209</v>
      </c>
      <c r="Q3">
        <f>+[3]Sheet1!N3</f>
        <v>1.8337826665066059</v>
      </c>
      <c r="R3">
        <f>+[3]Sheet1!O3</f>
        <v>1.3308229327754211</v>
      </c>
      <c r="S3">
        <f>+[3]Sheet1!P3</f>
        <v>3468.688479939774</v>
      </c>
      <c r="T3">
        <f>+[3]Sheet1!Q3</f>
        <v>3531.3803571463432</v>
      </c>
      <c r="U3">
        <f>+[3]Sheet1!R3</f>
        <v>0.3185389510798336</v>
      </c>
      <c r="V3">
        <f>+[3]Sheet1!S3</f>
        <v>0.32760383641577878</v>
      </c>
      <c r="W3">
        <f>+[3]Sheet1!T3</f>
        <v>198628.6315653651</v>
      </c>
      <c r="X3">
        <f>+[3]Sheet1!U3</f>
        <v>19.149182343983121</v>
      </c>
      <c r="Y3">
        <f>+[3]Sheet1!V3</f>
        <v>412827.22834275733</v>
      </c>
      <c r="Z3">
        <f>+[3]Sheet1!W3</f>
        <v>41.315566989594593</v>
      </c>
      <c r="AA3">
        <f>+[3]Sheet1!X3</f>
        <v>556694.39746731927</v>
      </c>
      <c r="AB3">
        <f>+[3]Sheet1!Y3</f>
        <v>55.739443258657197</v>
      </c>
      <c r="AC3">
        <f>+[3]Sheet1!Z3</f>
        <v>0.12599457427858801</v>
      </c>
      <c r="AD3">
        <f>+[3]Sheet1!AA3</f>
        <v>61065.945244070019</v>
      </c>
      <c r="AE3">
        <f>+[3]Sheet1!AB3</f>
        <v>152316.67031880951</v>
      </c>
      <c r="AF3">
        <f>+[3]Sheet1!AC3</f>
        <v>154.0082824655</v>
      </c>
      <c r="AG3">
        <f>+[3]Sheet1!AD3</f>
        <v>179.45801829527019</v>
      </c>
      <c r="AH3" s="16">
        <f>+[3]Sheet1!AE3</f>
        <v>154.21718612414409</v>
      </c>
      <c r="AI3" s="16">
        <f>+[3]Sheet1!AF3</f>
        <v>324.19781022085562</v>
      </c>
      <c r="AJ3" s="16">
        <f>+[3]Sheet1!AG3</f>
        <v>166.06292600976971</v>
      </c>
      <c r="AK3" s="16">
        <f>+[3]Sheet1!AH3</f>
        <v>111.65176041769089</v>
      </c>
      <c r="AL3" s="16">
        <f>+[3]Sheet1!AI3</f>
        <v>84.106148174612855</v>
      </c>
      <c r="AM3" s="16">
        <f>+[3]Sheet1!AJ3</f>
        <v>154.32828518234751</v>
      </c>
      <c r="AN3" s="16">
        <f>+[3]Sheet1!AK3</f>
        <v>106.3410519915076</v>
      </c>
      <c r="AO3" s="16">
        <f>+[3]Sheet1!AL3</f>
        <v>195.8330522477689</v>
      </c>
      <c r="AP3" s="16">
        <f>+[3]Sheet1!AM3</f>
        <v>192.46125684365441</v>
      </c>
      <c r="AQ3" s="16">
        <f>+[3]Sheet1!AN3</f>
        <v>188.4825352761903</v>
      </c>
      <c r="AR3" s="16">
        <f>+[3]Sheet1!AO3</f>
        <v>117.94053149149509</v>
      </c>
      <c r="AS3" s="16">
        <f>+[3]Sheet1!AP3</f>
        <v>193.85540763533251</v>
      </c>
      <c r="AT3" s="16">
        <f>+[3]Sheet1!AQ3</f>
        <v>48.829335976165027</v>
      </c>
      <c r="AU3" s="16">
        <f>+[3]Sheet1!AR3</f>
        <v>142.74299429711269</v>
      </c>
      <c r="AV3" s="16">
        <f>+[3]Sheet1!AS3</f>
        <v>130.41107298339239</v>
      </c>
      <c r="AW3" s="16">
        <f>+[3]Sheet1!AT3</f>
        <v>2801203.923438868</v>
      </c>
      <c r="AX3" s="16">
        <f>+base_mensual!AY3</f>
        <v>1286.8040000000001</v>
      </c>
      <c r="AY3">
        <f>+base_mensual!AZ3</f>
        <v>1.8314094381100401</v>
      </c>
      <c r="AZ3">
        <f>+[3]Sheet1!AX3</f>
        <v>148.40162937624069</v>
      </c>
    </row>
    <row r="4" spans="1:52" x14ac:dyDescent="0.25">
      <c r="A4" s="2">
        <f>+base_mensual!A4</f>
        <v>41362</v>
      </c>
      <c r="B4" s="1">
        <f>+base_mensual!B4</f>
        <v>-1.3364764199237378E-3</v>
      </c>
      <c r="C4">
        <f>+base_mensual!AE4</f>
        <v>164.75222360340501</v>
      </c>
      <c r="D4">
        <f>+base_mensual!H4</f>
        <v>187.03929740555</v>
      </c>
      <c r="E4">
        <f>+[3]Sheet1!B4</f>
        <v>71963.639821365301</v>
      </c>
      <c r="F4">
        <f>+[3]Sheet1!C4</f>
        <v>39578.848591273978</v>
      </c>
      <c r="G4">
        <f>+[3]Sheet1!D4</f>
        <v>86333.67814918184</v>
      </c>
      <c r="H4">
        <f>+[3]Sheet1!E4</f>
        <v>21332.684873017879</v>
      </c>
      <c r="I4">
        <f>+[3]Sheet1!F4</f>
        <v>1000141.822867531</v>
      </c>
      <c r="J4">
        <f>+[3]Sheet1!G4</f>
        <v>348.24503732138061</v>
      </c>
      <c r="K4">
        <f>+[3]Sheet1!H4</f>
        <v>431.38031205356617</v>
      </c>
      <c r="L4">
        <f>+[3]Sheet1!I4</f>
        <v>212.866157932427</v>
      </c>
      <c r="M4">
        <f>+[3]Sheet1!J4</f>
        <v>6587.95587102216</v>
      </c>
      <c r="N4">
        <f>+[3]Sheet1!K4</f>
        <v>18028.111480423991</v>
      </c>
      <c r="O4">
        <f>+[3]Sheet1!L4</f>
        <v>14302.6923653706</v>
      </c>
      <c r="P4">
        <f>+[3]Sheet1!M4</f>
        <v>0.62884431908642335</v>
      </c>
      <c r="Q4">
        <f>+[3]Sheet1!N4</f>
        <v>1.845238760556507</v>
      </c>
      <c r="R4">
        <f>+[3]Sheet1!O4</f>
        <v>1.427879292173754</v>
      </c>
      <c r="S4">
        <f>+[3]Sheet1!P4</f>
        <v>3494.04079506163</v>
      </c>
      <c r="T4">
        <f>+[3]Sheet1!Q4</f>
        <v>3636.6274353647309</v>
      </c>
      <c r="U4">
        <f>+[3]Sheet1!R4</f>
        <v>0.32320924178031019</v>
      </c>
      <c r="V4">
        <f>+[3]Sheet1!S4</f>
        <v>0.33635190096768791</v>
      </c>
      <c r="W4">
        <f>+[3]Sheet1!T4</f>
        <v>205989.3905519133</v>
      </c>
      <c r="X4">
        <f>+[3]Sheet1!U4</f>
        <v>19.545599598239338</v>
      </c>
      <c r="Y4">
        <f>+[3]Sheet1!V4</f>
        <v>424402.95338789932</v>
      </c>
      <c r="Z4">
        <f>+[3]Sheet1!W4</f>
        <v>41.657321244571442</v>
      </c>
      <c r="AA4">
        <f>+[3]Sheet1!X4</f>
        <v>566036.31237028854</v>
      </c>
      <c r="AB4">
        <f>+[3]Sheet1!Y4</f>
        <v>55.834379338662373</v>
      </c>
      <c r="AC4">
        <f>+[3]Sheet1!Z4</f>
        <v>0.13034374205808771</v>
      </c>
      <c r="AD4">
        <f>+[3]Sheet1!AA4</f>
        <v>62095.511453728177</v>
      </c>
      <c r="AE4">
        <f>+[3]Sheet1!AB4</f>
        <v>162577.7860975173</v>
      </c>
      <c r="AF4">
        <f>+[3]Sheet1!AC4</f>
        <v>156.12235701360021</v>
      </c>
      <c r="AG4">
        <f>+[3]Sheet1!AD4</f>
        <v>181.73463022156849</v>
      </c>
      <c r="AH4" s="16">
        <f>+[3]Sheet1!AE4</f>
        <v>161.33092001094741</v>
      </c>
      <c r="AI4" s="16">
        <f>+[3]Sheet1!AF4</f>
        <v>412.54107844307248</v>
      </c>
      <c r="AJ4" s="16">
        <f>+[3]Sheet1!AG4</f>
        <v>168.80351278140759</v>
      </c>
      <c r="AK4" s="16">
        <f>+[3]Sheet1!AH4</f>
        <v>112.25098400400459</v>
      </c>
      <c r="AL4" s="16">
        <f>+[3]Sheet1!AI4</f>
        <v>86.489323354165336</v>
      </c>
      <c r="AM4" s="16">
        <f>+[3]Sheet1!AJ4</f>
        <v>153.57502502428409</v>
      </c>
      <c r="AN4" s="16">
        <f>+[3]Sheet1!AK4</f>
        <v>106.4315582107069</v>
      </c>
      <c r="AO4" s="16">
        <f>+[3]Sheet1!AL4</f>
        <v>208.07649901860341</v>
      </c>
      <c r="AP4" s="16">
        <f>+[3]Sheet1!AM4</f>
        <v>194.3999174248664</v>
      </c>
      <c r="AQ4" s="16">
        <f>+[3]Sheet1!AN4</f>
        <v>196.42268466981301</v>
      </c>
      <c r="AR4" s="16">
        <f>+[3]Sheet1!AO4</f>
        <v>180.39939786578719</v>
      </c>
      <c r="AS4" s="16">
        <f>+[3]Sheet1!AP4</f>
        <v>252.5899846893688</v>
      </c>
      <c r="AT4" s="16">
        <f>+[3]Sheet1!AQ4</f>
        <v>48.123851670955602</v>
      </c>
      <c r="AU4" s="16">
        <f>+[3]Sheet1!AR4</f>
        <v>143.66776207203719</v>
      </c>
      <c r="AV4" s="16">
        <f>+[3]Sheet1!AS4</f>
        <v>129.52124855956609</v>
      </c>
      <c r="AW4" s="16">
        <f>+[3]Sheet1!AT4</f>
        <v>2803380.8391726469</v>
      </c>
      <c r="AX4" s="16">
        <f>+base_mensual!AY4</f>
        <v>1307.326</v>
      </c>
      <c r="AY4">
        <f>+base_mensual!AZ4</f>
        <v>1.9139879553672015</v>
      </c>
      <c r="AZ4">
        <f>+[3]Sheet1!AX4</f>
        <v>149.99914892848551</v>
      </c>
    </row>
    <row r="5" spans="1:52" x14ac:dyDescent="0.25">
      <c r="A5" s="2">
        <f>+base_mensual!A5</f>
        <v>41394</v>
      </c>
      <c r="B5" s="1">
        <f>+base_mensual!B5</f>
        <v>7.0491739454252578E-3</v>
      </c>
      <c r="C5">
        <f>+base_mensual!AE5</f>
        <v>167.37289333717158</v>
      </c>
      <c r="D5">
        <f>+base_mensual!H5</f>
        <v>190.02608101141399</v>
      </c>
      <c r="E5">
        <f>+[3]Sheet1!B5</f>
        <v>69812.508199377844</v>
      </c>
      <c r="F5">
        <f>+[3]Sheet1!C5</f>
        <v>38173.386153317319</v>
      </c>
      <c r="G5">
        <f>+[3]Sheet1!D5</f>
        <v>87195.286553612212</v>
      </c>
      <c r="H5">
        <f>+[3]Sheet1!E5</f>
        <v>22144.29856350688</v>
      </c>
      <c r="I5">
        <f>+[3]Sheet1!F5</f>
        <v>1001152.426213718</v>
      </c>
      <c r="J5">
        <f>+[3]Sheet1!G5</f>
        <v>350.03215252278261</v>
      </c>
      <c r="K5">
        <f>+[3]Sheet1!H5</f>
        <v>436.74425312292959</v>
      </c>
      <c r="L5">
        <f>+[3]Sheet1!I5</f>
        <v>216.87277948722439</v>
      </c>
      <c r="M5">
        <f>+[3]Sheet1!J5</f>
        <v>4953.3087056977929</v>
      </c>
      <c r="N5">
        <f>+[3]Sheet1!K5</f>
        <v>18657.85203622375</v>
      </c>
      <c r="O5">
        <f>+[3]Sheet1!L5</f>
        <v>13595.193086289461</v>
      </c>
      <c r="P5">
        <f>+[3]Sheet1!M5</f>
        <v>0.63741466458444362</v>
      </c>
      <c r="Q5">
        <f>+[3]Sheet1!N5</f>
        <v>1.84310560785622</v>
      </c>
      <c r="R5">
        <f>+[3]Sheet1!O5</f>
        <v>1.3997983339941169</v>
      </c>
      <c r="S5">
        <f>+[3]Sheet1!P5</f>
        <v>3618.402810426519</v>
      </c>
      <c r="T5">
        <f>+[3]Sheet1!Q5</f>
        <v>3598.9978403304422</v>
      </c>
      <c r="U5">
        <f>+[3]Sheet1!R5</f>
        <v>0.34802027867419888</v>
      </c>
      <c r="V5">
        <f>+[3]Sheet1!S5</f>
        <v>0.34267975470876488</v>
      </c>
      <c r="W5">
        <f>+[3]Sheet1!T5</f>
        <v>214894.65650372679</v>
      </c>
      <c r="X5">
        <f>+[3]Sheet1!U5</f>
        <v>20.40673007162437</v>
      </c>
      <c r="Y5">
        <f>+[3]Sheet1!V5</f>
        <v>429174.88763044542</v>
      </c>
      <c r="Z5">
        <f>+[3]Sheet1!W5</f>
        <v>41.92714317399399</v>
      </c>
      <c r="AA5">
        <f>+[3]Sheet1!X5</f>
        <v>580843.5830982856</v>
      </c>
      <c r="AB5">
        <f>+[3]Sheet1!Y5</f>
        <v>56.765765466092162</v>
      </c>
      <c r="AC5">
        <f>+[3]Sheet1!Z5</f>
        <v>0.14148969302657799</v>
      </c>
      <c r="AD5">
        <f>+[3]Sheet1!AA5</f>
        <v>61704.137575649853</v>
      </c>
      <c r="AE5">
        <f>+[3]Sheet1!AB5</f>
        <v>158564.49407204261</v>
      </c>
      <c r="AF5">
        <f>+[3]Sheet1!AC5</f>
        <v>152.2301207965273</v>
      </c>
      <c r="AG5">
        <f>+[3]Sheet1!AD5</f>
        <v>177.55199599425549</v>
      </c>
      <c r="AH5" s="16">
        <f>+[3]Sheet1!AE5</f>
        <v>158.08657460830699</v>
      </c>
      <c r="AI5" s="16">
        <f>+[3]Sheet1!AF5</f>
        <v>412.28788290157678</v>
      </c>
      <c r="AJ5" s="16">
        <f>+[3]Sheet1!AG5</f>
        <v>168.2148478602675</v>
      </c>
      <c r="AK5" s="16">
        <f>+[3]Sheet1!AH5</f>
        <v>108.8240930621332</v>
      </c>
      <c r="AL5" s="16">
        <f>+[3]Sheet1!AI5</f>
        <v>89.43950121594392</v>
      </c>
      <c r="AM5" s="16">
        <f>+[3]Sheet1!AJ5</f>
        <v>154.8928182381903</v>
      </c>
      <c r="AN5" s="16">
        <f>+[3]Sheet1!AK5</f>
        <v>105.9887975945519</v>
      </c>
      <c r="AO5" s="16">
        <f>+[3]Sheet1!AL5</f>
        <v>203.06620410277111</v>
      </c>
      <c r="AP5" s="16">
        <f>+[3]Sheet1!AM5</f>
        <v>194.61091223192989</v>
      </c>
      <c r="AQ5" s="16">
        <f>+[3]Sheet1!AN5</f>
        <v>192.6924629444502</v>
      </c>
      <c r="AR5" s="16">
        <f>+[3]Sheet1!AO5</f>
        <v>180.620907617668</v>
      </c>
      <c r="AS5" s="16">
        <f>+[3]Sheet1!AP5</f>
        <v>245.55765982638039</v>
      </c>
      <c r="AT5" s="16">
        <f>+[3]Sheet1!AQ5</f>
        <v>49.041838858693033</v>
      </c>
      <c r="AU5" s="16">
        <f>+[3]Sheet1!AR5</f>
        <v>142.72027022631789</v>
      </c>
      <c r="AV5" s="16">
        <f>+[3]Sheet1!AS5</f>
        <v>129.4383914423816</v>
      </c>
      <c r="AW5" s="16">
        <f>+[3]Sheet1!AT5</f>
        <v>2715192.702167436</v>
      </c>
      <c r="AX5" s="16">
        <f>+base_mensual!AY5</f>
        <v>1210.2339999999999</v>
      </c>
      <c r="AY5">
        <f>+base_mensual!AZ5</f>
        <v>1.7586069052648217</v>
      </c>
      <c r="AZ5">
        <f>+[3]Sheet1!AX5</f>
        <v>148.40263680512129</v>
      </c>
    </row>
    <row r="6" spans="1:52" x14ac:dyDescent="0.25">
      <c r="A6" s="2">
        <f>+base_mensual!A6</f>
        <v>41425</v>
      </c>
      <c r="B6" s="1">
        <f>+base_mensual!B6</f>
        <v>7.0491739454252578E-3</v>
      </c>
      <c r="C6">
        <f>+base_mensual!AE6</f>
        <v>169.39360216551077</v>
      </c>
      <c r="D6">
        <f>+base_mensual!H6</f>
        <v>196.56929487498201</v>
      </c>
      <c r="E6">
        <f>+[3]Sheet1!B6</f>
        <v>85485.562662758268</v>
      </c>
      <c r="F6">
        <f>+[3]Sheet1!C6</f>
        <v>42163.639506289008</v>
      </c>
      <c r="G6">
        <f>+[3]Sheet1!D6</f>
        <v>84085.955350843302</v>
      </c>
      <c r="H6">
        <f>+[3]Sheet1!E6</f>
        <v>21228.46330835632</v>
      </c>
      <c r="I6">
        <f>+[3]Sheet1!F6</f>
        <v>1003162.584185402</v>
      </c>
      <c r="J6">
        <f>+[3]Sheet1!G6</f>
        <v>341.00723049500101</v>
      </c>
      <c r="K6">
        <f>+[3]Sheet1!H6</f>
        <v>436.12142465734081</v>
      </c>
      <c r="L6">
        <f>+[3]Sheet1!I6</f>
        <v>217.31040892542859</v>
      </c>
      <c r="M6">
        <f>+[3]Sheet1!J6</f>
        <v>5953.7369813005898</v>
      </c>
      <c r="N6">
        <f>+[3]Sheet1!K6</f>
        <v>20574.90012642416</v>
      </c>
      <c r="O6">
        <f>+[3]Sheet1!L6</f>
        <v>13688.17501535681</v>
      </c>
      <c r="P6">
        <f>+[3]Sheet1!M6</f>
        <v>0.57377457955768119</v>
      </c>
      <c r="Q6">
        <f>+[3]Sheet1!N6</f>
        <v>1.9809450060931311</v>
      </c>
      <c r="R6">
        <f>+[3]Sheet1!O6</f>
        <v>1.3831586082897569</v>
      </c>
      <c r="S6">
        <f>+[3]Sheet1!P6</f>
        <v>3566.8147547908361</v>
      </c>
      <c r="T6">
        <f>+[3]Sheet1!Q6</f>
        <v>3648.2211044699811</v>
      </c>
      <c r="U6">
        <f>+[3]Sheet1!R6</f>
        <v>0.33853341607589582</v>
      </c>
      <c r="V6">
        <f>+[3]Sheet1!S6</f>
        <v>0.34982428817187938</v>
      </c>
      <c r="W6">
        <f>+[3]Sheet1!T6</f>
        <v>203856.05189124969</v>
      </c>
      <c r="X6">
        <f>+[3]Sheet1!U6</f>
        <v>19.639421817221169</v>
      </c>
      <c r="Y6">
        <f>+[3]Sheet1!V6</f>
        <v>435475.66731780028</v>
      </c>
      <c r="Z6">
        <f>+[3]Sheet1!W6</f>
        <v>41.870352549698097</v>
      </c>
      <c r="AA6">
        <f>+[3]Sheet1!X6</f>
        <v>582309.48515327519</v>
      </c>
      <c r="AB6">
        <f>+[3]Sheet1!Y6</f>
        <v>56.281263755059818</v>
      </c>
      <c r="AC6">
        <f>+[3]Sheet1!Z6</f>
        <v>0.15152581426363071</v>
      </c>
      <c r="AD6">
        <f>+[3]Sheet1!AA6</f>
        <v>63558.235732125548</v>
      </c>
      <c r="AE6">
        <f>+[3]Sheet1!AB6</f>
        <v>163560.4405003181</v>
      </c>
      <c r="AF6">
        <f>+[3]Sheet1!AC6</f>
        <v>160.51842112351031</v>
      </c>
      <c r="AG6">
        <f>+[3]Sheet1!AD6</f>
        <v>178.46176760199651</v>
      </c>
      <c r="AH6" s="16">
        <f>+[3]Sheet1!AE6</f>
        <v>155.82667814089609</v>
      </c>
      <c r="AI6" s="16">
        <f>+[3]Sheet1!AF6</f>
        <v>426.73151381457637</v>
      </c>
      <c r="AJ6" s="16">
        <f>+[3]Sheet1!AG6</f>
        <v>170.80988963297881</v>
      </c>
      <c r="AK6" s="16">
        <f>+[3]Sheet1!AH6</f>
        <v>110.1807445586749</v>
      </c>
      <c r="AL6" s="16">
        <f>+[3]Sheet1!AI6</f>
        <v>89.304658318750413</v>
      </c>
      <c r="AM6" s="16">
        <f>+[3]Sheet1!AJ6</f>
        <v>155.45935210530109</v>
      </c>
      <c r="AN6" s="16">
        <f>+[3]Sheet1!AK6</f>
        <v>107.0106655160955</v>
      </c>
      <c r="AO6" s="16">
        <f>+[3]Sheet1!AL6</f>
        <v>198.8710691813271</v>
      </c>
      <c r="AP6" s="16">
        <f>+[3]Sheet1!AM6</f>
        <v>196.98491182698601</v>
      </c>
      <c r="AQ6" s="16">
        <f>+[3]Sheet1!AN6</f>
        <v>193.55673425681351</v>
      </c>
      <c r="AR6" s="16">
        <f>+[3]Sheet1!AO6</f>
        <v>181.38154892179699</v>
      </c>
      <c r="AS6" s="16">
        <f>+[3]Sheet1!AP6</f>
        <v>298.57155634921429</v>
      </c>
      <c r="AT6" s="16">
        <f>+[3]Sheet1!AQ6</f>
        <v>48.309329479186687</v>
      </c>
      <c r="AU6" s="16">
        <f>+[3]Sheet1!AR6</f>
        <v>143.79969493053861</v>
      </c>
      <c r="AV6" s="16">
        <f>+[3]Sheet1!AS6</f>
        <v>128.092093304576</v>
      </c>
      <c r="AW6" s="16">
        <f>+[3]Sheet1!AT6</f>
        <v>2810830.796741066</v>
      </c>
      <c r="AX6" s="16">
        <f>+base_mensual!AY6</f>
        <v>1167.336</v>
      </c>
      <c r="AY6">
        <f>+base_mensual!AZ6</f>
        <v>1.420147142501418</v>
      </c>
      <c r="AZ6">
        <f>+[3]Sheet1!AX6</f>
        <v>148.2788315878459</v>
      </c>
    </row>
    <row r="7" spans="1:52" x14ac:dyDescent="0.25">
      <c r="A7" s="2">
        <f>+base_mensual!A7</f>
        <v>41453</v>
      </c>
      <c r="B7" s="1">
        <f>+base_mensual!B7</f>
        <v>7.0491739454252578E-3</v>
      </c>
      <c r="C7">
        <f>+base_mensual!AE7</f>
        <v>163.37278215096265</v>
      </c>
      <c r="D7">
        <f>+base_mensual!H7</f>
        <v>189.85580760618001</v>
      </c>
      <c r="E7">
        <f>+[3]Sheet1!B7</f>
        <v>66326.862054101977</v>
      </c>
      <c r="F7">
        <f>+[3]Sheet1!C7</f>
        <v>36346.34288969991</v>
      </c>
      <c r="G7">
        <f>+[3]Sheet1!D7</f>
        <v>80603.858690891531</v>
      </c>
      <c r="H7">
        <f>+[3]Sheet1!E7</f>
        <v>20109.691303511368</v>
      </c>
      <c r="I7">
        <f>+[3]Sheet1!F7</f>
        <v>993174.89228644036</v>
      </c>
      <c r="J7">
        <f>+[3]Sheet1!G7</f>
        <v>345.34083428660517</v>
      </c>
      <c r="K7">
        <f>+[3]Sheet1!H7</f>
        <v>426.47143825592087</v>
      </c>
      <c r="L7">
        <f>+[3]Sheet1!I7</f>
        <v>213.4242309166508</v>
      </c>
      <c r="M7">
        <f>+[3]Sheet1!J7</f>
        <v>5164.9987360812793</v>
      </c>
      <c r="N7">
        <f>+[3]Sheet1!K7</f>
        <v>21177.46854836079</v>
      </c>
      <c r="O7">
        <f>+[3]Sheet1!L7</f>
        <v>15953.29937758602</v>
      </c>
      <c r="P7">
        <f>+[3]Sheet1!M7</f>
        <v>0.54131169592851958</v>
      </c>
      <c r="Q7">
        <f>+[3]Sheet1!N7</f>
        <v>1.979759736590728</v>
      </c>
      <c r="R7">
        <f>+[3]Sheet1!O7</f>
        <v>1.448206700825788</v>
      </c>
      <c r="S7">
        <f>+[3]Sheet1!P7</f>
        <v>3327.9382496441772</v>
      </c>
      <c r="T7">
        <f>+[3]Sheet1!Q7</f>
        <v>3469.5698121925429</v>
      </c>
      <c r="U7">
        <f>+[3]Sheet1!R7</f>
        <v>0.31444599300863618</v>
      </c>
      <c r="V7">
        <f>+[3]Sheet1!S7</f>
        <v>0.3297368578737721</v>
      </c>
      <c r="W7">
        <f>+[3]Sheet1!T7</f>
        <v>193651.43643055359</v>
      </c>
      <c r="X7">
        <f>+[3]Sheet1!U7</f>
        <v>18.533658831112909</v>
      </c>
      <c r="Y7">
        <f>+[3]Sheet1!V7</f>
        <v>438982.99124428048</v>
      </c>
      <c r="Z7">
        <f>+[3]Sheet1!W7</f>
        <v>41.679774345242272</v>
      </c>
      <c r="AA7">
        <f>+[3]Sheet1!X7</f>
        <v>593030.71207305172</v>
      </c>
      <c r="AB7">
        <f>+[3]Sheet1!Y7</f>
        <v>55.993212910080928</v>
      </c>
      <c r="AC7">
        <f>+[3]Sheet1!Z7</f>
        <v>0.16560835515356059</v>
      </c>
      <c r="AD7">
        <f>+[3]Sheet1!AA7</f>
        <v>61046.53344130818</v>
      </c>
      <c r="AE7">
        <f>+[3]Sheet1!AB7</f>
        <v>155527.8507266783</v>
      </c>
      <c r="AF7">
        <f>+[3]Sheet1!AC7</f>
        <v>152.49673815849019</v>
      </c>
      <c r="AG7">
        <f>+[3]Sheet1!AD7</f>
        <v>169.4997101403049</v>
      </c>
      <c r="AH7" s="16">
        <f>+[3]Sheet1!AE7</f>
        <v>152.97436986949359</v>
      </c>
      <c r="AI7" s="16">
        <f>+[3]Sheet1!AF7</f>
        <v>396.04557734453971</v>
      </c>
      <c r="AJ7" s="16">
        <f>+[3]Sheet1!AG7</f>
        <v>166.4104884615621</v>
      </c>
      <c r="AK7" s="16">
        <f>+[3]Sheet1!AH7</f>
        <v>108.3091756774482</v>
      </c>
      <c r="AL7" s="16">
        <f>+[3]Sheet1!AI7</f>
        <v>89.170801166133558</v>
      </c>
      <c r="AM7" s="16">
        <f>+[3]Sheet1!AJ7</f>
        <v>156.8814090125361</v>
      </c>
      <c r="AN7" s="16">
        <f>+[3]Sheet1!AK7</f>
        <v>106.7376319886438</v>
      </c>
      <c r="AO7" s="16">
        <f>+[3]Sheet1!AL7</f>
        <v>195.15657015466121</v>
      </c>
      <c r="AP7" s="16">
        <f>+[3]Sheet1!AM7</f>
        <v>197.11056229827301</v>
      </c>
      <c r="AQ7" s="16">
        <f>+[3]Sheet1!AN7</f>
        <v>189.00410367792381</v>
      </c>
      <c r="AR7" s="16">
        <f>+[3]Sheet1!AO7</f>
        <v>178.57214053587339</v>
      </c>
      <c r="AS7" s="16">
        <f>+[3]Sheet1!AP7</f>
        <v>233.7610299183853</v>
      </c>
      <c r="AT7" s="16">
        <f>+[3]Sheet1!AQ7</f>
        <v>47.287244217134237</v>
      </c>
      <c r="AU7" s="16">
        <f>+[3]Sheet1!AR7</f>
        <v>141.20466455585139</v>
      </c>
      <c r="AV7" s="16">
        <f>+[3]Sheet1!AS7</f>
        <v>126.8342829257013</v>
      </c>
      <c r="AW7" s="16">
        <f>+[3]Sheet1!AT7</f>
        <v>2742201.5618903879</v>
      </c>
      <c r="AX7" s="16">
        <f>+base_mensual!AY7</f>
        <v>1198.7239999999999</v>
      </c>
      <c r="AY7">
        <f>+base_mensual!AZ7</f>
        <v>1.7441265126118897</v>
      </c>
      <c r="AZ7">
        <f>+[3]Sheet1!AX7</f>
        <v>148.24497496559019</v>
      </c>
    </row>
    <row r="8" spans="1:52" x14ac:dyDescent="0.25">
      <c r="A8" s="2">
        <f>+base_mensual!A8</f>
        <v>41486</v>
      </c>
      <c r="B8" s="1">
        <f>+base_mensual!B8</f>
        <v>6.429280691459871E-3</v>
      </c>
      <c r="C8">
        <f>+base_mensual!AE8</f>
        <v>164.39346206365073</v>
      </c>
      <c r="D8">
        <f>+base_mensual!H8</f>
        <v>187.84890332303399</v>
      </c>
      <c r="E8">
        <f>+[3]Sheet1!B8</f>
        <v>66639.026272193165</v>
      </c>
      <c r="F8">
        <f>+[3]Sheet1!C8</f>
        <v>37831.510292823521</v>
      </c>
      <c r="G8">
        <f>+[3]Sheet1!D8</f>
        <v>78577.129108089212</v>
      </c>
      <c r="H8">
        <f>+[3]Sheet1!E8</f>
        <v>19110.929257991738</v>
      </c>
      <c r="I8">
        <f>+[3]Sheet1!F8</f>
        <v>984851.56751594273</v>
      </c>
      <c r="J8">
        <f>+[3]Sheet1!G8</f>
        <v>339.59212972617001</v>
      </c>
      <c r="K8">
        <f>+[3]Sheet1!H8</f>
        <v>432.90855308959237</v>
      </c>
      <c r="L8">
        <f>+[3]Sheet1!I8</f>
        <v>212.2811172378041</v>
      </c>
      <c r="M8">
        <f>+[3]Sheet1!J8</f>
        <v>5749.711291620235</v>
      </c>
      <c r="N8">
        <f>+[3]Sheet1!K8</f>
        <v>21120.586891108851</v>
      </c>
      <c r="O8">
        <f>+[3]Sheet1!L8</f>
        <v>15793.886031061529</v>
      </c>
      <c r="P8">
        <f>+[3]Sheet1!M8</f>
        <v>0.55160217522513211</v>
      </c>
      <c r="Q8">
        <f>+[3]Sheet1!N8</f>
        <v>1.9756680953008761</v>
      </c>
      <c r="R8">
        <f>+[3]Sheet1!O8</f>
        <v>1.463415654607412</v>
      </c>
      <c r="S8">
        <f>+[3]Sheet1!P8</f>
        <v>3793.6197706727639</v>
      </c>
      <c r="T8">
        <f>+[3]Sheet1!Q8</f>
        <v>3457.4361987529242</v>
      </c>
      <c r="U8">
        <f>+[3]Sheet1!R8</f>
        <v>0.35312361993168129</v>
      </c>
      <c r="V8">
        <f>+[3]Sheet1!S8</f>
        <v>0.32885735386311299</v>
      </c>
      <c r="W8">
        <f>+[3]Sheet1!T8</f>
        <v>218691.88846807851</v>
      </c>
      <c r="X8">
        <f>+[3]Sheet1!U8</f>
        <v>20.396872184964849</v>
      </c>
      <c r="Y8">
        <f>+[3]Sheet1!V8</f>
        <v>447617.5448219747</v>
      </c>
      <c r="Z8">
        <f>+[3]Sheet1!W8</f>
        <v>41.69982962580945</v>
      </c>
      <c r="AA8">
        <f>+[3]Sheet1!X8</f>
        <v>601076.03871060547</v>
      </c>
      <c r="AB8">
        <f>+[3]Sheet1!Y8</f>
        <v>56.404160982889188</v>
      </c>
      <c r="AC8">
        <f>+[3]Sheet1!Z8</f>
        <v>0.17753131059592861</v>
      </c>
      <c r="AD8">
        <f>+[3]Sheet1!AA8</f>
        <v>62054.665491074113</v>
      </c>
      <c r="AE8">
        <f>+[3]Sheet1!AB8</f>
        <v>156506.2649007288</v>
      </c>
      <c r="AF8">
        <f>+[3]Sheet1!AC8</f>
        <v>152.58640131849299</v>
      </c>
      <c r="AG8">
        <f>+[3]Sheet1!AD8</f>
        <v>172.2971498792225</v>
      </c>
      <c r="AH8" s="16">
        <f>+[3]Sheet1!AE8</f>
        <v>154.52225259525221</v>
      </c>
      <c r="AI8" s="16">
        <f>+[3]Sheet1!AF8</f>
        <v>409.60943542422388</v>
      </c>
      <c r="AJ8" s="16">
        <f>+[3]Sheet1!AG8</f>
        <v>167.54636391585851</v>
      </c>
      <c r="AK8" s="16">
        <f>+[3]Sheet1!AH8</f>
        <v>101.66754172807519</v>
      </c>
      <c r="AL8" s="16">
        <f>+[3]Sheet1!AI8</f>
        <v>89.521271701728722</v>
      </c>
      <c r="AM8" s="16">
        <f>+[3]Sheet1!AJ8</f>
        <v>153.6315923127099</v>
      </c>
      <c r="AN8" s="16">
        <f>+[3]Sheet1!AK8</f>
        <v>106.79870292017659</v>
      </c>
      <c r="AO8" s="16">
        <f>+[3]Sheet1!AL8</f>
        <v>194.83236170412789</v>
      </c>
      <c r="AP8" s="16">
        <f>+[3]Sheet1!AM8</f>
        <v>192.6606281845954</v>
      </c>
      <c r="AQ8" s="16">
        <f>+[3]Sheet1!AN8</f>
        <v>196.44033947622631</v>
      </c>
      <c r="AR8" s="16">
        <f>+[3]Sheet1!AO8</f>
        <v>180.01817177871621</v>
      </c>
      <c r="AS8" s="16">
        <f>+[3]Sheet1!AP8</f>
        <v>238.6642970739116</v>
      </c>
      <c r="AT8" s="16">
        <f>+[3]Sheet1!AQ8</f>
        <v>47.506248892991792</v>
      </c>
      <c r="AU8" s="16">
        <f>+[3]Sheet1!AR8</f>
        <v>141.76826216730049</v>
      </c>
      <c r="AV8" s="16">
        <f>+[3]Sheet1!AS8</f>
        <v>126.04409634597221</v>
      </c>
      <c r="AW8" s="16">
        <f>+[3]Sheet1!AT8</f>
        <v>2831216.010235989</v>
      </c>
      <c r="AX8" s="16">
        <f>+base_mensual!AY8</f>
        <v>1111.5360000000001</v>
      </c>
      <c r="AY8">
        <f>+base_mensual!AZ8</f>
        <v>1.6790159081580616</v>
      </c>
      <c r="AZ8">
        <f>+[3]Sheet1!AX8</f>
        <v>148.60620603797739</v>
      </c>
    </row>
    <row r="9" spans="1:52" x14ac:dyDescent="0.25">
      <c r="A9" s="2">
        <f>+base_mensual!A9</f>
        <v>41516</v>
      </c>
      <c r="B9" s="1">
        <f>+base_mensual!B9</f>
        <v>6.429280691459871E-3</v>
      </c>
      <c r="C9">
        <f>+base_mensual!AE9</f>
        <v>167.78359798286448</v>
      </c>
      <c r="D9">
        <f>+base_mensual!H9</f>
        <v>191.56117987903201</v>
      </c>
      <c r="E9">
        <f>+[3]Sheet1!B9</f>
        <v>64189.57636989656</v>
      </c>
      <c r="F9">
        <f>+[3]Sheet1!C9</f>
        <v>34146.250575971702</v>
      </c>
      <c r="G9">
        <f>+[3]Sheet1!D9</f>
        <v>76904.340307472434</v>
      </c>
      <c r="H9">
        <f>+[3]Sheet1!E9</f>
        <v>19200.913115168449</v>
      </c>
      <c r="I9">
        <f>+[3]Sheet1!F9</f>
        <v>1018452.3863857971</v>
      </c>
      <c r="J9">
        <f>+[3]Sheet1!G9</f>
        <v>333.63021220764938</v>
      </c>
      <c r="K9">
        <f>+[3]Sheet1!H9</f>
        <v>427.51491315502278</v>
      </c>
      <c r="L9">
        <f>+[3]Sheet1!I9</f>
        <v>209.33461857689949</v>
      </c>
      <c r="M9">
        <f>+[3]Sheet1!J9</f>
        <v>7850.9292830156319</v>
      </c>
      <c r="N9">
        <f>+[3]Sheet1!K9</f>
        <v>22166.24419315856</v>
      </c>
      <c r="O9">
        <f>+[3]Sheet1!L9</f>
        <v>16096.87981203038</v>
      </c>
      <c r="P9">
        <f>+[3]Sheet1!M9</f>
        <v>0.7030169502497684</v>
      </c>
      <c r="Q9">
        <f>+[3]Sheet1!N9</f>
        <v>2.0119407248051799</v>
      </c>
      <c r="R9">
        <f>+[3]Sheet1!O9</f>
        <v>1.4668318313702291</v>
      </c>
      <c r="S9">
        <f>+[3]Sheet1!P9</f>
        <v>3751.5549184633228</v>
      </c>
      <c r="T9">
        <f>+[3]Sheet1!Q9</f>
        <v>3815.1924490704769</v>
      </c>
      <c r="U9">
        <f>+[3]Sheet1!R9</f>
        <v>0.40775228335693581</v>
      </c>
      <c r="V9">
        <f>+[3]Sheet1!S9</f>
        <v>0.3597132219852377</v>
      </c>
      <c r="W9">
        <f>+[3]Sheet1!T9</f>
        <v>215220.16083115831</v>
      </c>
      <c r="X9">
        <f>+[3]Sheet1!U9</f>
        <v>22.222143697519709</v>
      </c>
      <c r="Y9">
        <f>+[3]Sheet1!V9</f>
        <v>453004.06581804907</v>
      </c>
      <c r="Z9">
        <f>+[3]Sheet1!W9</f>
        <v>41.648925813322478</v>
      </c>
      <c r="AA9">
        <f>+[3]Sheet1!X9</f>
        <v>608916.98915930057</v>
      </c>
      <c r="AB9">
        <f>+[3]Sheet1!Y9</f>
        <v>56.045028621647617</v>
      </c>
      <c r="AC9">
        <f>+[3]Sheet1!Z9</f>
        <v>0.18659198269719701</v>
      </c>
      <c r="AD9">
        <f>+[3]Sheet1!AA9</f>
        <v>63071.995982127592</v>
      </c>
      <c r="AE9">
        <f>+[3]Sheet1!AB9</f>
        <v>157795.69542356371</v>
      </c>
      <c r="AF9">
        <f>+[3]Sheet1!AC9</f>
        <v>153.22452317933599</v>
      </c>
      <c r="AG9">
        <f>+[3]Sheet1!AD9</f>
        <v>167.48814481280431</v>
      </c>
      <c r="AH9" s="16">
        <f>+[3]Sheet1!AE9</f>
        <v>159.38917877067411</v>
      </c>
      <c r="AI9" s="16">
        <f>+[3]Sheet1!AF9</f>
        <v>407.61438053942749</v>
      </c>
      <c r="AJ9" s="16">
        <f>+[3]Sheet1!AG9</f>
        <v>165.7510320382741</v>
      </c>
      <c r="AK9" s="16">
        <f>+[3]Sheet1!AH9</f>
        <v>109.8161111775664</v>
      </c>
      <c r="AL9" s="16">
        <f>+[3]Sheet1!AI9</f>
        <v>89.411700513075189</v>
      </c>
      <c r="AM9" s="16">
        <f>+[3]Sheet1!AJ9</f>
        <v>155.05649416887221</v>
      </c>
      <c r="AN9" s="16">
        <f>+[3]Sheet1!AK9</f>
        <v>109.6439801662614</v>
      </c>
      <c r="AO9" s="16">
        <f>+[3]Sheet1!AL9</f>
        <v>204.4836705597279</v>
      </c>
      <c r="AP9" s="16">
        <f>+[3]Sheet1!AM9</f>
        <v>197.68471368584039</v>
      </c>
      <c r="AQ9" s="16">
        <f>+[3]Sheet1!AN9</f>
        <v>199.4782500532902</v>
      </c>
      <c r="AR9" s="16">
        <f>+[3]Sheet1!AO9</f>
        <v>210.08638047600371</v>
      </c>
      <c r="AS9" s="16">
        <f>+[3]Sheet1!AP9</f>
        <v>226.91513679157549</v>
      </c>
      <c r="AT9" s="16">
        <f>+[3]Sheet1!AQ9</f>
        <v>47.119328422585689</v>
      </c>
      <c r="AU9" s="16">
        <f>+[3]Sheet1!AR9</f>
        <v>142.71985446455639</v>
      </c>
      <c r="AV9" s="16">
        <f>+[3]Sheet1!AS9</f>
        <v>125.0332455536545</v>
      </c>
      <c r="AW9" s="16">
        <f>+[3]Sheet1!AT9</f>
        <v>2947653.442927741</v>
      </c>
      <c r="AX9" s="16">
        <f>+base_mensual!AY9</f>
        <v>1169.982</v>
      </c>
      <c r="AY9">
        <f>+base_mensual!AZ9</f>
        <v>1.8688059773886552</v>
      </c>
      <c r="AZ9">
        <f>+[3]Sheet1!AX9</f>
        <v>149.48908338481999</v>
      </c>
    </row>
    <row r="10" spans="1:52" x14ac:dyDescent="0.25">
      <c r="A10" s="2">
        <f>+base_mensual!A10</f>
        <v>41547</v>
      </c>
      <c r="B10" s="1">
        <f>+base_mensual!B10</f>
        <v>6.429280691459871E-3</v>
      </c>
      <c r="C10">
        <f>+base_mensual!AE10</f>
        <v>168.01688391759188</v>
      </c>
      <c r="D10">
        <f>+base_mensual!H10</f>
        <v>187.607714899331</v>
      </c>
      <c r="E10">
        <f>+[3]Sheet1!B10</f>
        <v>62665.729522605463</v>
      </c>
      <c r="F10">
        <f>+[3]Sheet1!C10</f>
        <v>33433.192145406261</v>
      </c>
      <c r="G10">
        <f>+[3]Sheet1!D10</f>
        <v>74180.647995765452</v>
      </c>
      <c r="H10">
        <f>+[3]Sheet1!E10</f>
        <v>18635.989604161961</v>
      </c>
      <c r="I10">
        <f>+[3]Sheet1!F10</f>
        <v>966955.44107535295</v>
      </c>
      <c r="J10">
        <f>+[3]Sheet1!G10</f>
        <v>346.24288141305561</v>
      </c>
      <c r="K10">
        <f>+[3]Sheet1!H10</f>
        <v>431.15272900546341</v>
      </c>
      <c r="L10">
        <f>+[3]Sheet1!I10</f>
        <v>206.1859447978791</v>
      </c>
      <c r="M10">
        <f>+[3]Sheet1!J10</f>
        <v>7896.3203997364326</v>
      </c>
      <c r="N10">
        <f>+[3]Sheet1!K10</f>
        <v>22126.135048240281</v>
      </c>
      <c r="O10">
        <f>+[3]Sheet1!L10</f>
        <v>16439.716153036199</v>
      </c>
      <c r="P10">
        <f>+[3]Sheet1!M10</f>
        <v>0.67755657172445261</v>
      </c>
      <c r="Q10">
        <f>+[3]Sheet1!N10</f>
        <v>1.981168546169696</v>
      </c>
      <c r="R10">
        <f>+[3]Sheet1!O10</f>
        <v>1.458200936163641</v>
      </c>
      <c r="S10">
        <f>+[3]Sheet1!P10</f>
        <v>3987.716599740088</v>
      </c>
      <c r="T10">
        <f>+[3]Sheet1!Q10</f>
        <v>3867.6599551150362</v>
      </c>
      <c r="U10">
        <f>+[3]Sheet1!R10</f>
        <v>0.42791788775649431</v>
      </c>
      <c r="V10">
        <f>+[3]Sheet1!S10</f>
        <v>0.4300189235059792</v>
      </c>
      <c r="W10">
        <f>+[3]Sheet1!T10</f>
        <v>233698.94586595171</v>
      </c>
      <c r="X10">
        <f>+[3]Sheet1!U10</f>
        <v>22.65341288665125</v>
      </c>
      <c r="Y10">
        <f>+[3]Sheet1!V10</f>
        <v>463973.83712282992</v>
      </c>
      <c r="Z10">
        <f>+[3]Sheet1!W10</f>
        <v>41.674499133231691</v>
      </c>
      <c r="AA10">
        <f>+[3]Sheet1!X10</f>
        <v>622227.82614417211</v>
      </c>
      <c r="AB10">
        <f>+[3]Sheet1!Y10</f>
        <v>56.625566882298727</v>
      </c>
      <c r="AC10">
        <f>+[3]Sheet1!Z10</f>
        <v>0.1967846426377515</v>
      </c>
      <c r="AD10">
        <f>+[3]Sheet1!AA10</f>
        <v>53810.121724670433</v>
      </c>
      <c r="AE10">
        <f>+[3]Sheet1!AB10</f>
        <v>144753.66706706901</v>
      </c>
      <c r="AF10">
        <f>+[3]Sheet1!AC10</f>
        <v>149.62850879624079</v>
      </c>
      <c r="AG10">
        <f>+[3]Sheet1!AD10</f>
        <v>162.66742213713411</v>
      </c>
      <c r="AH10" s="16">
        <f>+[3]Sheet1!AE10</f>
        <v>156.3636597336149</v>
      </c>
      <c r="AI10" s="16">
        <f>+[3]Sheet1!AF10</f>
        <v>393.63066029205243</v>
      </c>
      <c r="AJ10" s="16">
        <f>+[3]Sheet1!AG10</f>
        <v>163.69756213302821</v>
      </c>
      <c r="AK10" s="16">
        <f>+[3]Sheet1!AH10</f>
        <v>103.9239509752715</v>
      </c>
      <c r="AL10" s="16">
        <f>+[3]Sheet1!AI10</f>
        <v>91.939590917851504</v>
      </c>
      <c r="AM10" s="16">
        <f>+[3]Sheet1!AJ10</f>
        <v>154.56894543561401</v>
      </c>
      <c r="AN10" s="16">
        <f>+[3]Sheet1!AK10</f>
        <v>111.49119992815049</v>
      </c>
      <c r="AO10" s="16">
        <f>+[3]Sheet1!AL10</f>
        <v>196.99866502884359</v>
      </c>
      <c r="AP10" s="16">
        <f>+[3]Sheet1!AM10</f>
        <v>191.5619237764827</v>
      </c>
      <c r="AQ10" s="16">
        <f>+[3]Sheet1!AN10</f>
        <v>200.01064202386789</v>
      </c>
      <c r="AR10" s="16">
        <f>+[3]Sheet1!AO10</f>
        <v>176.99755835877059</v>
      </c>
      <c r="AS10" s="16">
        <f>+[3]Sheet1!AP10</f>
        <v>222.2633575581599</v>
      </c>
      <c r="AT10" s="16">
        <f>+[3]Sheet1!AQ10</f>
        <v>45.895782331432571</v>
      </c>
      <c r="AU10" s="16">
        <f>+[3]Sheet1!AR10</f>
        <v>142.76384331815461</v>
      </c>
      <c r="AV10" s="16">
        <f>+[3]Sheet1!AS10</f>
        <v>124.5765859956952</v>
      </c>
      <c r="AW10" s="16">
        <f>+[3]Sheet1!AT10</f>
        <v>3032593.8623794098</v>
      </c>
      <c r="AX10" s="16">
        <f>+base_mensual!AY10</f>
        <v>1034.5070000000001</v>
      </c>
      <c r="AY10">
        <f>+base_mensual!AZ10</f>
        <v>1.7716092789722893</v>
      </c>
      <c r="AZ10">
        <f>+[3]Sheet1!AX10</f>
        <v>148.33819512260499</v>
      </c>
    </row>
    <row r="11" spans="1:52" x14ac:dyDescent="0.25">
      <c r="A11" s="2">
        <f>+base_mensual!A11</f>
        <v>41578</v>
      </c>
      <c r="B11" s="1">
        <f>+base_mensual!B11</f>
        <v>-8.5728870501295962E-3</v>
      </c>
      <c r="C11">
        <f>+base_mensual!AE11</f>
        <v>167.64166487180884</v>
      </c>
      <c r="D11">
        <f>+base_mensual!H11</f>
        <v>185.59018069132199</v>
      </c>
      <c r="E11">
        <f>+[3]Sheet1!B11</f>
        <v>62295.784252849837</v>
      </c>
      <c r="F11">
        <f>+[3]Sheet1!C11</f>
        <v>33045.253699093599</v>
      </c>
      <c r="G11">
        <f>+[3]Sheet1!D11</f>
        <v>75460.573649521495</v>
      </c>
      <c r="H11">
        <f>+[3]Sheet1!E11</f>
        <v>18331.672374308899</v>
      </c>
      <c r="I11">
        <f>+[3]Sheet1!F11</f>
        <v>980622.0131709032</v>
      </c>
      <c r="J11">
        <f>+[3]Sheet1!G11</f>
        <v>340.00948995606598</v>
      </c>
      <c r="K11">
        <f>+[3]Sheet1!H11</f>
        <v>428.6855881017288</v>
      </c>
      <c r="L11">
        <f>+[3]Sheet1!I11</f>
        <v>205.33936451097381</v>
      </c>
      <c r="M11">
        <f>+[3]Sheet1!J11</f>
        <v>6843.3568843675894</v>
      </c>
      <c r="N11">
        <f>+[3]Sheet1!K11</f>
        <v>23068.076538398651</v>
      </c>
      <c r="O11">
        <f>+[3]Sheet1!L11</f>
        <v>16065.005425550329</v>
      </c>
      <c r="P11">
        <f>+[3]Sheet1!M11</f>
        <v>0.59893560134470858</v>
      </c>
      <c r="Q11">
        <f>+[3]Sheet1!N11</f>
        <v>2.0230436951879249</v>
      </c>
      <c r="R11">
        <f>+[3]Sheet1!O11</f>
        <v>1.426332011364307</v>
      </c>
      <c r="S11">
        <f>+[3]Sheet1!P11</f>
        <v>4457.843039838056</v>
      </c>
      <c r="T11">
        <f>+[3]Sheet1!Q11</f>
        <v>4665.373126233364</v>
      </c>
      <c r="U11">
        <f>+[3]Sheet1!R11</f>
        <v>0.43300461733184742</v>
      </c>
      <c r="V11">
        <f>+[3]Sheet1!S11</f>
        <v>0.41101573315076939</v>
      </c>
      <c r="W11">
        <f>+[3]Sheet1!T11</f>
        <v>245391.12771708379</v>
      </c>
      <c r="X11">
        <f>+[3]Sheet1!U11</f>
        <v>23.34219048209604</v>
      </c>
      <c r="Y11">
        <f>+[3]Sheet1!V11</f>
        <v>463132.98434903362</v>
      </c>
      <c r="Z11">
        <f>+[3]Sheet1!W11</f>
        <v>41.39907931199815</v>
      </c>
      <c r="AA11">
        <f>+[3]Sheet1!X11</f>
        <v>624213.81784194091</v>
      </c>
      <c r="AB11">
        <f>+[3]Sheet1!Y11</f>
        <v>56.067082567687159</v>
      </c>
      <c r="AC11">
        <f>+[3]Sheet1!Z11</f>
        <v>0.201882464220726</v>
      </c>
      <c r="AD11">
        <f>+[3]Sheet1!AA11</f>
        <v>60801.87233302922</v>
      </c>
      <c r="AE11">
        <f>+[3]Sheet1!AB11</f>
        <v>146261.21092040159</v>
      </c>
      <c r="AF11">
        <f>+[3]Sheet1!AC11</f>
        <v>150.62024275914951</v>
      </c>
      <c r="AG11">
        <f>+[3]Sheet1!AD11</f>
        <v>162.02935656861791</v>
      </c>
      <c r="AH11" s="16">
        <f>+[3]Sheet1!AE11</f>
        <v>157.3089341282172</v>
      </c>
      <c r="AI11" s="16">
        <f>+[3]Sheet1!AF11</f>
        <v>386.1288305338195</v>
      </c>
      <c r="AJ11" s="16">
        <f>+[3]Sheet1!AG11</f>
        <v>163.52966152864749</v>
      </c>
      <c r="AK11" s="16">
        <f>+[3]Sheet1!AH11</f>
        <v>102.2924867371885</v>
      </c>
      <c r="AL11" s="16">
        <f>+[3]Sheet1!AI11</f>
        <v>92.344611836674332</v>
      </c>
      <c r="AM11" s="16">
        <f>+[3]Sheet1!AJ11</f>
        <v>156.27362858521289</v>
      </c>
      <c r="AN11" s="16">
        <f>+[3]Sheet1!AK11</f>
        <v>107.60470576313909</v>
      </c>
      <c r="AO11" s="16">
        <f>+[3]Sheet1!AL11</f>
        <v>201.42099013692459</v>
      </c>
      <c r="AP11" s="16">
        <f>+[3]Sheet1!AM11</f>
        <v>192.05573045806071</v>
      </c>
      <c r="AQ11" s="16">
        <f>+[3]Sheet1!AN11</f>
        <v>198.6551216263355</v>
      </c>
      <c r="AR11" s="16">
        <f>+[3]Sheet1!AO11</f>
        <v>214.29959814735071</v>
      </c>
      <c r="AS11" s="16">
        <f>+[3]Sheet1!AP11</f>
        <v>220.0386485906543</v>
      </c>
      <c r="AT11" s="16">
        <f>+[3]Sheet1!AQ11</f>
        <v>46.174677931920762</v>
      </c>
      <c r="AU11" s="16">
        <f>+[3]Sheet1!AR11</f>
        <v>143.26373638709359</v>
      </c>
      <c r="AV11" s="16">
        <f>+[3]Sheet1!AS11</f>
        <v>124.3975519915611</v>
      </c>
      <c r="AW11" s="16">
        <f>+[3]Sheet1!AT11</f>
        <v>2975170.9825849421</v>
      </c>
      <c r="AX11" s="16">
        <f>+base_mensual!AY11</f>
        <v>920.68499999999995</v>
      </c>
      <c r="AY11">
        <f>+base_mensual!AZ11</f>
        <v>1.9764988177265144</v>
      </c>
      <c r="AZ11">
        <f>+[3]Sheet1!AX11</f>
        <v>148.60092444601409</v>
      </c>
    </row>
    <row r="12" spans="1:52" x14ac:dyDescent="0.25">
      <c r="A12" s="2">
        <f>+base_mensual!A12</f>
        <v>41607</v>
      </c>
      <c r="B12" s="1">
        <f>+base_mensual!B12</f>
        <v>-8.5728870501295962E-3</v>
      </c>
      <c r="C12">
        <f>+base_mensual!AE12</f>
        <v>162.9322190604438</v>
      </c>
      <c r="D12">
        <f>+base_mensual!H12</f>
        <v>186.858408087002</v>
      </c>
      <c r="E12">
        <f>+[3]Sheet1!B12</f>
        <v>59031.893563795988</v>
      </c>
      <c r="F12">
        <f>+[3]Sheet1!C12</f>
        <v>32846.448729265423</v>
      </c>
      <c r="G12">
        <f>+[3]Sheet1!D12</f>
        <v>70252.111192602431</v>
      </c>
      <c r="H12">
        <f>+[3]Sheet1!E12</f>
        <v>17566.386554738601</v>
      </c>
      <c r="I12">
        <f>+[3]Sheet1!F12</f>
        <v>1001153.9457700941</v>
      </c>
      <c r="J12">
        <f>+[3]Sheet1!G12</f>
        <v>342.27305055108872</v>
      </c>
      <c r="K12">
        <f>+[3]Sheet1!H12</f>
        <v>438.29540404183552</v>
      </c>
      <c r="L12">
        <f>+[3]Sheet1!I12</f>
        <v>206.90250242327079</v>
      </c>
      <c r="M12">
        <f>+[3]Sheet1!J12</f>
        <v>7968.0743217610507</v>
      </c>
      <c r="N12">
        <f>+[3]Sheet1!K12</f>
        <v>23645.710332086299</v>
      </c>
      <c r="O12">
        <f>+[3]Sheet1!L12</f>
        <v>16526.016429442989</v>
      </c>
      <c r="P12">
        <f>+[3]Sheet1!M12</f>
        <v>0.64966385168709828</v>
      </c>
      <c r="Q12">
        <f>+[3]Sheet1!N12</f>
        <v>2.0251098482290462</v>
      </c>
      <c r="R12">
        <f>+[3]Sheet1!O12</f>
        <v>1.4465115894545559</v>
      </c>
      <c r="S12">
        <f>+[3]Sheet1!P12</f>
        <v>5255.2348710539582</v>
      </c>
      <c r="T12">
        <f>+[3]Sheet1!Q12</f>
        <v>4813.0068828371031</v>
      </c>
      <c r="U12">
        <f>+[3]Sheet1!R12</f>
        <v>0.45334326239435252</v>
      </c>
      <c r="V12">
        <f>+[3]Sheet1!S12</f>
        <v>0.42372794325536062</v>
      </c>
      <c r="W12">
        <f>+[3]Sheet1!T12</f>
        <v>271859.17024326458</v>
      </c>
      <c r="X12">
        <f>+[3]Sheet1!U12</f>
        <v>23.570846646216211</v>
      </c>
      <c r="Y12">
        <f>+[3]Sheet1!V12</f>
        <v>470283.39873277443</v>
      </c>
      <c r="Z12">
        <f>+[3]Sheet1!W12</f>
        <v>41.372085664388109</v>
      </c>
      <c r="AA12">
        <f>+[3]Sheet1!X12</f>
        <v>625935.51595511823</v>
      </c>
      <c r="AB12">
        <f>+[3]Sheet1!Y12</f>
        <v>55.257600878628381</v>
      </c>
      <c r="AC12">
        <f>+[3]Sheet1!Z12</f>
        <v>0.20541745071874359</v>
      </c>
      <c r="AD12">
        <f>+[3]Sheet1!AA12</f>
        <v>62265.646149857967</v>
      </c>
      <c r="AE12">
        <f>+[3]Sheet1!AB12</f>
        <v>147933.89572902679</v>
      </c>
      <c r="AF12">
        <f>+[3]Sheet1!AC12</f>
        <v>152.0106871390837</v>
      </c>
      <c r="AG12">
        <f>+[3]Sheet1!AD12</f>
        <v>152.91044719572551</v>
      </c>
      <c r="AH12" s="16">
        <f>+[3]Sheet1!AE12</f>
        <v>159.39878283080949</v>
      </c>
      <c r="AI12" s="16">
        <f>+[3]Sheet1!AF12</f>
        <v>390.45317694775252</v>
      </c>
      <c r="AJ12" s="16">
        <f>+[3]Sheet1!AG12</f>
        <v>164.62142222337249</v>
      </c>
      <c r="AK12" s="16">
        <f>+[3]Sheet1!AH12</f>
        <v>105.93597128097829</v>
      </c>
      <c r="AL12" s="16">
        <f>+[3]Sheet1!AI12</f>
        <v>91.44796716114007</v>
      </c>
      <c r="AM12" s="16">
        <f>+[3]Sheet1!AJ12</f>
        <v>154.2044289134862</v>
      </c>
      <c r="AN12" s="16">
        <f>+[3]Sheet1!AK12</f>
        <v>109.91225850574909</v>
      </c>
      <c r="AO12" s="16">
        <f>+[3]Sheet1!AL12</f>
        <v>204.6289059791975</v>
      </c>
      <c r="AP12" s="16">
        <f>+[3]Sheet1!AM12</f>
        <v>193.9561774008892</v>
      </c>
      <c r="AQ12" s="16">
        <f>+[3]Sheet1!AN12</f>
        <v>200.57543492387839</v>
      </c>
      <c r="AR12" s="16">
        <f>+[3]Sheet1!AO12</f>
        <v>171.1445967659177</v>
      </c>
      <c r="AS12" s="16">
        <f>+[3]Sheet1!AP12</f>
        <v>209.28926673340891</v>
      </c>
      <c r="AT12" s="16">
        <f>+[3]Sheet1!AQ12</f>
        <v>45.468350158630557</v>
      </c>
      <c r="AU12" s="16">
        <f>+[3]Sheet1!AR12</f>
        <v>142.8597644019292</v>
      </c>
      <c r="AV12" s="16">
        <f>+[3]Sheet1!AS12</f>
        <v>123.6078420515923</v>
      </c>
      <c r="AW12" s="16">
        <f>+[3]Sheet1!AT12</f>
        <v>2825213.5536342971</v>
      </c>
      <c r="AX12" s="16">
        <f>+base_mensual!AY12</f>
        <v>775.91200000000003</v>
      </c>
      <c r="AY12">
        <f>+base_mensual!AZ12</f>
        <v>1.8471887579507416</v>
      </c>
      <c r="AZ12">
        <f>+[3]Sheet1!AX12</f>
        <v>148.47673585529381</v>
      </c>
    </row>
    <row r="13" spans="1:52" x14ac:dyDescent="0.25">
      <c r="A13" s="2">
        <f>+base_mensual!A13</f>
        <v>41639</v>
      </c>
      <c r="B13" s="1">
        <f>+base_mensual!B13</f>
        <v>-8.5728870501295962E-3</v>
      </c>
      <c r="C13">
        <f>+base_mensual!AE13</f>
        <v>162.96707616231168</v>
      </c>
      <c r="D13">
        <f>+base_mensual!H13</f>
        <v>195.44041060793401</v>
      </c>
      <c r="E13">
        <f>+[3]Sheet1!B13</f>
        <v>56712.822846892726</v>
      </c>
      <c r="F13">
        <f>+[3]Sheet1!C13</f>
        <v>32401.005455661671</v>
      </c>
      <c r="G13">
        <f>+[3]Sheet1!D13</f>
        <v>88124.260657241466</v>
      </c>
      <c r="H13">
        <f>+[3]Sheet1!E13</f>
        <v>25857.310218152052</v>
      </c>
      <c r="I13">
        <f>+[3]Sheet1!F13</f>
        <v>980342.83101144189</v>
      </c>
      <c r="J13">
        <f>+[3]Sheet1!G13</f>
        <v>345.03700736611978</v>
      </c>
      <c r="K13">
        <f>+[3]Sheet1!H13</f>
        <v>433.13566820266391</v>
      </c>
      <c r="L13">
        <f>+[3]Sheet1!I13</f>
        <v>201.83781028109519</v>
      </c>
      <c r="M13">
        <f>+[3]Sheet1!J13</f>
        <v>7371.8457843494489</v>
      </c>
      <c r="N13">
        <f>+[3]Sheet1!K13</f>
        <v>22764.213525541931</v>
      </c>
      <c r="O13">
        <f>+[3]Sheet1!L13</f>
        <v>17453.987919244399</v>
      </c>
      <c r="P13">
        <f>+[3]Sheet1!M13</f>
        <v>0.61462968690147612</v>
      </c>
      <c r="Q13">
        <f>+[3]Sheet1!N13</f>
        <v>1.993456246300233</v>
      </c>
      <c r="R13">
        <f>+[3]Sheet1!O13</f>
        <v>1.5234829684904601</v>
      </c>
      <c r="S13">
        <f>+[3]Sheet1!P13</f>
        <v>6299.4511017256509</v>
      </c>
      <c r="T13">
        <f>+[3]Sheet1!Q13</f>
        <v>5801.6046159440093</v>
      </c>
      <c r="U13">
        <f>+[3]Sheet1!R13</f>
        <v>0.49264875423028098</v>
      </c>
      <c r="V13">
        <f>+[3]Sheet1!S13</f>
        <v>0.48896731173823599</v>
      </c>
      <c r="W13">
        <f>+[3]Sheet1!T13</f>
        <v>305954.20232023922</v>
      </c>
      <c r="X13">
        <f>+[3]Sheet1!U13</f>
        <v>24.405571417345229</v>
      </c>
      <c r="Y13">
        <f>+[3]Sheet1!V13</f>
        <v>475485.29589869239</v>
      </c>
      <c r="Z13">
        <f>+[3]Sheet1!W13</f>
        <v>41.134336397058462</v>
      </c>
      <c r="AA13">
        <f>+[3]Sheet1!X13</f>
        <v>673680.98786069243</v>
      </c>
      <c r="AB13">
        <f>+[3]Sheet1!Y13</f>
        <v>57.284305564066983</v>
      </c>
      <c r="AC13">
        <f>+[3]Sheet1!Z13</f>
        <v>0.20931830234044829</v>
      </c>
      <c r="AD13">
        <f>+[3]Sheet1!AA13</f>
        <v>59222.675964969152</v>
      </c>
      <c r="AE13">
        <f>+[3]Sheet1!AB13</f>
        <v>142303.22123714999</v>
      </c>
      <c r="AF13">
        <f>+[3]Sheet1!AC13</f>
        <v>151.68562406068071</v>
      </c>
      <c r="AG13">
        <f>+[3]Sheet1!AD13</f>
        <v>153.39051390829059</v>
      </c>
      <c r="AH13" s="16">
        <f>+[3]Sheet1!AE13</f>
        <v>160.42860924850851</v>
      </c>
      <c r="AI13" s="16">
        <f>+[3]Sheet1!AF13</f>
        <v>385.69215125749849</v>
      </c>
      <c r="AJ13" s="16">
        <f>+[3]Sheet1!AG13</f>
        <v>164.66928232696719</v>
      </c>
      <c r="AK13" s="16">
        <f>+[3]Sheet1!AH13</f>
        <v>104.9952714657659</v>
      </c>
      <c r="AL13" s="16">
        <f>+[3]Sheet1!AI13</f>
        <v>89.529658065614854</v>
      </c>
      <c r="AM13" s="16">
        <f>+[3]Sheet1!AJ13</f>
        <v>153.89052462661721</v>
      </c>
      <c r="AN13" s="16">
        <f>+[3]Sheet1!AK13</f>
        <v>108.90993699129309</v>
      </c>
      <c r="AO13" s="16">
        <f>+[3]Sheet1!AL13</f>
        <v>209.59225721621311</v>
      </c>
      <c r="AP13" s="16">
        <f>+[3]Sheet1!AM13</f>
        <v>191.4303089968179</v>
      </c>
      <c r="AQ13" s="16">
        <f>+[3]Sheet1!AN13</f>
        <v>196.03171884016231</v>
      </c>
      <c r="AR13" s="16">
        <f>+[3]Sheet1!AO13</f>
        <v>173.73697684280759</v>
      </c>
      <c r="AS13" s="16">
        <f>+[3]Sheet1!AP13</f>
        <v>202.22965267181499</v>
      </c>
      <c r="AT13" s="16">
        <f>+[3]Sheet1!AQ13</f>
        <v>44.374418323235332</v>
      </c>
      <c r="AU13" s="16">
        <f>+[3]Sheet1!AR13</f>
        <v>143.44549433771519</v>
      </c>
      <c r="AV13" s="16">
        <f>+[3]Sheet1!AS13</f>
        <v>122.52586813416259</v>
      </c>
      <c r="AW13" s="16">
        <f>+[3]Sheet1!AT13</f>
        <v>2859496.395486156</v>
      </c>
      <c r="AX13" s="16">
        <f>+base_mensual!AY13</f>
        <v>807.93999999999994</v>
      </c>
      <c r="AY13">
        <f>+base_mensual!AZ13</f>
        <v>1.6809167892733861</v>
      </c>
      <c r="AZ13">
        <f>+[3]Sheet1!AX13</f>
        <v>147.70030586607311</v>
      </c>
    </row>
    <row r="14" spans="1:52" x14ac:dyDescent="0.25">
      <c r="A14" s="2">
        <f>+base_mensual!A14</f>
        <v>41670</v>
      </c>
      <c r="B14" s="1">
        <f>+base_mensual!B14</f>
        <v>-1.5388241365605126E-2</v>
      </c>
      <c r="C14">
        <f>+base_mensual!AE14</f>
        <v>163.42355938365213</v>
      </c>
      <c r="D14">
        <f>+base_mensual!H14</f>
        <v>188.714284033891</v>
      </c>
      <c r="E14">
        <f>+[3]Sheet1!B14</f>
        <v>60697.248075169002</v>
      </c>
      <c r="F14">
        <f>+[3]Sheet1!C14</f>
        <v>33780.778202401292</v>
      </c>
      <c r="G14">
        <f>+[3]Sheet1!D14</f>
        <v>68907.883592083599</v>
      </c>
      <c r="H14">
        <f>+[3]Sheet1!E14</f>
        <v>17314.180644247081</v>
      </c>
      <c r="I14">
        <f>+[3]Sheet1!F14</f>
        <v>993611.91901195317</v>
      </c>
      <c r="J14">
        <f>+[3]Sheet1!G14</f>
        <v>377.20346901379543</v>
      </c>
      <c r="K14">
        <f>+[3]Sheet1!H14</f>
        <v>456.98489010213899</v>
      </c>
      <c r="L14">
        <f>+[3]Sheet1!I14</f>
        <v>213.7119537662667</v>
      </c>
      <c r="M14">
        <f>+[3]Sheet1!J14</f>
        <v>7933.4273066888418</v>
      </c>
      <c r="N14">
        <f>+[3]Sheet1!K14</f>
        <v>25115.67124862154</v>
      </c>
      <c r="O14">
        <f>+[3]Sheet1!L14</f>
        <v>18166.043414948439</v>
      </c>
      <c r="P14">
        <f>+[3]Sheet1!M14</f>
        <v>0.67525225353281992</v>
      </c>
      <c r="Q14">
        <f>+[3]Sheet1!N14</f>
        <v>2.257712253954014</v>
      </c>
      <c r="R14">
        <f>+[3]Sheet1!O14</f>
        <v>1.6222524248427601</v>
      </c>
      <c r="S14">
        <f>+[3]Sheet1!P14</f>
        <v>6212.2967937641388</v>
      </c>
      <c r="T14">
        <f>+[3]Sheet1!Q14</f>
        <v>6010.9777942137607</v>
      </c>
      <c r="U14">
        <f>+[3]Sheet1!R14</f>
        <v>0.50642293226526225</v>
      </c>
      <c r="V14">
        <f>+[3]Sheet1!S14</f>
        <v>0.49817410844048032</v>
      </c>
      <c r="W14">
        <f>+[3]Sheet1!T14</f>
        <v>312818.3620386137</v>
      </c>
      <c r="X14">
        <f>+[3]Sheet1!U14</f>
        <v>26.307787148863749</v>
      </c>
      <c r="Y14">
        <f>+[3]Sheet1!V14</f>
        <v>491785.4507582963</v>
      </c>
      <c r="Z14">
        <f>+[3]Sheet1!W14</f>
        <v>43.332669627565132</v>
      </c>
      <c r="AA14">
        <f>+[3]Sheet1!X14</f>
        <v>671661.15296521096</v>
      </c>
      <c r="AB14">
        <f>+[3]Sheet1!Y14</f>
        <v>58.662804934597098</v>
      </c>
      <c r="AC14">
        <f>+[3]Sheet1!Z14</f>
        <v>0.21000811018736171</v>
      </c>
      <c r="AD14">
        <f>+[3]Sheet1!AA14</f>
        <v>61056.965084797768</v>
      </c>
      <c r="AE14">
        <f>+[3]Sheet1!AB14</f>
        <v>169893.06512737839</v>
      </c>
      <c r="AF14">
        <f>+[3]Sheet1!AC14</f>
        <v>163.57973657387569</v>
      </c>
      <c r="AG14">
        <f>+[3]Sheet1!AD14</f>
        <v>156.00407678983251</v>
      </c>
      <c r="AH14" s="16">
        <f>+[3]Sheet1!AE14</f>
        <v>160.69691828667791</v>
      </c>
      <c r="AI14" s="16">
        <f>+[3]Sheet1!AF14</f>
        <v>398.29059623902549</v>
      </c>
      <c r="AJ14" s="16">
        <f>+[3]Sheet1!AG14</f>
        <v>170.7190028502705</v>
      </c>
      <c r="AK14" s="16">
        <f>+[3]Sheet1!AH14</f>
        <v>132.69099433314511</v>
      </c>
      <c r="AL14" s="16">
        <f>+[3]Sheet1!AI14</f>
        <v>94.494885688497632</v>
      </c>
      <c r="AM14" s="16">
        <f>+[3]Sheet1!AJ14</f>
        <v>155.03112387945291</v>
      </c>
      <c r="AN14" s="16">
        <f>+[3]Sheet1!AK14</f>
        <v>108.3941037274473</v>
      </c>
      <c r="AO14" s="16">
        <f>+[3]Sheet1!AL14</f>
        <v>205.03603005915241</v>
      </c>
      <c r="AP14" s="16">
        <f>+[3]Sheet1!AM14</f>
        <v>193.99491532055919</v>
      </c>
      <c r="AQ14" s="16">
        <f>+[3]Sheet1!AN14</f>
        <v>206.7987831289087</v>
      </c>
      <c r="AR14" s="16">
        <f>+[3]Sheet1!AO14</f>
        <v>173.81005165447289</v>
      </c>
      <c r="AS14" s="16">
        <f>+[3]Sheet1!AP14</f>
        <v>215.37471612604031</v>
      </c>
      <c r="AT14" s="16">
        <f>+[3]Sheet1!AQ14</f>
        <v>44.84874808595216</v>
      </c>
      <c r="AU14" s="16">
        <f>+[3]Sheet1!AR14</f>
        <v>144.90416322129181</v>
      </c>
      <c r="AV14" s="16">
        <f>+[3]Sheet1!AS14</f>
        <v>121.4215668992188</v>
      </c>
      <c r="AW14" s="16">
        <f>+[3]Sheet1!AT14</f>
        <v>2923835.0646094512</v>
      </c>
      <c r="AX14" s="16">
        <f>+base_mensual!AY14</f>
        <v>1084.941</v>
      </c>
      <c r="AY14">
        <f>+base_mensual!AZ14</f>
        <v>1.4624839572590842</v>
      </c>
      <c r="AZ14">
        <f>+[3]Sheet1!AX14</f>
        <v>149.65033687855629</v>
      </c>
    </row>
    <row r="15" spans="1:52" x14ac:dyDescent="0.25">
      <c r="A15" s="2">
        <f>+base_mensual!A15</f>
        <v>41698</v>
      </c>
      <c r="B15" s="1">
        <f>+base_mensual!B15</f>
        <v>-1.5388241365605126E-2</v>
      </c>
      <c r="C15">
        <f>+base_mensual!AE15</f>
        <v>161.35073096622801</v>
      </c>
      <c r="D15">
        <f>+base_mensual!H15</f>
        <v>188.92338263890201</v>
      </c>
      <c r="E15">
        <f>+[3]Sheet1!B15</f>
        <v>56544.906462655999</v>
      </c>
      <c r="F15">
        <f>+[3]Sheet1!C15</f>
        <v>32898.874542582707</v>
      </c>
      <c r="G15">
        <f>+[3]Sheet1!D15</f>
        <v>66922.861589432228</v>
      </c>
      <c r="H15">
        <f>+[3]Sheet1!E15</f>
        <v>15571.012032915971</v>
      </c>
      <c r="I15">
        <f>+[3]Sheet1!F15</f>
        <v>948278.92660408712</v>
      </c>
      <c r="J15">
        <f>+[3]Sheet1!G15</f>
        <v>368.95414633971347</v>
      </c>
      <c r="K15">
        <f>+[3]Sheet1!H15</f>
        <v>454.75470568095329</v>
      </c>
      <c r="L15">
        <f>+[3]Sheet1!I15</f>
        <v>209.72649270298169</v>
      </c>
      <c r="M15">
        <f>+[3]Sheet1!J15</f>
        <v>8473.5023211371426</v>
      </c>
      <c r="N15">
        <f>+[3]Sheet1!K15</f>
        <v>25217.644412263449</v>
      </c>
      <c r="O15">
        <f>+[3]Sheet1!L15</f>
        <v>19425.910415727729</v>
      </c>
      <c r="P15">
        <f>+[3]Sheet1!M15</f>
        <v>0.68775411511834383</v>
      </c>
      <c r="Q15">
        <f>+[3]Sheet1!N15</f>
        <v>2.1116458374136262</v>
      </c>
      <c r="R15">
        <f>+[3]Sheet1!O15</f>
        <v>1.6077311774623091</v>
      </c>
      <c r="S15">
        <f>+[3]Sheet1!P15</f>
        <v>6120.6650040570894</v>
      </c>
      <c r="T15">
        <f>+[3]Sheet1!Q15</f>
        <v>6197.3660822584889</v>
      </c>
      <c r="U15">
        <f>+[3]Sheet1!R15</f>
        <v>0.49882813118356578</v>
      </c>
      <c r="V15">
        <f>+[3]Sheet1!S15</f>
        <v>0.50401253150931036</v>
      </c>
      <c r="W15">
        <f>+[3]Sheet1!T15</f>
        <v>297084.35485151992</v>
      </c>
      <c r="X15">
        <f>+[3]Sheet1!U15</f>
        <v>24.610269357686569</v>
      </c>
      <c r="Y15">
        <f>+[3]Sheet1!V15</f>
        <v>498956.4753387185</v>
      </c>
      <c r="Z15">
        <f>+[3]Sheet1!W15</f>
        <v>41.915743781714681</v>
      </c>
      <c r="AA15">
        <f>+[3]Sheet1!X15</f>
        <v>673851.81584010005</v>
      </c>
      <c r="AB15">
        <f>+[3]Sheet1!Y15</f>
        <v>56.62185498362723</v>
      </c>
      <c r="AC15">
        <f>+[3]Sheet1!Z15</f>
        <v>0.24108274900263829</v>
      </c>
      <c r="AD15">
        <f>+[3]Sheet1!AA15</f>
        <v>61475.803571747863</v>
      </c>
      <c r="AE15">
        <f>+[3]Sheet1!AB15</f>
        <v>145410.07713767159</v>
      </c>
      <c r="AF15">
        <f>+[3]Sheet1!AC15</f>
        <v>152.7823448560022</v>
      </c>
      <c r="AG15">
        <f>+[3]Sheet1!AD15</f>
        <v>197.6774591551617</v>
      </c>
      <c r="AH15" s="16">
        <f>+[3]Sheet1!AE15</f>
        <v>162.71018667817901</v>
      </c>
      <c r="AI15" s="16">
        <f>+[3]Sheet1!AF15</f>
        <v>379.30552759555252</v>
      </c>
      <c r="AJ15" s="16">
        <f>+[3]Sheet1!AG15</f>
        <v>167.58873591253979</v>
      </c>
      <c r="AK15" s="16">
        <f>+[3]Sheet1!AH15</f>
        <v>100.92228072464189</v>
      </c>
      <c r="AL15" s="16">
        <f>+[3]Sheet1!AI15</f>
        <v>89.37725628952667</v>
      </c>
      <c r="AM15" s="16">
        <f>+[3]Sheet1!AJ15</f>
        <v>154.3119558603519</v>
      </c>
      <c r="AN15" s="16">
        <f>+[3]Sheet1!AK15</f>
        <v>109.0280196247592</v>
      </c>
      <c r="AO15" s="16">
        <f>+[3]Sheet1!AL15</f>
        <v>214.44622508493421</v>
      </c>
      <c r="AP15" s="16">
        <f>+[3]Sheet1!AM15</f>
        <v>189.86896411823571</v>
      </c>
      <c r="AQ15" s="16">
        <f>+[3]Sheet1!AN15</f>
        <v>203.35614281521941</v>
      </c>
      <c r="AR15" s="16">
        <f>+[3]Sheet1!AO15</f>
        <v>168.72880223446731</v>
      </c>
      <c r="AS15" s="16">
        <f>+[3]Sheet1!AP15</f>
        <v>198.5953803524331</v>
      </c>
      <c r="AT15" s="16">
        <f>+[3]Sheet1!AQ15</f>
        <v>35.056262995243813</v>
      </c>
      <c r="AU15" s="16">
        <f>+[3]Sheet1!AR15</f>
        <v>141.01684967412169</v>
      </c>
      <c r="AV15" s="16">
        <f>+[3]Sheet1!AS15</f>
        <v>116.4517925625548</v>
      </c>
      <c r="AW15" s="16">
        <f>+[3]Sheet1!AT15</f>
        <v>2979934.197441156</v>
      </c>
      <c r="AX15" s="16">
        <f>+base_mensual!AY15</f>
        <v>907.35100000000011</v>
      </c>
      <c r="AY15">
        <f>+base_mensual!AZ15</f>
        <v>1.3849818186576137</v>
      </c>
      <c r="AZ15">
        <f>+[3]Sheet1!AX15</f>
        <v>147.24712492772991</v>
      </c>
    </row>
    <row r="16" spans="1:52" x14ac:dyDescent="0.25">
      <c r="A16" s="2">
        <f>+base_mensual!A16</f>
        <v>41729</v>
      </c>
      <c r="B16" s="1">
        <f>+base_mensual!B16</f>
        <v>-1.5388241365605126E-2</v>
      </c>
      <c r="C16">
        <f>+base_mensual!AE16</f>
        <v>160.235409453362</v>
      </c>
      <c r="D16">
        <f>+base_mensual!H16</f>
        <v>183.044448544998</v>
      </c>
      <c r="E16">
        <f>+[3]Sheet1!B16</f>
        <v>52379.013314551798</v>
      </c>
      <c r="F16">
        <f>+[3]Sheet1!C16</f>
        <v>26687.919458923931</v>
      </c>
      <c r="G16">
        <f>+[3]Sheet1!D16</f>
        <v>55472.819722505403</v>
      </c>
      <c r="H16">
        <f>+[3]Sheet1!E16</f>
        <v>15540.94370449531</v>
      </c>
      <c r="I16">
        <f>+[3]Sheet1!F16</f>
        <v>954062.34185703483</v>
      </c>
      <c r="J16">
        <f>+[3]Sheet1!G16</f>
        <v>362.75753272937402</v>
      </c>
      <c r="K16">
        <f>+[3]Sheet1!H16</f>
        <v>456.57567467961962</v>
      </c>
      <c r="L16">
        <f>+[3]Sheet1!I16</f>
        <v>214.06882854707749</v>
      </c>
      <c r="M16">
        <f>+[3]Sheet1!J16</f>
        <v>8195.9691707036127</v>
      </c>
      <c r="N16">
        <f>+[3]Sheet1!K16</f>
        <v>25427.475678808409</v>
      </c>
      <c r="O16">
        <f>+[3]Sheet1!L16</f>
        <v>19737.320384554441</v>
      </c>
      <c r="P16">
        <f>+[3]Sheet1!M16</f>
        <v>0.66303150154081092</v>
      </c>
      <c r="Q16">
        <f>+[3]Sheet1!N16</f>
        <v>2.0863343736561331</v>
      </c>
      <c r="R16">
        <f>+[3]Sheet1!O16</f>
        <v>1.5631501523979059</v>
      </c>
      <c r="S16">
        <f>+[3]Sheet1!P16</f>
        <v>6439.6864954154844</v>
      </c>
      <c r="T16">
        <f>+[3]Sheet1!Q16</f>
        <v>6109.112634989021</v>
      </c>
      <c r="U16">
        <f>+[3]Sheet1!R16</f>
        <v>0.51387214594766051</v>
      </c>
      <c r="V16">
        <f>+[3]Sheet1!S16</f>
        <v>0.48911308570535661</v>
      </c>
      <c r="W16">
        <f>+[3]Sheet1!T16</f>
        <v>306981.652768826</v>
      </c>
      <c r="X16">
        <f>+[3]Sheet1!U16</f>
        <v>24.81432290143939</v>
      </c>
      <c r="Y16">
        <f>+[3]Sheet1!V16</f>
        <v>500973.29026435898</v>
      </c>
      <c r="Z16">
        <f>+[3]Sheet1!W16</f>
        <v>41.046528508900117</v>
      </c>
      <c r="AA16">
        <f>+[3]Sheet1!X16</f>
        <v>685871.61169873667</v>
      </c>
      <c r="AB16">
        <f>+[3]Sheet1!Y16</f>
        <v>56.114001408511733</v>
      </c>
      <c r="AC16">
        <f>+[3]Sheet1!Z16</f>
        <v>0.24620748596073569</v>
      </c>
      <c r="AD16">
        <f>+[3]Sheet1!AA16</f>
        <v>56427.899840427643</v>
      </c>
      <c r="AE16">
        <f>+[3]Sheet1!AB16</f>
        <v>133744.52353345699</v>
      </c>
      <c r="AF16">
        <f>+[3]Sheet1!AC16</f>
        <v>149.50580704953569</v>
      </c>
      <c r="AG16">
        <f>+[3]Sheet1!AD16</f>
        <v>137.16582083683591</v>
      </c>
      <c r="AH16" s="16">
        <f>+[3]Sheet1!AE16</f>
        <v>151.12073331811689</v>
      </c>
      <c r="AI16" s="16">
        <f>+[3]Sheet1!AF16</f>
        <v>361.42460306288473</v>
      </c>
      <c r="AJ16" s="16">
        <f>+[3]Sheet1!AG16</f>
        <v>164.02354067543521</v>
      </c>
      <c r="AK16" s="16">
        <f>+[3]Sheet1!AH16</f>
        <v>97.129558492762087</v>
      </c>
      <c r="AL16" s="16">
        <f>+[3]Sheet1!AI16</f>
        <v>89.376300040904937</v>
      </c>
      <c r="AM16" s="16">
        <f>+[3]Sheet1!AJ16</f>
        <v>156.72888625476199</v>
      </c>
      <c r="AN16" s="16">
        <f>+[3]Sheet1!AK16</f>
        <v>86.121241002761892</v>
      </c>
      <c r="AO16" s="16">
        <f>+[3]Sheet1!AL16</f>
        <v>194.5595108403501</v>
      </c>
      <c r="AP16" s="16">
        <f>+[3]Sheet1!AM16</f>
        <v>188.25930576318669</v>
      </c>
      <c r="AQ16" s="16">
        <f>+[3]Sheet1!AN16</f>
        <v>199.7908148111018</v>
      </c>
      <c r="AR16" s="16">
        <f>+[3]Sheet1!AO16</f>
        <v>148.86486974900379</v>
      </c>
      <c r="AS16" s="16">
        <f>+[3]Sheet1!AP16</f>
        <v>184.94887499890061</v>
      </c>
      <c r="AT16" s="16">
        <f>+[3]Sheet1!AQ16</f>
        <v>37.153137485773449</v>
      </c>
      <c r="AU16" s="16">
        <f>+[3]Sheet1!AR16</f>
        <v>139.94892763763781</v>
      </c>
      <c r="AV16" s="16">
        <f>+[3]Sheet1!AS16</f>
        <v>114.4587620748019</v>
      </c>
      <c r="AW16" s="16">
        <f>+[3]Sheet1!AT16</f>
        <v>2961494.772207153</v>
      </c>
      <c r="AX16" s="16">
        <f>+base_mensual!AY16</f>
        <v>798.59400000000005</v>
      </c>
      <c r="AY16">
        <f>+base_mensual!AZ16</f>
        <v>1.5262876914678492</v>
      </c>
      <c r="AZ16">
        <f>+[3]Sheet1!AX16</f>
        <v>143.8027006165384</v>
      </c>
    </row>
    <row r="17" spans="1:52" x14ac:dyDescent="0.25">
      <c r="A17" s="2">
        <f>+base_mensual!A17</f>
        <v>41759</v>
      </c>
      <c r="B17" s="1">
        <f>+base_mensual!B17</f>
        <v>-7.6649346248881534E-3</v>
      </c>
      <c r="C17">
        <f>+base_mensual!AE17</f>
        <v>156.18697945984388</v>
      </c>
      <c r="D17">
        <f>+base_mensual!H17</f>
        <v>183.87594197708</v>
      </c>
      <c r="E17">
        <f>+[3]Sheet1!B17</f>
        <v>54599.337946164087</v>
      </c>
      <c r="F17">
        <f>+[3]Sheet1!C17</f>
        <v>29992.79715100459</v>
      </c>
      <c r="G17">
        <f>+[3]Sheet1!D17</f>
        <v>53325.089348199959</v>
      </c>
      <c r="H17">
        <f>+[3]Sheet1!E17</f>
        <v>13519.365807056951</v>
      </c>
      <c r="I17">
        <f>+[3]Sheet1!F17</f>
        <v>964167.49611630291</v>
      </c>
      <c r="J17">
        <f>+[3]Sheet1!G17</f>
        <v>364.73696929947403</v>
      </c>
      <c r="K17">
        <f>+[3]Sheet1!H17</f>
        <v>456.07066049619391</v>
      </c>
      <c r="L17">
        <f>+[3]Sheet1!I17</f>
        <v>209.48540941026161</v>
      </c>
      <c r="M17">
        <f>+[3]Sheet1!J17</f>
        <v>11702.337825419791</v>
      </c>
      <c r="N17">
        <f>+[3]Sheet1!K17</f>
        <v>27067.115498614541</v>
      </c>
      <c r="O17">
        <f>+[3]Sheet1!L17</f>
        <v>21188.675286956812</v>
      </c>
      <c r="P17">
        <f>+[3]Sheet1!M17</f>
        <v>1.007379435267036</v>
      </c>
      <c r="Q17">
        <f>+[3]Sheet1!N17</f>
        <v>2.142220809816985</v>
      </c>
      <c r="R17">
        <f>+[3]Sheet1!O17</f>
        <v>1.6209597092502339</v>
      </c>
      <c r="S17">
        <f>+[3]Sheet1!P17</f>
        <v>6506.8998498398096</v>
      </c>
      <c r="T17">
        <f>+[3]Sheet1!Q17</f>
        <v>6480.4636036606544</v>
      </c>
      <c r="U17">
        <f>+[3]Sheet1!R17</f>
        <v>0.50675614579874284</v>
      </c>
      <c r="V17">
        <f>+[3]Sheet1!S17</f>
        <v>0.50443231431731828</v>
      </c>
      <c r="W17">
        <f>+[3]Sheet1!T17</f>
        <v>312345.28822654998</v>
      </c>
      <c r="X17">
        <f>+[3]Sheet1!U17</f>
        <v>23.9363339213083</v>
      </c>
      <c r="Y17">
        <f>+[3]Sheet1!V17</f>
        <v>511582.96677420993</v>
      </c>
      <c r="Z17">
        <f>+[3]Sheet1!W17</f>
        <v>39.910457636761564</v>
      </c>
      <c r="AA17">
        <f>+[3]Sheet1!X17</f>
        <v>695955.41784591414</v>
      </c>
      <c r="AB17">
        <f>+[3]Sheet1!Y17</f>
        <v>54.292813406112749</v>
      </c>
      <c r="AC17">
        <f>+[3]Sheet1!Z17</f>
        <v>0.24890939586346841</v>
      </c>
      <c r="AD17">
        <f>+[3]Sheet1!AA17</f>
        <v>60377.860355540579</v>
      </c>
      <c r="AE17">
        <f>+[3]Sheet1!AB17</f>
        <v>132378.4837613921</v>
      </c>
      <c r="AF17">
        <f>+[3]Sheet1!AC17</f>
        <v>153.5237647092469</v>
      </c>
      <c r="AG17">
        <f>+[3]Sheet1!AD17</f>
        <v>134.06057611204099</v>
      </c>
      <c r="AH17" s="16">
        <f>+[3]Sheet1!AE17</f>
        <v>152.48225361473001</v>
      </c>
      <c r="AI17" s="16">
        <f>+[3]Sheet1!AF17</f>
        <v>373.90569637995321</v>
      </c>
      <c r="AJ17" s="16">
        <f>+[3]Sheet1!AG17</f>
        <v>165.68194220008419</v>
      </c>
      <c r="AK17" s="16">
        <f>+[3]Sheet1!AH17</f>
        <v>124.7636088818156</v>
      </c>
      <c r="AL17" s="16">
        <f>+[3]Sheet1!AI17</f>
        <v>89.233249126111872</v>
      </c>
      <c r="AM17" s="16">
        <f>+[3]Sheet1!AJ17</f>
        <v>154.65123512111049</v>
      </c>
      <c r="AN17" s="16">
        <f>+[3]Sheet1!AK17</f>
        <v>110.54411007101289</v>
      </c>
      <c r="AO17" s="16">
        <f>+[3]Sheet1!AL17</f>
        <v>182.61208926595859</v>
      </c>
      <c r="AP17" s="16">
        <f>+[3]Sheet1!AM17</f>
        <v>187.41321444320781</v>
      </c>
      <c r="AQ17" s="16">
        <f>+[3]Sheet1!AN17</f>
        <v>210.52125304171389</v>
      </c>
      <c r="AR17" s="16">
        <f>+[3]Sheet1!AO17</f>
        <v>146.35242784113859</v>
      </c>
      <c r="AS17" s="16">
        <f>+[3]Sheet1!AP17</f>
        <v>192.2530022642772</v>
      </c>
      <c r="AT17" s="16">
        <f>+[3]Sheet1!AQ17</f>
        <v>40.584667731485553</v>
      </c>
      <c r="AU17" s="16">
        <f>+[3]Sheet1!AR17</f>
        <v>140.46740825640649</v>
      </c>
      <c r="AV17" s="16">
        <f>+[3]Sheet1!AS17</f>
        <v>119.2088222551379</v>
      </c>
      <c r="AW17" s="16">
        <f>+[3]Sheet1!AT17</f>
        <v>3157035.363767833</v>
      </c>
      <c r="AX17" s="16">
        <f>+base_mensual!AY17</f>
        <v>786.06499999999994</v>
      </c>
      <c r="AY17">
        <f>+base_mensual!AZ17</f>
        <v>1.4016455906761618</v>
      </c>
      <c r="AZ17">
        <f>+[3]Sheet1!AX17</f>
        <v>145.1628072813165</v>
      </c>
    </row>
    <row r="18" spans="1:52" x14ac:dyDescent="0.25">
      <c r="A18" s="2">
        <f>+base_mensual!A18</f>
        <v>41789</v>
      </c>
      <c r="B18" s="1">
        <f>+base_mensual!B18</f>
        <v>-7.6649346248881534E-3</v>
      </c>
      <c r="C18">
        <f>+base_mensual!AE18</f>
        <v>159.298428751334</v>
      </c>
      <c r="D18">
        <f>+base_mensual!H18</f>
        <v>184.81919313780401</v>
      </c>
      <c r="E18">
        <f>+[3]Sheet1!B18</f>
        <v>54265.41174678567</v>
      </c>
      <c r="F18">
        <f>+[3]Sheet1!C18</f>
        <v>24746.753628082861</v>
      </c>
      <c r="G18">
        <f>+[3]Sheet1!D18</f>
        <v>49317.132027911088</v>
      </c>
      <c r="H18">
        <f>+[3]Sheet1!E18</f>
        <v>12103.952403852571</v>
      </c>
      <c r="I18">
        <f>+[3]Sheet1!F18</f>
        <v>928632.27708237956</v>
      </c>
      <c r="J18">
        <f>+[3]Sheet1!G18</f>
        <v>371.25446887936658</v>
      </c>
      <c r="K18">
        <f>+[3]Sheet1!H18</f>
        <v>455.23515280773142</v>
      </c>
      <c r="L18">
        <f>+[3]Sheet1!I18</f>
        <v>205.58826991374971</v>
      </c>
      <c r="M18">
        <f>+[3]Sheet1!J18</f>
        <v>9776.9304820570651</v>
      </c>
      <c r="N18">
        <f>+[3]Sheet1!K18</f>
        <v>26424.78185558732</v>
      </c>
      <c r="O18">
        <f>+[3]Sheet1!L18</f>
        <v>20708.185866327021</v>
      </c>
      <c r="P18">
        <f>+[3]Sheet1!M18</f>
        <v>0.74202363312614694</v>
      </c>
      <c r="Q18">
        <f>+[3]Sheet1!N18</f>
        <v>2.0229257830795171</v>
      </c>
      <c r="R18">
        <f>+[3]Sheet1!O18</f>
        <v>1.660030328400778</v>
      </c>
      <c r="S18">
        <f>+[3]Sheet1!P18</f>
        <v>7912.0686315389148</v>
      </c>
      <c r="T18">
        <f>+[3]Sheet1!Q18</f>
        <v>7088.0552282890267</v>
      </c>
      <c r="U18">
        <f>+[3]Sheet1!R18</f>
        <v>0.59050573678440832</v>
      </c>
      <c r="V18">
        <f>+[3]Sheet1!S18</f>
        <v>0.54025335664411667</v>
      </c>
      <c r="W18">
        <f>+[3]Sheet1!T18</f>
        <v>378360.8583726291</v>
      </c>
      <c r="X18">
        <f>+[3]Sheet1!U18</f>
        <v>28.61640823264506</v>
      </c>
      <c r="Y18">
        <f>+[3]Sheet1!V18</f>
        <v>522816.89941672672</v>
      </c>
      <c r="Z18">
        <f>+[3]Sheet1!W18</f>
        <v>40.120875842277691</v>
      </c>
      <c r="AA18">
        <f>+[3]Sheet1!X18</f>
        <v>715968.3050761153</v>
      </c>
      <c r="AB18">
        <f>+[3]Sheet1!Y18</f>
        <v>55.13361977813743</v>
      </c>
      <c r="AC18">
        <f>+[3]Sheet1!Z18</f>
        <v>0.240123198349079</v>
      </c>
      <c r="AD18">
        <f>+[3]Sheet1!AA18</f>
        <v>58838.586367335061</v>
      </c>
      <c r="AE18">
        <f>+[3]Sheet1!AB18</f>
        <v>130657.23957731811</v>
      </c>
      <c r="AF18">
        <f>+[3]Sheet1!AC18</f>
        <v>151.51159782697729</v>
      </c>
      <c r="AG18">
        <f>+[3]Sheet1!AD18</f>
        <v>135.74341878701239</v>
      </c>
      <c r="AH18" s="16">
        <f>+[3]Sheet1!AE18</f>
        <v>159.90807424541029</v>
      </c>
      <c r="AI18" s="16">
        <f>+[3]Sheet1!AF18</f>
        <v>351.77387783452019</v>
      </c>
      <c r="AJ18" s="16">
        <f>+[3]Sheet1!AG18</f>
        <v>165.48460124093029</v>
      </c>
      <c r="AK18" s="16">
        <f>+[3]Sheet1!AH18</f>
        <v>91.707718301761304</v>
      </c>
      <c r="AL18" s="16">
        <f>+[3]Sheet1!AI18</f>
        <v>85.204810151711968</v>
      </c>
      <c r="AM18" s="16">
        <f>+[3]Sheet1!AJ18</f>
        <v>152.38535183537601</v>
      </c>
      <c r="AN18" s="16">
        <f>+[3]Sheet1!AK18</f>
        <v>119.7722764205876</v>
      </c>
      <c r="AO18" s="16">
        <f>+[3]Sheet1!AL18</f>
        <v>201.69451856562509</v>
      </c>
      <c r="AP18" s="16">
        <f>+[3]Sheet1!AM18</f>
        <v>183.70127330290791</v>
      </c>
      <c r="AQ18" s="16">
        <f>+[3]Sheet1!AN18</f>
        <v>205.8089188331447</v>
      </c>
      <c r="AR18" s="16">
        <f>+[3]Sheet1!AO18</f>
        <v>160.35110927004999</v>
      </c>
      <c r="AS18" s="16">
        <f>+[3]Sheet1!AP18</f>
        <v>189.04882432618439</v>
      </c>
      <c r="AT18" s="16">
        <f>+[3]Sheet1!AQ18</f>
        <v>43.793530726999251</v>
      </c>
      <c r="AU18" s="16">
        <f>+[3]Sheet1!AR18</f>
        <v>140.28002619748091</v>
      </c>
      <c r="AV18" s="16">
        <f>+[3]Sheet1!AS18</f>
        <v>115.3020458940432</v>
      </c>
      <c r="AW18" s="16">
        <f>+[3]Sheet1!AT18</f>
        <v>3607558.951678385</v>
      </c>
      <c r="AX18" s="16">
        <f>+base_mensual!AY18</f>
        <v>833.07199999999989</v>
      </c>
      <c r="AY18">
        <f>+base_mensual!AZ18</f>
        <v>1.5120710396795265</v>
      </c>
      <c r="AZ18">
        <f>+[3]Sheet1!AX18</f>
        <v>144.93564222384899</v>
      </c>
    </row>
    <row r="19" spans="1:52" x14ac:dyDescent="0.25">
      <c r="A19" s="2">
        <f>+base_mensual!A19</f>
        <v>41820</v>
      </c>
      <c r="B19" s="1">
        <f>+base_mensual!B19</f>
        <v>-7.6649346248881534E-3</v>
      </c>
      <c r="C19">
        <f>+base_mensual!AE19</f>
        <v>157.91694048924899</v>
      </c>
      <c r="D19">
        <f>+base_mensual!H19</f>
        <v>184.855953822228</v>
      </c>
      <c r="E19">
        <f>+[3]Sheet1!B19</f>
        <v>51605.720396453529</v>
      </c>
      <c r="F19">
        <f>+[3]Sheet1!C19</f>
        <v>29843.661104083862</v>
      </c>
      <c r="G19">
        <f>+[3]Sheet1!D19</f>
        <v>46043.492325972671</v>
      </c>
      <c r="H19">
        <f>+[3]Sheet1!E19</f>
        <v>12043.189984086141</v>
      </c>
      <c r="I19">
        <f>+[3]Sheet1!F19</f>
        <v>951808.55159643898</v>
      </c>
      <c r="J19">
        <f>+[3]Sheet1!G19</f>
        <v>367.41773541634859</v>
      </c>
      <c r="K19">
        <f>+[3]Sheet1!H19</f>
        <v>460.78206294486091</v>
      </c>
      <c r="L19">
        <f>+[3]Sheet1!I19</f>
        <v>207.27606167699409</v>
      </c>
      <c r="M19">
        <f>+[3]Sheet1!J19</f>
        <v>9961.3639065467614</v>
      </c>
      <c r="N19">
        <f>+[3]Sheet1!K19</f>
        <v>26544.106142240649</v>
      </c>
      <c r="O19">
        <f>+[3]Sheet1!L19</f>
        <v>20598.918281915649</v>
      </c>
      <c r="P19">
        <f>+[3]Sheet1!M19</f>
        <v>0.79974924349077292</v>
      </c>
      <c r="Q19">
        <f>+[3]Sheet1!N19</f>
        <v>2.0170279771283242</v>
      </c>
      <c r="R19">
        <f>+[3]Sheet1!O19</f>
        <v>1.574591144531744</v>
      </c>
      <c r="S19">
        <f>+[3]Sheet1!P19</f>
        <v>8150.2854652113219</v>
      </c>
      <c r="T19">
        <f>+[3]Sheet1!Q19</f>
        <v>8084.2515160695311</v>
      </c>
      <c r="U19">
        <f>+[3]Sheet1!R19</f>
        <v>0.61435622909420173</v>
      </c>
      <c r="V19">
        <f>+[3]Sheet1!S19</f>
        <v>0.61033057098780596</v>
      </c>
      <c r="W19">
        <f>+[3]Sheet1!T19</f>
        <v>389836.31989470689</v>
      </c>
      <c r="X19">
        <f>+[3]Sheet1!U19</f>
        <v>29.616843347709889</v>
      </c>
      <c r="Y19">
        <f>+[3]Sheet1!V19</f>
        <v>537951.1323493938</v>
      </c>
      <c r="Z19">
        <f>+[3]Sheet1!W19</f>
        <v>40.841281852861783</v>
      </c>
      <c r="AA19">
        <f>+[3]Sheet1!X19</f>
        <v>739430.2874177295</v>
      </c>
      <c r="AB19">
        <f>+[3]Sheet1!Y19</f>
        <v>56.238724390668487</v>
      </c>
      <c r="AC19">
        <f>+[3]Sheet1!Z19</f>
        <v>0.22860279354397281</v>
      </c>
      <c r="AD19">
        <f>+[3]Sheet1!AA19</f>
        <v>60930.2606685145</v>
      </c>
      <c r="AE19">
        <f>+[3]Sheet1!AB19</f>
        <v>132781.22727774511</v>
      </c>
      <c r="AF19">
        <f>+[3]Sheet1!AC19</f>
        <v>153.03926082789789</v>
      </c>
      <c r="AG19">
        <f>+[3]Sheet1!AD19</f>
        <v>139.84523058362771</v>
      </c>
      <c r="AH19" s="16">
        <f>+[3]Sheet1!AE19</f>
        <v>158.9646035891688</v>
      </c>
      <c r="AI19" s="16">
        <f>+[3]Sheet1!AF19</f>
        <v>369.49275776854898</v>
      </c>
      <c r="AJ19" s="16">
        <f>+[3]Sheet1!AG19</f>
        <v>168.06473000544889</v>
      </c>
      <c r="AK19" s="16">
        <f>+[3]Sheet1!AH19</f>
        <v>105.0058238739886</v>
      </c>
      <c r="AL19" s="16">
        <f>+[3]Sheet1!AI19</f>
        <v>87.811566218375859</v>
      </c>
      <c r="AM19" s="16">
        <f>+[3]Sheet1!AJ19</f>
        <v>151.9068723409824</v>
      </c>
      <c r="AN19" s="16">
        <f>+[3]Sheet1!AK19</f>
        <v>111.53326980062261</v>
      </c>
      <c r="AO19" s="16">
        <f>+[3]Sheet1!AL19</f>
        <v>209.53761498565169</v>
      </c>
      <c r="AP19" s="16">
        <f>+[3]Sheet1!AM19</f>
        <v>188.30542453262339</v>
      </c>
      <c r="AQ19" s="16">
        <f>+[3]Sheet1!AN19</f>
        <v>206.69352359789889</v>
      </c>
      <c r="AR19" s="16">
        <f>+[3]Sheet1!AO19</f>
        <v>161.00443361488701</v>
      </c>
      <c r="AS19" s="16">
        <f>+[3]Sheet1!AP19</f>
        <v>181.53243455407409</v>
      </c>
      <c r="AT19" s="16">
        <f>+[3]Sheet1!AQ19</f>
        <v>44.518732065792207</v>
      </c>
      <c r="AU19" s="16">
        <f>+[3]Sheet1!AR19</f>
        <v>141.63750466315491</v>
      </c>
      <c r="AV19" s="16">
        <f>+[3]Sheet1!AS19</f>
        <v>113.5867158158369</v>
      </c>
      <c r="AW19" s="16">
        <f>+[3]Sheet1!AT19</f>
        <v>3193437.6061976659</v>
      </c>
      <c r="AX19" s="16">
        <f>+base_mensual!AY19</f>
        <v>723.73500000000001</v>
      </c>
      <c r="AY19">
        <f>+base_mensual!AZ19</f>
        <v>1.6997180023594509</v>
      </c>
      <c r="AZ19">
        <f>+[3]Sheet1!AX19</f>
        <v>145.6506343377205</v>
      </c>
    </row>
    <row r="20" spans="1:52" x14ac:dyDescent="0.25">
      <c r="A20" s="2">
        <f>+base_mensual!A20</f>
        <v>41851</v>
      </c>
      <c r="B20" s="1">
        <f>+base_mensual!B20</f>
        <v>-7.8589759582248231E-3</v>
      </c>
      <c r="C20">
        <f>+base_mensual!AE20</f>
        <v>156.03480863394813</v>
      </c>
      <c r="D20">
        <f>+base_mensual!H20</f>
        <v>181.53965871440701</v>
      </c>
      <c r="E20">
        <f>+[3]Sheet1!B20</f>
        <v>50982.612476392562</v>
      </c>
      <c r="F20">
        <f>+[3]Sheet1!C20</f>
        <v>23795.64449425893</v>
      </c>
      <c r="G20">
        <f>+[3]Sheet1!D20</f>
        <v>52731.866388363509</v>
      </c>
      <c r="H20">
        <f>+[3]Sheet1!E20</f>
        <v>14062.091909469929</v>
      </c>
      <c r="I20">
        <f>+[3]Sheet1!F20</f>
        <v>947297.58200286934</v>
      </c>
      <c r="J20">
        <f>+[3]Sheet1!G20</f>
        <v>366.35684392052372</v>
      </c>
      <c r="K20">
        <f>+[3]Sheet1!H20</f>
        <v>459.67549232944009</v>
      </c>
      <c r="L20">
        <f>+[3]Sheet1!I20</f>
        <v>206.38737930563781</v>
      </c>
      <c r="M20">
        <f>+[3]Sheet1!J20</f>
        <v>9674.7421667017061</v>
      </c>
      <c r="N20">
        <f>+[3]Sheet1!K20</f>
        <v>27944.419336347211</v>
      </c>
      <c r="O20">
        <f>+[3]Sheet1!L20</f>
        <v>21621.627491633211</v>
      </c>
      <c r="P20">
        <f>+[3]Sheet1!M20</f>
        <v>0.72176487194159722</v>
      </c>
      <c r="Q20">
        <f>+[3]Sheet1!N20</f>
        <v>2.0719877456240332</v>
      </c>
      <c r="R20">
        <f>+[3]Sheet1!O20</f>
        <v>1.6064731565275889</v>
      </c>
      <c r="S20">
        <f>+[3]Sheet1!P20</f>
        <v>8542.0231161775519</v>
      </c>
      <c r="T20">
        <f>+[3]Sheet1!Q20</f>
        <v>8446.4628927389058</v>
      </c>
      <c r="U20">
        <f>+[3]Sheet1!R20</f>
        <v>0.63242120584479289</v>
      </c>
      <c r="V20">
        <f>+[3]Sheet1!S20</f>
        <v>0.63064812604667364</v>
      </c>
      <c r="W20">
        <f>+[3]Sheet1!T20</f>
        <v>400091.12847162911</v>
      </c>
      <c r="X20">
        <f>+[3]Sheet1!U20</f>
        <v>29.749583251879351</v>
      </c>
      <c r="Y20">
        <f>+[3]Sheet1!V20</f>
        <v>546142.6749708259</v>
      </c>
      <c r="Z20">
        <f>+[3]Sheet1!W20</f>
        <v>40.615918223970638</v>
      </c>
      <c r="AA20">
        <f>+[3]Sheet1!X20</f>
        <v>748746.99645885092</v>
      </c>
      <c r="AB20">
        <f>+[3]Sheet1!Y20</f>
        <v>55.833107922659302</v>
      </c>
      <c r="AC20">
        <f>+[3]Sheet1!Z20</f>
        <v>0.22331729322232061</v>
      </c>
      <c r="AD20">
        <f>+[3]Sheet1!AA20</f>
        <v>60383.626794337513</v>
      </c>
      <c r="AE20">
        <f>+[3]Sheet1!AB20</f>
        <v>123150.7931329468</v>
      </c>
      <c r="AF20">
        <f>+[3]Sheet1!AC20</f>
        <v>153.89757572758921</v>
      </c>
      <c r="AG20">
        <f>+[3]Sheet1!AD20</f>
        <v>134.4929545980946</v>
      </c>
      <c r="AH20" s="16">
        <f>+[3]Sheet1!AE20</f>
        <v>158.14202270426151</v>
      </c>
      <c r="AI20" s="16">
        <f>+[3]Sheet1!AF20</f>
        <v>346.53022067476809</v>
      </c>
      <c r="AJ20" s="16">
        <f>+[3]Sheet1!AG20</f>
        <v>167.26857191021179</v>
      </c>
      <c r="AK20" s="16">
        <f>+[3]Sheet1!AH20</f>
        <v>107.2899343991914</v>
      </c>
      <c r="AL20" s="16">
        <f>+[3]Sheet1!AI20</f>
        <v>88.447716891453496</v>
      </c>
      <c r="AM20" s="16">
        <f>+[3]Sheet1!AJ20</f>
        <v>154.63849429466561</v>
      </c>
      <c r="AN20" s="16">
        <f>+[3]Sheet1!AK20</f>
        <v>109.71410899735039</v>
      </c>
      <c r="AO20" s="16">
        <f>+[3]Sheet1!AL20</f>
        <v>200.64494966609831</v>
      </c>
      <c r="AP20" s="16">
        <f>+[3]Sheet1!AM20</f>
        <v>194.9948779704568</v>
      </c>
      <c r="AQ20" s="16">
        <f>+[3]Sheet1!AN20</f>
        <v>202.84767320576569</v>
      </c>
      <c r="AR20" s="16">
        <f>+[3]Sheet1!AO20</f>
        <v>156.35031293789859</v>
      </c>
      <c r="AS20" s="16">
        <f>+[3]Sheet1!AP20</f>
        <v>167.04313689741011</v>
      </c>
      <c r="AT20" s="16">
        <f>+[3]Sheet1!AQ20</f>
        <v>42.790193815028083</v>
      </c>
      <c r="AU20" s="16">
        <f>+[3]Sheet1!AR20</f>
        <v>140.61139103472061</v>
      </c>
      <c r="AV20" s="16">
        <f>+[3]Sheet1!AS20</f>
        <v>114.49447388258881</v>
      </c>
      <c r="AW20" s="16">
        <f>+[3]Sheet1!AT20</f>
        <v>3157388.4045614148</v>
      </c>
      <c r="AX20" s="16">
        <f>+base_mensual!AY20</f>
        <v>648.52700000000004</v>
      </c>
      <c r="AY20">
        <f>+base_mensual!AZ20</f>
        <v>1.8721862755797092</v>
      </c>
      <c r="AZ20">
        <f>+[3]Sheet1!AX20</f>
        <v>143.87236897587141</v>
      </c>
    </row>
    <row r="21" spans="1:52" x14ac:dyDescent="0.25">
      <c r="A21" s="2">
        <f>+base_mensual!A21</f>
        <v>41880</v>
      </c>
      <c r="B21" s="1">
        <f>+base_mensual!B21</f>
        <v>-7.8589759582248231E-3</v>
      </c>
      <c r="C21">
        <f>+base_mensual!AE21</f>
        <v>152.18357722565759</v>
      </c>
      <c r="D21">
        <f>+base_mensual!H21</f>
        <v>181.317096905238</v>
      </c>
      <c r="E21">
        <f>+[3]Sheet1!B21</f>
        <v>40250.790072239201</v>
      </c>
      <c r="F21">
        <f>+[3]Sheet1!C21</f>
        <v>27368.894619502509</v>
      </c>
      <c r="G21">
        <f>+[3]Sheet1!D21</f>
        <v>41956.867782725392</v>
      </c>
      <c r="H21">
        <f>+[3]Sheet1!E21</f>
        <v>10175.12032164425</v>
      </c>
      <c r="I21">
        <f>+[3]Sheet1!F21</f>
        <v>935205.05055032379</v>
      </c>
      <c r="J21">
        <f>+[3]Sheet1!G21</f>
        <v>381.67988440308977</v>
      </c>
      <c r="K21">
        <f>+[3]Sheet1!H21</f>
        <v>460.6014585952048</v>
      </c>
      <c r="L21">
        <f>+[3]Sheet1!I21</f>
        <v>206.51134900381859</v>
      </c>
      <c r="M21">
        <f>+[3]Sheet1!J21</f>
        <v>8548.9384526632894</v>
      </c>
      <c r="N21">
        <f>+[3]Sheet1!K21</f>
        <v>27476.619644625491</v>
      </c>
      <c r="O21">
        <f>+[3]Sheet1!L21</f>
        <v>23256.35013828407</v>
      </c>
      <c r="P21">
        <f>+[3]Sheet1!M21</f>
        <v>0.59615831177589207</v>
      </c>
      <c r="Q21">
        <f>+[3]Sheet1!N21</f>
        <v>2.0026656623532459</v>
      </c>
      <c r="R21">
        <f>+[3]Sheet1!O21</f>
        <v>1.675805342055958</v>
      </c>
      <c r="S21">
        <f>+[3]Sheet1!P21</f>
        <v>9761.47900517575</v>
      </c>
      <c r="T21">
        <f>+[3]Sheet1!Q21</f>
        <v>8967.3845487130911</v>
      </c>
      <c r="U21">
        <f>+[3]Sheet1!R21</f>
        <v>0.75195190277614621</v>
      </c>
      <c r="V21">
        <f>+[3]Sheet1!S21</f>
        <v>0.65529407319605315</v>
      </c>
      <c r="W21">
        <f>+[3]Sheet1!T21</f>
        <v>452203.77502483991</v>
      </c>
      <c r="X21">
        <f>+[3]Sheet1!U21</f>
        <v>34.413979918637409</v>
      </c>
      <c r="Y21">
        <f>+[3]Sheet1!V21</f>
        <v>559531.25130720728</v>
      </c>
      <c r="Z21">
        <f>+[3]Sheet1!W21</f>
        <v>40.800114869973243</v>
      </c>
      <c r="AA21">
        <f>+[3]Sheet1!X21</f>
        <v>774052.56485420757</v>
      </c>
      <c r="AB21">
        <f>+[3]Sheet1!Y21</f>
        <v>56.551671669295906</v>
      </c>
      <c r="AC21">
        <f>+[3]Sheet1!Z21</f>
        <v>0.21944792464545429</v>
      </c>
      <c r="AD21">
        <f>+[3]Sheet1!AA21</f>
        <v>59323.74685407267</v>
      </c>
      <c r="AE21">
        <f>+[3]Sheet1!AB21</f>
        <v>124544.0774935627</v>
      </c>
      <c r="AF21">
        <f>+[3]Sheet1!AC21</f>
        <v>152.35633121728151</v>
      </c>
      <c r="AG21">
        <f>+[3]Sheet1!AD21</f>
        <v>115.6539434405168</v>
      </c>
      <c r="AH21" s="16">
        <f>+[3]Sheet1!AE21</f>
        <v>148.33314507194689</v>
      </c>
      <c r="AI21" s="16">
        <f>+[3]Sheet1!AF21</f>
        <v>314.47393546944829</v>
      </c>
      <c r="AJ21" s="16">
        <f>+[3]Sheet1!AG21</f>
        <v>166.8043630076622</v>
      </c>
      <c r="AK21" s="16">
        <f>+[3]Sheet1!AH21</f>
        <v>100.9315249681455</v>
      </c>
      <c r="AL21" s="16">
        <f>+[3]Sheet1!AI21</f>
        <v>87.629067719749301</v>
      </c>
      <c r="AM21" s="16">
        <f>+[3]Sheet1!AJ21</f>
        <v>154.05262145339711</v>
      </c>
      <c r="AN21" s="16">
        <f>+[3]Sheet1!AK21</f>
        <v>106.2987270578174</v>
      </c>
      <c r="AO21" s="16">
        <f>+[3]Sheet1!AL21</f>
        <v>176.19958786458241</v>
      </c>
      <c r="AP21" s="16">
        <f>+[3]Sheet1!AM21</f>
        <v>186.9798842498445</v>
      </c>
      <c r="AQ21" s="16">
        <f>+[3]Sheet1!AN21</f>
        <v>195.0650602256367</v>
      </c>
      <c r="AR21" s="16">
        <f>+[3]Sheet1!AO21</f>
        <v>159.66599095308061</v>
      </c>
      <c r="AS21" s="16">
        <f>+[3]Sheet1!AP21</f>
        <v>138.99735574517911</v>
      </c>
      <c r="AT21" s="16">
        <f>+[3]Sheet1!AQ21</f>
        <v>41.428840122129017</v>
      </c>
      <c r="AU21" s="16">
        <f>+[3]Sheet1!AR21</f>
        <v>140.2380286627145</v>
      </c>
      <c r="AV21" s="16">
        <f>+[3]Sheet1!AS21</f>
        <v>113.2217873328953</v>
      </c>
      <c r="AW21" s="16">
        <f>+[3]Sheet1!AT21</f>
        <v>2897758.4867826682</v>
      </c>
      <c r="AX21" s="16">
        <f>+base_mensual!AY21</f>
        <v>807.64800000000002</v>
      </c>
      <c r="AY21">
        <f>+base_mensual!AZ21</f>
        <v>1.8208873309563509</v>
      </c>
      <c r="AZ21">
        <f>+[3]Sheet1!AX21</f>
        <v>141.39338424298339</v>
      </c>
    </row>
    <row r="22" spans="1:52" x14ac:dyDescent="0.25">
      <c r="A22" s="2">
        <f>+base_mensual!A22</f>
        <v>41912</v>
      </c>
      <c r="B22" s="1">
        <f>+base_mensual!B22</f>
        <v>-7.8589759582248231E-3</v>
      </c>
      <c r="C22">
        <f>+base_mensual!AE22</f>
        <v>156.39246515479579</v>
      </c>
      <c r="D22">
        <f>+base_mensual!H22</f>
        <v>188.62270168459099</v>
      </c>
      <c r="E22">
        <f>+[3]Sheet1!B22</f>
        <v>49359.386334717063</v>
      </c>
      <c r="F22">
        <f>+[3]Sheet1!C22</f>
        <v>27076.609749458268</v>
      </c>
      <c r="G22">
        <f>+[3]Sheet1!D22</f>
        <v>51174.13906927668</v>
      </c>
      <c r="H22">
        <f>+[3]Sheet1!E22</f>
        <v>12419.804605591589</v>
      </c>
      <c r="I22">
        <f>+[3]Sheet1!F22</f>
        <v>962737.61829626595</v>
      </c>
      <c r="J22">
        <f>+[3]Sheet1!G22</f>
        <v>363.79823396166353</v>
      </c>
      <c r="K22">
        <f>+[3]Sheet1!H22</f>
        <v>457.04471361777843</v>
      </c>
      <c r="L22">
        <f>+[3]Sheet1!I22</f>
        <v>204.9284132020712</v>
      </c>
      <c r="M22">
        <f>+[3]Sheet1!J22</f>
        <v>9286.433162473546</v>
      </c>
      <c r="N22">
        <f>+[3]Sheet1!K22</f>
        <v>29182.798367682379</v>
      </c>
      <c r="O22">
        <f>+[3]Sheet1!L22</f>
        <v>24125.59452103679</v>
      </c>
      <c r="P22">
        <f>+[3]Sheet1!M22</f>
        <v>0.64315489815660143</v>
      </c>
      <c r="Q22">
        <f>+[3]Sheet1!N22</f>
        <v>2.0950291270344281</v>
      </c>
      <c r="R22">
        <f>+[3]Sheet1!O22</f>
        <v>1.7185160451655559</v>
      </c>
      <c r="S22">
        <f>+[3]Sheet1!P22</f>
        <v>11897.543467437081</v>
      </c>
      <c r="T22">
        <f>+[3]Sheet1!Q22</f>
        <v>10835.343406057909</v>
      </c>
      <c r="U22">
        <f>+[3]Sheet1!R22</f>
        <v>0.88594001482496165</v>
      </c>
      <c r="V22">
        <f>+[3]Sheet1!S22</f>
        <v>0.83007352560226599</v>
      </c>
      <c r="W22">
        <f>+[3]Sheet1!T22</f>
        <v>561005.08926230425</v>
      </c>
      <c r="X22">
        <f>+[3]Sheet1!U22</f>
        <v>40.827856094904952</v>
      </c>
      <c r="Y22">
        <f>+[3]Sheet1!V22</f>
        <v>573443.45704700239</v>
      </c>
      <c r="Z22">
        <f>+[3]Sheet1!W22</f>
        <v>40.932644056345573</v>
      </c>
      <c r="AA22">
        <f>+[3]Sheet1!X22</f>
        <v>787141.79963106278</v>
      </c>
      <c r="AB22">
        <f>+[3]Sheet1!Y22</f>
        <v>56.2627900246694</v>
      </c>
      <c r="AC22">
        <f>+[3]Sheet1!Z22</f>
        <v>0.21623436469505111</v>
      </c>
      <c r="AD22">
        <f>+[3]Sheet1!AA22</f>
        <v>61296.106465869721</v>
      </c>
      <c r="AE22">
        <f>+[3]Sheet1!AB22</f>
        <v>136726.26032421121</v>
      </c>
      <c r="AF22">
        <f>+[3]Sheet1!AC22</f>
        <v>156.13695098469191</v>
      </c>
      <c r="AG22">
        <f>+[3]Sheet1!AD22</f>
        <v>119.46201840448261</v>
      </c>
      <c r="AH22" s="16">
        <f>+[3]Sheet1!AE22</f>
        <v>155.80845533738099</v>
      </c>
      <c r="AI22" s="16">
        <f>+[3]Sheet1!AF22</f>
        <v>365.28896987900561</v>
      </c>
      <c r="AJ22" s="16">
        <f>+[3]Sheet1!AG22</f>
        <v>171.51693989516949</v>
      </c>
      <c r="AK22" s="16">
        <f>+[3]Sheet1!AH22</f>
        <v>106.673776942073</v>
      </c>
      <c r="AL22" s="16">
        <f>+[3]Sheet1!AI22</f>
        <v>89.581967125400112</v>
      </c>
      <c r="AM22" s="16">
        <f>+[3]Sheet1!AJ22</f>
        <v>153.56772161624431</v>
      </c>
      <c r="AN22" s="16">
        <f>+[3]Sheet1!AK22</f>
        <v>106.9001719058693</v>
      </c>
      <c r="AO22" s="16">
        <f>+[3]Sheet1!AL22</f>
        <v>202.7507628904855</v>
      </c>
      <c r="AP22" s="16">
        <f>+[3]Sheet1!AM22</f>
        <v>187.92916143417489</v>
      </c>
      <c r="AQ22" s="16">
        <f>+[3]Sheet1!AN22</f>
        <v>194.8259525335439</v>
      </c>
      <c r="AR22" s="16">
        <f>+[3]Sheet1!AO22</f>
        <v>139.74334034553749</v>
      </c>
      <c r="AS22" s="16">
        <f>+[3]Sheet1!AP22</f>
        <v>172.03357794061799</v>
      </c>
      <c r="AT22" s="16">
        <f>+[3]Sheet1!AQ22</f>
        <v>39.706866430716687</v>
      </c>
      <c r="AU22" s="16">
        <f>+[3]Sheet1!AR22</f>
        <v>141.28990367139701</v>
      </c>
      <c r="AV22" s="16">
        <f>+[3]Sheet1!AS22</f>
        <v>113.7418272082196</v>
      </c>
      <c r="AW22" s="16">
        <f>+[3]Sheet1!AT22</f>
        <v>2995653.185259237</v>
      </c>
      <c r="AX22" s="16">
        <f>+base_mensual!AY22</f>
        <v>699.54200000000003</v>
      </c>
      <c r="AY22">
        <f>+base_mensual!AZ22</f>
        <v>1.705600851874292</v>
      </c>
      <c r="AZ22">
        <f>+[3]Sheet1!AX22</f>
        <v>143.8047089566104</v>
      </c>
    </row>
    <row r="23" spans="1:52" x14ac:dyDescent="0.25">
      <c r="A23" s="2">
        <f>+base_mensual!A23</f>
        <v>41943</v>
      </c>
      <c r="B23" s="1">
        <f>+base_mensual!B23</f>
        <v>5.0897459856809046E-3</v>
      </c>
      <c r="C23">
        <f>+base_mensual!AE23</f>
        <v>155.66734235996546</v>
      </c>
      <c r="D23">
        <f>+base_mensual!H23</f>
        <v>191.42321622277001</v>
      </c>
      <c r="E23">
        <f>+[3]Sheet1!B23</f>
        <v>50993.935773553923</v>
      </c>
      <c r="F23">
        <f>+[3]Sheet1!C23</f>
        <v>29701.450526361441</v>
      </c>
      <c r="G23">
        <f>+[3]Sheet1!D23</f>
        <v>45510.003216291429</v>
      </c>
      <c r="H23">
        <f>+[3]Sheet1!E23</f>
        <v>12919.51240586836</v>
      </c>
      <c r="I23">
        <f>+[3]Sheet1!F23</f>
        <v>951897.0465204108</v>
      </c>
      <c r="J23">
        <f>+[3]Sheet1!G23</f>
        <v>369.43318527617691</v>
      </c>
      <c r="K23">
        <f>+[3]Sheet1!H23</f>
        <v>460.03751255621643</v>
      </c>
      <c r="L23">
        <f>+[3]Sheet1!I23</f>
        <v>203.62413949094719</v>
      </c>
      <c r="M23">
        <f>+[3]Sheet1!J23</f>
        <v>10814.96178416795</v>
      </c>
      <c r="N23">
        <f>+[3]Sheet1!K23</f>
        <v>29614.020264482591</v>
      </c>
      <c r="O23">
        <f>+[3]Sheet1!L23</f>
        <v>25448.133076464641</v>
      </c>
      <c r="P23">
        <f>+[3]Sheet1!M23</f>
        <v>0.75987312087294556</v>
      </c>
      <c r="Q23">
        <f>+[3]Sheet1!N23</f>
        <v>2.0789452803753008</v>
      </c>
      <c r="R23">
        <f>+[3]Sheet1!O23</f>
        <v>1.796513288628613</v>
      </c>
      <c r="S23">
        <f>+[3]Sheet1!P23</f>
        <v>10215.174398616869</v>
      </c>
      <c r="T23">
        <f>+[3]Sheet1!Q23</f>
        <v>9938.7126923640717</v>
      </c>
      <c r="U23">
        <f>+[3]Sheet1!R23</f>
        <v>0.75840999181914648</v>
      </c>
      <c r="V23">
        <f>+[3]Sheet1!S23</f>
        <v>0.70031287855685109</v>
      </c>
      <c r="W23">
        <f>+[3]Sheet1!T23</f>
        <v>476687.59925541899</v>
      </c>
      <c r="X23">
        <f>+[3]Sheet1!U23</f>
        <v>35.294982351637863</v>
      </c>
      <c r="Y23">
        <f>+[3]Sheet1!V23</f>
        <v>587360.79014107585</v>
      </c>
      <c r="Z23">
        <f>+[3]Sheet1!W23</f>
        <v>41.591658111028899</v>
      </c>
      <c r="AA23">
        <f>+[3]Sheet1!X23</f>
        <v>807224.33917832281</v>
      </c>
      <c r="AB23">
        <f>+[3]Sheet1!Y23</f>
        <v>57.242939111622931</v>
      </c>
      <c r="AC23">
        <f>+[3]Sheet1!Z23</f>
        <v>0.21376690034783971</v>
      </c>
      <c r="AD23">
        <f>+[3]Sheet1!AA23</f>
        <v>64093.581060038479</v>
      </c>
      <c r="AE23">
        <f>+[3]Sheet1!AB23</f>
        <v>134735.71621526871</v>
      </c>
      <c r="AF23">
        <f>+[3]Sheet1!AC23</f>
        <v>159.00176325223319</v>
      </c>
      <c r="AG23">
        <f>+[3]Sheet1!AD23</f>
        <v>114.3840981145883</v>
      </c>
      <c r="AH23" s="16">
        <f>+[3]Sheet1!AE23</f>
        <v>152.40648146863171</v>
      </c>
      <c r="AI23" s="16">
        <f>+[3]Sheet1!AF23</f>
        <v>368.58312083609121</v>
      </c>
      <c r="AJ23" s="16">
        <f>+[3]Sheet1!AG23</f>
        <v>172.09587560240561</v>
      </c>
      <c r="AK23" s="16">
        <f>+[3]Sheet1!AH23</f>
        <v>109.3193964889235</v>
      </c>
      <c r="AL23" s="16">
        <f>+[3]Sheet1!AI23</f>
        <v>86.873552014449317</v>
      </c>
      <c r="AM23" s="16">
        <f>+[3]Sheet1!AJ23</f>
        <v>147.94654159561139</v>
      </c>
      <c r="AN23" s="16">
        <f>+[3]Sheet1!AK23</f>
        <v>110.0736735640877</v>
      </c>
      <c r="AO23" s="16">
        <f>+[3]Sheet1!AL23</f>
        <v>189.12098953839481</v>
      </c>
      <c r="AP23" s="16">
        <f>+[3]Sheet1!AM23</f>
        <v>186.12337591865531</v>
      </c>
      <c r="AQ23" s="16">
        <f>+[3]Sheet1!AN23</f>
        <v>195.03974353106341</v>
      </c>
      <c r="AR23" s="16">
        <f>+[3]Sheet1!AO23</f>
        <v>157.56731207267299</v>
      </c>
      <c r="AS23" s="16">
        <f>+[3]Sheet1!AP23</f>
        <v>179.62361234502421</v>
      </c>
      <c r="AT23" s="16">
        <f>+[3]Sheet1!AQ23</f>
        <v>38.723519365909453</v>
      </c>
      <c r="AU23" s="16">
        <f>+[3]Sheet1!AR23</f>
        <v>136.9533441972211</v>
      </c>
      <c r="AV23" s="16">
        <f>+[3]Sheet1!AS23</f>
        <v>116.32311883425029</v>
      </c>
      <c r="AW23" s="16">
        <f>+[3]Sheet1!AT23</f>
        <v>3085108.2049941188</v>
      </c>
      <c r="AX23" s="16">
        <f>+base_mensual!AY23</f>
        <v>703.01299999999992</v>
      </c>
      <c r="AY23">
        <f>+base_mensual!AZ23</f>
        <v>1.6466781670144071</v>
      </c>
      <c r="AZ23">
        <f>+[3]Sheet1!AX23</f>
        <v>143.9720009642102</v>
      </c>
    </row>
    <row r="24" spans="1:52" x14ac:dyDescent="0.25">
      <c r="A24" s="2">
        <f>+base_mensual!A24</f>
        <v>41971</v>
      </c>
      <c r="B24" s="1">
        <f>+base_mensual!B24</f>
        <v>5.0897459856809046E-3</v>
      </c>
      <c r="C24">
        <f>+base_mensual!AE24</f>
        <v>156.19531626553686</v>
      </c>
      <c r="D24">
        <f>+base_mensual!H24</f>
        <v>188.46482887768701</v>
      </c>
      <c r="E24">
        <f>+[3]Sheet1!B24</f>
        <v>50422.776546341527</v>
      </c>
      <c r="F24">
        <f>+[3]Sheet1!C24</f>
        <v>37534.991431774863</v>
      </c>
      <c r="G24">
        <f>+[3]Sheet1!D24</f>
        <v>39219.484144738199</v>
      </c>
      <c r="H24">
        <f>+[3]Sheet1!E24</f>
        <v>8918.1010778991167</v>
      </c>
      <c r="I24">
        <f>+[3]Sheet1!F24</f>
        <v>948616.50032590493</v>
      </c>
      <c r="J24">
        <f>+[3]Sheet1!G24</f>
        <v>364.51742762279167</v>
      </c>
      <c r="K24">
        <f>+[3]Sheet1!H24</f>
        <v>451.69357837864652</v>
      </c>
      <c r="L24">
        <f>+[3]Sheet1!I24</f>
        <v>199.3356951084964</v>
      </c>
      <c r="M24">
        <f>+[3]Sheet1!J24</f>
        <v>9666.9204440766862</v>
      </c>
      <c r="N24">
        <f>+[3]Sheet1!K24</f>
        <v>30251.634451367259</v>
      </c>
      <c r="O24">
        <f>+[3]Sheet1!L24</f>
        <v>26019.147701900121</v>
      </c>
      <c r="P24">
        <f>+[3]Sheet1!M24</f>
        <v>0.66326726101828182</v>
      </c>
      <c r="Q24">
        <f>+[3]Sheet1!N24</f>
        <v>2.1007653631069299</v>
      </c>
      <c r="R24">
        <f>+[3]Sheet1!O24</f>
        <v>1.8053539657464419</v>
      </c>
      <c r="S24">
        <f>+[3]Sheet1!P24</f>
        <v>9410.7905248880579</v>
      </c>
      <c r="T24">
        <f>+[3]Sheet1!Q24</f>
        <v>9582.3769997285635</v>
      </c>
      <c r="U24">
        <f>+[3]Sheet1!R24</f>
        <v>0.64461741031047237</v>
      </c>
      <c r="V24">
        <f>+[3]Sheet1!S24</f>
        <v>0.6650397812993416</v>
      </c>
      <c r="W24">
        <f>+[3]Sheet1!T24</f>
        <v>437321.85092325858</v>
      </c>
      <c r="X24">
        <f>+[3]Sheet1!U24</f>
        <v>30.129338885655791</v>
      </c>
      <c r="Y24">
        <f>+[3]Sheet1!V24</f>
        <v>598969.24971936364</v>
      </c>
      <c r="Z24">
        <f>+[3]Sheet1!W24</f>
        <v>41.767338663481233</v>
      </c>
      <c r="AA24">
        <f>+[3]Sheet1!X24</f>
        <v>831394.74731794454</v>
      </c>
      <c r="AB24">
        <f>+[3]Sheet1!Y24</f>
        <v>58.171737279053808</v>
      </c>
      <c r="AC24">
        <f>+[3]Sheet1!Z24</f>
        <v>0.21096383859663381</v>
      </c>
      <c r="AD24">
        <f>+[3]Sheet1!AA24</f>
        <v>61248.716283707232</v>
      </c>
      <c r="AE24">
        <f>+[3]Sheet1!AB24</f>
        <v>130035.2360313544</v>
      </c>
      <c r="AF24">
        <f>+[3]Sheet1!AC24</f>
        <v>155.97523616046681</v>
      </c>
      <c r="AG24">
        <f>+[3]Sheet1!AD24</f>
        <v>138.44933939167569</v>
      </c>
      <c r="AH24" s="16">
        <f>+[3]Sheet1!AE24</f>
        <v>147.5251852988352</v>
      </c>
      <c r="AI24" s="16">
        <f>+[3]Sheet1!AF24</f>
        <v>352.67679204427287</v>
      </c>
      <c r="AJ24" s="16">
        <f>+[3]Sheet1!AG24</f>
        <v>170.71582861689049</v>
      </c>
      <c r="AK24" s="16">
        <f>+[3]Sheet1!AH24</f>
        <v>101.40921837900289</v>
      </c>
      <c r="AL24" s="16">
        <f>+[3]Sheet1!AI24</f>
        <v>87.2747318096702</v>
      </c>
      <c r="AM24" s="16">
        <f>+[3]Sheet1!AJ24</f>
        <v>152.9817073962277</v>
      </c>
      <c r="AN24" s="16">
        <f>+[3]Sheet1!AK24</f>
        <v>104.7453512889483</v>
      </c>
      <c r="AO24" s="16">
        <f>+[3]Sheet1!AL24</f>
        <v>177.35450519348211</v>
      </c>
      <c r="AP24" s="16">
        <f>+[3]Sheet1!AM24</f>
        <v>186.13866816470519</v>
      </c>
      <c r="AQ24" s="16">
        <f>+[3]Sheet1!AN24</f>
        <v>197.79218615954011</v>
      </c>
      <c r="AR24" s="16">
        <f>+[3]Sheet1!AO24</f>
        <v>161.81672196003831</v>
      </c>
      <c r="AS24" s="16">
        <f>+[3]Sheet1!AP24</f>
        <v>177.00397085815601</v>
      </c>
      <c r="AT24" s="16">
        <f>+[3]Sheet1!AQ24</f>
        <v>40.697356366903321</v>
      </c>
      <c r="AU24" s="16">
        <f>+[3]Sheet1!AR24</f>
        <v>137.95842809664481</v>
      </c>
      <c r="AV24" s="16">
        <f>+[3]Sheet1!AS24</f>
        <v>115.99796289031799</v>
      </c>
      <c r="AW24" s="16">
        <f>+[3]Sheet1!AT24</f>
        <v>3535469.3594140168</v>
      </c>
      <c r="AX24" s="16">
        <f>+base_mensual!AY24</f>
        <v>687.06500000000005</v>
      </c>
      <c r="AY24">
        <f>+base_mensual!AZ24</f>
        <v>1.602982404151861</v>
      </c>
      <c r="AZ24">
        <f>+[3]Sheet1!AX24</f>
        <v>143.21732853808109</v>
      </c>
    </row>
    <row r="25" spans="1:52" x14ac:dyDescent="0.25">
      <c r="A25" s="2">
        <f>+base_mensual!A25</f>
        <v>42004</v>
      </c>
      <c r="B25" s="1">
        <f>+base_mensual!B25</f>
        <v>5.0897459856809046E-3</v>
      </c>
      <c r="C25">
        <f>+base_mensual!AE25</f>
        <v>152.46302684928355</v>
      </c>
      <c r="D25">
        <f>+base_mensual!H25</f>
        <v>182.55579519797701</v>
      </c>
      <c r="E25">
        <f>+[3]Sheet1!B25</f>
        <v>51164.806241478407</v>
      </c>
      <c r="F25">
        <f>+[3]Sheet1!C25</f>
        <v>35181.581757381718</v>
      </c>
      <c r="G25">
        <f>+[3]Sheet1!D25</f>
        <v>50005.679032877488</v>
      </c>
      <c r="H25">
        <f>+[3]Sheet1!E25</f>
        <v>12633.478761146411</v>
      </c>
      <c r="I25">
        <f>+[3]Sheet1!F25</f>
        <v>947386.92050485872</v>
      </c>
      <c r="J25">
        <f>+[3]Sheet1!G25</f>
        <v>361.06997103166339</v>
      </c>
      <c r="K25">
        <f>+[3]Sheet1!H25</f>
        <v>450.04039341687712</v>
      </c>
      <c r="L25">
        <f>+[3]Sheet1!I25</f>
        <v>198.14075889463891</v>
      </c>
      <c r="M25">
        <f>+[3]Sheet1!J25</f>
        <v>9691.3197441842476</v>
      </c>
      <c r="N25">
        <f>+[3]Sheet1!K25</f>
        <v>30844.46285354644</v>
      </c>
      <c r="O25">
        <f>+[3]Sheet1!L25</f>
        <v>25233.726418337661</v>
      </c>
      <c r="P25">
        <f>+[3]Sheet1!M25</f>
        <v>0.65154886778627685</v>
      </c>
      <c r="Q25">
        <f>+[3]Sheet1!N25</f>
        <v>2.1026165809326152</v>
      </c>
      <c r="R25">
        <f>+[3]Sheet1!O25</f>
        <v>1.7490634679509349</v>
      </c>
      <c r="S25">
        <f>+[3]Sheet1!P25</f>
        <v>9284.625716614757</v>
      </c>
      <c r="T25">
        <f>+[3]Sheet1!Q25</f>
        <v>9010.8131504235243</v>
      </c>
      <c r="U25">
        <f>+[3]Sheet1!R25</f>
        <v>0.61841262881688475</v>
      </c>
      <c r="V25">
        <f>+[3]Sheet1!S25</f>
        <v>0.60423349785033997</v>
      </c>
      <c r="W25">
        <f>+[3]Sheet1!T25</f>
        <v>442752.86666331202</v>
      </c>
      <c r="X25">
        <f>+[3]Sheet1!U25</f>
        <v>29.764771683427199</v>
      </c>
      <c r="Y25">
        <f>+[3]Sheet1!V25</f>
        <v>615302.69884956302</v>
      </c>
      <c r="Z25">
        <f>+[3]Sheet1!W25</f>
        <v>41.827450290351337</v>
      </c>
      <c r="AA25">
        <f>+[3]Sheet1!X25</f>
        <v>843744.58074018324</v>
      </c>
      <c r="AB25">
        <f>+[3]Sheet1!Y25</f>
        <v>57.147355624537489</v>
      </c>
      <c r="AC25">
        <f>+[3]Sheet1!Z25</f>
        <v>0.20439065064570819</v>
      </c>
      <c r="AD25">
        <f>+[3]Sheet1!AA25</f>
        <v>63763.021090415117</v>
      </c>
      <c r="AE25">
        <f>+[3]Sheet1!AB25</f>
        <v>135870.29620157951</v>
      </c>
      <c r="AF25">
        <f>+[3]Sheet1!AC25</f>
        <v>154.75563209662931</v>
      </c>
      <c r="AG25">
        <f>+[3]Sheet1!AD25</f>
        <v>133.27969776060209</v>
      </c>
      <c r="AH25" s="16">
        <f>+[3]Sheet1!AE25</f>
        <v>150.42784209758881</v>
      </c>
      <c r="AI25" s="16">
        <f>+[3]Sheet1!AF25</f>
        <v>356.52701094168032</v>
      </c>
      <c r="AJ25" s="16">
        <f>+[3]Sheet1!AG25</f>
        <v>169.87440483524961</v>
      </c>
      <c r="AK25" s="16">
        <f>+[3]Sheet1!AH25</f>
        <v>101.8415277976755</v>
      </c>
      <c r="AL25" s="16">
        <f>+[3]Sheet1!AI25</f>
        <v>86.345879278702711</v>
      </c>
      <c r="AM25" s="16">
        <f>+[3]Sheet1!AJ25</f>
        <v>153.01461633593931</v>
      </c>
      <c r="AN25" s="16">
        <f>+[3]Sheet1!AK25</f>
        <v>108.70049153583091</v>
      </c>
      <c r="AO25" s="16">
        <f>+[3]Sheet1!AL25</f>
        <v>180.05987082064459</v>
      </c>
      <c r="AP25" s="16">
        <f>+[3]Sheet1!AM25</f>
        <v>187.093073941</v>
      </c>
      <c r="AQ25" s="16">
        <f>+[3]Sheet1!AN25</f>
        <v>205.27575088938769</v>
      </c>
      <c r="AR25" s="16">
        <f>+[3]Sheet1!AO25</f>
        <v>155.76913810715081</v>
      </c>
      <c r="AS25" s="16">
        <f>+[3]Sheet1!AP25</f>
        <v>178.32023531216831</v>
      </c>
      <c r="AT25" s="16">
        <f>+[3]Sheet1!AQ25</f>
        <v>42.509963480300463</v>
      </c>
      <c r="AU25" s="16">
        <f>+[3]Sheet1!AR25</f>
        <v>138.8505042612077</v>
      </c>
      <c r="AV25" s="16">
        <f>+[3]Sheet1!AS25</f>
        <v>116.1126677284481</v>
      </c>
      <c r="AW25" s="16">
        <f>+[3]Sheet1!AT25</f>
        <v>3528729.5883836132</v>
      </c>
      <c r="AX25" s="16">
        <f>+base_mensual!AY25</f>
        <v>719.096</v>
      </c>
      <c r="AY25">
        <f>+base_mensual!AZ25</f>
        <v>1.6356936945944143</v>
      </c>
      <c r="AZ25">
        <f>+[3]Sheet1!AX25</f>
        <v>145.36043485823001</v>
      </c>
    </row>
    <row r="26" spans="1:52" x14ac:dyDescent="0.25">
      <c r="A26" s="2">
        <f>+base_mensual!A26</f>
        <v>42034</v>
      </c>
      <c r="B26" s="1">
        <f>+base_mensual!B26</f>
        <v>1.4049346587396982E-2</v>
      </c>
      <c r="C26">
        <f>+base_mensual!AE26</f>
        <v>154.96838931793258</v>
      </c>
      <c r="D26">
        <f>+base_mensual!H26</f>
        <v>188.05288985047201</v>
      </c>
      <c r="E26">
        <f>+[3]Sheet1!B26</f>
        <v>48187.092168916097</v>
      </c>
      <c r="F26">
        <f>+[3]Sheet1!C26</f>
        <v>20311.31370671394</v>
      </c>
      <c r="G26">
        <f>+[3]Sheet1!D26</f>
        <v>49683.834992568387</v>
      </c>
      <c r="H26">
        <f>+[3]Sheet1!E26</f>
        <v>12879.563039705619</v>
      </c>
      <c r="I26">
        <f>+[3]Sheet1!F26</f>
        <v>1005087.413768512</v>
      </c>
      <c r="J26">
        <f>+[3]Sheet1!G26</f>
        <v>345.03743042359417</v>
      </c>
      <c r="K26">
        <f>+[3]Sheet1!H26</f>
        <v>432.64841846463497</v>
      </c>
      <c r="L26">
        <f>+[3]Sheet1!I26</f>
        <v>182.67996948167001</v>
      </c>
      <c r="M26">
        <f>+[3]Sheet1!J26</f>
        <v>8445.2363218148021</v>
      </c>
      <c r="N26">
        <f>+[3]Sheet1!K26</f>
        <v>30862.91906804009</v>
      </c>
      <c r="O26">
        <f>+[3]Sheet1!L26</f>
        <v>24816.557617107621</v>
      </c>
      <c r="P26">
        <f>+[3]Sheet1!M26</f>
        <v>0.56306318667640787</v>
      </c>
      <c r="Q26">
        <f>+[3]Sheet1!N26</f>
        <v>2.120665972329594</v>
      </c>
      <c r="R26">
        <f>+[3]Sheet1!O26</f>
        <v>1.7454847865022609</v>
      </c>
      <c r="S26">
        <f>+[3]Sheet1!P26</f>
        <v>8815.5224879123652</v>
      </c>
      <c r="T26">
        <f>+[3]Sheet1!Q26</f>
        <v>8988.8737367764825</v>
      </c>
      <c r="U26">
        <f>+[3]Sheet1!R26</f>
        <v>0.57916165610433545</v>
      </c>
      <c r="V26">
        <f>+[3]Sheet1!S26</f>
        <v>0.60052752992945213</v>
      </c>
      <c r="W26">
        <f>+[3]Sheet1!T26</f>
        <v>422280.82238615229</v>
      </c>
      <c r="X26">
        <f>+[3]Sheet1!U26</f>
        <v>27.67050902296403</v>
      </c>
      <c r="Y26">
        <f>+[3]Sheet1!V26</f>
        <v>629143.32751884602</v>
      </c>
      <c r="Z26">
        <f>+[3]Sheet1!W26</f>
        <v>42.518211978398021</v>
      </c>
      <c r="AA26">
        <f>+[3]Sheet1!X26</f>
        <v>851911.15114215668</v>
      </c>
      <c r="AB26">
        <f>+[3]Sheet1!Y26</f>
        <v>57.278618296765451</v>
      </c>
      <c r="AC26">
        <f>+[3]Sheet1!Z26</f>
        <v>0.19988563643174309</v>
      </c>
      <c r="AD26">
        <f>+[3]Sheet1!AA26</f>
        <v>62598.680591746292</v>
      </c>
      <c r="AE26">
        <f>+[3]Sheet1!AB26</f>
        <v>146572.16141023449</v>
      </c>
      <c r="AF26">
        <f>+[3]Sheet1!AC26</f>
        <v>155.02470628091089</v>
      </c>
      <c r="AG26">
        <f>+[3]Sheet1!AD26</f>
        <v>140.907493247817</v>
      </c>
      <c r="AH26" s="16">
        <f>+[3]Sheet1!AE26</f>
        <v>149.7896878448563</v>
      </c>
      <c r="AI26" s="16">
        <f>+[3]Sheet1!AF26</f>
        <v>373.9566068692971</v>
      </c>
      <c r="AJ26" s="16">
        <f>+[3]Sheet1!AG26</f>
        <v>168.28681219216139</v>
      </c>
      <c r="AK26" s="16">
        <f>+[3]Sheet1!AH26</f>
        <v>101.80344960441209</v>
      </c>
      <c r="AL26" s="16">
        <f>+[3]Sheet1!AI26</f>
        <v>90.178569461768348</v>
      </c>
      <c r="AM26" s="16">
        <f>+[3]Sheet1!AJ26</f>
        <v>153.277442767612</v>
      </c>
      <c r="AN26" s="16">
        <f>+[3]Sheet1!AK26</f>
        <v>109.89468198874739</v>
      </c>
      <c r="AO26" s="16">
        <f>+[3]Sheet1!AL26</f>
        <v>175.06703744063199</v>
      </c>
      <c r="AP26" s="16">
        <f>+[3]Sheet1!AM26</f>
        <v>196.12201683427199</v>
      </c>
      <c r="AQ26" s="16">
        <f>+[3]Sheet1!AN26</f>
        <v>197.7138526801678</v>
      </c>
      <c r="AR26" s="16">
        <f>+[3]Sheet1!AO26</f>
        <v>175.14519754813111</v>
      </c>
      <c r="AS26" s="16">
        <f>+[3]Sheet1!AP26</f>
        <v>170.86314484330299</v>
      </c>
      <c r="AT26" s="16">
        <f>+[3]Sheet1!AQ26</f>
        <v>49.92886099162984</v>
      </c>
      <c r="AU26" s="16">
        <f>+[3]Sheet1!AR26</f>
        <v>139.6370345074364</v>
      </c>
      <c r="AV26" s="16">
        <f>+[3]Sheet1!AS26</f>
        <v>117.1205966140261</v>
      </c>
      <c r="AW26" s="16">
        <f>+[3]Sheet1!AT26</f>
        <v>2634251.274069834</v>
      </c>
      <c r="AX26" s="16">
        <f>+base_mensual!AY26</f>
        <v>742</v>
      </c>
      <c r="AY26">
        <f>+base_mensual!AZ26</f>
        <v>1.8263827843473677</v>
      </c>
      <c r="AZ26">
        <f>+[3]Sheet1!AX26</f>
        <v>145.31439568880069</v>
      </c>
    </row>
    <row r="27" spans="1:52" x14ac:dyDescent="0.25">
      <c r="A27" s="2">
        <f>+base_mensual!A27</f>
        <v>42062</v>
      </c>
      <c r="B27" s="1">
        <f>+base_mensual!B27</f>
        <v>1.4049346587396982E-2</v>
      </c>
      <c r="C27">
        <f>+base_mensual!AE27</f>
        <v>156.33630238400522</v>
      </c>
      <c r="D27">
        <f>+base_mensual!H27</f>
        <v>196.551325349217</v>
      </c>
      <c r="E27">
        <f>+[3]Sheet1!B27</f>
        <v>47965.443294075281</v>
      </c>
      <c r="F27">
        <f>+[3]Sheet1!C27</f>
        <v>28022.231664025581</v>
      </c>
      <c r="G27">
        <f>+[3]Sheet1!D27</f>
        <v>50497.776281833183</v>
      </c>
      <c r="H27">
        <f>+[3]Sheet1!E27</f>
        <v>13592.11880106518</v>
      </c>
      <c r="I27">
        <f>+[3]Sheet1!F27</f>
        <v>1035415.65359474</v>
      </c>
      <c r="J27">
        <f>+[3]Sheet1!G27</f>
        <v>333.222909321472</v>
      </c>
      <c r="K27">
        <f>+[3]Sheet1!H27</f>
        <v>422.39438332896191</v>
      </c>
      <c r="L27">
        <f>+[3]Sheet1!I27</f>
        <v>176.18754591833061</v>
      </c>
      <c r="M27">
        <f>+[3]Sheet1!J27</f>
        <v>8579.0257827916703</v>
      </c>
      <c r="N27">
        <f>+[3]Sheet1!K27</f>
        <v>32292.54835882768</v>
      </c>
      <c r="O27">
        <f>+[3]Sheet1!L27</f>
        <v>28024.817214817602</v>
      </c>
      <c r="P27">
        <f>+[3]Sheet1!M27</f>
        <v>0.5434979227252883</v>
      </c>
      <c r="Q27">
        <f>+[3]Sheet1!N27</f>
        <v>2.1113866816921698</v>
      </c>
      <c r="R27">
        <f>+[3]Sheet1!O27</f>
        <v>1.7917751005832689</v>
      </c>
      <c r="S27">
        <f>+[3]Sheet1!P27</f>
        <v>9801.7296263031276</v>
      </c>
      <c r="T27">
        <f>+[3]Sheet1!Q27</f>
        <v>9529.3047424107262</v>
      </c>
      <c r="U27">
        <f>+[3]Sheet1!R27</f>
        <v>0.64573634774305488</v>
      </c>
      <c r="V27">
        <f>+[3]Sheet1!S27</f>
        <v>0.62554501275346308</v>
      </c>
      <c r="W27">
        <f>+[3]Sheet1!T27</f>
        <v>458065.61378874048</v>
      </c>
      <c r="X27">
        <f>+[3]Sheet1!U27</f>
        <v>30.189794750693391</v>
      </c>
      <c r="Y27">
        <f>+[3]Sheet1!V27</f>
        <v>643513.69459179416</v>
      </c>
      <c r="Z27">
        <f>+[3]Sheet1!W27</f>
        <v>42.356502115907951</v>
      </c>
      <c r="AA27">
        <f>+[3]Sheet1!X27</f>
        <v>885740.54221829853</v>
      </c>
      <c r="AB27">
        <f>+[3]Sheet1!Y27</f>
        <v>58.28975937874754</v>
      </c>
      <c r="AC27">
        <f>+[3]Sheet1!Z27</f>
        <v>0.19797661594864599</v>
      </c>
      <c r="AD27">
        <f>+[3]Sheet1!AA27</f>
        <v>63970.140283268542</v>
      </c>
      <c r="AE27">
        <f>+[3]Sheet1!AB27</f>
        <v>152463.1986288144</v>
      </c>
      <c r="AF27">
        <f>+[3]Sheet1!AC27</f>
        <v>155.58684646343229</v>
      </c>
      <c r="AG27">
        <f>+[3]Sheet1!AD27</f>
        <v>142.60842189750491</v>
      </c>
      <c r="AH27" s="16">
        <f>+[3]Sheet1!AE27</f>
        <v>151.74375287206689</v>
      </c>
      <c r="AI27" s="16">
        <f>+[3]Sheet1!AF27</f>
        <v>360.82984915196829</v>
      </c>
      <c r="AJ27" s="16">
        <f>+[3]Sheet1!AG27</f>
        <v>169.53422164275881</v>
      </c>
      <c r="AK27" s="16">
        <f>+[3]Sheet1!AH27</f>
        <v>107.29101845184979</v>
      </c>
      <c r="AL27" s="16">
        <f>+[3]Sheet1!AI27</f>
        <v>90.054734897026037</v>
      </c>
      <c r="AM27" s="16">
        <f>+[3]Sheet1!AJ27</f>
        <v>154.60152696458701</v>
      </c>
      <c r="AN27" s="16">
        <f>+[3]Sheet1!AK27</f>
        <v>107.92623205953591</v>
      </c>
      <c r="AO27" s="16">
        <f>+[3]Sheet1!AL27</f>
        <v>187.0939139661894</v>
      </c>
      <c r="AP27" s="16">
        <f>+[3]Sheet1!AM27</f>
        <v>201.3507810867396</v>
      </c>
      <c r="AQ27" s="16">
        <f>+[3]Sheet1!AN27</f>
        <v>194.6854079024699</v>
      </c>
      <c r="AR27" s="16">
        <f>+[3]Sheet1!AO27</f>
        <v>123.8258873726451</v>
      </c>
      <c r="AS27" s="16">
        <f>+[3]Sheet1!AP27</f>
        <v>171.14387409679739</v>
      </c>
      <c r="AT27" s="16">
        <f>+[3]Sheet1!AQ27</f>
        <v>52.377950957212562</v>
      </c>
      <c r="AU27" s="16">
        <f>+[3]Sheet1!AR27</f>
        <v>145.68767033893741</v>
      </c>
      <c r="AV27" s="16">
        <f>+[3]Sheet1!AS27</f>
        <v>117.0370200472754</v>
      </c>
      <c r="AW27" s="16">
        <f>+[3]Sheet1!AT27</f>
        <v>3406880.399096489</v>
      </c>
      <c r="AX27" s="16">
        <f>+base_mensual!AY27</f>
        <v>618</v>
      </c>
      <c r="AY27">
        <f>+base_mensual!AZ27</f>
        <v>1.6532339182167539</v>
      </c>
      <c r="AZ27">
        <f>+[3]Sheet1!AX27</f>
        <v>146.5924333194414</v>
      </c>
    </row>
    <row r="28" spans="1:52" x14ac:dyDescent="0.25">
      <c r="A28" s="2">
        <f>+base_mensual!A28</f>
        <v>42094</v>
      </c>
      <c r="B28" s="1">
        <f>+base_mensual!B28</f>
        <v>1.4049346587396982E-2</v>
      </c>
      <c r="C28">
        <f>+base_mensual!AE28</f>
        <v>156.52001804507148</v>
      </c>
      <c r="D28">
        <f>+base_mensual!H28</f>
        <v>187.006467331148</v>
      </c>
      <c r="E28">
        <f>+[3]Sheet1!B28</f>
        <v>45685.449894940102</v>
      </c>
      <c r="F28">
        <f>+[3]Sheet1!C28</f>
        <v>25607.205538155689</v>
      </c>
      <c r="G28">
        <f>+[3]Sheet1!D28</f>
        <v>53060.200746193637</v>
      </c>
      <c r="H28">
        <f>+[3]Sheet1!E28</f>
        <v>12979.852991569751</v>
      </c>
      <c r="I28">
        <f>+[3]Sheet1!F28</f>
        <v>1006336.445876625</v>
      </c>
      <c r="J28">
        <f>+[3]Sheet1!G28</f>
        <v>315.38976934346061</v>
      </c>
      <c r="K28">
        <f>+[3]Sheet1!H28</f>
        <v>415.22044391603782</v>
      </c>
      <c r="L28">
        <f>+[3]Sheet1!I28</f>
        <v>176.75107810277791</v>
      </c>
      <c r="M28">
        <f>+[3]Sheet1!J28</f>
        <v>8022.7348527555832</v>
      </c>
      <c r="N28">
        <f>+[3]Sheet1!K28</f>
        <v>34194.388625830463</v>
      </c>
      <c r="O28">
        <f>+[3]Sheet1!L28</f>
        <v>27739.938409543211</v>
      </c>
      <c r="P28">
        <f>+[3]Sheet1!M28</f>
        <v>0.51732416012212734</v>
      </c>
      <c r="Q28">
        <f>+[3]Sheet1!N28</f>
        <v>2.1646445307816822</v>
      </c>
      <c r="R28">
        <f>+[3]Sheet1!O28</f>
        <v>1.753886346021162</v>
      </c>
      <c r="S28">
        <f>+[3]Sheet1!P28</f>
        <v>10841.47307042769</v>
      </c>
      <c r="T28">
        <f>+[3]Sheet1!Q28</f>
        <v>10593.667896941401</v>
      </c>
      <c r="U28">
        <f>+[3]Sheet1!R28</f>
        <v>0.69940073548812276</v>
      </c>
      <c r="V28">
        <f>+[3]Sheet1!S28</f>
        <v>0.6883441420223636</v>
      </c>
      <c r="W28">
        <f>+[3]Sheet1!T28</f>
        <v>486275.50072779832</v>
      </c>
      <c r="X28">
        <f>+[3]Sheet1!U28</f>
        <v>31.603926754220758</v>
      </c>
      <c r="Y28">
        <f>+[3]Sheet1!V28</f>
        <v>661275.43608456571</v>
      </c>
      <c r="Z28">
        <f>+[3]Sheet1!W28</f>
        <v>43.00043977999524</v>
      </c>
      <c r="AA28">
        <f>+[3]Sheet1!X28</f>
        <v>921405.92718832416</v>
      </c>
      <c r="AB28">
        <f>+[3]Sheet1!Y28</f>
        <v>59.780897483466397</v>
      </c>
      <c r="AC28">
        <f>+[3]Sheet1!Z28</f>
        <v>0.19585749263807409</v>
      </c>
      <c r="AD28">
        <f>+[3]Sheet1!AA28</f>
        <v>62283.468330892108</v>
      </c>
      <c r="AE28">
        <f>+[3]Sheet1!AB28</f>
        <v>142402.60928416441</v>
      </c>
      <c r="AF28">
        <f>+[3]Sheet1!AC28</f>
        <v>156.76672535806691</v>
      </c>
      <c r="AG28">
        <f>+[3]Sheet1!AD28</f>
        <v>137.4851787676445</v>
      </c>
      <c r="AH28" s="16">
        <f>+[3]Sheet1!AE28</f>
        <v>153.96270212348699</v>
      </c>
      <c r="AI28" s="16">
        <f>+[3]Sheet1!AF28</f>
        <v>380.31156790892442</v>
      </c>
      <c r="AJ28" s="16">
        <f>+[3]Sheet1!AG28</f>
        <v>169.74517589538959</v>
      </c>
      <c r="AK28" s="16">
        <f>+[3]Sheet1!AH28</f>
        <v>108.1806263107524</v>
      </c>
      <c r="AL28" s="16">
        <f>+[3]Sheet1!AI28</f>
        <v>92.136956863941748</v>
      </c>
      <c r="AM28" s="16">
        <f>+[3]Sheet1!AJ28</f>
        <v>152.87762209362421</v>
      </c>
      <c r="AN28" s="16">
        <f>+[3]Sheet1!AK28</f>
        <v>109.3994185965374</v>
      </c>
      <c r="AO28" s="16">
        <f>+[3]Sheet1!AL28</f>
        <v>190.66919711768361</v>
      </c>
      <c r="AP28" s="16">
        <f>+[3]Sheet1!AM28</f>
        <v>194.24384962687091</v>
      </c>
      <c r="AQ28" s="16">
        <f>+[3]Sheet1!AN28</f>
        <v>185.3362939709869</v>
      </c>
      <c r="AR28" s="16">
        <f>+[3]Sheet1!AO28</f>
        <v>165.3057840012824</v>
      </c>
      <c r="AS28" s="16">
        <f>+[3]Sheet1!AP28</f>
        <v>165.36008280127109</v>
      </c>
      <c r="AT28" s="16">
        <f>+[3]Sheet1!AQ28</f>
        <v>53.297545606504677</v>
      </c>
      <c r="AU28" s="16">
        <f>+[3]Sheet1!AR28</f>
        <v>147.12449358018171</v>
      </c>
      <c r="AV28" s="16">
        <f>+[3]Sheet1!AS28</f>
        <v>117.12688511983011</v>
      </c>
      <c r="AW28" s="16">
        <f>+[3]Sheet1!AT28</f>
        <v>2901938.1070791078</v>
      </c>
      <c r="AX28" s="16">
        <f>+base_mensual!AY28</f>
        <v>612</v>
      </c>
      <c r="AY28">
        <f>+base_mensual!AZ28</f>
        <v>1.8635460477543626</v>
      </c>
      <c r="AZ28">
        <f>+[3]Sheet1!AX28</f>
        <v>147.36747626717491</v>
      </c>
    </row>
    <row r="29" spans="1:52" x14ac:dyDescent="0.25">
      <c r="A29" s="2">
        <f>+base_mensual!A29</f>
        <v>42124</v>
      </c>
      <c r="B29" s="1">
        <f>+base_mensual!B29</f>
        <v>2.5375626964342146E-2</v>
      </c>
      <c r="C29">
        <f>+base_mensual!AE29</f>
        <v>161.90462467344187</v>
      </c>
      <c r="D29">
        <f>+base_mensual!H29</f>
        <v>205.35381650342001</v>
      </c>
      <c r="E29">
        <f>+[3]Sheet1!B29</f>
        <v>41086.585587407928</v>
      </c>
      <c r="F29">
        <f>+[3]Sheet1!C29</f>
        <v>18206.07709279289</v>
      </c>
      <c r="G29">
        <f>+[3]Sheet1!D29</f>
        <v>46109.850090624823</v>
      </c>
      <c r="H29">
        <f>+[3]Sheet1!E29</f>
        <v>11460.84200568658</v>
      </c>
      <c r="I29">
        <f>+[3]Sheet1!F29</f>
        <v>1141490.538860339</v>
      </c>
      <c r="J29">
        <f>+[3]Sheet1!G29</f>
        <v>320.07294240281612</v>
      </c>
      <c r="K29">
        <f>+[3]Sheet1!H29</f>
        <v>415.13634637034812</v>
      </c>
      <c r="L29">
        <f>+[3]Sheet1!I29</f>
        <v>167.5451465033272</v>
      </c>
      <c r="M29">
        <f>+[3]Sheet1!J29</f>
        <v>6564.8541794659104</v>
      </c>
      <c r="N29">
        <f>+[3]Sheet1!K29</f>
        <v>33051.356882581982</v>
      </c>
      <c r="O29">
        <f>+[3]Sheet1!L29</f>
        <v>29516.506906023151</v>
      </c>
      <c r="P29">
        <f>+[3]Sheet1!M29</f>
        <v>0.49208348859993939</v>
      </c>
      <c r="Q29">
        <f>+[3]Sheet1!N29</f>
        <v>2.1433913389053769</v>
      </c>
      <c r="R29">
        <f>+[3]Sheet1!O29</f>
        <v>1.8156741987886029</v>
      </c>
      <c r="S29">
        <f>+[3]Sheet1!P29</f>
        <v>11774.958076586099</v>
      </c>
      <c r="T29">
        <f>+[3]Sheet1!Q29</f>
        <v>11535.11487733483</v>
      </c>
      <c r="U29">
        <f>+[3]Sheet1!R29</f>
        <v>0.75697781697254429</v>
      </c>
      <c r="V29">
        <f>+[3]Sheet1!S29</f>
        <v>0.7418517885606456</v>
      </c>
      <c r="W29">
        <f>+[3]Sheet1!T29</f>
        <v>502516.82024957339</v>
      </c>
      <c r="X29">
        <f>+[3]Sheet1!U29</f>
        <v>31.95945261076869</v>
      </c>
      <c r="Y29">
        <f>+[3]Sheet1!V29</f>
        <v>685176.7086521138</v>
      </c>
      <c r="Z29">
        <f>+[3]Sheet1!W29</f>
        <v>43.90846694599086</v>
      </c>
      <c r="AA29">
        <f>+[3]Sheet1!X29</f>
        <v>938917.17364673014</v>
      </c>
      <c r="AB29">
        <f>+[3]Sheet1!Y29</f>
        <v>60.127873427939079</v>
      </c>
      <c r="AC29">
        <f>+[3]Sheet1!Z29</f>
        <v>0.19080434647191299</v>
      </c>
      <c r="AD29">
        <f>+[3]Sheet1!AA29</f>
        <v>64251.716846546493</v>
      </c>
      <c r="AE29">
        <f>+[3]Sheet1!AB29</f>
        <v>148191.4986743202</v>
      </c>
      <c r="AF29">
        <f>+[3]Sheet1!AC29</f>
        <v>161.4963443022896</v>
      </c>
      <c r="AG29">
        <f>+[3]Sheet1!AD29</f>
        <v>144.462147140365</v>
      </c>
      <c r="AH29" s="16">
        <f>+[3]Sheet1!AE29</f>
        <v>159.7924187232326</v>
      </c>
      <c r="AI29" s="16">
        <f>+[3]Sheet1!AF29</f>
        <v>332.44847738742658</v>
      </c>
      <c r="AJ29" s="16">
        <f>+[3]Sheet1!AG29</f>
        <v>181.428650872144</v>
      </c>
      <c r="AK29" s="16">
        <f>+[3]Sheet1!AH29</f>
        <v>105.6956412440363</v>
      </c>
      <c r="AL29" s="16">
        <f>+[3]Sheet1!AI29</f>
        <v>93.739312311928117</v>
      </c>
      <c r="AM29" s="16">
        <f>+[3]Sheet1!AJ29</f>
        <v>151.46725339068911</v>
      </c>
      <c r="AN29" s="16">
        <f>+[3]Sheet1!AK29</f>
        <v>116.4006695562025</v>
      </c>
      <c r="AO29" s="16">
        <f>+[3]Sheet1!AL29</f>
        <v>206.41632545678391</v>
      </c>
      <c r="AP29" s="16">
        <f>+[3]Sheet1!AM29</f>
        <v>194.39960179956711</v>
      </c>
      <c r="AQ29" s="16">
        <f>+[3]Sheet1!AN29</f>
        <v>180.60463603396761</v>
      </c>
      <c r="AR29" s="16">
        <f>+[3]Sheet1!AO29</f>
        <v>176.33106280437951</v>
      </c>
      <c r="AS29" s="16">
        <f>+[3]Sheet1!AP29</f>
        <v>151.58062791659029</v>
      </c>
      <c r="AT29" s="16">
        <f>+[3]Sheet1!AQ29</f>
        <v>55.644837773300623</v>
      </c>
      <c r="AU29" s="16">
        <f>+[3]Sheet1!AR29</f>
        <v>143.98680848289521</v>
      </c>
      <c r="AV29" s="16">
        <f>+[3]Sheet1!AS29</f>
        <v>116.4016865829921</v>
      </c>
      <c r="AW29" s="16">
        <f>+[3]Sheet1!AT29</f>
        <v>3631390.8425173038</v>
      </c>
      <c r="AX29" s="16">
        <f>+base_mensual!AY29</f>
        <v>616</v>
      </c>
      <c r="AY29">
        <f>+base_mensual!AZ29</f>
        <v>1.8962349723520875</v>
      </c>
      <c r="AZ29">
        <f>+[3]Sheet1!AX29</f>
        <v>150.80668906020071</v>
      </c>
    </row>
    <row r="30" spans="1:52" x14ac:dyDescent="0.25">
      <c r="A30" s="2">
        <f>+base_mensual!A30</f>
        <v>42153</v>
      </c>
      <c r="B30" s="1">
        <f>+base_mensual!B30</f>
        <v>2.5375626964342146E-2</v>
      </c>
      <c r="C30">
        <f>+base_mensual!AE30</f>
        <v>158.20320244155269</v>
      </c>
      <c r="D30">
        <f>+base_mensual!H30</f>
        <v>200.600773937903</v>
      </c>
      <c r="E30">
        <f>+[3]Sheet1!B30</f>
        <v>44654.966212478481</v>
      </c>
      <c r="F30">
        <f>+[3]Sheet1!C30</f>
        <v>18125.28332613728</v>
      </c>
      <c r="G30">
        <f>+[3]Sheet1!D30</f>
        <v>49087.42500292258</v>
      </c>
      <c r="H30">
        <f>+[3]Sheet1!E30</f>
        <v>12750.09853328399</v>
      </c>
      <c r="I30">
        <f>+[3]Sheet1!F30</f>
        <v>1014199.014274242</v>
      </c>
      <c r="J30">
        <f>+[3]Sheet1!G30</f>
        <v>333.31431957570982</v>
      </c>
      <c r="K30">
        <f>+[3]Sheet1!H30</f>
        <v>411.66699086231699</v>
      </c>
      <c r="L30">
        <f>+[3]Sheet1!I30</f>
        <v>161.2980163054043</v>
      </c>
      <c r="M30">
        <f>+[3]Sheet1!J30</f>
        <v>9081.489810799545</v>
      </c>
      <c r="N30">
        <f>+[3]Sheet1!K30</f>
        <v>33428.496384917657</v>
      </c>
      <c r="O30">
        <f>+[3]Sheet1!L30</f>
        <v>35294.283701112923</v>
      </c>
      <c r="P30">
        <f>+[3]Sheet1!M30</f>
        <v>0.56123799142306352</v>
      </c>
      <c r="Q30">
        <f>+[3]Sheet1!N30</f>
        <v>2.103783985462627</v>
      </c>
      <c r="R30">
        <f>+[3]Sheet1!O30</f>
        <v>2.306694729966845</v>
      </c>
      <c r="S30">
        <f>+[3]Sheet1!P30</f>
        <v>11115.322383166569</v>
      </c>
      <c r="T30">
        <f>+[3]Sheet1!Q30</f>
        <v>11792.37992508376</v>
      </c>
      <c r="U30">
        <f>+[3]Sheet1!R30</f>
        <v>0.67465378001914356</v>
      </c>
      <c r="V30">
        <f>+[3]Sheet1!S30</f>
        <v>0.7364539092539012</v>
      </c>
      <c r="W30">
        <f>+[3]Sheet1!T30</f>
        <v>478303.98288935871</v>
      </c>
      <c r="X30">
        <f>+[3]Sheet1!U30</f>
        <v>29.386578279641689</v>
      </c>
      <c r="Y30">
        <f>+[3]Sheet1!V30</f>
        <v>700569.72804483376</v>
      </c>
      <c r="Z30">
        <f>+[3]Sheet1!W30</f>
        <v>44.195254762737768</v>
      </c>
      <c r="AA30">
        <f>+[3]Sheet1!X30</f>
        <v>971708.08654998278</v>
      </c>
      <c r="AB30">
        <f>+[3]Sheet1!Y30</f>
        <v>61.3863813843478</v>
      </c>
      <c r="AC30">
        <f>+[3]Sheet1!Z30</f>
        <v>0.19608789864456891</v>
      </c>
      <c r="AD30">
        <f>+[3]Sheet1!AA30</f>
        <v>56865.089651180613</v>
      </c>
      <c r="AE30">
        <f>+[3]Sheet1!AB30</f>
        <v>138113.3761655243</v>
      </c>
      <c r="AF30">
        <f>+[3]Sheet1!AC30</f>
        <v>153.7688446904632</v>
      </c>
      <c r="AG30">
        <f>+[3]Sheet1!AD30</f>
        <v>133.83385532788239</v>
      </c>
      <c r="AH30" s="16">
        <f>+[3]Sheet1!AE30</f>
        <v>153.99501006655061</v>
      </c>
      <c r="AI30" s="16">
        <f>+[3]Sheet1!AF30</f>
        <v>343.18616018449819</v>
      </c>
      <c r="AJ30" s="16">
        <f>+[3]Sheet1!AG30</f>
        <v>165.7420401553733</v>
      </c>
      <c r="AK30" s="16">
        <f>+[3]Sheet1!AH30</f>
        <v>104.8454266450883</v>
      </c>
      <c r="AL30" s="16">
        <f>+[3]Sheet1!AI30</f>
        <v>90.266083261619983</v>
      </c>
      <c r="AM30" s="16">
        <f>+[3]Sheet1!AJ30</f>
        <v>155.12095067422339</v>
      </c>
      <c r="AN30" s="16">
        <f>+[3]Sheet1!AK30</f>
        <v>114.9532147592258</v>
      </c>
      <c r="AO30" s="16">
        <f>+[3]Sheet1!AL30</f>
        <v>200.62968389711699</v>
      </c>
      <c r="AP30" s="16">
        <f>+[3]Sheet1!AM30</f>
        <v>164.0284509877682</v>
      </c>
      <c r="AQ30" s="16">
        <f>+[3]Sheet1!AN30</f>
        <v>182.38351510825541</v>
      </c>
      <c r="AR30" s="16">
        <f>+[3]Sheet1!AO30</f>
        <v>163.4154397186694</v>
      </c>
      <c r="AS30" s="16">
        <f>+[3]Sheet1!AP30</f>
        <v>162.0519104173718</v>
      </c>
      <c r="AT30" s="16">
        <f>+[3]Sheet1!AQ30</f>
        <v>59.694052354246132</v>
      </c>
      <c r="AU30" s="16">
        <f>+[3]Sheet1!AR30</f>
        <v>140.11899369536999</v>
      </c>
      <c r="AV30" s="16">
        <f>+[3]Sheet1!AS30</f>
        <v>116.7445512903243</v>
      </c>
      <c r="AW30" s="16">
        <f>+[3]Sheet1!AT30</f>
        <v>2605207.0730632502</v>
      </c>
      <c r="AX30" s="16">
        <f>+base_mensual!AY30</f>
        <v>601</v>
      </c>
      <c r="AY30">
        <f>+base_mensual!AZ30</f>
        <v>2.0906344709805413</v>
      </c>
      <c r="AZ30">
        <f>+[3]Sheet1!AX30</f>
        <v>150.19053885507489</v>
      </c>
    </row>
    <row r="31" spans="1:52" x14ac:dyDescent="0.25">
      <c r="A31" s="2">
        <f>+base_mensual!A31</f>
        <v>42185</v>
      </c>
      <c r="B31" s="1">
        <f>+base_mensual!B31</f>
        <v>2.5375626964342146E-2</v>
      </c>
      <c r="C31">
        <f>+base_mensual!AE31</f>
        <v>161.97571953930182</v>
      </c>
      <c r="D31">
        <f>+base_mensual!H31</f>
        <v>204.56325866351099</v>
      </c>
      <c r="E31">
        <f>+[3]Sheet1!B31</f>
        <v>50723.66230392021</v>
      </c>
      <c r="F31">
        <f>+[3]Sheet1!C31</f>
        <v>18483.313004096221</v>
      </c>
      <c r="G31">
        <f>+[3]Sheet1!D31</f>
        <v>51600.06741142118</v>
      </c>
      <c r="H31">
        <f>+[3]Sheet1!E31</f>
        <v>14494.34754240491</v>
      </c>
      <c r="I31">
        <f>+[3]Sheet1!F31</f>
        <v>1102882.196669356</v>
      </c>
      <c r="J31">
        <f>+[3]Sheet1!G31</f>
        <v>326.15223055526019</v>
      </c>
      <c r="K31">
        <f>+[3]Sheet1!H31</f>
        <v>428.12923559173032</v>
      </c>
      <c r="L31">
        <f>+[3]Sheet1!I31</f>
        <v>167.8229180206325</v>
      </c>
      <c r="M31">
        <f>+[3]Sheet1!J31</f>
        <v>12321.46189282347</v>
      </c>
      <c r="N31">
        <f>+[3]Sheet1!K31</f>
        <v>34919.70792750227</v>
      </c>
      <c r="O31">
        <f>+[3]Sheet1!L31</f>
        <v>31463.546488406351</v>
      </c>
      <c r="P31">
        <f>+[3]Sheet1!M31</f>
        <v>0.78838154962895712</v>
      </c>
      <c r="Q31">
        <f>+[3]Sheet1!N31</f>
        <v>2.1661774211297731</v>
      </c>
      <c r="R31">
        <f>+[3]Sheet1!O31</f>
        <v>1.979525901487694</v>
      </c>
      <c r="S31">
        <f>+[3]Sheet1!P31</f>
        <v>11957.42780129936</v>
      </c>
      <c r="T31">
        <f>+[3]Sheet1!Q31</f>
        <v>11641.61390494166</v>
      </c>
      <c r="U31">
        <f>+[3]Sheet1!R31</f>
        <v>0.72111132987113979</v>
      </c>
      <c r="V31">
        <f>+[3]Sheet1!S31</f>
        <v>0.70851791170761536</v>
      </c>
      <c r="W31">
        <f>+[3]Sheet1!T31</f>
        <v>507518.83711279242</v>
      </c>
      <c r="X31">
        <f>+[3]Sheet1!U31</f>
        <v>30.793253720109391</v>
      </c>
      <c r="Y31">
        <f>+[3]Sheet1!V31</f>
        <v>718525.37888997991</v>
      </c>
      <c r="Z31">
        <f>+[3]Sheet1!W31</f>
        <v>44.206000744049661</v>
      </c>
      <c r="AA31">
        <f>+[3]Sheet1!X31</f>
        <v>986697.72919347673</v>
      </c>
      <c r="AB31">
        <f>+[3]Sheet1!Y31</f>
        <v>61.107241568679306</v>
      </c>
      <c r="AC31">
        <f>+[3]Sheet1!Z31</f>
        <v>0.2008457109310039</v>
      </c>
      <c r="AD31">
        <f>+[3]Sheet1!AA31</f>
        <v>64632.038569229371</v>
      </c>
      <c r="AE31">
        <f>+[3]Sheet1!AB31</f>
        <v>166853.5988162643</v>
      </c>
      <c r="AF31">
        <f>+[3]Sheet1!AC31</f>
        <v>162.389753066488</v>
      </c>
      <c r="AG31">
        <f>+[3]Sheet1!AD31</f>
        <v>142.93808486014109</v>
      </c>
      <c r="AH31" s="16">
        <f>+[3]Sheet1!AE31</f>
        <v>160.9350703549124</v>
      </c>
      <c r="AI31" s="16">
        <f>+[3]Sheet1!AF31</f>
        <v>388.49692731514159</v>
      </c>
      <c r="AJ31" s="16">
        <f>+[3]Sheet1!AG31</f>
        <v>181.0245607632271</v>
      </c>
      <c r="AK31" s="16">
        <f>+[3]Sheet1!AH31</f>
        <v>100.9305703801661</v>
      </c>
      <c r="AL31" s="16">
        <f>+[3]Sheet1!AI31</f>
        <v>90.486650483306136</v>
      </c>
      <c r="AM31" s="16">
        <f>+[3]Sheet1!AJ31</f>
        <v>151.85347727254879</v>
      </c>
      <c r="AN31" s="16">
        <f>+[3]Sheet1!AK31</f>
        <v>105.9201236852102</v>
      </c>
      <c r="AO31" s="16">
        <f>+[3]Sheet1!AL31</f>
        <v>229.36448727074611</v>
      </c>
      <c r="AP31" s="16">
        <f>+[3]Sheet1!AM31</f>
        <v>180.29137557255581</v>
      </c>
      <c r="AQ31" s="16">
        <f>+[3]Sheet1!AN31</f>
        <v>193.26896040112629</v>
      </c>
      <c r="AR31" s="16">
        <f>+[3]Sheet1!AO31</f>
        <v>166.20502816585261</v>
      </c>
      <c r="AS31" s="16">
        <f>+[3]Sheet1!AP31</f>
        <v>185.24744598893571</v>
      </c>
      <c r="AT31" s="16">
        <f>+[3]Sheet1!AQ31</f>
        <v>57.308527477212849</v>
      </c>
      <c r="AU31" s="16">
        <f>+[3]Sheet1!AR31</f>
        <v>142.83147009243871</v>
      </c>
      <c r="AV31" s="16">
        <f>+[3]Sheet1!AS31</f>
        <v>117.1723094122581</v>
      </c>
      <c r="AW31" s="16">
        <f>+[3]Sheet1!AT31</f>
        <v>3729705.8284588</v>
      </c>
      <c r="AX31" s="16">
        <f>+base_mensual!AY31</f>
        <v>589</v>
      </c>
      <c r="AY31">
        <f>+base_mensual!AZ31</f>
        <v>1.9372752350571316</v>
      </c>
      <c r="AZ31">
        <f>+[3]Sheet1!AX31</f>
        <v>154.64914757007961</v>
      </c>
    </row>
    <row r="32" spans="1:52" x14ac:dyDescent="0.25">
      <c r="A32" s="2">
        <f>+base_mensual!A32</f>
        <v>42216</v>
      </c>
      <c r="B32" s="1">
        <f>+base_mensual!B32</f>
        <v>-1.6230453501030473E-3</v>
      </c>
      <c r="C32">
        <f>+base_mensual!AE32</f>
        <v>158.55751538137588</v>
      </c>
      <c r="D32">
        <f>+base_mensual!H32</f>
        <v>202.99968211785901</v>
      </c>
      <c r="E32">
        <f>+[3]Sheet1!B32</f>
        <v>42236.985366726192</v>
      </c>
      <c r="F32">
        <f>+[3]Sheet1!C32</f>
        <v>28203.874746470541</v>
      </c>
      <c r="G32">
        <f>+[3]Sheet1!D32</f>
        <v>53880.321144746093</v>
      </c>
      <c r="H32">
        <f>+[3]Sheet1!E32</f>
        <v>13843.519712465861</v>
      </c>
      <c r="I32">
        <f>+[3]Sheet1!F32</f>
        <v>1063786.4495824641</v>
      </c>
      <c r="J32">
        <f>+[3]Sheet1!G32</f>
        <v>333.51712031388581</v>
      </c>
      <c r="K32">
        <f>+[3]Sheet1!H32</f>
        <v>420.4330343609692</v>
      </c>
      <c r="L32">
        <f>+[3]Sheet1!I32</f>
        <v>166.41645945421951</v>
      </c>
      <c r="M32">
        <f>+[3]Sheet1!J32</f>
        <v>11462.87925230878</v>
      </c>
      <c r="N32">
        <f>+[3]Sheet1!K32</f>
        <v>36199.567886832992</v>
      </c>
      <c r="O32">
        <f>+[3]Sheet1!L32</f>
        <v>32596.235956660748</v>
      </c>
      <c r="P32">
        <f>+[3]Sheet1!M32</f>
        <v>0.68248181149736831</v>
      </c>
      <c r="Q32">
        <f>+[3]Sheet1!N32</f>
        <v>2.1762957315618849</v>
      </c>
      <c r="R32">
        <f>+[3]Sheet1!O32</f>
        <v>1.958554450167979</v>
      </c>
      <c r="S32">
        <f>+[3]Sheet1!P32</f>
        <v>11473.25423871048</v>
      </c>
      <c r="T32">
        <f>+[3]Sheet1!Q32</f>
        <v>11782.05890170784</v>
      </c>
      <c r="U32">
        <f>+[3]Sheet1!R32</f>
        <v>0.67911868369155126</v>
      </c>
      <c r="V32">
        <f>+[3]Sheet1!S32</f>
        <v>0.70379453469462494</v>
      </c>
      <c r="W32">
        <f>+[3]Sheet1!T32</f>
        <v>474907.70946609607</v>
      </c>
      <c r="X32">
        <f>+[3]Sheet1!U32</f>
        <v>28.298118066067541</v>
      </c>
      <c r="Y32">
        <f>+[3]Sheet1!V32</f>
        <v>739937.81526721432</v>
      </c>
      <c r="Z32">
        <f>+[3]Sheet1!W32</f>
        <v>44.770790409078337</v>
      </c>
      <c r="AA32">
        <f>+[3]Sheet1!X32</f>
        <v>1018776.8046807389</v>
      </c>
      <c r="AB32">
        <f>+[3]Sheet1!Y32</f>
        <v>61.440698430183659</v>
      </c>
      <c r="AC32">
        <f>+[3]Sheet1!Z32</f>
        <v>0.20857488362938481</v>
      </c>
      <c r="AD32">
        <f>+[3]Sheet1!AA32</f>
        <v>61647.72615594697</v>
      </c>
      <c r="AE32">
        <f>+[3]Sheet1!AB32</f>
        <v>154120.15089789551</v>
      </c>
      <c r="AF32">
        <f>+[3]Sheet1!AC32</f>
        <v>165.69575375471291</v>
      </c>
      <c r="AG32">
        <f>+[3]Sheet1!AD32</f>
        <v>131.81658399017201</v>
      </c>
      <c r="AH32" s="16">
        <f>+[3]Sheet1!AE32</f>
        <v>158.1226696159261</v>
      </c>
      <c r="AI32" s="16">
        <f>+[3]Sheet1!AF32</f>
        <v>363.16873029218459</v>
      </c>
      <c r="AJ32" s="16">
        <f>+[3]Sheet1!AG32</f>
        <v>181.93201109986401</v>
      </c>
      <c r="AK32" s="16">
        <f>+[3]Sheet1!AH32</f>
        <v>107.8368573223575</v>
      </c>
      <c r="AL32" s="16">
        <f>+[3]Sheet1!AI32</f>
        <v>90.133690715530676</v>
      </c>
      <c r="AM32" s="16">
        <f>+[3]Sheet1!AJ32</f>
        <v>153.95512907131899</v>
      </c>
      <c r="AN32" s="16">
        <f>+[3]Sheet1!AK32</f>
        <v>114.5041341748481</v>
      </c>
      <c r="AO32" s="16">
        <f>+[3]Sheet1!AL32</f>
        <v>208.79133578695379</v>
      </c>
      <c r="AP32" s="16">
        <f>+[3]Sheet1!AM32</f>
        <v>182.46492141928979</v>
      </c>
      <c r="AQ32" s="16">
        <f>+[3]Sheet1!AN32</f>
        <v>183.3260709338534</v>
      </c>
      <c r="AR32" s="16">
        <f>+[3]Sheet1!AO32</f>
        <v>162.97664602960529</v>
      </c>
      <c r="AS32" s="16">
        <f>+[3]Sheet1!AP32</f>
        <v>156.121480811992</v>
      </c>
      <c r="AT32" s="16">
        <f>+[3]Sheet1!AQ32</f>
        <v>56.271968708518607</v>
      </c>
      <c r="AU32" s="16">
        <f>+[3]Sheet1!AR32</f>
        <v>142.97030387225891</v>
      </c>
      <c r="AV32" s="16">
        <f>+[3]Sheet1!AS32</f>
        <v>116.9892565892012</v>
      </c>
      <c r="AW32" s="16">
        <f>+[3]Sheet1!AT32</f>
        <v>4070498.3890113798</v>
      </c>
      <c r="AX32" s="16">
        <f>+base_mensual!AY32</f>
        <v>615</v>
      </c>
      <c r="AY32">
        <f>+base_mensual!AZ32</f>
        <v>2.0366471266482935</v>
      </c>
      <c r="AZ32">
        <f>+[3]Sheet1!AX32</f>
        <v>150.8660956248456</v>
      </c>
    </row>
    <row r="33" spans="1:52" x14ac:dyDescent="0.25">
      <c r="A33" s="2">
        <f>+base_mensual!A33</f>
        <v>42247</v>
      </c>
      <c r="B33" s="1">
        <f>+base_mensual!B33</f>
        <v>-1.6230453501030473E-3</v>
      </c>
      <c r="C33">
        <f>+base_mensual!AE33</f>
        <v>160.67286959239638</v>
      </c>
      <c r="D33">
        <f>+base_mensual!H33</f>
        <v>191.98283739665499</v>
      </c>
      <c r="E33">
        <f>+[3]Sheet1!B33</f>
        <v>42232.483544486153</v>
      </c>
      <c r="F33">
        <f>+[3]Sheet1!C33</f>
        <v>20260.128922126911</v>
      </c>
      <c r="G33">
        <f>+[3]Sheet1!D33</f>
        <v>50926.360438205447</v>
      </c>
      <c r="H33">
        <f>+[3]Sheet1!E33</f>
        <v>13094.414956568649</v>
      </c>
      <c r="I33">
        <f>+[3]Sheet1!F33</f>
        <v>903711.69545819284</v>
      </c>
      <c r="J33">
        <f>+[3]Sheet1!G33</f>
        <v>360.07339525987328</v>
      </c>
      <c r="K33">
        <f>+[3]Sheet1!H33</f>
        <v>422.91739143061909</v>
      </c>
      <c r="L33">
        <f>+[3]Sheet1!I33</f>
        <v>166.71567238245831</v>
      </c>
      <c r="M33">
        <f>+[3]Sheet1!J33</f>
        <v>9395.1746991415621</v>
      </c>
      <c r="N33">
        <f>+[3]Sheet1!K33</f>
        <v>37959.908600434697</v>
      </c>
      <c r="O33">
        <f>+[3]Sheet1!L33</f>
        <v>32645.753409566849</v>
      </c>
      <c r="P33">
        <f>+[3]Sheet1!M33</f>
        <v>0.53372738443667378</v>
      </c>
      <c r="Q33">
        <f>+[3]Sheet1!N33</f>
        <v>2.2479816360009499</v>
      </c>
      <c r="R33">
        <f>+[3]Sheet1!O33</f>
        <v>1.898285600263353</v>
      </c>
      <c r="S33">
        <f>+[3]Sheet1!P33</f>
        <v>11145.185307726601</v>
      </c>
      <c r="T33">
        <f>+[3]Sheet1!Q33</f>
        <v>11381.52173927351</v>
      </c>
      <c r="U33">
        <f>+[3]Sheet1!R33</f>
        <v>0.67438954758561132</v>
      </c>
      <c r="V33">
        <f>+[3]Sheet1!S33</f>
        <v>0.66274360182071357</v>
      </c>
      <c r="W33">
        <f>+[3]Sheet1!T33</f>
        <v>460334.10325803701</v>
      </c>
      <c r="X33">
        <f>+[3]Sheet1!U33</f>
        <v>27.711865938346929</v>
      </c>
      <c r="Y33">
        <f>+[3]Sheet1!V33</f>
        <v>757406.94472055545</v>
      </c>
      <c r="Z33">
        <f>+[3]Sheet1!W33</f>
        <v>44.736278500033237</v>
      </c>
      <c r="AA33">
        <f>+[3]Sheet1!X33</f>
        <v>1036787.3486475589</v>
      </c>
      <c r="AB33">
        <f>+[3]Sheet1!Y33</f>
        <v>61.387864087420503</v>
      </c>
      <c r="AC33">
        <f>+[3]Sheet1!Z33</f>
        <v>0.21477370897786299</v>
      </c>
      <c r="AD33">
        <f>+[3]Sheet1!AA33</f>
        <v>57069.685414700041</v>
      </c>
      <c r="AE33">
        <f>+[3]Sheet1!AB33</f>
        <v>140521.3372258078</v>
      </c>
      <c r="AF33">
        <f>+[3]Sheet1!AC33</f>
        <v>159.61227383464831</v>
      </c>
      <c r="AG33">
        <f>+[3]Sheet1!AD33</f>
        <v>125.4742548390451</v>
      </c>
      <c r="AH33" s="16">
        <f>+[3]Sheet1!AE33</f>
        <v>158.8415939972291</v>
      </c>
      <c r="AI33" s="16">
        <f>+[3]Sheet1!AF33</f>
        <v>334.29699565837763</v>
      </c>
      <c r="AJ33" s="16">
        <f>+[3]Sheet1!AG33</f>
        <v>176.02033460431699</v>
      </c>
      <c r="AK33" s="16">
        <f>+[3]Sheet1!AH33</f>
        <v>100.0529595332537</v>
      </c>
      <c r="AL33" s="16">
        <f>+[3]Sheet1!AI33</f>
        <v>90.073158801798854</v>
      </c>
      <c r="AM33" s="16">
        <f>+[3]Sheet1!AJ33</f>
        <v>151.40728971600689</v>
      </c>
      <c r="AN33" s="16">
        <f>+[3]Sheet1!AK33</f>
        <v>109.0884973867042</v>
      </c>
      <c r="AO33" s="16">
        <f>+[3]Sheet1!AL33</f>
        <v>207.50161663681919</v>
      </c>
      <c r="AP33" s="16">
        <f>+[3]Sheet1!AM33</f>
        <v>181.39608732957771</v>
      </c>
      <c r="AQ33" s="16">
        <f>+[3]Sheet1!AN33</f>
        <v>201.94643728633901</v>
      </c>
      <c r="AR33" s="16">
        <f>+[3]Sheet1!AO33</f>
        <v>161.1576709690541</v>
      </c>
      <c r="AS33" s="16">
        <f>+[3]Sheet1!AP33</f>
        <v>151.5225145431786</v>
      </c>
      <c r="AT33" s="16">
        <f>+[3]Sheet1!AQ33</f>
        <v>54.770971084018917</v>
      </c>
      <c r="AU33" s="16">
        <f>+[3]Sheet1!AR33</f>
        <v>140.4577753116647</v>
      </c>
      <c r="AV33" s="16">
        <f>+[3]Sheet1!AS33</f>
        <v>117.1040507838848</v>
      </c>
      <c r="AW33" s="16">
        <f>+[3]Sheet1!AT33</f>
        <v>3810464.355359544</v>
      </c>
      <c r="AX33" s="16">
        <f>+base_mensual!AY33</f>
        <v>591</v>
      </c>
      <c r="AY33">
        <f>+base_mensual!AZ33</f>
        <v>1.9172549725043646</v>
      </c>
      <c r="AZ33">
        <f>+[3]Sheet1!AX33</f>
        <v>147.9250942760284</v>
      </c>
    </row>
    <row r="34" spans="1:52" x14ac:dyDescent="0.25">
      <c r="A34" s="2">
        <f>+base_mensual!A34</f>
        <v>42277</v>
      </c>
      <c r="B34" s="1">
        <f>+base_mensual!B34</f>
        <v>-1.6230453501030473E-3</v>
      </c>
      <c r="C34">
        <f>+base_mensual!AE34</f>
        <v>159.28102517759959</v>
      </c>
      <c r="D34">
        <f>+base_mensual!H34</f>
        <v>201.07219177710601</v>
      </c>
      <c r="E34">
        <f>+[3]Sheet1!B34</f>
        <v>45558.150909999771</v>
      </c>
      <c r="F34">
        <f>+[3]Sheet1!C34</f>
        <v>18957.30345773181</v>
      </c>
      <c r="G34">
        <f>+[3]Sheet1!D34</f>
        <v>53370.193060200938</v>
      </c>
      <c r="H34">
        <f>+[3]Sheet1!E34</f>
        <v>15451.09501904699</v>
      </c>
      <c r="I34">
        <f>+[3]Sheet1!F34</f>
        <v>1038711.4197274779</v>
      </c>
      <c r="J34">
        <f>+[3]Sheet1!G34</f>
        <v>318.07573865154092</v>
      </c>
      <c r="K34">
        <f>+[3]Sheet1!H34</f>
        <v>416.24008045433283</v>
      </c>
      <c r="L34">
        <f>+[3]Sheet1!I34</f>
        <v>166.56141535324531</v>
      </c>
      <c r="M34">
        <f>+[3]Sheet1!J34</f>
        <v>8402.2545329528875</v>
      </c>
      <c r="N34">
        <f>+[3]Sheet1!K34</f>
        <v>37796.740352568748</v>
      </c>
      <c r="O34">
        <f>+[3]Sheet1!L34</f>
        <v>32543.740292233721</v>
      </c>
      <c r="P34">
        <f>+[3]Sheet1!M34</f>
        <v>0.47702500532550368</v>
      </c>
      <c r="Q34">
        <f>+[3]Sheet1!N34</f>
        <v>2.2024799740898091</v>
      </c>
      <c r="R34">
        <f>+[3]Sheet1!O34</f>
        <v>1.8818256336988199</v>
      </c>
      <c r="S34">
        <f>+[3]Sheet1!P34</f>
        <v>9207.1355284184683</v>
      </c>
      <c r="T34">
        <f>+[3]Sheet1!Q34</f>
        <v>10148.04605277305</v>
      </c>
      <c r="U34">
        <f>+[3]Sheet1!R34</f>
        <v>0.53983192422633997</v>
      </c>
      <c r="V34">
        <f>+[3]Sheet1!S34</f>
        <v>0.62105264233809931</v>
      </c>
      <c r="W34">
        <f>+[3]Sheet1!T34</f>
        <v>369437.01677797921</v>
      </c>
      <c r="X34">
        <f>+[3]Sheet1!U34</f>
        <v>21.272384950002781</v>
      </c>
      <c r="Y34">
        <f>+[3]Sheet1!V34</f>
        <v>769887.58451233862</v>
      </c>
      <c r="Z34">
        <f>+[3]Sheet1!W34</f>
        <v>44.742713494297192</v>
      </c>
      <c r="AA34">
        <f>+[3]Sheet1!X34</f>
        <v>1062262.7740396659</v>
      </c>
      <c r="AB34">
        <f>+[3]Sheet1!Y34</f>
        <v>61.278524578900573</v>
      </c>
      <c r="AC34">
        <f>+[3]Sheet1!Z34</f>
        <v>0.22083849801800659</v>
      </c>
      <c r="AD34">
        <f>+[3]Sheet1!AA34</f>
        <v>60142.426852472017</v>
      </c>
      <c r="AE34">
        <f>+[3]Sheet1!AB34</f>
        <v>153293.15384912939</v>
      </c>
      <c r="AF34">
        <f>+[3]Sheet1!AC34</f>
        <v>163.5254626377133</v>
      </c>
      <c r="AG34">
        <f>+[3]Sheet1!AD34</f>
        <v>129.2953306311035</v>
      </c>
      <c r="AH34" s="16">
        <f>+[3]Sheet1!AE34</f>
        <v>157.30404582321071</v>
      </c>
      <c r="AI34" s="16">
        <f>+[3]Sheet1!AF34</f>
        <v>353.58153221409918</v>
      </c>
      <c r="AJ34" s="16">
        <f>+[3]Sheet1!AG34</f>
        <v>182.16717455434559</v>
      </c>
      <c r="AK34" s="16">
        <f>+[3]Sheet1!AH34</f>
        <v>102.8485437481196</v>
      </c>
      <c r="AL34" s="16">
        <f>+[3]Sheet1!AI34</f>
        <v>90.551077853083058</v>
      </c>
      <c r="AM34" s="16">
        <f>+[3]Sheet1!AJ34</f>
        <v>152.98073849028179</v>
      </c>
      <c r="AN34" s="16">
        <f>+[3]Sheet1!AK34</f>
        <v>103.86676397768289</v>
      </c>
      <c r="AO34" s="16">
        <f>+[3]Sheet1!AL34</f>
        <v>203.5625172735173</v>
      </c>
      <c r="AP34" s="16">
        <f>+[3]Sheet1!AM34</f>
        <v>196.46982827608321</v>
      </c>
      <c r="AQ34" s="16">
        <f>+[3]Sheet1!AN34</f>
        <v>186.70762422374111</v>
      </c>
      <c r="AR34" s="16">
        <f>+[3]Sheet1!AO34</f>
        <v>155.16440748426359</v>
      </c>
      <c r="AS34" s="16">
        <f>+[3]Sheet1!AP34</f>
        <v>162.30313771698869</v>
      </c>
      <c r="AT34" s="16">
        <f>+[3]Sheet1!AQ34</f>
        <v>53.84482926262401</v>
      </c>
      <c r="AU34" s="16">
        <f>+[3]Sheet1!AR34</f>
        <v>137.55628936901451</v>
      </c>
      <c r="AV34" s="16">
        <f>+[3]Sheet1!AS34</f>
        <v>118.6315270688812</v>
      </c>
      <c r="AW34" s="16">
        <f>+[3]Sheet1!AT34</f>
        <v>3653712.9736549752</v>
      </c>
      <c r="AX34" s="16">
        <f>+base_mensual!AY34</f>
        <v>575</v>
      </c>
      <c r="AY34">
        <f>+base_mensual!AZ34</f>
        <v>1.777935535542563</v>
      </c>
      <c r="AZ34">
        <f>+[3]Sheet1!AX34</f>
        <v>148.7623695360173</v>
      </c>
    </row>
    <row r="35" spans="1:52" x14ac:dyDescent="0.25">
      <c r="A35" s="2">
        <f>+base_mensual!A35</f>
        <v>42307</v>
      </c>
      <c r="B35" s="1">
        <f>+base_mensual!B35</f>
        <v>-1.1780086970957893E-2</v>
      </c>
      <c r="C35">
        <f>+base_mensual!AE35</f>
        <v>158.69707894232744</v>
      </c>
      <c r="D35">
        <f>+base_mensual!H35</f>
        <v>201.76616720315701</v>
      </c>
      <c r="E35">
        <f>+[3]Sheet1!B35</f>
        <v>38535.326917154023</v>
      </c>
      <c r="F35">
        <f>+[3]Sheet1!C35</f>
        <v>14331.023726691141</v>
      </c>
      <c r="G35">
        <f>+[3]Sheet1!D35</f>
        <v>52953.162665431249</v>
      </c>
      <c r="H35">
        <f>+[3]Sheet1!E35</f>
        <v>13714.88481560591</v>
      </c>
      <c r="I35">
        <f>+[3]Sheet1!F35</f>
        <v>992737.11810849095</v>
      </c>
      <c r="J35">
        <f>+[3]Sheet1!G35</f>
        <v>321.83599811034992</v>
      </c>
      <c r="K35">
        <f>+[3]Sheet1!H35</f>
        <v>420.55273884961332</v>
      </c>
      <c r="L35">
        <f>+[3]Sheet1!I35</f>
        <v>163.8651976737863</v>
      </c>
      <c r="M35">
        <f>+[3]Sheet1!J35</f>
        <v>9280.7643524830437</v>
      </c>
      <c r="N35">
        <f>+[3]Sheet1!K35</f>
        <v>39504.536910172239</v>
      </c>
      <c r="O35">
        <f>+[3]Sheet1!L35</f>
        <v>34208.367778246124</v>
      </c>
      <c r="P35">
        <f>+[3]Sheet1!M35</f>
        <v>0.51877117975926834</v>
      </c>
      <c r="Q35">
        <f>+[3]Sheet1!N35</f>
        <v>2.2354882571724191</v>
      </c>
      <c r="R35">
        <f>+[3]Sheet1!O35</f>
        <v>1.910589768827369</v>
      </c>
      <c r="S35">
        <f>+[3]Sheet1!P35</f>
        <v>11604.08315262637</v>
      </c>
      <c r="T35">
        <f>+[3]Sheet1!Q35</f>
        <v>10524.23561083061</v>
      </c>
      <c r="U35">
        <f>+[3]Sheet1!R35</f>
        <v>0.68257467655890525</v>
      </c>
      <c r="V35">
        <f>+[3]Sheet1!S35</f>
        <v>0.5855086265338868</v>
      </c>
      <c r="W35">
        <f>+[3]Sheet1!T35</f>
        <v>459074.13892217918</v>
      </c>
      <c r="X35">
        <f>+[3]Sheet1!U35</f>
        <v>27.324014431965111</v>
      </c>
      <c r="Y35">
        <f>+[3]Sheet1!V35</f>
        <v>791822.29751771025</v>
      </c>
      <c r="Z35">
        <f>+[3]Sheet1!W35</f>
        <v>44.578763924595989</v>
      </c>
      <c r="AA35">
        <f>+[3]Sheet1!X35</f>
        <v>1089251.1022785341</v>
      </c>
      <c r="AB35">
        <f>+[3]Sheet1!Y35</f>
        <v>61.298986278910682</v>
      </c>
      <c r="AC35">
        <f>+[3]Sheet1!Z35</f>
        <v>0.22836785121913031</v>
      </c>
      <c r="AD35">
        <f>+[3]Sheet1!AA35</f>
        <v>59042.584175965727</v>
      </c>
      <c r="AE35">
        <f>+[3]Sheet1!AB35</f>
        <v>148782.87005079639</v>
      </c>
      <c r="AF35">
        <f>+[3]Sheet1!AC35</f>
        <v>158.45480392986059</v>
      </c>
      <c r="AG35">
        <f>+[3]Sheet1!AD35</f>
        <v>122.0821127465111</v>
      </c>
      <c r="AH35" s="16">
        <f>+[3]Sheet1!AE35</f>
        <v>162.98064414704831</v>
      </c>
      <c r="AI35" s="16">
        <f>+[3]Sheet1!AF35</f>
        <v>281.06314098179843</v>
      </c>
      <c r="AJ35" s="16">
        <f>+[3]Sheet1!AG35</f>
        <v>173.46027687475009</v>
      </c>
      <c r="AK35" s="16">
        <f>+[3]Sheet1!AH35</f>
        <v>101.9076499702186</v>
      </c>
      <c r="AL35" s="16">
        <f>+[3]Sheet1!AI35</f>
        <v>90.274931501045188</v>
      </c>
      <c r="AM35" s="16">
        <f>+[3]Sheet1!AJ35</f>
        <v>152.38762787051411</v>
      </c>
      <c r="AN35" s="16">
        <f>+[3]Sheet1!AK35</f>
        <v>108.1064883608268</v>
      </c>
      <c r="AO35" s="16">
        <f>+[3]Sheet1!AL35</f>
        <v>222.22123876450851</v>
      </c>
      <c r="AP35" s="16">
        <f>+[3]Sheet1!AM35</f>
        <v>194.32825626239719</v>
      </c>
      <c r="AQ35" s="16">
        <f>+[3]Sheet1!AN35</f>
        <v>192.0615441519094</v>
      </c>
      <c r="AR35" s="16">
        <f>+[3]Sheet1!AO35</f>
        <v>161.7302862967029</v>
      </c>
      <c r="AS35" s="16">
        <f>+[3]Sheet1!AP35</f>
        <v>138.59174980355399</v>
      </c>
      <c r="AT35" s="16">
        <f>+[3]Sheet1!AQ35</f>
        <v>52.080385962833937</v>
      </c>
      <c r="AU35" s="16">
        <f>+[3]Sheet1!AR35</f>
        <v>141.70989200417739</v>
      </c>
      <c r="AV35" s="16">
        <f>+[3]Sheet1!AS35</f>
        <v>120.02522011581419</v>
      </c>
      <c r="AW35" s="16">
        <f>+[3]Sheet1!AT35</f>
        <v>3782160.4768900918</v>
      </c>
      <c r="AX35" s="16">
        <f>+base_mensual!AY35</f>
        <v>489</v>
      </c>
      <c r="AY35">
        <f>+base_mensual!AZ35</f>
        <v>1.9085067187023732</v>
      </c>
      <c r="AZ35">
        <f>+[3]Sheet1!AX35</f>
        <v>148.29275797985741</v>
      </c>
    </row>
    <row r="36" spans="1:52" x14ac:dyDescent="0.25">
      <c r="A36" s="2">
        <f>+base_mensual!A36</f>
        <v>42338</v>
      </c>
      <c r="B36" s="1">
        <f>+base_mensual!B36</f>
        <v>-1.1780086970957893E-2</v>
      </c>
      <c r="C36">
        <f>+base_mensual!AE36</f>
        <v>156.68877290646242</v>
      </c>
      <c r="D36">
        <f>+base_mensual!H36</f>
        <v>195.67531110971601</v>
      </c>
      <c r="E36">
        <f>+[3]Sheet1!B36</f>
        <v>40540.856476093497</v>
      </c>
      <c r="F36">
        <f>+[3]Sheet1!C36</f>
        <v>16424.329798879749</v>
      </c>
      <c r="G36">
        <f>+[3]Sheet1!D36</f>
        <v>52283.602889864524</v>
      </c>
      <c r="H36">
        <f>+[3]Sheet1!E36</f>
        <v>14250.90826310792</v>
      </c>
      <c r="I36">
        <f>+[3]Sheet1!F36</f>
        <v>938406.44432135113</v>
      </c>
      <c r="J36">
        <f>+[3]Sheet1!G36</f>
        <v>315.58190139510901</v>
      </c>
      <c r="K36">
        <f>+[3]Sheet1!H36</f>
        <v>403.48374619287728</v>
      </c>
      <c r="L36">
        <f>+[3]Sheet1!I36</f>
        <v>156.9936274038119</v>
      </c>
      <c r="M36">
        <f>+[3]Sheet1!J36</f>
        <v>8624.7450078707934</v>
      </c>
      <c r="N36">
        <f>+[3]Sheet1!K36</f>
        <v>39461.018576379087</v>
      </c>
      <c r="O36">
        <f>+[3]Sheet1!L36</f>
        <v>34495.130759664513</v>
      </c>
      <c r="P36">
        <f>+[3]Sheet1!M36</f>
        <v>0.48166349955250293</v>
      </c>
      <c r="Q36">
        <f>+[3]Sheet1!N36</f>
        <v>2.21326470944916</v>
      </c>
      <c r="R36">
        <f>+[3]Sheet1!O36</f>
        <v>1.8832061011831049</v>
      </c>
      <c r="S36">
        <f>+[3]Sheet1!P36</f>
        <v>12687.302062823999</v>
      </c>
      <c r="T36">
        <f>+[3]Sheet1!Q36</f>
        <v>12666.55269203177</v>
      </c>
      <c r="U36">
        <f>+[3]Sheet1!R36</f>
        <v>0.68371030335751537</v>
      </c>
      <c r="V36">
        <f>+[3]Sheet1!S36</f>
        <v>0.69125125984134994</v>
      </c>
      <c r="W36">
        <f>+[3]Sheet1!T36</f>
        <v>520406.03494537668</v>
      </c>
      <c r="X36">
        <f>+[3]Sheet1!U36</f>
        <v>28.19634861519032</v>
      </c>
      <c r="Y36">
        <f>+[3]Sheet1!V36</f>
        <v>810226.9709043547</v>
      </c>
      <c r="Z36">
        <f>+[3]Sheet1!W36</f>
        <v>44.695784257547317</v>
      </c>
      <c r="AA36">
        <f>+[3]Sheet1!X36</f>
        <v>1126493.377445902</v>
      </c>
      <c r="AB36">
        <f>+[3]Sheet1!Y36</f>
        <v>62.303015766901737</v>
      </c>
      <c r="AC36">
        <f>+[3]Sheet1!Z36</f>
        <v>0.24482147863391149</v>
      </c>
      <c r="AD36">
        <f>+[3]Sheet1!AA36</f>
        <v>57631.89063458224</v>
      </c>
      <c r="AE36">
        <f>+[3]Sheet1!AB36</f>
        <v>143975.5984562941</v>
      </c>
      <c r="AF36">
        <f>+[3]Sheet1!AC36</f>
        <v>157.38255190764511</v>
      </c>
      <c r="AG36">
        <f>+[3]Sheet1!AD36</f>
        <v>131.42272289749491</v>
      </c>
      <c r="AH36" s="16">
        <f>+[3]Sheet1!AE36</f>
        <v>157.89512323188839</v>
      </c>
      <c r="AI36" s="16">
        <f>+[3]Sheet1!AF36</f>
        <v>291.83596241893321</v>
      </c>
      <c r="AJ36" s="16">
        <f>+[3]Sheet1!AG36</f>
        <v>171.76662220722761</v>
      </c>
      <c r="AK36" s="16">
        <f>+[3]Sheet1!AH36</f>
        <v>103.2113435793879</v>
      </c>
      <c r="AL36" s="16">
        <f>+[3]Sheet1!AI36</f>
        <v>90.218286952062016</v>
      </c>
      <c r="AM36" s="16">
        <f>+[3]Sheet1!AJ36</f>
        <v>155.647183511164</v>
      </c>
      <c r="AN36" s="16">
        <f>+[3]Sheet1!AK36</f>
        <v>108.37464148606919</v>
      </c>
      <c r="AO36" s="16">
        <f>+[3]Sheet1!AL36</f>
        <v>211.0083933678942</v>
      </c>
      <c r="AP36" s="16">
        <f>+[3]Sheet1!AM36</f>
        <v>185.30660769587209</v>
      </c>
      <c r="AQ36" s="16">
        <f>+[3]Sheet1!AN36</f>
        <v>178.90103156923931</v>
      </c>
      <c r="AR36" s="16">
        <f>+[3]Sheet1!AO36</f>
        <v>157.24195215692049</v>
      </c>
      <c r="AS36" s="16">
        <f>+[3]Sheet1!AP36</f>
        <v>145.22134887038001</v>
      </c>
      <c r="AT36" s="16">
        <f>+[3]Sheet1!AQ36</f>
        <v>58.881637683362371</v>
      </c>
      <c r="AU36" s="16">
        <f>+[3]Sheet1!AR36</f>
        <v>141.7804276689304</v>
      </c>
      <c r="AV36" s="16">
        <f>+[3]Sheet1!AS36</f>
        <v>119.7784645998302</v>
      </c>
      <c r="AW36" s="16">
        <f>+[3]Sheet1!AT36</f>
        <v>3187662.2513344861</v>
      </c>
      <c r="AX36" s="16">
        <f>+base_mensual!AY36</f>
        <v>491</v>
      </c>
      <c r="AY36">
        <f>+base_mensual!AZ36</f>
        <v>1.7489368356650425</v>
      </c>
      <c r="AZ36">
        <f>+[3]Sheet1!AX36</f>
        <v>148.11903660389939</v>
      </c>
    </row>
    <row r="37" spans="1:52" x14ac:dyDescent="0.25">
      <c r="A37" s="2">
        <f>+base_mensual!A37</f>
        <v>42369</v>
      </c>
      <c r="B37" s="1">
        <f>+base_mensual!B37</f>
        <v>-1.1780086970957893E-2</v>
      </c>
      <c r="C37">
        <f>+base_mensual!AE37</f>
        <v>153.72407410152684</v>
      </c>
      <c r="D37">
        <f>+base_mensual!H37</f>
        <v>186.81617969281999</v>
      </c>
      <c r="E37">
        <f>+[3]Sheet1!B37</f>
        <v>40955.440719732891</v>
      </c>
      <c r="F37">
        <f>+[3]Sheet1!C37</f>
        <v>14764.40593004093</v>
      </c>
      <c r="G37">
        <f>+[3]Sheet1!D37</f>
        <v>29866.313229479521</v>
      </c>
      <c r="H37">
        <f>+[3]Sheet1!E37</f>
        <v>8111.810355847444</v>
      </c>
      <c r="I37">
        <f>+[3]Sheet1!F37</f>
        <v>972242.13273090438</v>
      </c>
      <c r="J37">
        <f>+[3]Sheet1!G37</f>
        <v>310.4546127349634</v>
      </c>
      <c r="K37">
        <f>+[3]Sheet1!H37</f>
        <v>411.37525615813507</v>
      </c>
      <c r="L37">
        <f>+[3]Sheet1!I37</f>
        <v>162.93340007178799</v>
      </c>
      <c r="M37">
        <f>+[3]Sheet1!J37</f>
        <v>10763.20681505024</v>
      </c>
      <c r="N37">
        <f>+[3]Sheet1!K37</f>
        <v>43315.713463531909</v>
      </c>
      <c r="O37">
        <f>+[3]Sheet1!L37</f>
        <v>36690.044106233108</v>
      </c>
      <c r="P37">
        <f>+[3]Sheet1!M37</f>
        <v>0.58500616188254206</v>
      </c>
      <c r="Q37">
        <f>+[3]Sheet1!N37</f>
        <v>2.372025970399346</v>
      </c>
      <c r="R37">
        <f>+[3]Sheet1!O37</f>
        <v>2.0441864857816592</v>
      </c>
      <c r="S37">
        <f>+[3]Sheet1!P37</f>
        <v>12156.02949073936</v>
      </c>
      <c r="T37">
        <f>+[3]Sheet1!Q37</f>
        <v>12676.85152572279</v>
      </c>
      <c r="U37">
        <f>+[3]Sheet1!R37</f>
        <v>0.68692295686701432</v>
      </c>
      <c r="V37">
        <f>+[3]Sheet1!S37</f>
        <v>0.69075907427601846</v>
      </c>
      <c r="W37">
        <f>+[3]Sheet1!T37</f>
        <v>493133.23069815949</v>
      </c>
      <c r="X37">
        <f>+[3]Sheet1!U37</f>
        <v>28.15943474197822</v>
      </c>
      <c r="Y37">
        <f>+[3]Sheet1!V37</f>
        <v>823335.27887451521</v>
      </c>
      <c r="Z37">
        <f>+[3]Sheet1!W37</f>
        <v>45.258425207777769</v>
      </c>
      <c r="AA37">
        <f>+[3]Sheet1!X37</f>
        <v>1057053.483443433</v>
      </c>
      <c r="AB37">
        <f>+[3]Sheet1!Y37</f>
        <v>58.410830943718302</v>
      </c>
      <c r="AC37">
        <f>+[3]Sheet1!Z37</f>
        <v>0.27437828991376878</v>
      </c>
      <c r="AD37">
        <f>+[3]Sheet1!AA37</f>
        <v>59722.334850642677</v>
      </c>
      <c r="AE37">
        <f>+[3]Sheet1!AB37</f>
        <v>143577.88806895501</v>
      </c>
      <c r="AF37">
        <f>+[3]Sheet1!AC37</f>
        <v>159.48169523443579</v>
      </c>
      <c r="AG37">
        <f>+[3]Sheet1!AD37</f>
        <v>130.36537100955809</v>
      </c>
      <c r="AH37" s="16">
        <f>+[3]Sheet1!AE37</f>
        <v>154.42626546555951</v>
      </c>
      <c r="AI37" s="16">
        <f>+[3]Sheet1!AF37</f>
        <v>299.51858222937568</v>
      </c>
      <c r="AJ37" s="16">
        <f>+[3]Sheet1!AG37</f>
        <v>172.920350696659</v>
      </c>
      <c r="AK37" s="16">
        <f>+[3]Sheet1!AH37</f>
        <v>113.3692938061434</v>
      </c>
      <c r="AL37" s="16">
        <f>+[3]Sheet1!AI37</f>
        <v>89.550776757838221</v>
      </c>
      <c r="AM37" s="16">
        <f>+[3]Sheet1!AJ37</f>
        <v>156.69054487425001</v>
      </c>
      <c r="AN37" s="16">
        <f>+[3]Sheet1!AK37</f>
        <v>107.30765026546329</v>
      </c>
      <c r="AO37" s="16">
        <f>+[3]Sheet1!AL37</f>
        <v>203.2597404290679</v>
      </c>
      <c r="AP37" s="16">
        <f>+[3]Sheet1!AM37</f>
        <v>186.50198176315061</v>
      </c>
      <c r="AQ37" s="16">
        <f>+[3]Sheet1!AN37</f>
        <v>179.60416880590981</v>
      </c>
      <c r="AR37" s="16">
        <f>+[3]Sheet1!AO37</f>
        <v>158.9421166715093</v>
      </c>
      <c r="AS37" s="16">
        <f>+[3]Sheet1!AP37</f>
        <v>146.46062471000951</v>
      </c>
      <c r="AT37" s="16">
        <f>+[3]Sheet1!AQ37</f>
        <v>53.310526232348693</v>
      </c>
      <c r="AU37" s="16">
        <f>+[3]Sheet1!AR37</f>
        <v>136.2124526862284</v>
      </c>
      <c r="AV37" s="16">
        <f>+[3]Sheet1!AS37</f>
        <v>115.0564795826195</v>
      </c>
      <c r="AW37" s="16">
        <f>+[3]Sheet1!AT37</f>
        <v>3618658.049743637</v>
      </c>
      <c r="AX37" s="16">
        <f>+base_mensual!AY37</f>
        <v>468</v>
      </c>
      <c r="AY37">
        <f>+base_mensual!AZ37</f>
        <v>1.7974913967000716</v>
      </c>
      <c r="AZ37">
        <f>+[3]Sheet1!AX37</f>
        <v>146.68008916538611</v>
      </c>
    </row>
    <row r="38" spans="1:52" x14ac:dyDescent="0.25">
      <c r="A38" s="2">
        <f>+base_mensual!A38</f>
        <v>42398</v>
      </c>
      <c r="B38" s="1">
        <f>+base_mensual!B38</f>
        <v>-7.9385611893333374E-3</v>
      </c>
      <c r="C38">
        <f>+base_mensual!AE38</f>
        <v>152.66717245469488</v>
      </c>
      <c r="D38">
        <f>+base_mensual!H38</f>
        <v>185.978756643281</v>
      </c>
      <c r="E38">
        <f>+[3]Sheet1!B38</f>
        <v>38826.642434004752</v>
      </c>
      <c r="F38">
        <f>+[3]Sheet1!C38</f>
        <v>15406.489491050281</v>
      </c>
      <c r="G38">
        <f>+[3]Sheet1!D38</f>
        <v>62899.041200633568</v>
      </c>
      <c r="H38">
        <f>+[3]Sheet1!E38</f>
        <v>16791.951939661201</v>
      </c>
      <c r="I38">
        <f>+[3]Sheet1!F38</f>
        <v>923876.81056973571</v>
      </c>
      <c r="J38">
        <f>+[3]Sheet1!G38</f>
        <v>275.55705382803347</v>
      </c>
      <c r="K38">
        <f>+[3]Sheet1!H38</f>
        <v>387.87882891471992</v>
      </c>
      <c r="L38">
        <f>+[3]Sheet1!I38</f>
        <v>154.23740365445079</v>
      </c>
      <c r="M38">
        <f>+[3]Sheet1!J38</f>
        <v>9856.1310675360237</v>
      </c>
      <c r="N38">
        <f>+[3]Sheet1!K38</f>
        <v>42373.330923879374</v>
      </c>
      <c r="O38">
        <f>+[3]Sheet1!L38</f>
        <v>38920.970523147007</v>
      </c>
      <c r="P38">
        <f>+[3]Sheet1!M38</f>
        <v>0.53289157002279586</v>
      </c>
      <c r="Q38">
        <f>+[3]Sheet1!N38</f>
        <v>2.32402371435641</v>
      </c>
      <c r="R38">
        <f>+[3]Sheet1!O38</f>
        <v>2.21261543090294</v>
      </c>
      <c r="S38">
        <f>+[3]Sheet1!P38</f>
        <v>11569.107882273051</v>
      </c>
      <c r="T38">
        <f>+[3]Sheet1!Q38</f>
        <v>11069.61140809033</v>
      </c>
      <c r="U38">
        <f>+[3]Sheet1!R38</f>
        <v>0.64527506046977179</v>
      </c>
      <c r="V38">
        <f>+[3]Sheet1!S38</f>
        <v>0.62217090674611442</v>
      </c>
      <c r="W38">
        <f>+[3]Sheet1!T38</f>
        <v>485203.27563624288</v>
      </c>
      <c r="X38">
        <f>+[3]Sheet1!U38</f>
        <v>26.326940714374771</v>
      </c>
      <c r="Y38">
        <f>+[3]Sheet1!V38</f>
        <v>824924.41615910409</v>
      </c>
      <c r="Z38">
        <f>+[3]Sheet1!W38</f>
        <v>44.771994746020653</v>
      </c>
      <c r="AA38">
        <f>+[3]Sheet1!X38</f>
        <v>1121515.1343186439</v>
      </c>
      <c r="AB38">
        <f>+[3]Sheet1!Y38</f>
        <v>60.798946541911377</v>
      </c>
      <c r="AC38">
        <f>+[3]Sheet1!Z38</f>
        <v>0.26659725195292638</v>
      </c>
      <c r="AD38">
        <f>+[3]Sheet1!AA38</f>
        <v>53879.38235287281</v>
      </c>
      <c r="AE38">
        <f>+[3]Sheet1!AB38</f>
        <v>125060.37620580191</v>
      </c>
      <c r="AF38">
        <f>+[3]Sheet1!AC38</f>
        <v>155.97840733565531</v>
      </c>
      <c r="AG38">
        <f>+[3]Sheet1!AD38</f>
        <v>114.4073772798467</v>
      </c>
      <c r="AH38" s="16">
        <f>+[3]Sheet1!AE38</f>
        <v>152.18173108996899</v>
      </c>
      <c r="AI38" s="16">
        <f>+[3]Sheet1!AF38</f>
        <v>337.91086556838587</v>
      </c>
      <c r="AJ38" s="16">
        <f>+[3]Sheet1!AG38</f>
        <v>170.20454991796581</v>
      </c>
      <c r="AK38" s="16">
        <f>+[3]Sheet1!AH38</f>
        <v>98.67121246966893</v>
      </c>
      <c r="AL38" s="16">
        <f>+[3]Sheet1!AI38</f>
        <v>92.054265207629854</v>
      </c>
      <c r="AM38" s="16">
        <f>+[3]Sheet1!AJ38</f>
        <v>160.8207108285674</v>
      </c>
      <c r="AN38" s="16">
        <f>+[3]Sheet1!AK38</f>
        <v>105.42799495391201</v>
      </c>
      <c r="AO38" s="16">
        <f>+[3]Sheet1!AL38</f>
        <v>201.56045074200739</v>
      </c>
      <c r="AP38" s="16">
        <f>+[3]Sheet1!AM38</f>
        <v>183.6427929367039</v>
      </c>
      <c r="AQ38" s="16">
        <f>+[3]Sheet1!AN38</f>
        <v>177.94012691294751</v>
      </c>
      <c r="AR38" s="16">
        <f>+[3]Sheet1!AO38</f>
        <v>151.97754479649851</v>
      </c>
      <c r="AS38" s="16">
        <f>+[3]Sheet1!AP38</f>
        <v>139.1198818020267</v>
      </c>
      <c r="AT38" s="16">
        <f>+[3]Sheet1!AQ38</f>
        <v>52.902700592665113</v>
      </c>
      <c r="AU38" s="16">
        <f>+[3]Sheet1!AR38</f>
        <v>136.77200386489221</v>
      </c>
      <c r="AV38" s="16">
        <f>+[3]Sheet1!AS38</f>
        <v>112.8382562762413</v>
      </c>
      <c r="AW38" s="16">
        <f>+[3]Sheet1!AT38</f>
        <v>4642993.8344963798</v>
      </c>
      <c r="AX38" s="16">
        <f>+base_mensual!AY38</f>
        <v>502</v>
      </c>
      <c r="AY38">
        <f>+base_mensual!AZ38</f>
        <v>3.1378444917301977</v>
      </c>
      <c r="AZ38">
        <f>+[3]Sheet1!AX38</f>
        <v>145.79624982443909</v>
      </c>
    </row>
    <row r="39" spans="1:52" x14ac:dyDescent="0.25">
      <c r="A39" s="2">
        <f>+base_mensual!A39</f>
        <v>42429</v>
      </c>
      <c r="B39" s="1">
        <f>+base_mensual!B39</f>
        <v>-7.9385611893333374E-3</v>
      </c>
      <c r="C39">
        <f>+base_mensual!AE39</f>
        <v>155.03717995039923</v>
      </c>
      <c r="D39">
        <f>+base_mensual!H39</f>
        <v>182.011070933431</v>
      </c>
      <c r="E39">
        <f>+[3]Sheet1!B39</f>
        <v>37866.049040639024</v>
      </c>
      <c r="F39">
        <f>+[3]Sheet1!C39</f>
        <v>16154.79712420207</v>
      </c>
      <c r="G39">
        <f>+[3]Sheet1!D39</f>
        <v>56749.676335838303</v>
      </c>
      <c r="H39">
        <f>+[3]Sheet1!E39</f>
        <v>15308.035427551849</v>
      </c>
      <c r="I39">
        <f>+[3]Sheet1!F39</f>
        <v>936700.58201650716</v>
      </c>
      <c r="J39">
        <f>+[3]Sheet1!G39</f>
        <v>271.87056116596</v>
      </c>
      <c r="K39">
        <f>+[3]Sheet1!H39</f>
        <v>385.67297905527522</v>
      </c>
      <c r="L39">
        <f>+[3]Sheet1!I39</f>
        <v>164.50836982844001</v>
      </c>
      <c r="M39">
        <f>+[3]Sheet1!J39</f>
        <v>10796.51793721926</v>
      </c>
      <c r="N39">
        <f>+[3]Sheet1!K39</f>
        <v>43652.665839181987</v>
      </c>
      <c r="O39">
        <f>+[3]Sheet1!L39</f>
        <v>34781.009771268029</v>
      </c>
      <c r="P39">
        <f>+[3]Sheet1!M39</f>
        <v>0.56255411117320908</v>
      </c>
      <c r="Q39">
        <f>+[3]Sheet1!N39</f>
        <v>2.319264164410439</v>
      </c>
      <c r="R39">
        <f>+[3]Sheet1!O39</f>
        <v>1.7952368616270951</v>
      </c>
      <c r="S39">
        <f>+[3]Sheet1!P39</f>
        <v>13077.726695150221</v>
      </c>
      <c r="T39">
        <f>+[3]Sheet1!Q39</f>
        <v>11878.922002869151</v>
      </c>
      <c r="U39">
        <f>+[3]Sheet1!R39</f>
        <v>0.71031268214808674</v>
      </c>
      <c r="V39">
        <f>+[3]Sheet1!S39</f>
        <v>0.6417632275835905</v>
      </c>
      <c r="W39">
        <f>+[3]Sheet1!T39</f>
        <v>544545.46824875497</v>
      </c>
      <c r="X39">
        <f>+[3]Sheet1!U39</f>
        <v>29.329310067511042</v>
      </c>
      <c r="Y39">
        <f>+[3]Sheet1!V39</f>
        <v>839252.89942733827</v>
      </c>
      <c r="Z39">
        <f>+[3]Sheet1!W39</f>
        <v>44.621627855176293</v>
      </c>
      <c r="AA39">
        <f>+[3]Sheet1!X39</f>
        <v>1149075.9793074799</v>
      </c>
      <c r="AB39">
        <f>+[3]Sheet1!Y39</f>
        <v>61.014422796809519</v>
      </c>
      <c r="AC39">
        <f>+[3]Sheet1!Z39</f>
        <v>0.26153991126165937</v>
      </c>
      <c r="AD39">
        <f>+[3]Sheet1!AA39</f>
        <v>57549.071193036172</v>
      </c>
      <c r="AE39">
        <f>+[3]Sheet1!AB39</f>
        <v>128983.1338335953</v>
      </c>
      <c r="AF39">
        <f>+[3]Sheet1!AC39</f>
        <v>160.1652446325823</v>
      </c>
      <c r="AG39">
        <f>+[3]Sheet1!AD39</f>
        <v>140.60597982371149</v>
      </c>
      <c r="AH39" s="16">
        <f>+[3]Sheet1!AE39</f>
        <v>158.05878943742229</v>
      </c>
      <c r="AI39" s="16">
        <f>+[3]Sheet1!AF39</f>
        <v>338.74220500434052</v>
      </c>
      <c r="AJ39" s="16">
        <f>+[3]Sheet1!AG39</f>
        <v>177.25246138910731</v>
      </c>
      <c r="AK39" s="16">
        <f>+[3]Sheet1!AH39</f>
        <v>101.219488342726</v>
      </c>
      <c r="AL39" s="16">
        <f>+[3]Sheet1!AI39</f>
        <v>91.778134528304392</v>
      </c>
      <c r="AM39" s="16">
        <f>+[3]Sheet1!AJ39</f>
        <v>159.67018434426831</v>
      </c>
      <c r="AN39" s="16">
        <f>+[3]Sheet1!AK39</f>
        <v>110.4544306784891</v>
      </c>
      <c r="AO39" s="16">
        <f>+[3]Sheet1!AL39</f>
        <v>211.25237003842051</v>
      </c>
      <c r="AP39" s="16">
        <f>+[3]Sheet1!AM39</f>
        <v>184.81251150039861</v>
      </c>
      <c r="AQ39" s="16">
        <f>+[3]Sheet1!AN39</f>
        <v>176.57087222537911</v>
      </c>
      <c r="AR39" s="16">
        <f>+[3]Sheet1!AO39</f>
        <v>154.7585636064828</v>
      </c>
      <c r="AS39" s="16">
        <f>+[3]Sheet1!AP39</f>
        <v>135.60448185076439</v>
      </c>
      <c r="AT39" s="16">
        <f>+[3]Sheet1!AQ39</f>
        <v>47.770417871400703</v>
      </c>
      <c r="AU39" s="16">
        <f>+[3]Sheet1!AR39</f>
        <v>133.88732803242539</v>
      </c>
      <c r="AV39" s="16">
        <f>+[3]Sheet1!AS39</f>
        <v>112.78709484248461</v>
      </c>
      <c r="AW39" s="16">
        <f>+[3]Sheet1!AT39</f>
        <v>4351214.1899805134</v>
      </c>
      <c r="AX39" s="16">
        <f>+base_mensual!AY39</f>
        <v>461</v>
      </c>
      <c r="AY39">
        <f>+base_mensual!AZ39</f>
        <v>2.8618604040847053</v>
      </c>
      <c r="AZ39">
        <f>+[3]Sheet1!AX39</f>
        <v>147.52737315189631</v>
      </c>
    </row>
    <row r="40" spans="1:52" x14ac:dyDescent="0.25">
      <c r="A40" s="2">
        <f>+base_mensual!A40</f>
        <v>42460</v>
      </c>
      <c r="B40" s="1">
        <f>+base_mensual!B40</f>
        <v>-7.9385611893333374E-3</v>
      </c>
      <c r="C40">
        <f>+base_mensual!AE40</f>
        <v>153.08721742147705</v>
      </c>
      <c r="D40">
        <f>+base_mensual!H40</f>
        <v>166.56665746611401</v>
      </c>
      <c r="E40">
        <f>+[3]Sheet1!B40</f>
        <v>42419.158332144929</v>
      </c>
      <c r="F40">
        <f>+[3]Sheet1!C40</f>
        <v>14762.778498206389</v>
      </c>
      <c r="G40">
        <f>+[3]Sheet1!D40</f>
        <v>60152.679217810502</v>
      </c>
      <c r="H40">
        <f>+[3]Sheet1!E40</f>
        <v>15986.622492177559</v>
      </c>
      <c r="I40">
        <f>+[3]Sheet1!F40</f>
        <v>897568.35496275243</v>
      </c>
      <c r="J40">
        <f>+[3]Sheet1!G40</f>
        <v>272.96531435772681</v>
      </c>
      <c r="K40">
        <f>+[3]Sheet1!H40</f>
        <v>300.88018513315433</v>
      </c>
      <c r="L40">
        <f>+[3]Sheet1!I40</f>
        <v>139.3969118557257</v>
      </c>
      <c r="M40">
        <f>+[3]Sheet1!J40</f>
        <v>11868.51692032674</v>
      </c>
      <c r="N40">
        <f>+[3]Sheet1!K40</f>
        <v>46654.239969471957</v>
      </c>
      <c r="O40">
        <f>+[3]Sheet1!L40</f>
        <v>33040.706355835413</v>
      </c>
      <c r="P40">
        <f>+[3]Sheet1!M40</f>
        <v>0.61739339521106174</v>
      </c>
      <c r="Q40">
        <f>+[3]Sheet1!N40</f>
        <v>2.3582409499419499</v>
      </c>
      <c r="R40">
        <f>+[3]Sheet1!O40</f>
        <v>1.715761454180216</v>
      </c>
      <c r="S40">
        <f>+[3]Sheet1!P40</f>
        <v>12877.414410974559</v>
      </c>
      <c r="T40">
        <f>+[3]Sheet1!Q40</f>
        <v>12787.81922085804</v>
      </c>
      <c r="U40">
        <f>+[3]Sheet1!R40</f>
        <v>0.68010351965677995</v>
      </c>
      <c r="V40">
        <f>+[3]Sheet1!S40</f>
        <v>0.68252617815913108</v>
      </c>
      <c r="W40">
        <f>+[3]Sheet1!T40</f>
        <v>542835.94018482638</v>
      </c>
      <c r="X40">
        <f>+[3]Sheet1!U40</f>
        <v>28.778382894979291</v>
      </c>
      <c r="Y40">
        <f>+[3]Sheet1!V40</f>
        <v>852463.29556397069</v>
      </c>
      <c r="Z40">
        <f>+[3]Sheet1!W40</f>
        <v>44.704256104524148</v>
      </c>
      <c r="AA40">
        <f>+[3]Sheet1!X40</f>
        <v>1147246.8042418601</v>
      </c>
      <c r="AB40">
        <f>+[3]Sheet1!Y40</f>
        <v>60.216223116218053</v>
      </c>
      <c r="AC40">
        <f>+[3]Sheet1!Z40</f>
        <v>0.29006463488229928</v>
      </c>
      <c r="AD40">
        <f>+[3]Sheet1!AA40</f>
        <v>58906.285754909281</v>
      </c>
      <c r="AE40">
        <f>+[3]Sheet1!AB40</f>
        <v>131475.4042227109</v>
      </c>
      <c r="AF40">
        <f>+[3]Sheet1!AC40</f>
        <v>156.2185406563872</v>
      </c>
      <c r="AG40">
        <f>+[3]Sheet1!AD40</f>
        <v>125.79547758177149</v>
      </c>
      <c r="AH40" s="16">
        <f>+[3]Sheet1!AE40</f>
        <v>151.72106019484869</v>
      </c>
      <c r="AI40" s="16">
        <f>+[3]Sheet1!AF40</f>
        <v>352.33919081579199</v>
      </c>
      <c r="AJ40" s="16">
        <f>+[3]Sheet1!AG40</f>
        <v>171.82270390502009</v>
      </c>
      <c r="AK40" s="16">
        <f>+[3]Sheet1!AH40</f>
        <v>97.62184652421999</v>
      </c>
      <c r="AL40" s="16">
        <f>+[3]Sheet1!AI40</f>
        <v>92.869226097746932</v>
      </c>
      <c r="AM40" s="16">
        <f>+[3]Sheet1!AJ40</f>
        <v>148.58029898643909</v>
      </c>
      <c r="AN40" s="16">
        <f>+[3]Sheet1!AK40</f>
        <v>104.7663333918975</v>
      </c>
      <c r="AO40" s="16">
        <f>+[3]Sheet1!AL40</f>
        <v>200.73791812838601</v>
      </c>
      <c r="AP40" s="16">
        <f>+[3]Sheet1!AM40</f>
        <v>175.48389272890469</v>
      </c>
      <c r="AQ40" s="16">
        <f>+[3]Sheet1!AN40</f>
        <v>153.82745249996461</v>
      </c>
      <c r="AR40" s="16">
        <f>+[3]Sheet1!AO40</f>
        <v>153.3344916509599</v>
      </c>
      <c r="AS40" s="16">
        <f>+[3]Sheet1!AP40</f>
        <v>152.35927647426419</v>
      </c>
      <c r="AT40" s="16">
        <f>+[3]Sheet1!AQ40</f>
        <v>48.65781435113842</v>
      </c>
      <c r="AU40" s="16">
        <f>+[3]Sheet1!AR40</f>
        <v>133.11975329820339</v>
      </c>
      <c r="AV40" s="16">
        <f>+[3]Sheet1!AS40</f>
        <v>111.17936212670681</v>
      </c>
      <c r="AW40" s="16">
        <f>+[3]Sheet1!AT40</f>
        <v>3627566.6662890529</v>
      </c>
      <c r="AX40" s="16">
        <f>+base_mensual!AY40</f>
        <v>459</v>
      </c>
      <c r="AY40">
        <f>+base_mensual!AZ40</f>
        <v>3.0327046793822112</v>
      </c>
      <c r="AZ40">
        <f>+[3]Sheet1!AX40</f>
        <v>146.58702971218869</v>
      </c>
    </row>
    <row r="41" spans="1:52" x14ac:dyDescent="0.25">
      <c r="A41" s="2">
        <f>+base_mensual!A41</f>
        <v>42489</v>
      </c>
      <c r="B41" s="1">
        <f>+base_mensual!B41</f>
        <v>-1.6795984805770492E-2</v>
      </c>
      <c r="C41">
        <f>+base_mensual!AE41</f>
        <v>151.50924947169145</v>
      </c>
      <c r="D41">
        <f>+base_mensual!H41</f>
        <v>159.01368063020701</v>
      </c>
      <c r="E41">
        <f>+[3]Sheet1!B41</f>
        <v>41902.612448619882</v>
      </c>
      <c r="F41">
        <f>+[3]Sheet1!C41</f>
        <v>18839.35325093041</v>
      </c>
      <c r="G41">
        <f>+[3]Sheet1!D41</f>
        <v>62669.202642375232</v>
      </c>
      <c r="H41">
        <f>+[3]Sheet1!E41</f>
        <v>16980.255986182681</v>
      </c>
      <c r="I41">
        <f>+[3]Sheet1!F41</f>
        <v>885422.29377032653</v>
      </c>
      <c r="J41">
        <f>+[3]Sheet1!G41</f>
        <v>255.22512793011069</v>
      </c>
      <c r="K41">
        <f>+[3]Sheet1!H41</f>
        <v>343.37644685017852</v>
      </c>
      <c r="L41">
        <f>+[3]Sheet1!I41</f>
        <v>144.1676154303355</v>
      </c>
      <c r="M41">
        <f>+[3]Sheet1!J41</f>
        <v>13085.85181980913</v>
      </c>
      <c r="N41">
        <f>+[3]Sheet1!K41</f>
        <v>47208.826762127341</v>
      </c>
      <c r="O41">
        <f>+[3]Sheet1!L41</f>
        <v>34190.087400611468</v>
      </c>
      <c r="P41">
        <f>+[3]Sheet1!M41</f>
        <v>0.74116597918612392</v>
      </c>
      <c r="Q41">
        <f>+[3]Sheet1!N41</f>
        <v>2.454109397696278</v>
      </c>
      <c r="R41">
        <f>+[3]Sheet1!O41</f>
        <v>1.7018826196678949</v>
      </c>
      <c r="S41">
        <f>+[3]Sheet1!P41</f>
        <v>13418.1011501309</v>
      </c>
      <c r="T41">
        <f>+[3]Sheet1!Q41</f>
        <v>12794.482959249921</v>
      </c>
      <c r="U41">
        <f>+[3]Sheet1!R41</f>
        <v>0.6973287533903012</v>
      </c>
      <c r="V41">
        <f>+[3]Sheet1!S41</f>
        <v>0.6633507655362807</v>
      </c>
      <c r="W41">
        <f>+[3]Sheet1!T41</f>
        <v>573433.62371452118</v>
      </c>
      <c r="X41">
        <f>+[3]Sheet1!U41</f>
        <v>29.552826113664111</v>
      </c>
      <c r="Y41">
        <f>+[3]Sheet1!V41</f>
        <v>857380.69527559157</v>
      </c>
      <c r="Z41">
        <f>+[3]Sheet1!W41</f>
        <v>44.345596906760697</v>
      </c>
      <c r="AA41">
        <f>+[3]Sheet1!X41</f>
        <v>1168958.4887400051</v>
      </c>
      <c r="AB41">
        <f>+[3]Sheet1!Y41</f>
        <v>60.345831181290983</v>
      </c>
      <c r="AC41">
        <f>+[3]Sheet1!Z41</f>
        <v>0.29116423783884637</v>
      </c>
      <c r="AD41">
        <f>+[3]Sheet1!AA41</f>
        <v>57793.492504379567</v>
      </c>
      <c r="AE41">
        <f>+[3]Sheet1!AB41</f>
        <v>132497.59274183869</v>
      </c>
      <c r="AF41">
        <f>+[3]Sheet1!AC41</f>
        <v>152.8033929243949</v>
      </c>
      <c r="AG41">
        <f>+[3]Sheet1!AD41</f>
        <v>121.66646736640099</v>
      </c>
      <c r="AH41" s="16">
        <f>+[3]Sheet1!AE41</f>
        <v>150.4577342469691</v>
      </c>
      <c r="AI41" s="16">
        <f>+[3]Sheet1!AF41</f>
        <v>373.41308872562939</v>
      </c>
      <c r="AJ41" s="16">
        <f>+[3]Sheet1!AG41</f>
        <v>168.79003018314981</v>
      </c>
      <c r="AK41" s="16">
        <f>+[3]Sheet1!AH41</f>
        <v>111.4918340980407</v>
      </c>
      <c r="AL41" s="16">
        <f>+[3]Sheet1!AI41</f>
        <v>90.957858576618193</v>
      </c>
      <c r="AM41" s="16">
        <f>+[3]Sheet1!AJ41</f>
        <v>151.50058127245899</v>
      </c>
      <c r="AN41" s="16">
        <f>+[3]Sheet1!AK41</f>
        <v>105.0893111963303</v>
      </c>
      <c r="AO41" s="16">
        <f>+[3]Sheet1!AL41</f>
        <v>202.09591155915231</v>
      </c>
      <c r="AP41" s="16">
        <f>+[3]Sheet1!AM41</f>
        <v>173.59890445836291</v>
      </c>
      <c r="AQ41" s="16">
        <f>+[3]Sheet1!AN41</f>
        <v>162.15609111524751</v>
      </c>
      <c r="AR41" s="16">
        <f>+[3]Sheet1!AO41</f>
        <v>156.66896600364791</v>
      </c>
      <c r="AS41" s="16">
        <f>+[3]Sheet1!AP41</f>
        <v>152.3834459171394</v>
      </c>
      <c r="AT41" s="16">
        <f>+[3]Sheet1!AQ41</f>
        <v>44.695048675344673</v>
      </c>
      <c r="AU41" s="16">
        <f>+[3]Sheet1!AR41</f>
        <v>130.6317698209582</v>
      </c>
      <c r="AV41" s="16">
        <f>+[3]Sheet1!AS41</f>
        <v>114.02515483302361</v>
      </c>
      <c r="AW41" s="16">
        <f>+[3]Sheet1!AT41</f>
        <v>3234065.732810121</v>
      </c>
      <c r="AX41" s="16">
        <f>+base_mensual!AY41</f>
        <v>544</v>
      </c>
      <c r="AY41">
        <f>+base_mensual!AZ41</f>
        <v>2.7200177442321261</v>
      </c>
      <c r="AZ41">
        <f>+[3]Sheet1!AX41</f>
        <v>147.02116737747039</v>
      </c>
    </row>
    <row r="42" spans="1:52" x14ac:dyDescent="0.25">
      <c r="A42" s="2">
        <f>+base_mensual!A42</f>
        <v>42521</v>
      </c>
      <c r="B42" s="1">
        <f>+base_mensual!B42</f>
        <v>-1.6795984805770492E-2</v>
      </c>
      <c r="C42">
        <f>+base_mensual!AE42</f>
        <v>147.21633148959083</v>
      </c>
      <c r="D42">
        <f>+base_mensual!H42</f>
        <v>166.61500715863701</v>
      </c>
      <c r="E42">
        <f>+[3]Sheet1!B42</f>
        <v>37731.129784725017</v>
      </c>
      <c r="F42">
        <f>+[3]Sheet1!C42</f>
        <v>16283.41231731629</v>
      </c>
      <c r="G42">
        <f>+[3]Sheet1!D42</f>
        <v>57633.143928623977</v>
      </c>
      <c r="H42">
        <f>+[3]Sheet1!E42</f>
        <v>16822.84574266916</v>
      </c>
      <c r="I42">
        <f>+[3]Sheet1!F42</f>
        <v>913536.11470001715</v>
      </c>
      <c r="J42">
        <f>+[3]Sheet1!G42</f>
        <v>251.6989950813153</v>
      </c>
      <c r="K42">
        <f>+[3]Sheet1!H42</f>
        <v>374.61057901625742</v>
      </c>
      <c r="L42">
        <f>+[3]Sheet1!I42</f>
        <v>154.2899414800373</v>
      </c>
      <c r="M42">
        <f>+[3]Sheet1!J42</f>
        <v>10686.1653693399</v>
      </c>
      <c r="N42">
        <f>+[3]Sheet1!K42</f>
        <v>47022.545159718567</v>
      </c>
      <c r="O42">
        <f>+[3]Sheet1!L42</f>
        <v>33413.02554484061</v>
      </c>
      <c r="P42">
        <f>+[3]Sheet1!M42</f>
        <v>0.52175909436860213</v>
      </c>
      <c r="Q42">
        <f>+[3]Sheet1!N42</f>
        <v>2.3564424458855129</v>
      </c>
      <c r="R42">
        <f>+[3]Sheet1!O42</f>
        <v>1.7676498534874741</v>
      </c>
      <c r="S42">
        <f>+[3]Sheet1!P42</f>
        <v>13156.290596680201</v>
      </c>
      <c r="T42">
        <f>+[3]Sheet1!Q42</f>
        <v>12992.02950934798</v>
      </c>
      <c r="U42">
        <f>+[3]Sheet1!R42</f>
        <v>0.6265831599212659</v>
      </c>
      <c r="V42">
        <f>+[3]Sheet1!S42</f>
        <v>0.64171221897025221</v>
      </c>
      <c r="W42">
        <f>+[3]Sheet1!T42</f>
        <v>562235.40601705865</v>
      </c>
      <c r="X42">
        <f>+[3]Sheet1!U42</f>
        <v>27.12830522487295</v>
      </c>
      <c r="Y42">
        <f>+[3]Sheet1!V42</f>
        <v>880208.43013858027</v>
      </c>
      <c r="Z42">
        <f>+[3]Sheet1!W42</f>
        <v>44.296849788304563</v>
      </c>
      <c r="AA42">
        <f>+[3]Sheet1!X42</f>
        <v>1198634.315640534</v>
      </c>
      <c r="AB42">
        <f>+[3]Sheet1!Y42</f>
        <v>60.355149994963242</v>
      </c>
      <c r="AC42">
        <f>+[3]Sheet1!Z42</f>
        <v>0.30510904786263232</v>
      </c>
      <c r="AD42">
        <f>+[3]Sheet1!AA42</f>
        <v>58309.165549457633</v>
      </c>
      <c r="AE42">
        <f>+[3]Sheet1!AB42</f>
        <v>125173.0459785195</v>
      </c>
      <c r="AF42">
        <f>+[3]Sheet1!AC42</f>
        <v>145.0349164511768</v>
      </c>
      <c r="AG42">
        <f>+[3]Sheet1!AD42</f>
        <v>119.2401968718287</v>
      </c>
      <c r="AH42" s="16">
        <f>+[3]Sheet1!AE42</f>
        <v>147.77702900902111</v>
      </c>
      <c r="AI42" s="16">
        <f>+[3]Sheet1!AF42</f>
        <v>349.13733049796878</v>
      </c>
      <c r="AJ42" s="16">
        <f>+[3]Sheet1!AG42</f>
        <v>167.32444812279081</v>
      </c>
      <c r="AK42" s="16">
        <f>+[3]Sheet1!AH42</f>
        <v>63.535765780090927</v>
      </c>
      <c r="AL42" s="16">
        <f>+[3]Sheet1!AI42</f>
        <v>89.364536540695241</v>
      </c>
      <c r="AM42" s="16">
        <f>+[3]Sheet1!AJ42</f>
        <v>147.2099179853877</v>
      </c>
      <c r="AN42" s="16">
        <f>+[3]Sheet1!AK42</f>
        <v>104.5823464500978</v>
      </c>
      <c r="AO42" s="16">
        <f>+[3]Sheet1!AL42</f>
        <v>188.44176276073571</v>
      </c>
      <c r="AP42" s="16">
        <f>+[3]Sheet1!AM42</f>
        <v>184.82133221755331</v>
      </c>
      <c r="AQ42" s="16">
        <f>+[3]Sheet1!AN42</f>
        <v>170.51853636034329</v>
      </c>
      <c r="AR42" s="16">
        <f>+[3]Sheet1!AO42</f>
        <v>153.27834584328289</v>
      </c>
      <c r="AS42" s="16">
        <f>+[3]Sheet1!AP42</f>
        <v>135.55730594838059</v>
      </c>
      <c r="AT42" s="16">
        <f>+[3]Sheet1!AQ42</f>
        <v>46.403756533320227</v>
      </c>
      <c r="AU42" s="16">
        <f>+[3]Sheet1!AR42</f>
        <v>131.6492369245461</v>
      </c>
      <c r="AV42" s="16">
        <f>+[3]Sheet1!AS42</f>
        <v>112.0900896245227</v>
      </c>
      <c r="AW42" s="16">
        <f>+[3]Sheet1!AT42</f>
        <v>3445885.4561996851</v>
      </c>
      <c r="AX42" s="16">
        <f>+base_mensual!AY42</f>
        <v>520</v>
      </c>
      <c r="AY42">
        <f>+base_mensual!AZ42</f>
        <v>2.6223954581408577</v>
      </c>
      <c r="AZ42">
        <f>+[3]Sheet1!AX42</f>
        <v>145.51559756105999</v>
      </c>
    </row>
    <row r="43" spans="1:52" x14ac:dyDescent="0.25">
      <c r="A43" s="2">
        <f>+base_mensual!A43</f>
        <v>42551</v>
      </c>
      <c r="B43" s="1">
        <f>+base_mensual!B43</f>
        <v>-1.6795984805770492E-2</v>
      </c>
      <c r="C43">
        <f>+base_mensual!AE43</f>
        <v>147.81752006753663</v>
      </c>
      <c r="D43">
        <f>+base_mensual!H43</f>
        <v>159.66102264779201</v>
      </c>
      <c r="E43">
        <f>+[3]Sheet1!B43</f>
        <v>38300.209312424107</v>
      </c>
      <c r="F43">
        <f>+[3]Sheet1!C43</f>
        <v>12889.695811938131</v>
      </c>
      <c r="G43">
        <f>+[3]Sheet1!D43</f>
        <v>57590.958263189532</v>
      </c>
      <c r="H43">
        <f>+[3]Sheet1!E43</f>
        <v>17253.49004859351</v>
      </c>
      <c r="I43">
        <f>+[3]Sheet1!F43</f>
        <v>897264.88355079864</v>
      </c>
      <c r="J43">
        <f>+[3]Sheet1!G43</f>
        <v>251.54289675396629</v>
      </c>
      <c r="K43">
        <f>+[3]Sheet1!H43</f>
        <v>365.42148474354411</v>
      </c>
      <c r="L43">
        <f>+[3]Sheet1!I43</f>
        <v>142.3984752465459</v>
      </c>
      <c r="M43">
        <f>+[3]Sheet1!J43</f>
        <v>8525.2866157480494</v>
      </c>
      <c r="N43">
        <f>+[3]Sheet1!K43</f>
        <v>48289.259577084798</v>
      </c>
      <c r="O43">
        <f>+[3]Sheet1!L43</f>
        <v>34065.311484436003</v>
      </c>
      <c r="P43">
        <f>+[3]Sheet1!M43</f>
        <v>0.43074188269939928</v>
      </c>
      <c r="Q43">
        <f>+[3]Sheet1!N43</f>
        <v>2.3687985897473931</v>
      </c>
      <c r="R43">
        <f>+[3]Sheet1!O43</f>
        <v>1.6937073800016109</v>
      </c>
      <c r="S43">
        <f>+[3]Sheet1!P43</f>
        <v>15192.63571799282</v>
      </c>
      <c r="T43">
        <f>+[3]Sheet1!Q43</f>
        <v>13874.478401560111</v>
      </c>
      <c r="U43">
        <f>+[3]Sheet1!R43</f>
        <v>0.71287908089942742</v>
      </c>
      <c r="V43">
        <f>+[3]Sheet1!S43</f>
        <v>0.66413865224027901</v>
      </c>
      <c r="W43">
        <f>+[3]Sheet1!T43</f>
        <v>644002.64120212209</v>
      </c>
      <c r="X43">
        <f>+[3]Sheet1!U43</f>
        <v>30.33571142388751</v>
      </c>
      <c r="Y43">
        <f>+[3]Sheet1!V43</f>
        <v>892278.81363097508</v>
      </c>
      <c r="Z43">
        <f>+[3]Sheet1!W43</f>
        <v>43.466967339969258</v>
      </c>
      <c r="AA43">
        <f>+[3]Sheet1!X43</f>
        <v>1204534.313406708</v>
      </c>
      <c r="AB43">
        <f>+[3]Sheet1!Y43</f>
        <v>59.275173813513717</v>
      </c>
      <c r="AC43">
        <f>+[3]Sheet1!Z43</f>
        <v>0.28484644648518198</v>
      </c>
      <c r="AD43">
        <f>+[3]Sheet1!AA43</f>
        <v>59908.26910598512</v>
      </c>
      <c r="AE43">
        <f>+[3]Sheet1!AB43</f>
        <v>121943.04370380921</v>
      </c>
      <c r="AF43">
        <f>+[3]Sheet1!AC43</f>
        <v>151.65822850164469</v>
      </c>
      <c r="AG43">
        <f>+[3]Sheet1!AD43</f>
        <v>119.4840464539848</v>
      </c>
      <c r="AH43" s="16">
        <f>+[3]Sheet1!AE43</f>
        <v>146.86017605955701</v>
      </c>
      <c r="AI43" s="16">
        <f>+[3]Sheet1!AF43</f>
        <v>347.89479987164083</v>
      </c>
      <c r="AJ43" s="16">
        <f>+[3]Sheet1!AG43</f>
        <v>169.07122482299329</v>
      </c>
      <c r="AK43" s="16">
        <f>+[3]Sheet1!AH43</f>
        <v>94.215349351481862</v>
      </c>
      <c r="AL43" s="16">
        <f>+[3]Sheet1!AI43</f>
        <v>89.398229744244361</v>
      </c>
      <c r="AM43" s="16">
        <f>+[3]Sheet1!AJ43</f>
        <v>149.22383819194059</v>
      </c>
      <c r="AN43" s="16">
        <f>+[3]Sheet1!AK43</f>
        <v>105.42169886539629</v>
      </c>
      <c r="AO43" s="16">
        <f>+[3]Sheet1!AL43</f>
        <v>191.81009851042779</v>
      </c>
      <c r="AP43" s="16">
        <f>+[3]Sheet1!AM43</f>
        <v>180.58727843535669</v>
      </c>
      <c r="AQ43" s="16">
        <f>+[3]Sheet1!AN43</f>
        <v>166.6552354634166</v>
      </c>
      <c r="AR43" s="16">
        <f>+[3]Sheet1!AO43</f>
        <v>150.7416038177692</v>
      </c>
      <c r="AS43" s="16">
        <f>+[3]Sheet1!AP43</f>
        <v>138.72020194761259</v>
      </c>
      <c r="AT43" s="16">
        <f>+[3]Sheet1!AQ43</f>
        <v>44.76299962317627</v>
      </c>
      <c r="AU43" s="16">
        <f>+[3]Sheet1!AR43</f>
        <v>132.1262144572637</v>
      </c>
      <c r="AV43" s="16">
        <f>+[3]Sheet1!AS43</f>
        <v>107.7568483489934</v>
      </c>
      <c r="AW43" s="16">
        <f>+[3]Sheet1!AT43</f>
        <v>3446633.5265328102</v>
      </c>
      <c r="AX43" s="16">
        <f>+base_mensual!AY43</f>
        <v>498</v>
      </c>
      <c r="AY43">
        <f>+base_mensual!AZ43</f>
        <v>2.6133196292609329</v>
      </c>
      <c r="AZ43">
        <f>+[3]Sheet1!AX43</f>
        <v>145.35584026596149</v>
      </c>
    </row>
    <row r="44" spans="1:52" x14ac:dyDescent="0.25">
      <c r="A44" s="2">
        <f>+base_mensual!A44</f>
        <v>42580</v>
      </c>
      <c r="B44" s="1">
        <f>+base_mensual!B44</f>
        <v>2.9093561209645458E-3</v>
      </c>
      <c r="C44">
        <f>+base_mensual!AE44</f>
        <v>148.74562313336648</v>
      </c>
      <c r="D44">
        <f>+base_mensual!H44</f>
        <v>161.57003659800799</v>
      </c>
      <c r="E44">
        <f>+[3]Sheet1!B44</f>
        <v>38124.7452830576</v>
      </c>
      <c r="F44">
        <f>+[3]Sheet1!C44</f>
        <v>14785.013150414081</v>
      </c>
      <c r="G44">
        <f>+[3]Sheet1!D44</f>
        <v>53531.080927148323</v>
      </c>
      <c r="H44">
        <f>+[3]Sheet1!E44</f>
        <v>17537.4938414184</v>
      </c>
      <c r="I44">
        <f>+[3]Sheet1!F44</f>
        <v>850914.56463232555</v>
      </c>
      <c r="J44">
        <f>+[3]Sheet1!G44</f>
        <v>265.14198394574072</v>
      </c>
      <c r="K44">
        <f>+[3]Sheet1!H44</f>
        <v>346.0882627401092</v>
      </c>
      <c r="L44">
        <f>+[3]Sheet1!I44</f>
        <v>137.06079549836269</v>
      </c>
      <c r="M44">
        <f>+[3]Sheet1!J44</f>
        <v>9859.7162826321619</v>
      </c>
      <c r="N44">
        <f>+[3]Sheet1!K44</f>
        <v>48270.115916799783</v>
      </c>
      <c r="O44">
        <f>+[3]Sheet1!L44</f>
        <v>35054.541376075453</v>
      </c>
      <c r="P44">
        <f>+[3]Sheet1!M44</f>
        <v>0.45007877182516959</v>
      </c>
      <c r="Q44">
        <f>+[3]Sheet1!N44</f>
        <v>2.2957257876863841</v>
      </c>
      <c r="R44">
        <f>+[3]Sheet1!O44</f>
        <v>1.6466085658318781</v>
      </c>
      <c r="S44">
        <f>+[3]Sheet1!P44</f>
        <v>16345.46655223836</v>
      </c>
      <c r="T44">
        <f>+[3]Sheet1!Q44</f>
        <v>15731.728199891269</v>
      </c>
      <c r="U44">
        <f>+[3]Sheet1!R44</f>
        <v>0.75396303754727312</v>
      </c>
      <c r="V44">
        <f>+[3]Sheet1!S44</f>
        <v>0.73348331762938179</v>
      </c>
      <c r="W44">
        <f>+[3]Sheet1!T44</f>
        <v>704403.46168386319</v>
      </c>
      <c r="X44">
        <f>+[3]Sheet1!U44</f>
        <v>32.748131563026341</v>
      </c>
      <c r="Y44">
        <f>+[3]Sheet1!V44</f>
        <v>906814.47128674726</v>
      </c>
      <c r="Z44">
        <f>+[3]Sheet1!W44</f>
        <v>43.557010209945886</v>
      </c>
      <c r="AA44">
        <f>+[3]Sheet1!X44</f>
        <v>1242423.3664712219</v>
      </c>
      <c r="AB44">
        <f>+[3]Sheet1!Y44</f>
        <v>59.012226762381808</v>
      </c>
      <c r="AC44">
        <f>+[3]Sheet1!Z44</f>
        <v>0.2590243600013441</v>
      </c>
      <c r="AD44">
        <f>+[3]Sheet1!AA44</f>
        <v>56319.795073109643</v>
      </c>
      <c r="AE44">
        <f>+[3]Sheet1!AB44</f>
        <v>116122.1022255069</v>
      </c>
      <c r="AF44">
        <f>+[3]Sheet1!AC44</f>
        <v>148.16302832725509</v>
      </c>
      <c r="AG44">
        <f>+[3]Sheet1!AD44</f>
        <v>116.9773927044097</v>
      </c>
      <c r="AH44" s="16">
        <f>+[3]Sheet1!AE44</f>
        <v>147.25869898076019</v>
      </c>
      <c r="AI44" s="16">
        <f>+[3]Sheet1!AF44</f>
        <v>345.63178395957578</v>
      </c>
      <c r="AJ44" s="16">
        <f>+[3]Sheet1!AG44</f>
        <v>167.23975526350179</v>
      </c>
      <c r="AK44" s="16">
        <f>+[3]Sheet1!AH44</f>
        <v>80.729671890243182</v>
      </c>
      <c r="AL44" s="16">
        <f>+[3]Sheet1!AI44</f>
        <v>89.069488288869138</v>
      </c>
      <c r="AM44" s="16">
        <f>+[3]Sheet1!AJ44</f>
        <v>139.36133902679461</v>
      </c>
      <c r="AN44" s="16">
        <f>+[3]Sheet1!AK44</f>
        <v>105.0365777526615</v>
      </c>
      <c r="AO44" s="16">
        <f>+[3]Sheet1!AL44</f>
        <v>193.6572145726995</v>
      </c>
      <c r="AP44" s="16">
        <f>+[3]Sheet1!AM44</f>
        <v>173.89901491600239</v>
      </c>
      <c r="AQ44" s="16">
        <f>+[3]Sheet1!AN44</f>
        <v>165.0885753838734</v>
      </c>
      <c r="AR44" s="16">
        <f>+[3]Sheet1!AO44</f>
        <v>150.3730995630668</v>
      </c>
      <c r="AS44" s="16">
        <f>+[3]Sheet1!AP44</f>
        <v>138.24588018997929</v>
      </c>
      <c r="AT44" s="16">
        <f>+[3]Sheet1!AQ44</f>
        <v>45.746458251709107</v>
      </c>
      <c r="AU44" s="16">
        <f>+[3]Sheet1!AR44</f>
        <v>131.50076544327959</v>
      </c>
      <c r="AV44" s="16">
        <f>+[3]Sheet1!AS44</f>
        <v>107.02331242404949</v>
      </c>
      <c r="AW44" s="16">
        <f>+[3]Sheet1!AT44</f>
        <v>3333350.0187757481</v>
      </c>
      <c r="AX44" s="16">
        <f>+base_mensual!AY44</f>
        <v>496</v>
      </c>
      <c r="AY44">
        <f>+base_mensual!AZ44</f>
        <v>2.7070669134093137</v>
      </c>
      <c r="AZ44">
        <f>+[3]Sheet1!AX44</f>
        <v>143.19185880876171</v>
      </c>
    </row>
    <row r="45" spans="1:52" x14ac:dyDescent="0.25">
      <c r="A45" s="2">
        <f>+base_mensual!A45</f>
        <v>42613</v>
      </c>
      <c r="B45" s="1">
        <f>+base_mensual!B45</f>
        <v>2.9093561209645458E-3</v>
      </c>
      <c r="C45">
        <f>+base_mensual!AE45</f>
        <v>150.09066646052653</v>
      </c>
      <c r="D45">
        <f>+base_mensual!H45</f>
        <v>170.31647723443601</v>
      </c>
      <c r="E45">
        <f>+[3]Sheet1!B45</f>
        <v>38446.803419116542</v>
      </c>
      <c r="F45">
        <f>+[3]Sheet1!C45</f>
        <v>15170.228713409721</v>
      </c>
      <c r="G45">
        <f>+[3]Sheet1!D45</f>
        <v>60205.073319106057</v>
      </c>
      <c r="H45">
        <f>+[3]Sheet1!E45</f>
        <v>17371.047712586162</v>
      </c>
      <c r="I45">
        <f>+[3]Sheet1!F45</f>
        <v>961763.43720829044</v>
      </c>
      <c r="J45">
        <f>+[3]Sheet1!G45</f>
        <v>223.37042216249381</v>
      </c>
      <c r="K45">
        <f>+[3]Sheet1!H45</f>
        <v>299.80465022256101</v>
      </c>
      <c r="L45">
        <f>+[3]Sheet1!I45</f>
        <v>133.98952055120799</v>
      </c>
      <c r="M45">
        <f>+[3]Sheet1!J45</f>
        <v>9471.8242659584976</v>
      </c>
      <c r="N45">
        <f>+[3]Sheet1!K45</f>
        <v>48909.118838990456</v>
      </c>
      <c r="O45">
        <f>+[3]Sheet1!L45</f>
        <v>34711.24181463258</v>
      </c>
      <c r="P45">
        <f>+[3]Sheet1!M45</f>
        <v>0.43993007331582568</v>
      </c>
      <c r="Q45">
        <f>+[3]Sheet1!N45</f>
        <v>2.315043017315408</v>
      </c>
      <c r="R45">
        <f>+[3]Sheet1!O45</f>
        <v>1.6051678816308439</v>
      </c>
      <c r="S45">
        <f>+[3]Sheet1!P45</f>
        <v>16110.4545422014</v>
      </c>
      <c r="T45">
        <f>+[3]Sheet1!Q45</f>
        <v>16311.963644465701</v>
      </c>
      <c r="U45">
        <f>+[3]Sheet1!R45</f>
        <v>0.75207529385837923</v>
      </c>
      <c r="V45">
        <f>+[3]Sheet1!S45</f>
        <v>0.75546528046420991</v>
      </c>
      <c r="W45">
        <f>+[3]Sheet1!T45</f>
        <v>698657.67482409021</v>
      </c>
      <c r="X45">
        <f>+[3]Sheet1!U45</f>
        <v>32.773055572140407</v>
      </c>
      <c r="Y45">
        <f>+[3]Sheet1!V45</f>
        <v>925696.5563215022</v>
      </c>
      <c r="Z45">
        <f>+[3]Sheet1!W45</f>
        <v>43.899604939594909</v>
      </c>
      <c r="AA45">
        <f>+[3]Sheet1!X45</f>
        <v>1261921.717287055</v>
      </c>
      <c r="AB45">
        <f>+[3]Sheet1!Y45</f>
        <v>60.078116023567603</v>
      </c>
      <c r="AC45">
        <f>+[3]Sheet1!Z45</f>
        <v>0.25065318374137452</v>
      </c>
      <c r="AD45">
        <f>+[3]Sheet1!AA45</f>
        <v>61791.956281354927</v>
      </c>
      <c r="AE45">
        <f>+[3]Sheet1!AB45</f>
        <v>129118.41585697301</v>
      </c>
      <c r="AF45">
        <f>+[3]Sheet1!AC45</f>
        <v>155.1041016313377</v>
      </c>
      <c r="AG45">
        <f>+[3]Sheet1!AD45</f>
        <v>119.2712065507049</v>
      </c>
      <c r="AH45" s="16">
        <f>+[3]Sheet1!AE45</f>
        <v>148.88275531917071</v>
      </c>
      <c r="AI45" s="16">
        <f>+[3]Sheet1!AF45</f>
        <v>364.42501361919233</v>
      </c>
      <c r="AJ45" s="16">
        <f>+[3]Sheet1!AG45</f>
        <v>171.11228800481541</v>
      </c>
      <c r="AK45" s="16">
        <f>+[3]Sheet1!AH45</f>
        <v>95.302265896361163</v>
      </c>
      <c r="AL45" s="16">
        <f>+[3]Sheet1!AI45</f>
        <v>89.011035962038576</v>
      </c>
      <c r="AM45" s="16">
        <f>+[3]Sheet1!AJ45</f>
        <v>132.5129997040315</v>
      </c>
      <c r="AN45" s="16">
        <f>+[3]Sheet1!AK45</f>
        <v>100.3315044300728</v>
      </c>
      <c r="AO45" s="16">
        <f>+[3]Sheet1!AL45</f>
        <v>198.29997402149289</v>
      </c>
      <c r="AP45" s="16">
        <f>+[3]Sheet1!AM45</f>
        <v>180.90934363157189</v>
      </c>
      <c r="AQ45" s="16">
        <f>+[3]Sheet1!AN45</f>
        <v>144.87425781844141</v>
      </c>
      <c r="AR45" s="16">
        <f>+[3]Sheet1!AO45</f>
        <v>156.91988056101459</v>
      </c>
      <c r="AS45" s="16">
        <f>+[3]Sheet1!AP45</f>
        <v>138.0138582595967</v>
      </c>
      <c r="AT45" s="16">
        <f>+[3]Sheet1!AQ45</f>
        <v>40.914990133775447</v>
      </c>
      <c r="AU45" s="16">
        <f>+[3]Sheet1!AR45</f>
        <v>130.75009190297419</v>
      </c>
      <c r="AV45" s="16">
        <f>+[3]Sheet1!AS45</f>
        <v>108.1450669701393</v>
      </c>
      <c r="AW45" s="16">
        <f>+[3]Sheet1!AT45</f>
        <v>3420976.9678291222</v>
      </c>
      <c r="AX45" s="16">
        <f>+base_mensual!AY45</f>
        <v>449</v>
      </c>
      <c r="AY45">
        <f>+base_mensual!AZ45</f>
        <v>2.5213324857901407</v>
      </c>
      <c r="AZ45">
        <f>+[3]Sheet1!AX45</f>
        <v>145.10263090757809</v>
      </c>
    </row>
    <row r="46" spans="1:52" x14ac:dyDescent="0.25">
      <c r="A46" s="2">
        <f>+base_mensual!A46</f>
        <v>42643</v>
      </c>
      <c r="B46" s="1">
        <f>+base_mensual!B46</f>
        <v>2.9093561209645458E-3</v>
      </c>
      <c r="C46">
        <f>+base_mensual!AE46</f>
        <v>146.95210775290005</v>
      </c>
      <c r="D46">
        <f>+base_mensual!H46</f>
        <v>171.30857519902099</v>
      </c>
      <c r="E46">
        <f>+[3]Sheet1!B46</f>
        <v>36137.49417309105</v>
      </c>
      <c r="F46">
        <f>+[3]Sheet1!C46</f>
        <v>14925.1631089561</v>
      </c>
      <c r="G46">
        <f>+[3]Sheet1!D46</f>
        <v>62565.278677352653</v>
      </c>
      <c r="H46">
        <f>+[3]Sheet1!E46</f>
        <v>16646.29336050108</v>
      </c>
      <c r="I46">
        <f>+[3]Sheet1!F46</f>
        <v>906614.11965156987</v>
      </c>
      <c r="J46">
        <f>+[3]Sheet1!G46</f>
        <v>177.53397146272761</v>
      </c>
      <c r="K46">
        <f>+[3]Sheet1!H46</f>
        <v>293.97140689646858</v>
      </c>
      <c r="L46">
        <f>+[3]Sheet1!I46</f>
        <v>125.21200840049219</v>
      </c>
      <c r="M46">
        <f>+[3]Sheet1!J46</f>
        <v>10774.498401603631</v>
      </c>
      <c r="N46">
        <f>+[3]Sheet1!K46</f>
        <v>52157.515308740993</v>
      </c>
      <c r="O46">
        <f>+[3]Sheet1!L46</f>
        <v>36733.041459571738</v>
      </c>
      <c r="P46">
        <f>+[3]Sheet1!M46</f>
        <v>0.50730648415333657</v>
      </c>
      <c r="Q46">
        <f>+[3]Sheet1!N46</f>
        <v>2.4524049375347818</v>
      </c>
      <c r="R46">
        <f>+[3]Sheet1!O46</f>
        <v>1.720647919159022</v>
      </c>
      <c r="S46">
        <f>+[3]Sheet1!P46</f>
        <v>16348.637265716079</v>
      </c>
      <c r="T46">
        <f>+[3]Sheet1!Q46</f>
        <v>16278.74010748436</v>
      </c>
      <c r="U46">
        <f>+[3]Sheet1!R46</f>
        <v>0.75743073753037282</v>
      </c>
      <c r="V46">
        <f>+[3]Sheet1!S46</f>
        <v>0.77662425098229804</v>
      </c>
      <c r="W46">
        <f>+[3]Sheet1!T46</f>
        <v>717145.90259764425</v>
      </c>
      <c r="X46">
        <f>+[3]Sheet1!U46</f>
        <v>33.000237261242518</v>
      </c>
      <c r="Y46">
        <f>+[3]Sheet1!V46</f>
        <v>925998.72698794492</v>
      </c>
      <c r="Z46">
        <f>+[3]Sheet1!W46</f>
        <v>43.856676529387371</v>
      </c>
      <c r="AA46">
        <f>+[3]Sheet1!X46</f>
        <v>1281424.779006243</v>
      </c>
      <c r="AB46">
        <f>+[3]Sheet1!Y46</f>
        <v>59.683829664305641</v>
      </c>
      <c r="AC46">
        <f>+[3]Sheet1!Z46</f>
        <v>0.2334318016257472</v>
      </c>
      <c r="AD46">
        <f>+[3]Sheet1!AA46</f>
        <v>60722.376508412381</v>
      </c>
      <c r="AE46">
        <f>+[3]Sheet1!AB46</f>
        <v>123173.9202469673</v>
      </c>
      <c r="AF46">
        <f>+[3]Sheet1!AC46</f>
        <v>152.89679595190799</v>
      </c>
      <c r="AG46">
        <f>+[3]Sheet1!AD46</f>
        <v>118.59319226113629</v>
      </c>
      <c r="AH46" s="16">
        <f>+[3]Sheet1!AE46</f>
        <v>144.9873732549822</v>
      </c>
      <c r="AI46" s="16">
        <f>+[3]Sheet1!AF46</f>
        <v>335.66461922755838</v>
      </c>
      <c r="AJ46" s="16">
        <f>+[3]Sheet1!AG46</f>
        <v>171.26697862675559</v>
      </c>
      <c r="AK46" s="16">
        <f>+[3]Sheet1!AH46</f>
        <v>92.555854150311518</v>
      </c>
      <c r="AL46" s="16">
        <f>+[3]Sheet1!AI46</f>
        <v>88.598851378135251</v>
      </c>
      <c r="AM46" s="16">
        <f>+[3]Sheet1!AJ46</f>
        <v>146.82884440550811</v>
      </c>
      <c r="AN46" s="16">
        <f>+[3]Sheet1!AK46</f>
        <v>105.1071222780625</v>
      </c>
      <c r="AO46" s="16">
        <f>+[3]Sheet1!AL46</f>
        <v>188.27956291453069</v>
      </c>
      <c r="AP46" s="16">
        <f>+[3]Sheet1!AM46</f>
        <v>179.3385462308899</v>
      </c>
      <c r="AQ46" s="16">
        <f>+[3]Sheet1!AN46</f>
        <v>149.09830193942</v>
      </c>
      <c r="AR46" s="16">
        <f>+[3]Sheet1!AO46</f>
        <v>154.23094445076359</v>
      </c>
      <c r="AS46" s="16">
        <f>+[3]Sheet1!AP46</f>
        <v>130.4787173646979</v>
      </c>
      <c r="AT46" s="16">
        <f>+[3]Sheet1!AQ46</f>
        <v>43.717215147225012</v>
      </c>
      <c r="AU46" s="16">
        <f>+[3]Sheet1!AR46</f>
        <v>131.4137975951551</v>
      </c>
      <c r="AV46" s="16">
        <f>+[3]Sheet1!AS46</f>
        <v>112.8134471444771</v>
      </c>
      <c r="AW46" s="16">
        <f>+[3]Sheet1!AT46</f>
        <v>3532133.8737368728</v>
      </c>
      <c r="AX46" s="16">
        <f>+base_mensual!AY46</f>
        <v>441</v>
      </c>
      <c r="AY46">
        <f>+base_mensual!AZ46</f>
        <v>2.5298220307517867</v>
      </c>
      <c r="AZ46">
        <f>+[3]Sheet1!AX46</f>
        <v>145.63534597662459</v>
      </c>
    </row>
    <row r="47" spans="1:52" x14ac:dyDescent="0.25">
      <c r="A47" s="2">
        <f>+base_mensual!A47</f>
        <v>42674</v>
      </c>
      <c r="B47" s="1">
        <f>+base_mensual!B47</f>
        <v>6.676534868791828E-3</v>
      </c>
      <c r="C47">
        <f>+base_mensual!AE47</f>
        <v>149.14043999221147</v>
      </c>
      <c r="D47">
        <f>+base_mensual!H47</f>
        <v>163.585078149971</v>
      </c>
      <c r="E47">
        <f>+[3]Sheet1!B47</f>
        <v>34329.15930494108</v>
      </c>
      <c r="F47">
        <f>+[3]Sheet1!C47</f>
        <v>12172.6788361131</v>
      </c>
      <c r="G47">
        <f>+[3]Sheet1!D47</f>
        <v>59693.035458322804</v>
      </c>
      <c r="H47">
        <f>+[3]Sheet1!E47</f>
        <v>17076.09400830929</v>
      </c>
      <c r="I47">
        <f>+[3]Sheet1!F47</f>
        <v>795976.42556789319</v>
      </c>
      <c r="J47">
        <f>+[3]Sheet1!G47</f>
        <v>222.99690371479861</v>
      </c>
      <c r="K47">
        <f>+[3]Sheet1!H47</f>
        <v>333.99888230157899</v>
      </c>
      <c r="L47">
        <f>+[3]Sheet1!I47</f>
        <v>133.60516263079251</v>
      </c>
      <c r="M47">
        <f>+[3]Sheet1!J47</f>
        <v>9998.1399015763127</v>
      </c>
      <c r="N47">
        <f>+[3]Sheet1!K47</f>
        <v>49699.867248521929</v>
      </c>
      <c r="O47">
        <f>+[3]Sheet1!L47</f>
        <v>36960.142849032331</v>
      </c>
      <c r="P47">
        <f>+[3]Sheet1!M47</f>
        <v>0.45812570356433291</v>
      </c>
      <c r="Q47">
        <f>+[3]Sheet1!N47</f>
        <v>2.3035095596598718</v>
      </c>
      <c r="R47">
        <f>+[3]Sheet1!O47</f>
        <v>1.6509109566714351</v>
      </c>
      <c r="S47">
        <f>+[3]Sheet1!P47</f>
        <v>16905.99439142054</v>
      </c>
      <c r="T47">
        <f>+[3]Sheet1!Q47</f>
        <v>17156.9187937483</v>
      </c>
      <c r="U47">
        <f>+[3]Sheet1!R47</f>
        <v>0.78991489529831582</v>
      </c>
      <c r="V47">
        <f>+[3]Sheet1!S47</f>
        <v>0.77220682091551729</v>
      </c>
      <c r="W47">
        <f>+[3]Sheet1!T47</f>
        <v>730888.9672314421</v>
      </c>
      <c r="X47">
        <f>+[3]Sheet1!U47</f>
        <v>34.532021668267276</v>
      </c>
      <c r="Y47">
        <f>+[3]Sheet1!V47</f>
        <v>973515.21788017859</v>
      </c>
      <c r="Z47">
        <f>+[3]Sheet1!W47</f>
        <v>44.272251569587397</v>
      </c>
      <c r="AA47">
        <f>+[3]Sheet1!X47</f>
        <v>1337157.4669138261</v>
      </c>
      <c r="AB47">
        <f>+[3]Sheet1!Y47</f>
        <v>60.702590433092951</v>
      </c>
      <c r="AC47">
        <f>+[3]Sheet1!Z47</f>
        <v>0.23092091019271049</v>
      </c>
      <c r="AD47">
        <f>+[3]Sheet1!AA47</f>
        <v>57166.262115426121</v>
      </c>
      <c r="AE47">
        <f>+[3]Sheet1!AB47</f>
        <v>115036.8522537118</v>
      </c>
      <c r="AF47">
        <f>+[3]Sheet1!AC47</f>
        <v>147.73687166111279</v>
      </c>
      <c r="AG47">
        <f>+[3]Sheet1!AD47</f>
        <v>118.5381147174898</v>
      </c>
      <c r="AH47" s="16">
        <f>+[3]Sheet1!AE47</f>
        <v>148.92164048306361</v>
      </c>
      <c r="AI47" s="16">
        <f>+[3]Sheet1!AF47</f>
        <v>304.93013412193818</v>
      </c>
      <c r="AJ47" s="16">
        <f>+[3]Sheet1!AG47</f>
        <v>162.9353689136384</v>
      </c>
      <c r="AK47" s="16">
        <f>+[3]Sheet1!AH47</f>
        <v>91.453730657556079</v>
      </c>
      <c r="AL47" s="16">
        <f>+[3]Sheet1!AI47</f>
        <v>88.504914714802084</v>
      </c>
      <c r="AM47" s="16">
        <f>+[3]Sheet1!AJ47</f>
        <v>148.86700077115111</v>
      </c>
      <c r="AN47" s="16">
        <f>+[3]Sheet1!AK47</f>
        <v>102.0045202968797</v>
      </c>
      <c r="AO47" s="16">
        <f>+[3]Sheet1!AL47</f>
        <v>197.41079152867829</v>
      </c>
      <c r="AP47" s="16">
        <f>+[3]Sheet1!AM47</f>
        <v>164.69789659470231</v>
      </c>
      <c r="AQ47" s="16">
        <f>+[3]Sheet1!AN47</f>
        <v>164.02059915536529</v>
      </c>
      <c r="AR47" s="16">
        <f>+[3]Sheet1!AO47</f>
        <v>157.7014394146679</v>
      </c>
      <c r="AS47" s="16">
        <f>+[3]Sheet1!AP47</f>
        <v>124.1547011583952</v>
      </c>
      <c r="AT47" s="16">
        <f>+[3]Sheet1!AQ47</f>
        <v>41.216188724390051</v>
      </c>
      <c r="AU47" s="16">
        <f>+[3]Sheet1!AR47</f>
        <v>130.00121798684131</v>
      </c>
      <c r="AV47" s="16">
        <f>+[3]Sheet1!AS47</f>
        <v>115.07224888086471</v>
      </c>
      <c r="AW47" s="16">
        <f>+[3]Sheet1!AT47</f>
        <v>3526715.9083580431</v>
      </c>
      <c r="AX47" s="16">
        <f>+base_mensual!AY47</f>
        <v>451</v>
      </c>
      <c r="AY47">
        <f>+base_mensual!AZ47</f>
        <v>2.6324296004542131</v>
      </c>
      <c r="AZ47">
        <f>+[3]Sheet1!AX47</f>
        <v>142.83138091527539</v>
      </c>
    </row>
    <row r="48" spans="1:52" x14ac:dyDescent="0.25">
      <c r="A48" s="2">
        <f>+base_mensual!A48</f>
        <v>42704</v>
      </c>
      <c r="B48" s="1">
        <f>+base_mensual!B48</f>
        <v>6.676534868791828E-3</v>
      </c>
      <c r="C48">
        <f>+base_mensual!AE48</f>
        <v>152.31665453825238</v>
      </c>
      <c r="D48">
        <f>+base_mensual!H48</f>
        <v>167.45833247949901</v>
      </c>
      <c r="E48">
        <f>+[3]Sheet1!B48</f>
        <v>41578.481474060303</v>
      </c>
      <c r="F48">
        <f>+[3]Sheet1!C48</f>
        <v>18790.407467660829</v>
      </c>
      <c r="G48">
        <f>+[3]Sheet1!D48</f>
        <v>65434.259752852988</v>
      </c>
      <c r="H48">
        <f>+[3]Sheet1!E48</f>
        <v>21110.804162121702</v>
      </c>
      <c r="I48">
        <f>+[3]Sheet1!F48</f>
        <v>958000.81227126124</v>
      </c>
      <c r="J48">
        <f>+[3]Sheet1!G48</f>
        <v>230.7032273448126</v>
      </c>
      <c r="K48">
        <f>+[3]Sheet1!H48</f>
        <v>348.56293721702463</v>
      </c>
      <c r="L48">
        <f>+[3]Sheet1!I48</f>
        <v>149.87376191689259</v>
      </c>
      <c r="M48">
        <f>+[3]Sheet1!J48</f>
        <v>11338.764820477239</v>
      </c>
      <c r="N48">
        <f>+[3]Sheet1!K48</f>
        <v>53104.088723000219</v>
      </c>
      <c r="O48">
        <f>+[3]Sheet1!L48</f>
        <v>39301.992976388443</v>
      </c>
      <c r="P48">
        <f>+[3]Sheet1!M48</f>
        <v>0.51489768810207903</v>
      </c>
      <c r="Q48">
        <f>+[3]Sheet1!N48</f>
        <v>2.4427472809744382</v>
      </c>
      <c r="R48">
        <f>+[3]Sheet1!O48</f>
        <v>1.7180696331299521</v>
      </c>
      <c r="S48">
        <f>+[3]Sheet1!P48</f>
        <v>17329.237058724189</v>
      </c>
      <c r="T48">
        <f>+[3]Sheet1!Q48</f>
        <v>16430.74082041805</v>
      </c>
      <c r="U48">
        <f>+[3]Sheet1!R48</f>
        <v>0.75324922828031138</v>
      </c>
      <c r="V48">
        <f>+[3]Sheet1!S48</f>
        <v>0.7235359763929724</v>
      </c>
      <c r="W48">
        <f>+[3]Sheet1!T48</f>
        <v>750165.18060297309</v>
      </c>
      <c r="X48">
        <f>+[3]Sheet1!U48</f>
        <v>32.863045996304372</v>
      </c>
      <c r="Y48">
        <f>+[3]Sheet1!V48</f>
        <v>996149.36337643734</v>
      </c>
      <c r="Z48">
        <f>+[3]Sheet1!W48</f>
        <v>44.345741933874109</v>
      </c>
      <c r="AA48">
        <f>+[3]Sheet1!X48</f>
        <v>1370514.6653033691</v>
      </c>
      <c r="AB48">
        <f>+[3]Sheet1!Y48</f>
        <v>61.174944880622292</v>
      </c>
      <c r="AC48">
        <f>+[3]Sheet1!Z48</f>
        <v>0.2190550006751468</v>
      </c>
      <c r="AD48">
        <f>+[3]Sheet1!AA48</f>
        <v>60402.653545446607</v>
      </c>
      <c r="AE48">
        <f>+[3]Sheet1!AB48</f>
        <v>129869.641219457</v>
      </c>
      <c r="AF48">
        <f>+[3]Sheet1!AC48</f>
        <v>153.2140993198866</v>
      </c>
      <c r="AG48">
        <f>+[3]Sheet1!AD48</f>
        <v>122.4472996188496</v>
      </c>
      <c r="AH48" s="16">
        <f>+[3]Sheet1!AE48</f>
        <v>150.89959117610849</v>
      </c>
      <c r="AI48" s="16">
        <f>+[3]Sheet1!AF48</f>
        <v>390.70072905373331</v>
      </c>
      <c r="AJ48" s="16">
        <f>+[3]Sheet1!AG48</f>
        <v>169.79076150227749</v>
      </c>
      <c r="AK48" s="16">
        <f>+[3]Sheet1!AH48</f>
        <v>91.397268680310773</v>
      </c>
      <c r="AL48" s="16">
        <f>+[3]Sheet1!AI48</f>
        <v>88.133736225480902</v>
      </c>
      <c r="AM48" s="16">
        <f>+[3]Sheet1!AJ48</f>
        <v>142.53044370761219</v>
      </c>
      <c r="AN48" s="16">
        <f>+[3]Sheet1!AK48</f>
        <v>104.8223778544227</v>
      </c>
      <c r="AO48" s="16">
        <f>+[3]Sheet1!AL48</f>
        <v>198.42515926417661</v>
      </c>
      <c r="AP48" s="16">
        <f>+[3]Sheet1!AM48</f>
        <v>186.37524103226929</v>
      </c>
      <c r="AQ48" s="16">
        <f>+[3]Sheet1!AN48</f>
        <v>160.5102805338723</v>
      </c>
      <c r="AR48" s="16">
        <f>+[3]Sheet1!AO48</f>
        <v>163.20826217294879</v>
      </c>
      <c r="AS48" s="16">
        <f>+[3]Sheet1!AP48</f>
        <v>148.70048500534509</v>
      </c>
      <c r="AT48" s="16">
        <f>+[3]Sheet1!AQ48</f>
        <v>43.78107119771591</v>
      </c>
      <c r="AU48" s="16">
        <f>+[3]Sheet1!AR48</f>
        <v>133.3618112380741</v>
      </c>
      <c r="AV48" s="16">
        <f>+[3]Sheet1!AS48</f>
        <v>115.26606628754</v>
      </c>
      <c r="AW48" s="16">
        <f>+[3]Sheet1!AT48</f>
        <v>3665824.5841132328</v>
      </c>
      <c r="AX48" s="16">
        <f>+base_mensual!AY48</f>
        <v>491</v>
      </c>
      <c r="AY48">
        <f>+base_mensual!AZ48</f>
        <v>2.5160641675586191</v>
      </c>
      <c r="AZ48">
        <f>+[3]Sheet1!AX48</f>
        <v>146.38115239819089</v>
      </c>
    </row>
    <row r="49" spans="1:52" x14ac:dyDescent="0.25">
      <c r="A49" s="2">
        <f>+base_mensual!A49</f>
        <v>42734</v>
      </c>
      <c r="B49" s="1">
        <f>+base_mensual!B49</f>
        <v>6.676534868791828E-3</v>
      </c>
      <c r="C49">
        <f>+base_mensual!AE49</f>
        <v>154.00915520193763</v>
      </c>
      <c r="D49">
        <f>+base_mensual!H49</f>
        <v>176.461434516259</v>
      </c>
      <c r="E49">
        <f>+[3]Sheet1!B49</f>
        <v>48931.536582995897</v>
      </c>
      <c r="F49">
        <f>+[3]Sheet1!C49</f>
        <v>20425.262669565331</v>
      </c>
      <c r="G49">
        <f>+[3]Sheet1!D49</f>
        <v>65272.896229249323</v>
      </c>
      <c r="H49">
        <f>+[3]Sheet1!E49</f>
        <v>18593.985806471159</v>
      </c>
      <c r="I49">
        <f>+[3]Sheet1!F49</f>
        <v>979062.75646830339</v>
      </c>
      <c r="J49">
        <f>+[3]Sheet1!G49</f>
        <v>219.95372765779669</v>
      </c>
      <c r="K49">
        <f>+[3]Sheet1!H49</f>
        <v>350.79524231119461</v>
      </c>
      <c r="L49">
        <f>+[3]Sheet1!I49</f>
        <v>132.92445721308789</v>
      </c>
      <c r="M49">
        <f>+[3]Sheet1!J49</f>
        <v>10990.6037085273</v>
      </c>
      <c r="N49">
        <f>+[3]Sheet1!K49</f>
        <v>55800.299493232807</v>
      </c>
      <c r="O49">
        <f>+[3]Sheet1!L49</f>
        <v>40052.427526193977</v>
      </c>
      <c r="P49">
        <f>+[3]Sheet1!M49</f>
        <v>0.47870428524574649</v>
      </c>
      <c r="Q49">
        <f>+[3]Sheet1!N49</f>
        <v>2.4475329492969968</v>
      </c>
      <c r="R49">
        <f>+[3]Sheet1!O49</f>
        <v>1.7772427002972759</v>
      </c>
      <c r="S49">
        <f>+[3]Sheet1!P49</f>
        <v>17169.770190639221</v>
      </c>
      <c r="T49">
        <f>+[3]Sheet1!Q49</f>
        <v>17164.19907366129</v>
      </c>
      <c r="U49">
        <f>+[3]Sheet1!R49</f>
        <v>0.80015303566387108</v>
      </c>
      <c r="V49">
        <f>+[3]Sheet1!S49</f>
        <v>0.75323818080144234</v>
      </c>
      <c r="W49">
        <f>+[3]Sheet1!T49</f>
        <v>744092.83711371222</v>
      </c>
      <c r="X49">
        <f>+[3]Sheet1!U49</f>
        <v>35.139827261240519</v>
      </c>
      <c r="Y49">
        <f>+[3]Sheet1!V49</f>
        <v>1024852.667878993</v>
      </c>
      <c r="Z49">
        <f>+[3]Sheet1!W49</f>
        <v>45.270638530271853</v>
      </c>
      <c r="AA49">
        <f>+[3]Sheet1!X49</f>
        <v>1419861.658343144</v>
      </c>
      <c r="AB49">
        <f>+[3]Sheet1!Y49</f>
        <v>63.214998826498871</v>
      </c>
      <c r="AC49">
        <f>+[3]Sheet1!Z49</f>
        <v>0.1969396967495872</v>
      </c>
      <c r="AD49">
        <f>+[3]Sheet1!AA49</f>
        <v>61210.2801108157</v>
      </c>
      <c r="AE49">
        <f>+[3]Sheet1!AB49</f>
        <v>11798.27420178007</v>
      </c>
      <c r="AF49">
        <f>+[3]Sheet1!AC49</f>
        <v>156.25563617099741</v>
      </c>
      <c r="AG49">
        <f>+[3]Sheet1!AD49</f>
        <v>123.2590521556571</v>
      </c>
      <c r="AH49" s="16">
        <f>+[3]Sheet1!AE49</f>
        <v>150.3942607127056</v>
      </c>
      <c r="AI49" s="16">
        <f>+[3]Sheet1!AF49</f>
        <v>386.36907615553491</v>
      </c>
      <c r="AJ49" s="16">
        <f>+[3]Sheet1!AG49</f>
        <v>175.0438522240855</v>
      </c>
      <c r="AK49" s="16">
        <f>+[3]Sheet1!AH49</f>
        <v>92.996012223418234</v>
      </c>
      <c r="AL49" s="16">
        <f>+[3]Sheet1!AI49</f>
        <v>87.303151832942916</v>
      </c>
      <c r="AM49" s="16">
        <f>+[3]Sheet1!AJ49</f>
        <v>145.86317279528271</v>
      </c>
      <c r="AN49" s="16">
        <f>+[3]Sheet1!AK49</f>
        <v>102.2142845544045</v>
      </c>
      <c r="AO49" s="16">
        <f>+[3]Sheet1!AL49</f>
        <v>196.65313817372299</v>
      </c>
      <c r="AP49" s="16">
        <f>+[3]Sheet1!AM49</f>
        <v>190.61209490910329</v>
      </c>
      <c r="AQ49" s="16">
        <f>+[3]Sheet1!AN49</f>
        <v>164.11842863247389</v>
      </c>
      <c r="AR49" s="16">
        <f>+[3]Sheet1!AO49</f>
        <v>153.040584908912</v>
      </c>
      <c r="AS49" s="16">
        <f>+[3]Sheet1!AP49</f>
        <v>174.95797525422071</v>
      </c>
      <c r="AT49" s="16">
        <f>+[3]Sheet1!AQ49</f>
        <v>42.783928977947028</v>
      </c>
      <c r="AU49" s="16">
        <f>+[3]Sheet1!AR49</f>
        <v>135.6147282339025</v>
      </c>
      <c r="AV49" s="16">
        <f>+[3]Sheet1!AS49</f>
        <v>115.04323917331899</v>
      </c>
      <c r="AW49" s="16">
        <f>+[3]Sheet1!AT49</f>
        <v>4342661.5718603749</v>
      </c>
      <c r="AX49" s="16">
        <f>+base_mensual!AY49</f>
        <v>455</v>
      </c>
      <c r="AY49">
        <f>+base_mensual!AZ49</f>
        <v>2.4937647146979085</v>
      </c>
      <c r="AZ49">
        <f>+[3]Sheet1!AX49</f>
        <v>147.1348897718147</v>
      </c>
    </row>
    <row r="50" spans="1:52" x14ac:dyDescent="0.25">
      <c r="A50" s="2">
        <f>+base_mensual!A50</f>
        <v>42766</v>
      </c>
      <c r="B50" s="1">
        <f>+base_mensual!B50</f>
        <v>9.0530867870899367E-3</v>
      </c>
      <c r="C50">
        <f>+base_mensual!AE50</f>
        <v>153.68077065351679</v>
      </c>
      <c r="D50">
        <f>+base_mensual!H50</f>
        <v>178.085915063225</v>
      </c>
      <c r="E50">
        <f>+[3]Sheet1!B50</f>
        <v>46661.346491864722</v>
      </c>
      <c r="F50">
        <f>+[3]Sheet1!C50</f>
        <v>20212.614180640259</v>
      </c>
      <c r="G50">
        <f>+[3]Sheet1!D50</f>
        <v>63522.361986784628</v>
      </c>
      <c r="H50">
        <f>+[3]Sheet1!E50</f>
        <v>16176.542370916561</v>
      </c>
      <c r="I50">
        <f>+[3]Sheet1!F50</f>
        <v>947086.70176048449</v>
      </c>
      <c r="J50">
        <f>+[3]Sheet1!G50</f>
        <v>240.96811211418051</v>
      </c>
      <c r="K50">
        <f>+[3]Sheet1!H50</f>
        <v>355.94791257651713</v>
      </c>
      <c r="L50">
        <f>+[3]Sheet1!I50</f>
        <v>168.68478892280999</v>
      </c>
      <c r="M50">
        <f>+[3]Sheet1!J50</f>
        <v>12270.331036707939</v>
      </c>
      <c r="N50">
        <f>+[3]Sheet1!K50</f>
        <v>54041.98731373615</v>
      </c>
      <c r="O50">
        <f>+[3]Sheet1!L50</f>
        <v>42482.593757728093</v>
      </c>
      <c r="P50">
        <f>+[3]Sheet1!M50</f>
        <v>0.52907412612612914</v>
      </c>
      <c r="Q50">
        <f>+[3]Sheet1!N50</f>
        <v>2.3874139267329322</v>
      </c>
      <c r="R50">
        <f>+[3]Sheet1!O50</f>
        <v>1.918395676195161</v>
      </c>
      <c r="S50">
        <f>+[3]Sheet1!P50</f>
        <v>17828.32767269187</v>
      </c>
      <c r="T50">
        <f>+[3]Sheet1!Q50</f>
        <v>18043.846191080789</v>
      </c>
      <c r="U50">
        <f>+[3]Sheet1!R50</f>
        <v>0.83455733282602307</v>
      </c>
      <c r="V50">
        <f>+[3]Sheet1!S50</f>
        <v>0.83697248654094669</v>
      </c>
      <c r="W50">
        <f>+[3]Sheet1!T50</f>
        <v>808663.77845700493</v>
      </c>
      <c r="X50">
        <f>+[3]Sheet1!U50</f>
        <v>36.450246162817081</v>
      </c>
      <c r="Y50">
        <f>+[3]Sheet1!V50</f>
        <v>1033119.129832588</v>
      </c>
      <c r="Z50">
        <f>+[3]Sheet1!W50</f>
        <v>44.864088488366349</v>
      </c>
      <c r="AA50">
        <f>+[3]Sheet1!X50</f>
        <v>1456757.8296827539</v>
      </c>
      <c r="AB50">
        <f>+[3]Sheet1!Y50</f>
        <v>62.970693366322557</v>
      </c>
      <c r="AC50">
        <f>+[3]Sheet1!Z50</f>
        <v>0.20134791774739511</v>
      </c>
      <c r="AD50">
        <f>+[3]Sheet1!AA50</f>
        <v>59779.728397688137</v>
      </c>
      <c r="AE50">
        <f>+[3]Sheet1!AB50</f>
        <v>136787.2192138751</v>
      </c>
      <c r="AF50">
        <f>+[3]Sheet1!AC50</f>
        <v>152.95621403559139</v>
      </c>
      <c r="AG50">
        <f>+[3]Sheet1!AD50</f>
        <v>123.3251676627212</v>
      </c>
      <c r="AH50" s="16">
        <f>+[3]Sheet1!AE50</f>
        <v>154.0505105906241</v>
      </c>
      <c r="AI50" s="16">
        <f>+[3]Sheet1!AF50</f>
        <v>402.33775029400931</v>
      </c>
      <c r="AJ50" s="16">
        <f>+[3]Sheet1!AG50</f>
        <v>168.14690311666189</v>
      </c>
      <c r="AK50" s="16">
        <f>+[3]Sheet1!AH50</f>
        <v>97.212540792944168</v>
      </c>
      <c r="AL50" s="16">
        <f>+[3]Sheet1!AI50</f>
        <v>88.446270109892296</v>
      </c>
      <c r="AM50" s="16">
        <f>+[3]Sheet1!AJ50</f>
        <v>145.93611775377241</v>
      </c>
      <c r="AN50" s="16">
        <f>+[3]Sheet1!AK50</f>
        <v>104.9308145110971</v>
      </c>
      <c r="AO50" s="16">
        <f>+[3]Sheet1!AL50</f>
        <v>200.6336632253707</v>
      </c>
      <c r="AP50" s="16">
        <f>+[3]Sheet1!AM50</f>
        <v>183.7248975459394</v>
      </c>
      <c r="AQ50" s="16">
        <f>+[3]Sheet1!AN50</f>
        <v>165.57081278130661</v>
      </c>
      <c r="AR50" s="16">
        <f>+[3]Sheet1!AO50</f>
        <v>158.51006710806459</v>
      </c>
      <c r="AS50" s="16">
        <f>+[3]Sheet1!AP50</f>
        <v>168.50557317764321</v>
      </c>
      <c r="AT50" s="16">
        <f>+[3]Sheet1!AQ50</f>
        <v>42.568851596016927</v>
      </c>
      <c r="AU50" s="16">
        <f>+[3]Sheet1!AR50</f>
        <v>136.53464235021451</v>
      </c>
      <c r="AV50" s="16">
        <f>+[3]Sheet1!AS50</f>
        <v>116.23671236374101</v>
      </c>
      <c r="AW50" s="16">
        <f>+[3]Sheet1!AT50</f>
        <v>3521666.2968359948</v>
      </c>
      <c r="AX50" s="16">
        <f>+base_mensual!AY50</f>
        <v>457</v>
      </c>
      <c r="AY50">
        <f>+base_mensual!AZ50</f>
        <v>2.4611481334244338</v>
      </c>
      <c r="AZ50">
        <f>+[3]Sheet1!AX50</f>
        <v>146.64977991190361</v>
      </c>
    </row>
    <row r="51" spans="1:52" x14ac:dyDescent="0.25">
      <c r="A51" s="2">
        <f>+base_mensual!A51</f>
        <v>42794</v>
      </c>
      <c r="B51" s="1">
        <f>+base_mensual!B51</f>
        <v>9.0530867870899367E-3</v>
      </c>
      <c r="C51">
        <f>+base_mensual!AE51</f>
        <v>152.39219713256401</v>
      </c>
      <c r="D51">
        <f>+base_mensual!H51</f>
        <v>171.63531718335599</v>
      </c>
      <c r="E51">
        <f>+[3]Sheet1!B51</f>
        <v>28294.974038431879</v>
      </c>
      <c r="F51">
        <f>+[3]Sheet1!C51</f>
        <v>14796.23416722499</v>
      </c>
      <c r="G51">
        <f>+[3]Sheet1!D51</f>
        <v>69171.468458813746</v>
      </c>
      <c r="H51">
        <f>+[3]Sheet1!E51</f>
        <v>16503.90365507028</v>
      </c>
      <c r="I51">
        <f>+[3]Sheet1!F51</f>
        <v>931934.71404381364</v>
      </c>
      <c r="J51">
        <f>+[3]Sheet1!G51</f>
        <v>238.99026926773541</v>
      </c>
      <c r="K51">
        <f>+[3]Sheet1!H51</f>
        <v>340.80977023128582</v>
      </c>
      <c r="L51">
        <f>+[3]Sheet1!I51</f>
        <v>160.27923876223869</v>
      </c>
      <c r="M51">
        <f>+[3]Sheet1!J51</f>
        <v>8876.9906680239128</v>
      </c>
      <c r="N51">
        <f>+[3]Sheet1!K51</f>
        <v>56279.975478475208</v>
      </c>
      <c r="O51">
        <f>+[3]Sheet1!L51</f>
        <v>41379.519378416648</v>
      </c>
      <c r="P51">
        <f>+[3]Sheet1!M51</f>
        <v>0.37446000668969243</v>
      </c>
      <c r="Q51">
        <f>+[3]Sheet1!N51</f>
        <v>2.3951807780724419</v>
      </c>
      <c r="R51">
        <f>+[3]Sheet1!O51</f>
        <v>1.707446526128654</v>
      </c>
      <c r="S51">
        <f>+[3]Sheet1!P51</f>
        <v>18259.261255506619</v>
      </c>
      <c r="T51">
        <f>+[3]Sheet1!Q51</f>
        <v>18386.130117150249</v>
      </c>
      <c r="U51">
        <f>+[3]Sheet1!R51</f>
        <v>0.81870673359371515</v>
      </c>
      <c r="V51">
        <f>+[3]Sheet1!S51</f>
        <v>0.80641576920832347</v>
      </c>
      <c r="W51">
        <f>+[3]Sheet1!T51</f>
        <v>808728.44747992128</v>
      </c>
      <c r="X51">
        <f>+[3]Sheet1!U51</f>
        <v>35.775556094129414</v>
      </c>
      <c r="Y51">
        <f>+[3]Sheet1!V51</f>
        <v>1060185.4822358279</v>
      </c>
      <c r="Z51">
        <f>+[3]Sheet1!W51</f>
        <v>45.04906851515797</v>
      </c>
      <c r="AA51">
        <f>+[3]Sheet1!X51</f>
        <v>1482886.214470261</v>
      </c>
      <c r="AB51">
        <f>+[3]Sheet1!Y51</f>
        <v>62.74544610954748</v>
      </c>
      <c r="AC51">
        <f>+[3]Sheet1!Z51</f>
        <v>0.21481014846751481</v>
      </c>
      <c r="AD51">
        <f>+[3]Sheet1!AA51</f>
        <v>60178.085330629488</v>
      </c>
      <c r="AE51">
        <f>+[3]Sheet1!AB51</f>
        <v>135551.54012731259</v>
      </c>
      <c r="AF51">
        <f>+[3]Sheet1!AC51</f>
        <v>144.78060045969389</v>
      </c>
      <c r="AG51">
        <f>+[3]Sheet1!AD51</f>
        <v>116.8039569982555</v>
      </c>
      <c r="AH51" s="16">
        <f>+[3]Sheet1!AE51</f>
        <v>147.15611321298201</v>
      </c>
      <c r="AI51" s="16">
        <f>+[3]Sheet1!AF51</f>
        <v>337.59293687920052</v>
      </c>
      <c r="AJ51" s="16">
        <f>+[3]Sheet1!AG51</f>
        <v>162.24546636675399</v>
      </c>
      <c r="AK51" s="16">
        <f>+[3]Sheet1!AH51</f>
        <v>86.800186773748379</v>
      </c>
      <c r="AL51" s="16">
        <f>+[3]Sheet1!AI51</f>
        <v>88.603369325886291</v>
      </c>
      <c r="AM51" s="16">
        <f>+[3]Sheet1!AJ51</f>
        <v>144.6235577149975</v>
      </c>
      <c r="AN51" s="16">
        <f>+[3]Sheet1!AK51</f>
        <v>100.6880399040142</v>
      </c>
      <c r="AO51" s="16">
        <f>+[3]Sheet1!AL51</f>
        <v>191.6199844776045</v>
      </c>
      <c r="AP51" s="16">
        <f>+[3]Sheet1!AM51</f>
        <v>182.60164536086549</v>
      </c>
      <c r="AQ51" s="16">
        <f>+[3]Sheet1!AN51</f>
        <v>157.62776764671909</v>
      </c>
      <c r="AR51" s="16">
        <f>+[3]Sheet1!AO51</f>
        <v>154.0299853701417</v>
      </c>
      <c r="AS51" s="16">
        <f>+[3]Sheet1!AP51</f>
        <v>98.305489174630395</v>
      </c>
      <c r="AT51" s="16">
        <f>+[3]Sheet1!AQ51</f>
        <v>42.284345620428731</v>
      </c>
      <c r="AU51" s="16">
        <f>+[3]Sheet1!AR51</f>
        <v>136.25067993542041</v>
      </c>
      <c r="AV51" s="16">
        <f>+[3]Sheet1!AS51</f>
        <v>116.50966558473699</v>
      </c>
      <c r="AW51" s="16">
        <f>+[3]Sheet1!AT51</f>
        <v>3603171.9924851768</v>
      </c>
      <c r="AX51" s="16">
        <f>+base_mensual!AY51</f>
        <v>466</v>
      </c>
      <c r="AY51">
        <f>+base_mensual!AZ51</f>
        <v>2.3498972287518836</v>
      </c>
      <c r="AZ51">
        <f>+[3]Sheet1!AX51</f>
        <v>144.53480040823041</v>
      </c>
    </row>
    <row r="52" spans="1:52" x14ac:dyDescent="0.25">
      <c r="A52" s="2">
        <f>+base_mensual!A52</f>
        <v>42825</v>
      </c>
      <c r="B52" s="1">
        <f>+base_mensual!B52</f>
        <v>9.0530867870899367E-3</v>
      </c>
      <c r="C52">
        <f>+base_mensual!AE52</f>
        <v>150.55261392142981</v>
      </c>
      <c r="D52">
        <f>+base_mensual!H52</f>
        <v>184.13291566767799</v>
      </c>
      <c r="E52">
        <f>+[3]Sheet1!B52</f>
        <v>36691.964922879342</v>
      </c>
      <c r="F52">
        <f>+[3]Sheet1!C52</f>
        <v>14918.874697570331</v>
      </c>
      <c r="G52">
        <f>+[3]Sheet1!D52</f>
        <v>67955.564886797365</v>
      </c>
      <c r="H52">
        <f>+[3]Sheet1!E52</f>
        <v>17283.53205826203</v>
      </c>
      <c r="I52">
        <f>+[3]Sheet1!F52</f>
        <v>786919.69295424467</v>
      </c>
      <c r="J52">
        <f>+[3]Sheet1!G52</f>
        <v>335.69742436670379</v>
      </c>
      <c r="K52">
        <f>+[3]Sheet1!H52</f>
        <v>378.03406417124722</v>
      </c>
      <c r="L52">
        <f>+[3]Sheet1!I52</f>
        <v>179.9839341407727</v>
      </c>
      <c r="M52">
        <f>+[3]Sheet1!J52</f>
        <v>12843.267411695489</v>
      </c>
      <c r="N52">
        <f>+[3]Sheet1!K52</f>
        <v>55786.49339853799</v>
      </c>
      <c r="O52">
        <f>+[3]Sheet1!L52</f>
        <v>42970.643310294909</v>
      </c>
      <c r="P52">
        <f>+[3]Sheet1!M52</f>
        <v>0.51293054815188799</v>
      </c>
      <c r="Q52">
        <f>+[3]Sheet1!N52</f>
        <v>2.215582212629863</v>
      </c>
      <c r="R52">
        <f>+[3]Sheet1!O52</f>
        <v>1.7826134237474569</v>
      </c>
      <c r="S52">
        <f>+[3]Sheet1!P52</f>
        <v>19924.510360502809</v>
      </c>
      <c r="T52">
        <f>+[3]Sheet1!Q52</f>
        <v>18868.853424583809</v>
      </c>
      <c r="U52">
        <f>+[3]Sheet1!R52</f>
        <v>0.85097572203947014</v>
      </c>
      <c r="V52">
        <f>+[3]Sheet1!S52</f>
        <v>0.81622035392378922</v>
      </c>
      <c r="W52">
        <f>+[3]Sheet1!T52</f>
        <v>853729.25374936417</v>
      </c>
      <c r="X52">
        <f>+[3]Sheet1!U52</f>
        <v>36.720168220821932</v>
      </c>
      <c r="Y52">
        <f>+[3]Sheet1!V52</f>
        <v>1099786.1844397569</v>
      </c>
      <c r="Z52">
        <f>+[3]Sheet1!W52</f>
        <v>45.355504235330613</v>
      </c>
      <c r="AA52">
        <f>+[3]Sheet1!X52</f>
        <v>1508933.81655825</v>
      </c>
      <c r="AB52">
        <f>+[3]Sheet1!Y52</f>
        <v>62.921124495114277</v>
      </c>
      <c r="AC52">
        <f>+[3]Sheet1!Z52</f>
        <v>0.2016124434302845</v>
      </c>
      <c r="AD52">
        <f>+[3]Sheet1!AA52</f>
        <v>65302.083837971142</v>
      </c>
      <c r="AE52">
        <f>+[3]Sheet1!AB52</f>
        <v>150946.2085972043</v>
      </c>
      <c r="AF52">
        <f>+[3]Sheet1!AC52</f>
        <v>156.3510923323548</v>
      </c>
      <c r="AG52">
        <f>+[3]Sheet1!AD52</f>
        <v>112.6382128920728</v>
      </c>
      <c r="AH52" s="16">
        <f>+[3]Sheet1!AE52</f>
        <v>153.03976255581631</v>
      </c>
      <c r="AI52" s="16">
        <f>+[3]Sheet1!AF52</f>
        <v>378.55936838066037</v>
      </c>
      <c r="AJ52" s="16">
        <f>+[3]Sheet1!AG52</f>
        <v>169.40265754654629</v>
      </c>
      <c r="AK52" s="16">
        <f>+[3]Sheet1!AH52</f>
        <v>95.724660221122988</v>
      </c>
      <c r="AL52" s="16">
        <f>+[3]Sheet1!AI52</f>
        <v>88.900136189520552</v>
      </c>
      <c r="AM52" s="16">
        <f>+[3]Sheet1!AJ52</f>
        <v>149.7658617916928</v>
      </c>
      <c r="AN52" s="16">
        <f>+[3]Sheet1!AK52</f>
        <v>101.10888332922261</v>
      </c>
      <c r="AO52" s="16">
        <f>+[3]Sheet1!AL52</f>
        <v>202.7726285296537</v>
      </c>
      <c r="AP52" s="16">
        <f>+[3]Sheet1!AM52</f>
        <v>195.2870498343467</v>
      </c>
      <c r="AQ52" s="16">
        <f>+[3]Sheet1!AN52</f>
        <v>173.57353218708039</v>
      </c>
      <c r="AR52" s="16">
        <f>+[3]Sheet1!AO52</f>
        <v>156.34970169258901</v>
      </c>
      <c r="AS52" s="16">
        <f>+[3]Sheet1!AP52</f>
        <v>130.81935469121109</v>
      </c>
      <c r="AT52" s="16">
        <f>+[3]Sheet1!AQ52</f>
        <v>41.634871924522869</v>
      </c>
      <c r="AU52" s="16">
        <f>+[3]Sheet1!AR52</f>
        <v>138.43032398898001</v>
      </c>
      <c r="AV52" s="16">
        <f>+[3]Sheet1!AS52</f>
        <v>116.13405839048271</v>
      </c>
      <c r="AW52" s="16">
        <f>+[3]Sheet1!AT52</f>
        <v>3578775.503205196</v>
      </c>
      <c r="AX52" s="16">
        <f>+base_mensual!AY52</f>
        <v>442</v>
      </c>
      <c r="AY52">
        <f>+base_mensual!AZ52</f>
        <v>2.316832641609115</v>
      </c>
      <c r="AZ52">
        <f>+[3]Sheet1!AX52</f>
        <v>148.01584991391351</v>
      </c>
    </row>
    <row r="53" spans="1:52" x14ac:dyDescent="0.25">
      <c r="A53" s="2">
        <f>+base_mensual!A53</f>
        <v>42853</v>
      </c>
      <c r="B53" s="1">
        <f>+base_mensual!B53</f>
        <v>9.9059613933012436E-3</v>
      </c>
      <c r="C53">
        <f>+base_mensual!AE53</f>
        <v>151.66066799037208</v>
      </c>
      <c r="D53">
        <f>+base_mensual!H53</f>
        <v>181.61309392057001</v>
      </c>
      <c r="E53">
        <f>+[3]Sheet1!B53</f>
        <v>34750.312688109967</v>
      </c>
      <c r="F53">
        <f>+[3]Sheet1!C53</f>
        <v>17166.38926035021</v>
      </c>
      <c r="G53">
        <f>+[3]Sheet1!D53</f>
        <v>69666.906868851336</v>
      </c>
      <c r="H53">
        <f>+[3]Sheet1!E53</f>
        <v>17827.927998427811</v>
      </c>
      <c r="I53">
        <f>+[3]Sheet1!F53</f>
        <v>968365.53794710268</v>
      </c>
      <c r="J53">
        <f>+[3]Sheet1!G53</f>
        <v>339.02351274372052</v>
      </c>
      <c r="K53">
        <f>+[3]Sheet1!H53</f>
        <v>375.41510613117799</v>
      </c>
      <c r="L53">
        <f>+[3]Sheet1!I53</f>
        <v>172.2767619798467</v>
      </c>
      <c r="M53">
        <f>+[3]Sheet1!J53</f>
        <v>10862.87337406105</v>
      </c>
      <c r="N53">
        <f>+[3]Sheet1!K53</f>
        <v>60274.460944303479</v>
      </c>
      <c r="O53">
        <f>+[3]Sheet1!L53</f>
        <v>43128.293856839809</v>
      </c>
      <c r="P53">
        <f>+[3]Sheet1!M53</f>
        <v>0.44796541612759683</v>
      </c>
      <c r="Q53">
        <f>+[3]Sheet1!N53</f>
        <v>2.435164447000135</v>
      </c>
      <c r="R53">
        <f>+[3]Sheet1!O53</f>
        <v>1.702013164369913</v>
      </c>
      <c r="S53">
        <f>+[3]Sheet1!P53</f>
        <v>21365.257759187811</v>
      </c>
      <c r="T53">
        <f>+[3]Sheet1!Q53</f>
        <v>20603.257337493011</v>
      </c>
      <c r="U53">
        <f>+[3]Sheet1!R53</f>
        <v>0.87235253603552265</v>
      </c>
      <c r="V53">
        <f>+[3]Sheet1!S53</f>
        <v>0.83583812935235502</v>
      </c>
      <c r="W53">
        <f>+[3]Sheet1!T53</f>
        <v>915553.56453138508</v>
      </c>
      <c r="X53">
        <f>+[3]Sheet1!U53</f>
        <v>37.49718290632331</v>
      </c>
      <c r="Y53">
        <f>+[3]Sheet1!V53</f>
        <v>1116142.010538453</v>
      </c>
      <c r="Z53">
        <f>+[3]Sheet1!W53</f>
        <v>45.752598294199643</v>
      </c>
      <c r="AA53">
        <f>+[3]Sheet1!X53</f>
        <v>1560347.9930977109</v>
      </c>
      <c r="AB53">
        <f>+[3]Sheet1!Y53</f>
        <v>63.075190699884487</v>
      </c>
      <c r="AC53">
        <f>+[3]Sheet1!Z53</f>
        <v>0.16559739395436621</v>
      </c>
      <c r="AD53">
        <f>+[3]Sheet1!AA53</f>
        <v>59193.380916370617</v>
      </c>
      <c r="AE53">
        <f>+[3]Sheet1!AB53</f>
        <v>133890.1652725201</v>
      </c>
      <c r="AF53">
        <f>+[3]Sheet1!AC53</f>
        <v>146.32813215982139</v>
      </c>
      <c r="AG53">
        <f>+[3]Sheet1!AD53</f>
        <v>105.9859246937128</v>
      </c>
      <c r="AH53" s="16">
        <f>+[3]Sheet1!AE53</f>
        <v>152.73653737804739</v>
      </c>
      <c r="AI53" s="16">
        <f>+[3]Sheet1!AF53</f>
        <v>371.36881931337427</v>
      </c>
      <c r="AJ53" s="16">
        <f>+[3]Sheet1!AG53</f>
        <v>165.51150342272209</v>
      </c>
      <c r="AK53" s="16">
        <f>+[3]Sheet1!AH53</f>
        <v>90.139315113023585</v>
      </c>
      <c r="AL53" s="16">
        <f>+[3]Sheet1!AI53</f>
        <v>88.90116537626227</v>
      </c>
      <c r="AM53" s="16">
        <f>+[3]Sheet1!AJ53</f>
        <v>144.85111230964131</v>
      </c>
      <c r="AN53" s="16">
        <f>+[3]Sheet1!AK53</f>
        <v>104.8120915946653</v>
      </c>
      <c r="AO53" s="16">
        <f>+[3]Sheet1!AL53</f>
        <v>196.46622149547329</v>
      </c>
      <c r="AP53" s="16">
        <f>+[3]Sheet1!AM53</f>
        <v>186.67980250169921</v>
      </c>
      <c r="AQ53" s="16">
        <f>+[3]Sheet1!AN53</f>
        <v>173.99847253345311</v>
      </c>
      <c r="AR53" s="16">
        <f>+[3]Sheet1!AO53</f>
        <v>149.87512779878429</v>
      </c>
      <c r="AS53" s="16">
        <f>+[3]Sheet1!AP53</f>
        <v>124.87325771023259</v>
      </c>
      <c r="AT53" s="16">
        <f>+[3]Sheet1!AQ53</f>
        <v>47.064954185007927</v>
      </c>
      <c r="AU53" s="16">
        <f>+[3]Sheet1!AR53</f>
        <v>139.46647103426429</v>
      </c>
      <c r="AV53" s="16">
        <f>+[3]Sheet1!AS53</f>
        <v>116.7540543984436</v>
      </c>
      <c r="AW53" s="16">
        <f>+[3]Sheet1!AT53</f>
        <v>3586331.3846030021</v>
      </c>
      <c r="AX53" s="16">
        <f>+base_mensual!AY53</f>
        <v>405</v>
      </c>
      <c r="AY53">
        <f>+base_mensual!AZ53</f>
        <v>2.6113299353267463</v>
      </c>
      <c r="AZ53">
        <f>+[3]Sheet1!AX53</f>
        <v>146.49393173607979</v>
      </c>
    </row>
    <row r="54" spans="1:52" x14ac:dyDescent="0.25">
      <c r="A54" s="2">
        <f>+base_mensual!A54</f>
        <v>42886</v>
      </c>
      <c r="B54" s="1">
        <f>+base_mensual!B54</f>
        <v>9.9059613933012436E-3</v>
      </c>
      <c r="C54">
        <f>+base_mensual!AE54</f>
        <v>153.7174875967325</v>
      </c>
      <c r="D54">
        <f>+base_mensual!H54</f>
        <v>183.01275444322999</v>
      </c>
      <c r="E54">
        <f>+[3]Sheet1!B54</f>
        <v>41253.227846554793</v>
      </c>
      <c r="F54">
        <f>+[3]Sheet1!C54</f>
        <v>18145.194703068959</v>
      </c>
      <c r="G54">
        <f>+[3]Sheet1!D54</f>
        <v>78086.277301211288</v>
      </c>
      <c r="H54">
        <f>+[3]Sheet1!E54</f>
        <v>17404.819823154259</v>
      </c>
      <c r="I54">
        <f>+[3]Sheet1!F54</f>
        <v>1017140.462747972</v>
      </c>
      <c r="J54">
        <f>+[3]Sheet1!G54</f>
        <v>327.39139543385528</v>
      </c>
      <c r="K54">
        <f>+[3]Sheet1!H54</f>
        <v>385.04090785089812</v>
      </c>
      <c r="L54">
        <f>+[3]Sheet1!I54</f>
        <v>181.61149209661249</v>
      </c>
      <c r="M54">
        <f>+[3]Sheet1!J54</f>
        <v>8366.3435070388623</v>
      </c>
      <c r="N54">
        <f>+[3]Sheet1!K54</f>
        <v>60394.692266744983</v>
      </c>
      <c r="O54">
        <f>+[3]Sheet1!L54</f>
        <v>39727.902193243281</v>
      </c>
      <c r="P54">
        <f>+[3]Sheet1!M54</f>
        <v>0.3734365788319487</v>
      </c>
      <c r="Q54">
        <f>+[3]Sheet1!N54</f>
        <v>2.424404867252401</v>
      </c>
      <c r="R54">
        <f>+[3]Sheet1!O54</f>
        <v>1.766706771714122</v>
      </c>
      <c r="S54">
        <f>+[3]Sheet1!P54</f>
        <v>23087.138752804771</v>
      </c>
      <c r="T54">
        <f>+[3]Sheet1!Q54</f>
        <v>21729.911937523571</v>
      </c>
      <c r="U54">
        <f>+[3]Sheet1!R54</f>
        <v>0.89162463621753774</v>
      </c>
      <c r="V54">
        <f>+[3]Sheet1!S54</f>
        <v>0.86184844178939235</v>
      </c>
      <c r="W54">
        <f>+[3]Sheet1!T54</f>
        <v>982569.19344509987</v>
      </c>
      <c r="X54">
        <f>+[3]Sheet1!U54</f>
        <v>38.353890112905773</v>
      </c>
      <c r="Y54">
        <f>+[3]Sheet1!V54</f>
        <v>1123456.786627895</v>
      </c>
      <c r="Z54">
        <f>+[3]Sheet1!W54</f>
        <v>45.728654681196531</v>
      </c>
      <c r="AA54">
        <f>+[3]Sheet1!X54</f>
        <v>1557461.171703191</v>
      </c>
      <c r="AB54">
        <f>+[3]Sheet1!Y54</f>
        <v>63.560819724819673</v>
      </c>
      <c r="AC54">
        <f>+[3]Sheet1!Z54</f>
        <v>0.20114421707109009</v>
      </c>
      <c r="AD54">
        <f>+[3]Sheet1!AA54</f>
        <v>60457.340565449653</v>
      </c>
      <c r="AE54">
        <f>+[3]Sheet1!AB54</f>
        <v>143557.39622504881</v>
      </c>
      <c r="AF54">
        <f>+[3]Sheet1!AC54</f>
        <v>153.36910300856221</v>
      </c>
      <c r="AG54">
        <f>+[3]Sheet1!AD54</f>
        <v>117.6364391226024</v>
      </c>
      <c r="AH54" s="16">
        <f>+[3]Sheet1!AE54</f>
        <v>154.87837224546561</v>
      </c>
      <c r="AI54" s="16">
        <f>+[3]Sheet1!AF54</f>
        <v>403.30113597604679</v>
      </c>
      <c r="AJ54" s="16">
        <f>+[3]Sheet1!AG54</f>
        <v>171.1133818699532</v>
      </c>
      <c r="AK54" s="16">
        <f>+[3]Sheet1!AH54</f>
        <v>90.810751300906986</v>
      </c>
      <c r="AL54" s="16">
        <f>+[3]Sheet1!AI54</f>
        <v>88.621183601783869</v>
      </c>
      <c r="AM54" s="16">
        <f>+[3]Sheet1!AJ54</f>
        <v>144.7143198277933</v>
      </c>
      <c r="AN54" s="16">
        <f>+[3]Sheet1!AK54</f>
        <v>103.0328246585732</v>
      </c>
      <c r="AO54" s="16">
        <f>+[3]Sheet1!AL54</f>
        <v>206.311732663089</v>
      </c>
      <c r="AP54" s="16">
        <f>+[3]Sheet1!AM54</f>
        <v>192.3513206674873</v>
      </c>
      <c r="AQ54" s="16">
        <f>+[3]Sheet1!AN54</f>
        <v>178.02658983611781</v>
      </c>
      <c r="AR54" s="16">
        <f>+[3]Sheet1!AO54</f>
        <v>154.67428862494319</v>
      </c>
      <c r="AS54" s="16">
        <f>+[3]Sheet1!AP54</f>
        <v>148.65965935166321</v>
      </c>
      <c r="AT54" s="16">
        <f>+[3]Sheet1!AQ54</f>
        <v>48.574889014252392</v>
      </c>
      <c r="AU54" s="16">
        <f>+[3]Sheet1!AR54</f>
        <v>139.0017546617953</v>
      </c>
      <c r="AV54" s="16">
        <f>+[3]Sheet1!AS54</f>
        <v>116.77265304831801</v>
      </c>
      <c r="AW54" s="16">
        <f>+[3]Sheet1!AT54</f>
        <v>3685875.2527319212</v>
      </c>
      <c r="AX54" s="16">
        <f>+base_mensual!AY54</f>
        <v>408</v>
      </c>
      <c r="AY54">
        <f>+base_mensual!AZ54</f>
        <v>2.5168990049223172</v>
      </c>
      <c r="AZ54">
        <f>+[3]Sheet1!AX54</f>
        <v>152.4792743024615</v>
      </c>
    </row>
    <row r="55" spans="1:52" x14ac:dyDescent="0.25">
      <c r="A55" s="2">
        <f>+base_mensual!A55</f>
        <v>42916</v>
      </c>
      <c r="B55" s="1">
        <f>+base_mensual!B55</f>
        <v>9.9059613933012436E-3</v>
      </c>
      <c r="C55">
        <f>+base_mensual!AE55</f>
        <v>155.77274025413783</v>
      </c>
      <c r="D55">
        <f>+base_mensual!H55</f>
        <v>191.817954605126</v>
      </c>
      <c r="E55">
        <f>+[3]Sheet1!B55</f>
        <v>42342.880891809858</v>
      </c>
      <c r="F55">
        <f>+[3]Sheet1!C55</f>
        <v>18974.331806374961</v>
      </c>
      <c r="G55">
        <f>+[3]Sheet1!D55</f>
        <v>74454.060225207664</v>
      </c>
      <c r="H55">
        <f>+[3]Sheet1!E55</f>
        <v>22480.48821056166</v>
      </c>
      <c r="I55">
        <f>+[3]Sheet1!F55</f>
        <v>1035876.164523336</v>
      </c>
      <c r="J55">
        <f>+[3]Sheet1!G55</f>
        <v>280.5525942879853</v>
      </c>
      <c r="K55">
        <f>+[3]Sheet1!H55</f>
        <v>373.91761575707591</v>
      </c>
      <c r="L55">
        <f>+[3]Sheet1!I55</f>
        <v>181.4753684099075</v>
      </c>
      <c r="M55">
        <f>+[3]Sheet1!J55</f>
        <v>10359.697071625849</v>
      </c>
      <c r="N55">
        <f>+[3]Sheet1!K55</f>
        <v>61812.968028615876</v>
      </c>
      <c r="O55">
        <f>+[3]Sheet1!L55</f>
        <v>41694.932134131202</v>
      </c>
      <c r="P55">
        <f>+[3]Sheet1!M55</f>
        <v>0.42830923412451188</v>
      </c>
      <c r="Q55">
        <f>+[3]Sheet1!N55</f>
        <v>2.474481960257306</v>
      </c>
      <c r="R55">
        <f>+[3]Sheet1!O55</f>
        <v>1.789391911377201</v>
      </c>
      <c r="S55">
        <f>+[3]Sheet1!P55</f>
        <v>23758.302249792108</v>
      </c>
      <c r="T55">
        <f>+[3]Sheet1!Q55</f>
        <v>21805.333807509342</v>
      </c>
      <c r="U55">
        <f>+[3]Sheet1!R55</f>
        <v>0.89798868710163526</v>
      </c>
      <c r="V55">
        <f>+[3]Sheet1!S55</f>
        <v>0.86482937706220109</v>
      </c>
      <c r="W55">
        <f>+[3]Sheet1!T55</f>
        <v>1014401.648239293</v>
      </c>
      <c r="X55">
        <f>+[3]Sheet1!U55</f>
        <v>38.544408879190122</v>
      </c>
      <c r="Y55">
        <f>+[3]Sheet1!V55</f>
        <v>1185168.9006146931</v>
      </c>
      <c r="Z55">
        <f>+[3]Sheet1!W55</f>
        <v>46.455143470401417</v>
      </c>
      <c r="AA55">
        <f>+[3]Sheet1!X55</f>
        <v>1582970.7741795429</v>
      </c>
      <c r="AB55">
        <f>+[3]Sheet1!Y55</f>
        <v>64.957588178633699</v>
      </c>
      <c r="AC55">
        <f>+[3]Sheet1!Z55</f>
        <v>0.19965929876205021</v>
      </c>
      <c r="AD55">
        <f>+[3]Sheet1!AA55</f>
        <v>63507.452432751386</v>
      </c>
      <c r="AE55">
        <f>+[3]Sheet1!AB55</f>
        <v>152318.77825084521</v>
      </c>
      <c r="AF55">
        <f>+[3]Sheet1!AC55</f>
        <v>152.83502832491661</v>
      </c>
      <c r="AG55">
        <f>+[3]Sheet1!AD55</f>
        <v>120.22251011102919</v>
      </c>
      <c r="AH55" s="16">
        <f>+[3]Sheet1!AE55</f>
        <v>160.03133252719979</v>
      </c>
      <c r="AI55" s="16">
  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    <c r="AL55" s="16">
        <f>+[3]Sheet1!AI55</f>
        <v>89.245843959345478</v>
      </c>
      <c r="AM55" s="16">
        <f>+[3]Sheet1!AJ55</f>
        <v>146.67759735653291</v>
      </c>
      <c r="AN55" s="16">
        <f>+[3]Sheet1!AK55</f>
        <v>104.93767238659851</v>
      </c>
      <c r="AO55" s="16">
        <f>+[3]Sheet1!AL55</f>
        <v>215.2790128231091</v>
      </c>
      <c r="AP55" s="16">
        <f>+[3]Sheet1!AM55</f>
        <v>201.5876397628337</v>
      </c>
      <c r="AQ55" s="16">
        <f>+[3]Sheet1!AN55</f>
        <v>175.91686318850739</v>
      </c>
      <c r="AR55" s="16">
        <f>+[3]Sheet1!AO55</f>
        <v>158.5130220612802</v>
      </c>
      <c r="AS55" s="16">
        <f>+[3]Sheet1!AP55</f>
        <v>152.73564104294061</v>
      </c>
      <c r="AT55" s="16">
        <f>+[3]Sheet1!AQ55</f>
        <v>44.076298534056157</v>
      </c>
      <c r="AU55" s="16">
        <f>+[3]Sheet1!AR55</f>
        <v>138.4148732409854</v>
      </c>
      <c r="AV55" s="16">
        <f>+[3]Sheet1!AS55</f>
        <v>115.4621090650915</v>
      </c>
      <c r="AW55" s="16">
        <f>+[3]Sheet1!AT55</f>
        <v>3488906.147545178</v>
      </c>
      <c r="AX55" s="16">
        <f>+base_mensual!AY55</f>
        <v>432</v>
      </c>
      <c r="AY55">
        <f>+base_mensual!AZ55</f>
        <v>2.277803797344701</v>
      </c>
      <c r="AZ55">
        <f>+[3]Sheet1!AX55</f>
        <v>152.98777986969591</v>
      </c>
    </row>
    <row r="56" spans="1:52" x14ac:dyDescent="0.25">
      <c r="A56" s="2">
        <f>+base_mensual!A56</f>
        <v>42947</v>
      </c>
      <c r="B56" s="1">
        <f>+base_mensual!B56</f>
        <v>1.3434622388260209E-2</v>
      </c>
      <c r="C56">
        <f>+base_mensual!AE56</f>
        <v>156.05608571179062</v>
      </c>
      <c r="D56">
        <f>+base_mensual!H56</f>
        <v>195.87968621658601</v>
      </c>
      <c r="E56">
        <f>+[3]Sheet1!B56</f>
        <v>39148.99497778745</v>
      </c>
      <c r="F56">
        <f>+[3]Sheet1!C56</f>
        <v>15529.43344078769</v>
      </c>
      <c r="G56">
        <f>+[3]Sheet1!D56</f>
        <v>73934.098812362368</v>
      </c>
      <c r="H56">
        <f>+[3]Sheet1!E56</f>
        <v>17825.963938519009</v>
      </c>
      <c r="I56">
        <f>+[3]Sheet1!F56</f>
        <v>1036552.291997035</v>
      </c>
      <c r="J56">
        <f>+[3]Sheet1!G56</f>
        <v>242.52122602244049</v>
      </c>
      <c r="K56">
        <f>+[3]Sheet1!H56</f>
        <v>384.61322637836003</v>
      </c>
      <c r="L56">
        <f>+[3]Sheet1!I56</f>
        <v>190.5055117853083</v>
      </c>
      <c r="M56">
        <f>+[3]Sheet1!J56</f>
        <v>12077.6819412082</v>
      </c>
      <c r="N56">
        <f>+[3]Sheet1!K56</f>
        <v>64891.88699673846</v>
      </c>
      <c r="O56">
        <f>+[3]Sheet1!L56</f>
        <v>50079.748854482503</v>
      </c>
      <c r="P56">
        <f>+[3]Sheet1!M56</f>
        <v>0.45846552941045088</v>
      </c>
      <c r="Q56">
        <f>+[3]Sheet1!N56</f>
        <v>2.5230144266468768</v>
      </c>
      <c r="R56">
        <f>+[3]Sheet1!O56</f>
        <v>1.9077689769581829</v>
      </c>
      <c r="S56">
        <f>+[3]Sheet1!P56</f>
        <v>21643.84161154912</v>
      </c>
      <c r="T56">
        <f>+[3]Sheet1!Q56</f>
        <v>22901.552435732701</v>
      </c>
      <c r="U56">
        <f>+[3]Sheet1!R56</f>
        <v>0.83406134970577372</v>
      </c>
      <c r="V56">
        <f>+[3]Sheet1!S56</f>
        <v>0.86794246998315761</v>
      </c>
      <c r="W56">
        <f>+[3]Sheet1!T56</f>
        <v>984698.9101886272</v>
      </c>
      <c r="X56">
        <f>+[3]Sheet1!U56</f>
        <v>36.644533731090277</v>
      </c>
      <c r="Y56">
        <f>+[3]Sheet1!V56</f>
        <v>1152978.917855317</v>
      </c>
      <c r="Z56">
        <f>+[3]Sheet1!W56</f>
        <v>46.141799244820866</v>
      </c>
      <c r="AA56">
        <f>+[3]Sheet1!X56</f>
        <v>1669142.5397132421</v>
      </c>
      <c r="AB56">
        <f>+[3]Sheet1!Y56</f>
        <v>64.615078772567685</v>
      </c>
      <c r="AC56">
        <f>+[3]Sheet1!Z56</f>
        <v>0.19801746915828089</v>
      </c>
      <c r="AD56">
        <f>+[3]Sheet1!AA56</f>
        <v>59648.846437844113</v>
      </c>
      <c r="AE56">
        <f>+[3]Sheet1!AB56</f>
        <v>148133.44230430061</v>
      </c>
      <c r="AF56">
        <f>+[3]Sheet1!AC56</f>
        <v>151.36875330833939</v>
      </c>
      <c r="AG56">
        <f>+[3]Sheet1!AD56</f>
        <v>122.8795791621782</v>
      </c>
      <c r="AH56" s="16">
        <f>+[3]Sheet1!AE56</f>
        <v>158.33770590682661</v>
      </c>
      <c r="AI56" s="16">
        <f>+[3]Sheet1!AF56</f>
        <v>381.36697842307922</v>
      </c>
      <c r="AJ56" s="16">
        <f>+[3]Sheet1!AG56</f>
        <v>168.83626213884651</v>
      </c>
      <c r="AK56" s="16">
        <f>+[3]Sheet1!AH56</f>
        <v>87.102979967622034</v>
      </c>
      <c r="AL56" s="16">
        <f>+[3]Sheet1!AI56</f>
        <v>89.152139957510357</v>
      </c>
      <c r="AM56" s="16">
        <f>+[3]Sheet1!AJ56</f>
        <v>149.84683452752321</v>
      </c>
      <c r="AN56" s="16">
        <f>+[3]Sheet1!AK56</f>
        <v>102.3821450479505</v>
      </c>
      <c r="AO56" s="16">
        <f>+[3]Sheet1!AL56</f>
        <v>208.69134024860091</v>
      </c>
      <c r="AP56" s="16">
        <f>+[3]Sheet1!AM56</f>
        <v>201.58725695471841</v>
      </c>
      <c r="AQ56" s="16">
        <f>+[3]Sheet1!AN56</f>
        <v>178.11587179323769</v>
      </c>
      <c r="AR56" s="16">
        <f>+[3]Sheet1!AO56</f>
        <v>164.85956249234101</v>
      </c>
      <c r="AS56" s="16">
        <f>+[3]Sheet1!AP56</f>
        <v>140.37128611731239</v>
      </c>
      <c r="AT56" s="16">
        <f>+[3]Sheet1!AQ56</f>
        <v>43.294701461764802</v>
      </c>
      <c r="AU56" s="16">
        <f>+[3]Sheet1!AR56</f>
        <v>140.45088384397039</v>
      </c>
      <c r="AV56" s="16">
        <f>+[3]Sheet1!AS56</f>
        <v>116.73041284252599</v>
      </c>
      <c r="AW56" s="16">
        <f>+[3]Sheet1!AT56</f>
        <v>3761951.081466448</v>
      </c>
      <c r="AX56" s="16">
        <f>+base_mensual!AY56</f>
        <v>440</v>
      </c>
      <c r="AY56">
        <f>+base_mensual!AZ56</f>
        <v>2.235447625020651</v>
      </c>
      <c r="AZ56">
        <f>+[3]Sheet1!AX56</f>
        <v>149.8463711865175</v>
      </c>
    </row>
    <row r="57" spans="1:52" x14ac:dyDescent="0.25">
      <c r="A57" s="2">
        <f>+base_mensual!A57</f>
        <v>42978</v>
      </c>
      <c r="B57" s="1">
        <f>+base_mensual!B57</f>
        <v>1.3434622388260209E-2</v>
      </c>
      <c r="C57">
        <f>+base_mensual!AE57</f>
        <v>154.49389890000481</v>
      </c>
      <c r="D57">
        <f>+base_mensual!H57</f>
        <v>195.66080107923699</v>
      </c>
      <c r="E57">
        <f>+[3]Sheet1!B57</f>
        <v>39794.750854647493</v>
      </c>
      <c r="F57">
        <f>+[3]Sheet1!C57</f>
        <v>16031.25873623561</v>
      </c>
      <c r="G57">
        <f>+[3]Sheet1!D57</f>
        <v>71958.830033408987</v>
      </c>
      <c r="H57">
        <f>+[3]Sheet1!E57</f>
        <v>20489.693411040909</v>
      </c>
      <c r="I57">
        <f>+[3]Sheet1!F57</f>
        <v>1008009.307594102</v>
      </c>
      <c r="J57">
        <f>+[3]Sheet1!G57</f>
        <v>250.1192669152079</v>
      </c>
      <c r="K57">
        <f>+[3]Sheet1!H57</f>
        <v>383.12342134390951</v>
      </c>
      <c r="L57">
        <f>+[3]Sheet1!I57</f>
        <v>182.25052548848839</v>
      </c>
      <c r="M57">
        <f>+[3]Sheet1!J57</f>
        <v>14287.80055076594</v>
      </c>
      <c r="N57">
        <f>+[3]Sheet1!K57</f>
        <v>67114.619356398616</v>
      </c>
      <c r="O57">
        <f>+[3]Sheet1!L57</f>
        <v>45264.858568883239</v>
      </c>
      <c r="P57">
        <f>+[3]Sheet1!M57</f>
        <v>0.53613464669349831</v>
      </c>
      <c r="Q57">
        <f>+[3]Sheet1!N57</f>
        <v>2.5731964421525579</v>
      </c>
      <c r="R57">
        <f>+[3]Sheet1!O57</f>
        <v>1.728980294141401</v>
      </c>
      <c r="S57">
        <f>+[3]Sheet1!P57</f>
        <v>24622.21002612984</v>
      </c>
      <c r="T57">
        <f>+[3]Sheet1!Q57</f>
        <v>24260.333284122418</v>
      </c>
      <c r="U57">
        <f>+[3]Sheet1!R57</f>
        <v>0.90835338123059406</v>
      </c>
      <c r="V57">
        <f>+[3]Sheet1!S57</f>
        <v>0.90576559452056926</v>
      </c>
      <c r="W57">
        <f>+[3]Sheet1!T57</f>
        <v>1026195.32086764</v>
      </c>
      <c r="X57">
        <f>+[3]Sheet1!U57</f>
        <v>38.170286185565622</v>
      </c>
      <c r="Y57">
        <f>+[3]Sheet1!V57</f>
        <v>1193538.5011960969</v>
      </c>
      <c r="Z57">
        <f>+[3]Sheet1!W57</f>
        <v>46.31713793784634</v>
      </c>
      <c r="AA57">
        <f>+[3]Sheet1!X57</f>
        <v>1649852.8508649969</v>
      </c>
      <c r="AB57">
        <f>+[3]Sheet1!Y57</f>
        <v>64.879354255647655</v>
      </c>
      <c r="AC57">
        <f>+[3]Sheet1!Z57</f>
        <v>0.20832350761114141</v>
      </c>
      <c r="AD57">
        <f>+[3]Sheet1!AA57</f>
        <v>59196.363184101378</v>
      </c>
      <c r="AE57">
        <f>+[3]Sheet1!AB57</f>
        <v>2653.6793215363432</v>
      </c>
      <c r="AF57">
        <f>+[3]Sheet1!AC57</f>
        <v>151.49669329712799</v>
      </c>
      <c r="AG57">
        <f>+[3]Sheet1!AD57</f>
        <v>120.18320854168221</v>
      </c>
      <c r="AH57" s="16">
        <f>+[3]Sheet1!AE57</f>
        <v>159.6234096508708</v>
      </c>
      <c r="AI57" s="16">
        <f>+[3]Sheet1!AF57</f>
        <v>385.51223429550771</v>
      </c>
      <c r="AJ57" s="16">
        <f>+[3]Sheet1!AG57</f>
        <v>167.91687164136121</v>
      </c>
      <c r="AK57" s="16">
        <f>+[3]Sheet1!AH57</f>
        <v>92.420594821182476</v>
      </c>
      <c r="AL57" s="16">
        <f>+[3]Sheet1!AI57</f>
        <v>89.170633483116546</v>
      </c>
      <c r="AM57" s="16">
        <f>+[3]Sheet1!AJ57</f>
        <v>148.74625384874761</v>
      </c>
      <c r="AN57" s="16">
        <f>+[3]Sheet1!AK57</f>
        <v>103.7587545689845</v>
      </c>
      <c r="AO57" s="16">
        <f>+[3]Sheet1!AL57</f>
        <v>210.01359713779871</v>
      </c>
      <c r="AP57" s="16">
        <f>+[3]Sheet1!AM57</f>
        <v>200.2159286393713</v>
      </c>
      <c r="AQ57" s="16">
        <f>+[3]Sheet1!AN57</f>
        <v>178.61002111343291</v>
      </c>
      <c r="AR57" s="16">
        <f>+[3]Sheet1!AO57</f>
        <v>161.95481131115221</v>
      </c>
      <c r="AS57" s="16">
        <f>+[3]Sheet1!AP57</f>
        <v>141.53226499294769</v>
      </c>
      <c r="AT57" s="16">
        <f>+[3]Sheet1!AQ57</f>
        <v>46.304997740889618</v>
      </c>
      <c r="AU57" s="16">
        <f>+[3]Sheet1!AR57</f>
        <v>140.7771268343534</v>
      </c>
      <c r="AV57" s="16">
        <f>+[3]Sheet1!AS57</f>
        <v>116.5456978089331</v>
      </c>
      <c r="AW57" s="16">
        <f>+[3]Sheet1!AT57</f>
        <v>3538777.0091665369</v>
      </c>
      <c r="AX57" s="16">
        <f>+base_mensual!AY57</f>
        <v>404</v>
      </c>
      <c r="AY57">
        <f>+base_mensual!AZ57</f>
        <v>2.5317971156960009</v>
      </c>
      <c r="AZ57">
        <f>+[3]Sheet1!AX57</f>
        <v>149.78431125634549</v>
      </c>
    </row>
    <row r="58" spans="1:52" x14ac:dyDescent="0.25">
      <c r="A58" s="2">
        <f>+base_mensual!A58</f>
        <v>43007</v>
      </c>
      <c r="B58" s="1">
        <f>+base_mensual!B58</f>
        <v>1.3434622388260209E-2</v>
      </c>
      <c r="C58">
        <f>+base_mensual!AE58</f>
        <v>156.58297903343674</v>
      </c>
      <c r="D58">
        <f>+base_mensual!H58</f>
        <v>198.91603014349701</v>
      </c>
      <c r="E58">
        <f>+[3]Sheet1!B58</f>
        <v>42236.935071638152</v>
      </c>
      <c r="F58">
        <f>+[3]Sheet1!C58</f>
        <v>18310.674427829879</v>
      </c>
      <c r="G58">
        <f>+[3]Sheet1!D58</f>
        <v>73109.637247604755</v>
      </c>
      <c r="H58">
        <f>+[3]Sheet1!E58</f>
        <v>23759.43514533796</v>
      </c>
      <c r="I58">
        <f>+[3]Sheet1!F58</f>
        <v>1049430.990646597</v>
      </c>
      <c r="J58">
        <f>+[3]Sheet1!G58</f>
        <v>267.67231304221468</v>
      </c>
      <c r="K58">
        <f>+[3]Sheet1!H58</f>
        <v>401.04182573690241</v>
      </c>
      <c r="L58">
        <f>+[3]Sheet1!I58</f>
        <v>192.4806119706731</v>
      </c>
      <c r="M58">
        <f>+[3]Sheet1!J58</f>
        <v>10878.47570492695</v>
      </c>
      <c r="N58">
        <f>+[3]Sheet1!K58</f>
        <v>65941.110443192243</v>
      </c>
      <c r="O58">
        <f>+[3]Sheet1!L58</f>
        <v>55471.866704898937</v>
      </c>
      <c r="P58">
        <f>+[3]Sheet1!M58</f>
        <v>0.41938225648064881</v>
      </c>
      <c r="Q58">
        <f>+[3]Sheet1!N58</f>
        <v>2.5196773761763001</v>
      </c>
      <c r="R58">
        <f>+[3]Sheet1!O58</f>
        <v>2.074792040934669</v>
      </c>
      <c r="S58">
        <f>+[3]Sheet1!P58</f>
        <v>25144.41413811428</v>
      </c>
      <c r="T58">
        <f>+[3]Sheet1!Q58</f>
        <v>24422.694136935759</v>
      </c>
      <c r="U58">
        <f>+[3]Sheet1!R58</f>
        <v>0.92434820924021388</v>
      </c>
      <c r="V58">
        <f>+[3]Sheet1!S58</f>
        <v>0.92916814205350262</v>
      </c>
      <c r="W58">
        <f>+[3]Sheet1!T58</f>
        <v>1022056.209092443</v>
      </c>
      <c r="X58">
        <f>+[3]Sheet1!U58</f>
        <v>38.205659556700041</v>
      </c>
      <c r="Y58">
        <f>+[3]Sheet1!V58</f>
        <v>1173894.816210228</v>
      </c>
      <c r="Z58">
        <f>+[3]Sheet1!W58</f>
        <v>46.529550740684549</v>
      </c>
      <c r="AA58">
        <f>+[3]Sheet1!X58</f>
        <v>1703027.3684808421</v>
      </c>
      <c r="AB58">
        <f>+[3]Sheet1!Y58</f>
        <v>64.258060774574318</v>
      </c>
      <c r="AC58">
        <f>+[3]Sheet1!Z58</f>
        <v>0.19867290187587319</v>
      </c>
      <c r="AD58">
        <f>+[3]Sheet1!AA58</f>
        <v>57604.528474878301</v>
      </c>
      <c r="AE58">
        <f>+[3]Sheet1!AB58</f>
        <v>152639.88809317321</v>
      </c>
      <c r="AF58">
        <f>+[3]Sheet1!AC58</f>
        <v>150.84275723575621</v>
      </c>
      <c r="AG58">
        <f>+[3]Sheet1!AD58</f>
        <v>119.0357914838784</v>
      </c>
      <c r="AH58" s="16">
        <f>+[3]Sheet1!AE58</f>
        <v>163.3947603014978</v>
      </c>
      <c r="AI58" s="16">
        <f>+[3]Sheet1!AF58</f>
        <v>403.15770157139588</v>
      </c>
      <c r="AJ58" s="16">
        <f>+[3]Sheet1!AG58</f>
        <v>165.77741438202321</v>
      </c>
      <c r="AK58" s="16">
        <f>+[3]Sheet1!AH58</f>
        <v>103.15587991779751</v>
      </c>
      <c r="AL58" s="16">
        <f>+[3]Sheet1!AI58</f>
        <v>88.965391358520449</v>
      </c>
      <c r="AM58" s="16">
        <f>+[3]Sheet1!AJ58</f>
        <v>151.01937175924439</v>
      </c>
      <c r="AN58" s="16">
        <f>+[3]Sheet1!AK58</f>
        <v>104.1290159184106</v>
      </c>
      <c r="AO58" s="16">
        <f>+[3]Sheet1!AL58</f>
        <v>221.3800502488489</v>
      </c>
      <c r="AP58" s="16">
        <f>+[3]Sheet1!AM58</f>
        <v>202.1442061451969</v>
      </c>
      <c r="AQ58" s="16">
        <f>+[3]Sheet1!AN58</f>
        <v>185.00600915439111</v>
      </c>
      <c r="AR58" s="16">
        <f>+[3]Sheet1!AO58</f>
        <v>155.6282956121735</v>
      </c>
      <c r="AS58" s="16">
        <f>+[3]Sheet1!AP58</f>
        <v>151.18741146439459</v>
      </c>
      <c r="AT58" s="16">
        <f>+[3]Sheet1!AQ58</f>
        <v>51.845231828778438</v>
      </c>
      <c r="AU58" s="16">
        <f>+[3]Sheet1!AR58</f>
        <v>143.1444802966881</v>
      </c>
      <c r="AV58" s="16">
        <f>+[3]Sheet1!AS58</f>
        <v>119.9524268116985</v>
      </c>
      <c r="AW58" s="16">
        <f>+[3]Sheet1!AT58</f>
        <v>3298928.1771126208</v>
      </c>
      <c r="AX58" s="16">
        <f>+base_mensual!AY58</f>
        <v>377</v>
      </c>
      <c r="AY58">
        <f>+base_mensual!AZ58</f>
        <v>2.8550328256371484</v>
      </c>
      <c r="AZ58">
        <f>+[3]Sheet1!AX58</f>
        <v>151.03581894200551</v>
      </c>
    </row>
    <row r="59" spans="1:52" x14ac:dyDescent="0.25">
      <c r="A59" s="2">
        <f>+base_mensual!A59</f>
        <v>43039</v>
      </c>
      <c r="B59" s="1">
        <f>+base_mensual!B59</f>
        <v>9.851195657013978E-3</v>
      </c>
      <c r="C59">
        <f>+base_mensual!AE59</f>
        <v>151.42581674738798</v>
      </c>
      <c r="D59">
        <f>+base_mensual!H59</f>
        <v>204.052101450028</v>
      </c>
      <c r="E59">
        <f>+[3]Sheet1!B59</f>
        <v>40847.174279226798</v>
      </c>
      <c r="F59">
        <f>+[3]Sheet1!C59</f>
        <v>20480.67669481401</v>
      </c>
      <c r="G59">
        <f>+[3]Sheet1!D59</f>
        <v>77509.750563765905</v>
      </c>
      <c r="H59">
        <f>+[3]Sheet1!E59</f>
        <v>22162.061937132359</v>
      </c>
      <c r="I59">
        <f>+[3]Sheet1!F59</f>
        <v>1032389.381702135</v>
      </c>
      <c r="J59">
        <f>+[3]Sheet1!G59</f>
        <v>300.2168769643863</v>
      </c>
      <c r="K59">
        <f>+[3]Sheet1!H59</f>
        <v>416.614794448265</v>
      </c>
      <c r="L59">
        <f>+[3]Sheet1!I59</f>
        <v>203.36633791761719</v>
      </c>
      <c r="M59">
        <f>+[3]Sheet1!J59</f>
        <v>9729.2550869506158</v>
      </c>
      <c r="N59">
        <f>+[3]Sheet1!K59</f>
        <v>67708.118455582793</v>
      </c>
      <c r="O59">
        <f>+[3]Sheet1!L59</f>
        <v>50764.186306004107</v>
      </c>
      <c r="P59">
        <f>+[3]Sheet1!M59</f>
        <v>0.40461631041075019</v>
      </c>
      <c r="Q59">
        <f>+[3]Sheet1!N59</f>
        <v>2.6200407339528522</v>
      </c>
      <c r="R59">
        <f>+[3]Sheet1!O59</f>
        <v>1.8668253984133341</v>
      </c>
      <c r="S59">
        <f>+[3]Sheet1!P59</f>
        <v>27972.977232902751</v>
      </c>
      <c r="T59">
        <f>+[3]Sheet1!Q59</f>
        <v>27387.186767737261</v>
      </c>
      <c r="U59">
        <f>+[3]Sheet1!R59</f>
        <v>1.049016354261421</v>
      </c>
      <c r="V59">
        <f>+[3]Sheet1!S59</f>
        <v>0.99875648502593994</v>
      </c>
      <c r="W59">
        <f>+[3]Sheet1!T59</f>
        <v>1176571.651251747</v>
      </c>
      <c r="X59">
        <f>+[3]Sheet1!U59</f>
        <v>44.708343048163691</v>
      </c>
      <c r="Y59">
        <f>+[3]Sheet1!V59</f>
        <v>1249643.590927077</v>
      </c>
      <c r="Z59">
        <f>+[3]Sheet1!W59</f>
        <v>46.3424405086636</v>
      </c>
      <c r="AA59">
        <f>+[3]Sheet1!X59</f>
        <v>1765012.2573141281</v>
      </c>
      <c r="AB59">
        <f>+[3]Sheet1!Y59</f>
        <v>65.139268677137849</v>
      </c>
      <c r="AC59">
        <f>+[3]Sheet1!Z59</f>
        <v>0.22061130959716119</v>
      </c>
      <c r="AD59">
        <f>+[3]Sheet1!AA59</f>
        <v>58645.869549245079</v>
      </c>
      <c r="AE59">
        <f>+[3]Sheet1!AB59</f>
        <v>152895.70010017231</v>
      </c>
      <c r="AF59">
        <f>+[3]Sheet1!AC59</f>
        <v>149.2795185079265</v>
      </c>
      <c r="AG59">
        <f>+[3]Sheet1!AD59</f>
        <v>117.2885044028656</v>
      </c>
      <c r="AH59" s="16">
        <f>+[3]Sheet1!AE59</f>
        <v>153.98235689036241</v>
      </c>
      <c r="AI59" s="16">
        <f>+[3]Sheet1!AF59</f>
        <v>377.93594143623102</v>
      </c>
      <c r="AJ59" s="16">
        <f>+[3]Sheet1!AG59</f>
        <v>167.6784668881993</v>
      </c>
      <c r="AK59" s="16">
        <f>+[3]Sheet1!AH59</f>
        <v>86.361730829886369</v>
      </c>
      <c r="AL59" s="16">
        <f>+[3]Sheet1!AI59</f>
        <v>88.910140704048985</v>
      </c>
      <c r="AM59" s="16">
        <f>+[3]Sheet1!AJ59</f>
        <v>147.1667121514752</v>
      </c>
      <c r="AN59" s="16">
        <f>+[3]Sheet1!AK59</f>
        <v>89.964039555162529</v>
      </c>
      <c r="AO59" s="16">
        <f>+[3]Sheet1!AL59</f>
        <v>202.89951755978919</v>
      </c>
      <c r="AP59" s="16">
        <f>+[3]Sheet1!AM59</f>
        <v>198.5245644262497</v>
      </c>
      <c r="AQ59" s="16">
        <f>+[3]Sheet1!AN59</f>
        <v>184.18415566534881</v>
      </c>
      <c r="AR59" s="16">
        <f>+[3]Sheet1!AO59</f>
        <v>152.61216154167909</v>
      </c>
      <c r="AS59" s="16">
        <f>+[3]Sheet1!AP59</f>
        <v>146.65819372728041</v>
      </c>
      <c r="AT59" s="16">
        <f>+[3]Sheet1!AQ59</f>
        <v>46.340199914308918</v>
      </c>
      <c r="AU59" s="16">
        <f>+[3]Sheet1!AR59</f>
        <v>147.18785296068259</v>
      </c>
      <c r="AV59" s="16">
        <f>+[3]Sheet1!AS59</f>
        <v>120.2804867594043</v>
      </c>
      <c r="AW59" s="16">
        <f>+[3]Sheet1!AT59</f>
        <v>3356342.9915514039</v>
      </c>
      <c r="AX59" s="16">
        <f>+base_mensual!AY59</f>
        <v>363</v>
      </c>
      <c r="AY59">
        <f>+base_mensual!AZ59</f>
        <v>2.8276212077622587</v>
      </c>
      <c r="AZ59">
        <f>+[3]Sheet1!AX59</f>
        <v>150.8423741226506</v>
      </c>
    </row>
    <row r="60" spans="1:52" x14ac:dyDescent="0.25">
      <c r="A60" s="2">
        <f>+base_mensual!A60</f>
        <v>43069</v>
      </c>
      <c r="B60" s="1">
        <f>+base_mensual!B60</f>
        <v>9.851195657013978E-3</v>
      </c>
      <c r="C60">
        <f>+base_mensual!AE60</f>
        <v>153.3553592007452</v>
      </c>
      <c r="D60">
        <f>+base_mensual!H60</f>
        <v>208.60827529530701</v>
      </c>
      <c r="E60">
        <f>+[3]Sheet1!B60</f>
        <v>40312.381657573103</v>
      </c>
      <c r="F60">
        <f>+[3]Sheet1!C60</f>
        <v>16362.629509532209</v>
      </c>
      <c r="G60">
        <f>+[3]Sheet1!D60</f>
        <v>82524.072063223968</v>
      </c>
      <c r="H60">
        <f>+[3]Sheet1!E60</f>
        <v>24766.58345208177</v>
      </c>
      <c r="I60">
        <f>+[3]Sheet1!F60</f>
        <v>1132882.718483733</v>
      </c>
      <c r="J60">
        <f>+[3]Sheet1!G60</f>
        <v>289.99389002406292</v>
      </c>
      <c r="K60">
        <f>+[3]Sheet1!H60</f>
        <v>419.02805412792651</v>
      </c>
      <c r="L60">
        <f>+[3]Sheet1!I60</f>
        <v>201.67264520001609</v>
      </c>
      <c r="M60">
        <f>+[3]Sheet1!J60</f>
        <v>12351.67165999437</v>
      </c>
      <c r="N60">
        <f>+[3]Sheet1!K60</f>
        <v>75545.955894613347</v>
      </c>
      <c r="O60">
        <f>+[3]Sheet1!L60</f>
        <v>50213.014975370927</v>
      </c>
      <c r="P60">
        <f>+[3]Sheet1!M60</f>
        <v>0.45830359212783162</v>
      </c>
      <c r="Q60">
        <f>+[3]Sheet1!N60</f>
        <v>2.8392367510844032</v>
      </c>
      <c r="R60">
        <f>+[3]Sheet1!O60</f>
        <v>1.7985317084549199</v>
      </c>
      <c r="S60">
        <f>+[3]Sheet1!P60</f>
        <v>27199.0009553983</v>
      </c>
      <c r="T60">
        <f>+[3]Sheet1!Q60</f>
        <v>27409.88762734519</v>
      </c>
      <c r="U60">
        <f>+[3]Sheet1!R60</f>
        <v>0.9741642646302946</v>
      </c>
      <c r="V60">
        <f>+[3]Sheet1!S60</f>
        <v>0.99467199641097648</v>
      </c>
      <c r="W60">
        <f>+[3]Sheet1!T60</f>
        <v>1147672.63617253</v>
      </c>
      <c r="X60">
        <f>+[3]Sheet1!U60</f>
        <v>41.532688050295967</v>
      </c>
      <c r="Y60">
        <f>+[3]Sheet1!V60</f>
        <v>1285677.910111536</v>
      </c>
      <c r="Z60">
        <f>+[3]Sheet1!W60</f>
        <v>46.252161284354962</v>
      </c>
      <c r="AA60">
        <f>+[3]Sheet1!X60</f>
        <v>1755179.2398705829</v>
      </c>
      <c r="AB60">
        <f>+[3]Sheet1!Y60</f>
        <v>64.072145886759287</v>
      </c>
      <c r="AC60">
        <f>+[3]Sheet1!Z60</f>
        <v>0.2200485376387849</v>
      </c>
      <c r="AD60">
        <f>+[3]Sheet1!AA60</f>
        <v>61509.494636412572</v>
      </c>
      <c r="AE60">
        <f>+[3]Sheet1!AB60</f>
        <v>159623.4821686674</v>
      </c>
      <c r="AF60">
        <f>+[3]Sheet1!AC60</f>
        <v>154.23658908653809</v>
      </c>
      <c r="AG60">
        <f>+[3]Sheet1!AD60</f>
        <v>116.7960345686961</v>
      </c>
      <c r="AH60" s="16">
        <f>+[3]Sheet1!AE60</f>
        <v>157.58350374562281</v>
      </c>
      <c r="AI60" s="16">
        <f>+[3]Sheet1!AF60</f>
        <v>368.30194788214823</v>
      </c>
      <c r="AJ60" s="16">
        <f>+[3]Sheet1!AG60</f>
        <v>171.49454592629499</v>
      </c>
      <c r="AK60" s="16">
        <f>+[3]Sheet1!AH60</f>
        <v>93.339206001409821</v>
      </c>
      <c r="AL60" s="16">
        <f>+[3]Sheet1!AI60</f>
        <v>89.09796918958564</v>
      </c>
      <c r="AM60" s="16">
        <f>+[3]Sheet1!AJ60</f>
        <v>121.7749814562071</v>
      </c>
      <c r="AN60" s="16">
        <f>+[3]Sheet1!AK60</f>
        <v>100.97162792750279</v>
      </c>
      <c r="AO60" s="16">
        <f>+[3]Sheet1!AL60</f>
        <v>207.13010912875771</v>
      </c>
      <c r="AP60" s="16">
        <f>+[3]Sheet1!AM60</f>
        <v>216.145074506219</v>
      </c>
      <c r="AQ60" s="16">
        <f>+[3]Sheet1!AN60</f>
        <v>189.2048315135176</v>
      </c>
      <c r="AR60" s="16">
        <f>+[3]Sheet1!AO60</f>
        <v>151.93540734056899</v>
      </c>
      <c r="AS60" s="16">
        <f>+[3]Sheet1!AP60</f>
        <v>144.57853951879659</v>
      </c>
      <c r="AT60" s="16">
        <f>+[3]Sheet1!AQ60</f>
        <v>51.770780307603033</v>
      </c>
      <c r="AU60" s="16">
        <f>+[3]Sheet1!AR60</f>
        <v>149.17862804138761</v>
      </c>
      <c r="AV60" s="16">
        <f>+[3]Sheet1!AS60</f>
        <v>120.4808311600794</v>
      </c>
      <c r="AW60" s="16">
        <f>+[3]Sheet1!AT60</f>
        <v>3317965.5717275441</v>
      </c>
      <c r="AX60" s="16">
        <f>+base_mensual!AY60</f>
        <v>363</v>
      </c>
      <c r="AY60">
        <f>+base_mensual!AZ60</f>
        <v>2.9666981437814326</v>
      </c>
      <c r="AZ60">
        <f>+[3]Sheet1!AX60</f>
        <v>153.53895749393919</v>
      </c>
    </row>
    <row r="61" spans="1:52" x14ac:dyDescent="0.25">
      <c r="A61" s="2">
        <f>+base_mensual!A61</f>
        <v>43098</v>
      </c>
      <c r="B61" s="1">
        <f>+base_mensual!B61</f>
        <v>9.851195657013978E-3</v>
      </c>
      <c r="C61">
        <f>+base_mensual!AE61</f>
        <v>156.27025150631621</v>
      </c>
      <c r="D61">
        <f>+base_mensual!H61</f>
        <v>209.06169615203399</v>
      </c>
      <c r="E61">
        <f>+[3]Sheet1!B61</f>
        <v>42568.770852166817</v>
      </c>
      <c r="F61">
        <f>+[3]Sheet1!C61</f>
        <v>17999.328233677741</v>
      </c>
      <c r="G61">
        <f>+[3]Sheet1!D61</f>
        <v>82299.610063409797</v>
      </c>
      <c r="H61">
        <f>+[3]Sheet1!E61</f>
        <v>24403.236506153829</v>
      </c>
      <c r="I61">
        <f>+[3]Sheet1!F61</f>
        <v>1060044.9267228821</v>
      </c>
      <c r="J61">
        <f>+[3]Sheet1!G61</f>
        <v>302.33791703989641</v>
      </c>
      <c r="K61">
        <f>+[3]Sheet1!H61</f>
        <v>424.60797941456678</v>
      </c>
      <c r="L61">
        <f>+[3]Sheet1!I61</f>
        <v>204.41128288225079</v>
      </c>
      <c r="M61">
        <f>+[3]Sheet1!J61</f>
        <v>11902.105506640981</v>
      </c>
      <c r="N61">
        <f>+[3]Sheet1!K61</f>
        <v>75715.518218715442</v>
      </c>
      <c r="O61">
        <f>+[3]Sheet1!L61</f>
        <v>50653.238287206281</v>
      </c>
      <c r="P61">
        <f>+[3]Sheet1!M61</f>
        <v>0.4204280988685507</v>
      </c>
      <c r="Q61">
        <f>+[3]Sheet1!N61</f>
        <v>2.6402013845943668</v>
      </c>
      <c r="R61">
        <f>+[3]Sheet1!O61</f>
        <v>1.7731816525953501</v>
      </c>
      <c r="S61">
        <f>+[3]Sheet1!P61</f>
        <v>29804.566804648381</v>
      </c>
      <c r="T61">
        <f>+[3]Sheet1!Q61</f>
        <v>28292.75238487629</v>
      </c>
      <c r="U61">
        <f>+[3]Sheet1!R61</f>
        <v>1.1061421521998731</v>
      </c>
      <c r="V61">
        <f>+[3]Sheet1!S61</f>
        <v>0.99606631624091069</v>
      </c>
      <c r="W61">
        <f>+[3]Sheet1!T61</f>
        <v>1272506.1850712691</v>
      </c>
      <c r="X61">
        <f>+[3]Sheet1!U61</f>
        <v>48.059178691038177</v>
      </c>
      <c r="Y61">
        <f>+[3]Sheet1!V61</f>
        <v>1315508.537530652</v>
      </c>
      <c r="Z61">
        <f>+[3]Sheet1!W61</f>
        <v>46.139151954696722</v>
      </c>
      <c r="AA61">
        <f>+[3]Sheet1!X61</f>
        <v>1841592.714265903</v>
      </c>
      <c r="AB61">
        <f>+[3]Sheet1!Y61</f>
        <v>65.42958182679331</v>
      </c>
      <c r="AC61">
        <f>+[3]Sheet1!Z61</f>
        <v>0.21806873865826831</v>
      </c>
      <c r="AD61">
        <f>+[3]Sheet1!AA61</f>
        <v>57209.72366922853</v>
      </c>
      <c r="AE61">
        <f>+[3]Sheet1!AB61</f>
        <v>157298.31831330509</v>
      </c>
      <c r="AF61">
        <f>+[3]Sheet1!AC61</f>
        <v>148.85505770615831</v>
      </c>
      <c r="AG61">
        <f>+[3]Sheet1!AD61</f>
        <v>116.7897478822937</v>
      </c>
      <c r="AH61" s="16">
        <f>+[3]Sheet1!AE61</f>
        <v>160.6336651763074</v>
      </c>
      <c r="AI61" s="16">
        <f>+[3]Sheet1!AF61</f>
        <v>382.91387719517701</v>
      </c>
      <c r="AJ61" s="16">
        <f>+[3]Sheet1!AG61</f>
        <v>166.54105965940039</v>
      </c>
      <c r="AK61" s="16">
        <f>+[3]Sheet1!AH61</f>
        <v>90.577782702058627</v>
      </c>
      <c r="AL61" s="16">
        <f>+[3]Sheet1!AI61</f>
        <v>87.863054221491666</v>
      </c>
      <c r="AM61" s="16">
        <f>+[3]Sheet1!AJ61</f>
        <v>130.09882120782021</v>
      </c>
      <c r="AN61" s="16">
        <f>+[3]Sheet1!AK61</f>
        <v>104.88742092510419</v>
      </c>
      <c r="AO61" s="16">
        <f>+[3]Sheet1!AL61</f>
        <v>215.70196962199779</v>
      </c>
      <c r="AP61" s="16">
        <f>+[3]Sheet1!AM61</f>
        <v>204.84669472896729</v>
      </c>
      <c r="AQ61" s="16">
        <f>+[3]Sheet1!AN61</f>
        <v>191.229501044861</v>
      </c>
      <c r="AR61" s="16">
        <f>+[3]Sheet1!AO61</f>
        <v>154.29123513798521</v>
      </c>
      <c r="AS61" s="16">
        <f>+[3]Sheet1!AP61</f>
        <v>152.21126010050341</v>
      </c>
      <c r="AT61" s="16">
        <f>+[3]Sheet1!AQ61</f>
        <v>42.384923346548412</v>
      </c>
      <c r="AU61" s="16">
        <f>+[3]Sheet1!AR61</f>
        <v>145.9021465514742</v>
      </c>
      <c r="AV61" s="16">
        <f>+[3]Sheet1!AS61</f>
        <v>117.834839252845</v>
      </c>
      <c r="AW61" s="16">
        <f>+[3]Sheet1!AT61</f>
        <v>3043160.9593117461</v>
      </c>
      <c r="AX61" s="16">
        <f>+base_mensual!AY61</f>
        <v>351</v>
      </c>
      <c r="AY61">
        <f>+base_mensual!AZ61</f>
        <v>2.3634553690012252</v>
      </c>
      <c r="AZ61">
        <f>+[3]Sheet1!AX61</f>
        <v>151.4072204899602</v>
      </c>
    </row>
    <row r="62" spans="1:52" x14ac:dyDescent="0.25">
      <c r="A62" s="2">
        <f>+base_mensual!A62</f>
        <v>43131</v>
      </c>
      <c r="B62" s="1">
        <f>+base_mensual!B62</f>
        <v>-6.5221401948217794E-3</v>
      </c>
      <c r="C62">
        <f>+base_mensual!AE62</f>
        <v>154.79795342009612</v>
      </c>
      <c r="D62">
        <f>+base_mensual!H62</f>
        <v>207.518243846784</v>
      </c>
      <c r="E62">
        <f>+[3]Sheet1!B62</f>
        <v>39901.452972188687</v>
      </c>
      <c r="F62">
        <f>+[3]Sheet1!C62</f>
        <v>20264.668777178489</v>
      </c>
      <c r="G62">
        <f>+[3]Sheet1!D62</f>
        <v>72735.738444112765</v>
      </c>
      <c r="H62">
        <f>+[3]Sheet1!E62</f>
        <v>14877.90519955858</v>
      </c>
      <c r="I62">
        <f>+[3]Sheet1!F62</f>
        <v>1121625.7922270319</v>
      </c>
      <c r="J62">
        <f>+[3]Sheet1!G62</f>
        <v>337.69047173587131</v>
      </c>
      <c r="K62">
        <f>+[3]Sheet1!H62</f>
        <v>407.43278057024412</v>
      </c>
      <c r="L62">
        <f>+[3]Sheet1!I62</f>
        <v>191.63173883881299</v>
      </c>
      <c r="M62">
        <f>+[3]Sheet1!J62</f>
        <v>14224.18045466281</v>
      </c>
      <c r="N62">
        <f>+[3]Sheet1!K62</f>
        <v>77013.106114283597</v>
      </c>
      <c r="O62">
        <f>+[3]Sheet1!L62</f>
        <v>49805.219590037188</v>
      </c>
      <c r="P62">
        <f>+[3]Sheet1!M62</f>
        <v>0.45276544958332471</v>
      </c>
      <c r="Q62">
        <f>+[3]Sheet1!N62</f>
        <v>2.79556402582896</v>
      </c>
      <c r="R62">
        <f>+[3]Sheet1!O62</f>
        <v>1.7139009093043931</v>
      </c>
      <c r="S62">
        <f>+[3]Sheet1!P62</f>
        <v>32561.544634536502</v>
      </c>
      <c r="T62">
        <f>+[3]Sheet1!Q62</f>
        <v>31414.2541370709</v>
      </c>
      <c r="U62">
        <f>+[3]Sheet1!R62</f>
        <v>1.1942313749511499</v>
      </c>
      <c r="V62">
        <f>+[3]Sheet1!S62</f>
        <v>1.144093147272891</v>
      </c>
      <c r="W62">
        <f>+[3]Sheet1!T62</f>
        <v>1420193.3098674261</v>
      </c>
      <c r="X62">
        <f>+[3]Sheet1!U62</f>
        <v>51.25103945813035</v>
      </c>
      <c r="Y62">
        <f>+[3]Sheet1!V62</f>
        <v>1361783.6764964359</v>
      </c>
      <c r="Z62">
        <f>+[3]Sheet1!W62</f>
        <v>46.895541740027873</v>
      </c>
      <c r="AA62">
        <f>+[3]Sheet1!X62</f>
        <v>1918452.265768609</v>
      </c>
      <c r="AB62">
        <f>+[3]Sheet1!Y62</f>
        <v>65.88280165098098</v>
      </c>
      <c r="AC62">
        <f>+[3]Sheet1!Z62</f>
        <v>0.22997903117895929</v>
      </c>
      <c r="AD62">
        <f>+[3]Sheet1!AA62</f>
        <v>56620.041336808201</v>
      </c>
      <c r="AE62">
        <f>+[3]Sheet1!AB62</f>
        <v>157114.6084698489</v>
      </c>
      <c r="AF62">
        <f>+[3]Sheet1!AC62</f>
        <v>153.57090201219421</v>
      </c>
      <c r="AG62">
        <f>+[3]Sheet1!AD62</f>
        <v>116.5557659716554</v>
      </c>
      <c r="AH62" s="16">
        <f>+[3]Sheet1!AE62</f>
        <v>158.96308722995909</v>
      </c>
      <c r="AI62" s="16">
        <f>+[3]Sheet1!AF62</f>
        <v>358.95075912995401</v>
      </c>
      <c r="AJ62" s="16">
        <f>+[3]Sheet1!AG62</f>
        <v>171.48158747371161</v>
      </c>
      <c r="AK62" s="16">
        <f>+[3]Sheet1!AH62</f>
        <v>91.701551577910763</v>
      </c>
      <c r="AL62" s="16">
        <f>+[3]Sheet1!AI62</f>
        <v>88.645061525164863</v>
      </c>
      <c r="AM62" s="16">
        <f>+[3]Sheet1!AJ62</f>
        <v>151.17593576741911</v>
      </c>
      <c r="AN62" s="16">
        <f>+[3]Sheet1!AK62</f>
        <v>99.602985351712718</v>
      </c>
      <c r="AO62" s="16">
        <f>+[3]Sheet1!AL62</f>
        <v>207.7326758903219</v>
      </c>
      <c r="AP62" s="16">
        <f>+[3]Sheet1!AM62</f>
        <v>209.56254358198569</v>
      </c>
      <c r="AQ62" s="16">
        <f>+[3]Sheet1!AN62</f>
        <v>187.86978855372641</v>
      </c>
      <c r="AR62" s="16">
        <f>+[3]Sheet1!AO62</f>
        <v>151.71056415950059</v>
      </c>
      <c r="AS62" s="16">
        <f>+[3]Sheet1!AP62</f>
        <v>142.59041020011719</v>
      </c>
      <c r="AT62" s="16">
        <f>+[3]Sheet1!AQ62</f>
        <v>43.302182196273947</v>
      </c>
      <c r="AU62" s="16">
        <f>+[3]Sheet1!AR62</f>
        <v>148.55663951258279</v>
      </c>
      <c r="AV62" s="16">
        <f>+[3]Sheet1!AS62</f>
        <v>115.9204964607172</v>
      </c>
      <c r="AW62" s="16">
        <f>+[3]Sheet1!AT62</f>
        <v>3306407.1888282672</v>
      </c>
      <c r="AX62" s="16">
        <f>+base_mensual!AY62</f>
        <v>372</v>
      </c>
      <c r="AY62">
        <f>+base_mensual!AZ62</f>
        <v>2.278398041910763</v>
      </c>
      <c r="AZ62">
        <f>+[3]Sheet1!AX62</f>
        <v>151.43138712568901</v>
      </c>
    </row>
    <row r="63" spans="1:52" x14ac:dyDescent="0.25">
      <c r="A63" s="2">
        <f>+base_mensual!A63</f>
        <v>43159</v>
      </c>
      <c r="B63" s="1">
        <f>+base_mensual!B63</f>
        <v>-6.5221401948217794E-3</v>
      </c>
      <c r="C63">
        <f>+base_mensual!AE63</f>
        <v>157.26198913843601</v>
      </c>
      <c r="D63">
        <f>+base_mensual!H63</f>
        <v>201.67147701217399</v>
      </c>
      <c r="E63">
        <f>+[3]Sheet1!B63</f>
        <v>39955.350324159808</v>
      </c>
      <c r="F63">
        <f>+[3]Sheet1!C63</f>
        <v>20762.94647255075</v>
      </c>
      <c r="G63">
        <f>+[3]Sheet1!D63</f>
        <v>76727.917976951547</v>
      </c>
      <c r="H63">
        <f>+[3]Sheet1!E63</f>
        <v>15763.670538990251</v>
      </c>
      <c r="I63">
        <f>+[3]Sheet1!F63</f>
        <v>1063118.004815439</v>
      </c>
      <c r="J63">
        <f>+[3]Sheet1!G63</f>
        <v>342.67010340002253</v>
      </c>
      <c r="K63">
        <f>+[3]Sheet1!H63</f>
        <v>445.61603502393001</v>
      </c>
      <c r="L63">
        <f>+[3]Sheet1!I63</f>
        <v>240.0623984743053</v>
      </c>
      <c r="M63">
        <f>+[3]Sheet1!J63</f>
        <v>15832.951333005851</v>
      </c>
      <c r="N63">
        <f>+[3]Sheet1!K63</f>
        <v>83090.994780305846</v>
      </c>
      <c r="O63">
        <f>+[3]Sheet1!L63</f>
        <v>52976.926135227637</v>
      </c>
      <c r="P63">
        <f>+[3]Sheet1!M63</f>
        <v>0.54401369882594885</v>
      </c>
      <c r="Q63">
        <f>+[3]Sheet1!N63</f>
        <v>2.804871142000291</v>
      </c>
      <c r="R63">
        <f>+[3]Sheet1!O63</f>
        <v>1.7356389958623419</v>
      </c>
      <c r="S63">
        <f>+[3]Sheet1!P63</f>
        <v>32286.515351423921</v>
      </c>
      <c r="T63">
        <f>+[3]Sheet1!Q63</f>
        <v>30138.657118292929</v>
      </c>
      <c r="U63">
        <f>+[3]Sheet1!R63</f>
        <v>1.1306235727585841</v>
      </c>
      <c r="V63">
        <f>+[3]Sheet1!S63</f>
        <v>1.0434064585435321</v>
      </c>
      <c r="W63">
        <f>+[3]Sheet1!T63</f>
        <v>1393258.0939726259</v>
      </c>
      <c r="X63">
        <f>+[3]Sheet1!U63</f>
        <v>49.063820171891351</v>
      </c>
      <c r="Y63">
        <f>+[3]Sheet1!V63</f>
        <v>1374912.2834363889</v>
      </c>
      <c r="Z63">
        <f>+[3]Sheet1!W63</f>
        <v>46.120252826261918</v>
      </c>
      <c r="AA63">
        <f>+[3]Sheet1!X63</f>
        <v>1938008.7852837669</v>
      </c>
      <c r="AB63">
        <f>+[3]Sheet1!Y63</f>
        <v>65.060337866439241</v>
      </c>
      <c r="AC63">
        <f>+[3]Sheet1!Z63</f>
        <v>0.25337777691462388</v>
      </c>
      <c r="AD63">
        <f>+[3]Sheet1!AA63</f>
        <v>56980.62370407609</v>
      </c>
      <c r="AE63">
        <f>+[3]Sheet1!AB63</f>
        <v>148944.64839488571</v>
      </c>
      <c r="AF63">
        <f>+[3]Sheet1!AC63</f>
        <v>151.17720125837951</v>
      </c>
      <c r="AG63">
        <f>+[3]Sheet1!AD63</f>
        <v>120.26316094644081</v>
      </c>
      <c r="AH63" s="16">
        <f>+[3]Sheet1!AE63</f>
        <v>157.19446527749679</v>
      </c>
      <c r="AI63" s="16">
        <f>+[3]Sheet1!AF63</f>
        <v>356.76965373354318</v>
      </c>
      <c r="AJ63" s="16">
        <f>+[3]Sheet1!AG63</f>
        <v>170.41660292369579</v>
      </c>
      <c r="AK63" s="16">
        <f>+[3]Sheet1!AH63</f>
        <v>89.114708288367169</v>
      </c>
      <c r="AL63" s="16">
        <f>+[3]Sheet1!AI63</f>
        <v>88.314250468045302</v>
      </c>
      <c r="AM63" s="16">
        <f>+[3]Sheet1!AJ63</f>
        <v>153.03186121886409</v>
      </c>
      <c r="AN63" s="16">
        <f>+[3]Sheet1!AK63</f>
        <v>99.986025313603363</v>
      </c>
      <c r="AO63" s="16">
        <f>+[3]Sheet1!AL63</f>
        <v>202.25431548774051</v>
      </c>
      <c r="AP63" s="16">
        <f>+[3]Sheet1!AM63</f>
        <v>205.87039668783939</v>
      </c>
      <c r="AQ63" s="16">
        <f>+[3]Sheet1!AN63</f>
        <v>196.1609370043972</v>
      </c>
      <c r="AR63" s="16">
        <f>+[3]Sheet1!AO63</f>
        <v>145.74831622981119</v>
      </c>
      <c r="AS63" s="16">
        <f>+[3]Sheet1!AP63</f>
        <v>143.93227568215841</v>
      </c>
      <c r="AT63" s="16">
        <f>+[3]Sheet1!AQ63</f>
        <v>44.533088571699317</v>
      </c>
      <c r="AU63" s="16">
        <f>+[3]Sheet1!AR63</f>
        <v>149.7607773137112</v>
      </c>
      <c r="AV63" s="16">
        <f>+[3]Sheet1!AS63</f>
        <v>115.073543974497</v>
      </c>
      <c r="AW63" s="16">
        <f>+[3]Sheet1!AT63</f>
        <v>3198751.576110105</v>
      </c>
      <c r="AX63" s="16">
        <f>+base_mensual!AY63</f>
        <v>405</v>
      </c>
      <c r="AY63">
        <f>+base_mensual!AZ63</f>
        <v>2.320105810656333</v>
      </c>
      <c r="AZ63">
        <f>+[3]Sheet1!AX63</f>
        <v>150.43149335322079</v>
      </c>
    </row>
    <row r="64" spans="1:52" x14ac:dyDescent="0.25">
      <c r="A64" s="2">
        <f>+base_mensual!A64</f>
        <v>43189</v>
      </c>
      <c r="B64" s="1">
        <f>+base_mensual!B64</f>
        <v>-6.5221401948217794E-3</v>
      </c>
      <c r="C64">
        <f>+base_mensual!AE64</f>
        <v>159.20899851027698</v>
      </c>
      <c r="D64">
        <f>+base_mensual!H64</f>
        <v>204.99493227347301</v>
      </c>
      <c r="E64">
        <f>+[3]Sheet1!B64</f>
        <v>47967.468920222847</v>
      </c>
      <c r="F64">
        <f>+[3]Sheet1!C64</f>
        <v>25806.40894683855</v>
      </c>
      <c r="G64">
        <f>+[3]Sheet1!D64</f>
        <v>79500.004607128329</v>
      </c>
      <c r="H64">
        <f>+[3]Sheet1!E64</f>
        <v>16764.927702241581</v>
      </c>
      <c r="I64">
        <f>+[3]Sheet1!F64</f>
        <v>1055933.258473926</v>
      </c>
      <c r="J64">
        <f>+[3]Sheet1!G64</f>
        <v>344.80686908977663</v>
      </c>
      <c r="K64">
        <f>+[3]Sheet1!H64</f>
        <v>467.38013976140149</v>
      </c>
      <c r="L64">
        <f>+[3]Sheet1!I64</f>
        <v>267.00674243921839</v>
      </c>
      <c r="M64">
        <f>+[3]Sheet1!J64</f>
        <v>13357.47319860602</v>
      </c>
      <c r="N64">
        <f>+[3]Sheet1!K64</f>
        <v>85480.065374071637</v>
      </c>
      <c r="O64">
        <f>+[3]Sheet1!L64</f>
        <v>61161.950812154028</v>
      </c>
      <c r="P64">
        <f>+[3]Sheet1!M64</f>
        <v>0.39641698660639563</v>
      </c>
      <c r="Q64">
        <f>+[3]Sheet1!N64</f>
        <v>2.712340750939604</v>
      </c>
      <c r="R64">
        <f>+[3]Sheet1!O64</f>
        <v>2.0033490414956989</v>
      </c>
      <c r="S64">
        <f>+[3]Sheet1!P64</f>
        <v>30877.211506670461</v>
      </c>
      <c r="T64">
        <f>+[3]Sheet1!Q64</f>
        <v>31236.323441776909</v>
      </c>
      <c r="U64">
        <f>+[3]Sheet1!R64</f>
        <v>1.0467006136958681</v>
      </c>
      <c r="V64">
        <f>+[3]Sheet1!S64</f>
        <v>1.089075942783704</v>
      </c>
      <c r="W64">
        <f>+[3]Sheet1!T64</f>
        <v>1309320.0298231889</v>
      </c>
      <c r="X64">
        <f>+[3]Sheet1!U64</f>
        <v>45.417344393027292</v>
      </c>
      <c r="Y64">
        <f>+[3]Sheet1!V64</f>
        <v>1387746.5400519141</v>
      </c>
      <c r="Z64">
        <f>+[3]Sheet1!W64</f>
        <v>45.193025727714478</v>
      </c>
      <c r="AA64">
        <f>+[3]Sheet1!X64</f>
        <v>1998175.183506086</v>
      </c>
      <c r="AB64">
        <f>+[3]Sheet1!Y64</f>
        <v>65.88682725415164</v>
      </c>
      <c r="AC64">
        <f>+[3]Sheet1!Z64</f>
        <v>0.2476428341490258</v>
      </c>
      <c r="AD64">
        <f>+[3]Sheet1!AA64</f>
        <v>60439.731157641982</v>
      </c>
      <c r="AE64">
        <f>+[3]Sheet1!AB64</f>
        <v>153067.8576120917</v>
      </c>
      <c r="AF64">
        <f>+[3]Sheet1!AC64</f>
        <v>157.70178108708549</v>
      </c>
      <c r="AG64">
        <f>+[3]Sheet1!AD64</f>
        <v>120.392288906998</v>
      </c>
      <c r="AH64" s="16">
        <f>+[3]Sheet1!AE64</f>
        <v>159.94429361091059</v>
      </c>
      <c r="AI64" s="16">
        <f>+[3]Sheet1!AF64</f>
        <v>379.3619945265317</v>
      </c>
      <c r="AJ64" s="16">
        <f>+[3]Sheet1!AG64</f>
        <v>167.22913508766959</v>
      </c>
      <c r="AK64" s="16">
        <f>+[3]Sheet1!AH64</f>
        <v>93.988821299160904</v>
      </c>
      <c r="AL64" s="16">
        <f>+[3]Sheet1!AI64</f>
        <v>84.439366367248283</v>
      </c>
      <c r="AM64" s="16">
        <f>+[3]Sheet1!AJ64</f>
        <v>154.36447147793069</v>
      </c>
      <c r="AN64" s="16">
        <f>+[3]Sheet1!AK64</f>
        <v>100.2506855645218</v>
      </c>
      <c r="AO64" s="16">
        <f>+[3]Sheet1!AL64</f>
        <v>207.50547267144469</v>
      </c>
      <c r="AP64" s="16">
        <f>+[3]Sheet1!AM64</f>
        <v>201.7165750941088</v>
      </c>
      <c r="AQ64" s="16">
        <f>+[3]Sheet1!AN64</f>
        <v>200.5573118056991</v>
      </c>
      <c r="AR64" s="16">
        <f>+[3]Sheet1!AO64</f>
        <v>146.2288861845324</v>
      </c>
      <c r="AS64" s="16">
        <f>+[3]Sheet1!AP64</f>
        <v>172.92076085222541</v>
      </c>
      <c r="AT64" s="16">
        <f>+[3]Sheet1!AQ64</f>
        <v>44.647060787570453</v>
      </c>
      <c r="AU64" s="16">
        <f>+[3]Sheet1!AR64</f>
        <v>149.4927632264756</v>
      </c>
      <c r="AV64" s="16">
        <f>+[3]Sheet1!AS64</f>
        <v>114.74364293579499</v>
      </c>
      <c r="AW64" s="16">
        <f>+[3]Sheet1!AT64</f>
        <v>3251822.4516479908</v>
      </c>
      <c r="AX64" s="16">
        <f>+base_mensual!AY64</f>
        <v>420</v>
      </c>
      <c r="AY64">
        <f>+base_mensual!AZ64</f>
        <v>2.3215668815518393</v>
      </c>
      <c r="AZ64">
        <f>+[3]Sheet1!AX64</f>
        <v>151.24616293545989</v>
      </c>
    </row>
    <row r="65" spans="1:52" x14ac:dyDescent="0.25">
      <c r="A65" s="2">
        <f>+base_mensual!A65</f>
        <v>43220</v>
      </c>
      <c r="B65" s="1">
        <f>+base_mensual!B65</f>
        <v>-4.115984975322573E-2</v>
      </c>
      <c r="C65">
        <f>+base_mensual!AE65</f>
        <v>154.08151759678202</v>
      </c>
      <c r="D65">
        <f>+base_mensual!H65</f>
        <v>203.35519169822501</v>
      </c>
      <c r="E65">
        <f>+[3]Sheet1!B65</f>
        <v>42654.916393054787</v>
      </c>
      <c r="F65">
        <f>+[3]Sheet1!C65</f>
        <v>19372.608279076379</v>
      </c>
      <c r="G65">
        <f>+[3]Sheet1!D65</f>
        <v>75446.099211363369</v>
      </c>
      <c r="H65">
        <f>+[3]Sheet1!E65</f>
        <v>16708.574793549691</v>
      </c>
      <c r="I65">
        <f>+[3]Sheet1!F65</f>
        <v>1021464.807400582</v>
      </c>
      <c r="J65">
        <f>+[3]Sheet1!G65</f>
        <v>321.34543261546412</v>
      </c>
      <c r="K65">
        <f>+[3]Sheet1!H65</f>
        <v>452.2402005756889</v>
      </c>
      <c r="L65">
        <f>+[3]Sheet1!I65</f>
        <v>217.12204662018959</v>
      </c>
      <c r="M65">
        <f>+[3]Sheet1!J65</f>
        <v>15918.152888457629</v>
      </c>
      <c r="N65">
        <f>+[3]Sheet1!K65</f>
        <v>84081.858639462065</v>
      </c>
      <c r="O65">
        <f>+[3]Sheet1!L65</f>
        <v>56834.04341376495</v>
      </c>
      <c r="P65">
        <f>+[3]Sheet1!M65</f>
        <v>0.49489105844061893</v>
      </c>
      <c r="Q65">
        <f>+[3]Sheet1!N65</f>
        <v>2.698742997689715</v>
      </c>
      <c r="R65">
        <f>+[3]Sheet1!O65</f>
        <v>1.8312461920934819</v>
      </c>
      <c r="S65">
        <f>+[3]Sheet1!P65</f>
        <v>32037.508605352708</v>
      </c>
      <c r="T65">
        <f>+[3]Sheet1!Q65</f>
        <v>31818.15939063477</v>
      </c>
      <c r="U65">
        <f>+[3]Sheet1!R65</f>
        <v>1.0272509470165569</v>
      </c>
      <c r="V65">
        <f>+[3]Sheet1!S65</f>
        <v>1.027045236590838</v>
      </c>
      <c r="W65">
        <f>+[3]Sheet1!T65</f>
        <v>1400244.611450111</v>
      </c>
      <c r="X65">
        <f>+[3]Sheet1!U65</f>
        <v>45.264375751543952</v>
      </c>
      <c r="Y65">
        <f>+[3]Sheet1!V65</f>
        <v>1351673.970282679</v>
      </c>
      <c r="Z65">
        <f>+[3]Sheet1!W65</f>
        <v>45.341863948190891</v>
      </c>
      <c r="AA65">
        <f>+[3]Sheet1!X65</f>
        <v>1974787.2227929391</v>
      </c>
      <c r="AB65">
        <f>+[3]Sheet1!Y65</f>
        <v>63.817450991506391</v>
      </c>
      <c r="AC65">
        <f>+[3]Sheet1!Z65</f>
        <v>0.18942381131723079</v>
      </c>
      <c r="AD65">
        <f>+[3]Sheet1!AA65</f>
        <v>59775.477161218078</v>
      </c>
      <c r="AE65">
        <f>+[3]Sheet1!AB65</f>
        <v>152187.48351808399</v>
      </c>
      <c r="AF65">
        <f>+[3]Sheet1!AC65</f>
        <v>151.21402789906699</v>
      </c>
      <c r="AG65">
        <f>+[3]Sheet1!AD65</f>
        <v>116.8486088837025</v>
      </c>
      <c r="AH65" s="16">
        <f>+[3]Sheet1!AE65</f>
        <v>158.6256500519072</v>
      </c>
      <c r="AI65" s="16">
        <f>+[3]Sheet1!AF65</f>
        <v>365.68706712052079</v>
      </c>
      <c r="AJ65" s="16">
        <f>+[3]Sheet1!AG65</f>
        <v>170.20453327192439</v>
      </c>
      <c r="AK65" s="16">
        <f>+[3]Sheet1!AH65</f>
        <v>91.36021262769961</v>
      </c>
      <c r="AL65" s="16">
        <f>+[3]Sheet1!AI65</f>
        <v>85.703388171093181</v>
      </c>
      <c r="AM65" s="16">
        <f>+[3]Sheet1!AJ65</f>
        <v>154.55867104318801</v>
      </c>
      <c r="AN65" s="16">
        <f>+[3]Sheet1!AK65</f>
        <v>101.17699888930029</v>
      </c>
      <c r="AO65" s="16">
        <f>+[3]Sheet1!AL65</f>
        <v>216.52158938667759</v>
      </c>
      <c r="AP65" s="16">
        <f>+[3]Sheet1!AM65</f>
        <v>195.56772292276571</v>
      </c>
      <c r="AQ65" s="16">
        <f>+[3]Sheet1!AN65</f>
        <v>196.6403006381519</v>
      </c>
      <c r="AR65" s="16">
        <f>+[3]Sheet1!AO65</f>
        <v>145.84411494788</v>
      </c>
      <c r="AS65" s="16">
        <f>+[3]Sheet1!AP65</f>
        <v>154.88991870774649</v>
      </c>
      <c r="AT65" s="16">
        <f>+[3]Sheet1!AQ65</f>
        <v>40.85005543279788</v>
      </c>
      <c r="AU65" s="16">
        <f>+[3]Sheet1!AR65</f>
        <v>149.29088043094211</v>
      </c>
      <c r="AV65" s="16">
        <f>+[3]Sheet1!AS65</f>
        <v>115.8109842963688</v>
      </c>
      <c r="AW65" s="16">
        <f>+[3]Sheet1!AT65</f>
        <v>2917805.904567624</v>
      </c>
      <c r="AX65" s="16">
        <f>+base_mensual!AY65</f>
        <v>419</v>
      </c>
      <c r="AY65">
        <f>+base_mensual!AZ65</f>
        <v>2.065269766898731</v>
      </c>
      <c r="AZ65">
        <f>+[3]Sheet1!AX65</f>
        <v>146.14775080293879</v>
      </c>
    </row>
    <row r="66" spans="1:52" x14ac:dyDescent="0.25">
      <c r="A66" s="2">
        <f>+base_mensual!A66</f>
        <v>43251</v>
      </c>
      <c r="B66" s="1">
        <f>+base_mensual!B66</f>
        <v>-4.115984975322573E-2</v>
      </c>
      <c r="C66">
        <f>+base_mensual!AE66</f>
        <v>152.65720146368207</v>
      </c>
      <c r="D66">
        <f>+base_mensual!H66</f>
        <v>195.84667636502499</v>
      </c>
      <c r="E66">
        <f>+[3]Sheet1!B66</f>
        <v>41706.701838691013</v>
      </c>
      <c r="F66">
        <f>+[3]Sheet1!C66</f>
        <v>19747.159858761999</v>
      </c>
      <c r="G66">
        <f>+[3]Sheet1!D66</f>
        <v>75921.45676188037</v>
      </c>
      <c r="H66">
        <f>+[3]Sheet1!E66</f>
        <v>14215.08770841677</v>
      </c>
      <c r="I66">
        <f>+[3]Sheet1!F66</f>
        <v>1000234.701851615</v>
      </c>
      <c r="J66">
        <f>+[3]Sheet1!G66</f>
        <v>304.56704770644723</v>
      </c>
      <c r="K66">
        <f>+[3]Sheet1!H66</f>
        <v>428.43478660435341</v>
      </c>
      <c r="L66">
        <f>+[3]Sheet1!I66</f>
        <v>195.87760303840699</v>
      </c>
      <c r="M66">
        <f>+[3]Sheet1!J66</f>
        <v>11939.311585262431</v>
      </c>
      <c r="N66">
        <f>+[3]Sheet1!K66</f>
        <v>86751.241955752062</v>
      </c>
      <c r="O66">
        <f>+[3]Sheet1!L66</f>
        <v>60342.139487829467</v>
      </c>
      <c r="P66">
        <f>+[3]Sheet1!M66</f>
        <v>0.45248175214125341</v>
      </c>
      <c r="Q66">
        <f>+[3]Sheet1!N66</f>
        <v>2.747050491963607</v>
      </c>
      <c r="R66">
        <f>+[3]Sheet1!O66</f>
        <v>2.0505553239246752</v>
      </c>
      <c r="S66">
        <f>+[3]Sheet1!P66</f>
        <v>29626.566910608679</v>
      </c>
      <c r="T66">
        <f>+[3]Sheet1!Q66</f>
        <v>30178.821720545729</v>
      </c>
      <c r="U66">
        <f>+[3]Sheet1!R66</f>
        <v>0.90138968037272771</v>
      </c>
      <c r="V66">
        <f>+[3]Sheet1!S66</f>
        <v>0.93984527014767327</v>
      </c>
      <c r="W66">
        <f>+[3]Sheet1!T66</f>
        <v>1280055.3772431519</v>
      </c>
      <c r="X66">
        <f>+[3]Sheet1!U66</f>
        <v>39.568260277858641</v>
      </c>
      <c r="Y66">
        <f>+[3]Sheet1!V66</f>
        <v>1453168.9512198151</v>
      </c>
      <c r="Z66">
        <f>+[3]Sheet1!W66</f>
        <v>46.552878698571703</v>
      </c>
      <c r="AA66">
        <f>+[3]Sheet1!X66</f>
        <v>2048971.189419169</v>
      </c>
      <c r="AB66">
        <f>+[3]Sheet1!Y66</f>
        <v>66.650233504473405</v>
      </c>
      <c r="AC66">
        <f>+[3]Sheet1!Z66</f>
        <v>0.30950018167874987</v>
      </c>
      <c r="AD66">
        <f>+[3]Sheet1!AA66</f>
        <v>59511.754223469223</v>
      </c>
      <c r="AE66">
        <f>+[3]Sheet1!AB66</f>
        <v>149892.18933126231</v>
      </c>
      <c r="AF66">
        <f>+[3]Sheet1!AC66</f>
        <v>149.60330683507709</v>
      </c>
      <c r="AG66">
        <f>+[3]Sheet1!AD66</f>
        <v>117.0320265088817</v>
      </c>
      <c r="AH66" s="16">
        <f>+[3]Sheet1!AE66</f>
        <v>153.87972307703239</v>
      </c>
      <c r="AI66" s="16">
        <f>+[3]Sheet1!AF66</f>
        <v>357.00817333556921</v>
      </c>
      <c r="AJ66" s="16">
        <f>+[3]Sheet1!AG66</f>
        <v>167.51420845785751</v>
      </c>
      <c r="AK66" s="16">
        <f>+[3]Sheet1!AH66</f>
        <v>89.753409645263218</v>
      </c>
      <c r="AL66" s="16">
        <f>+[3]Sheet1!AI66</f>
        <v>87.913687222526406</v>
      </c>
      <c r="AM66" s="16">
        <f>+[3]Sheet1!AJ66</f>
        <v>158.33659314626519</v>
      </c>
      <c r="AN66" s="16">
        <f>+[3]Sheet1!AK66</f>
        <v>98.195303924654411</v>
      </c>
      <c r="AO66" s="16">
        <f>+[3]Sheet1!AL66</f>
        <v>194.93998943038551</v>
      </c>
      <c r="AP66" s="16">
        <f>+[3]Sheet1!AM66</f>
        <v>189.10564590609459</v>
      </c>
      <c r="AQ66" s="16">
        <f>+[3]Sheet1!AN66</f>
        <v>187.718785668853</v>
      </c>
      <c r="AR66" s="16">
        <f>+[3]Sheet1!AO66</f>
        <v>144.45988459558299</v>
      </c>
      <c r="AS66" s="16">
        <f>+[3]Sheet1!AP66</f>
        <v>151.1576624394441</v>
      </c>
      <c r="AT66" s="16">
        <f>+[3]Sheet1!AQ66</f>
        <v>38.247962590973387</v>
      </c>
      <c r="AU66" s="16">
        <f>+[3]Sheet1!AR66</f>
        <v>140.61810695156419</v>
      </c>
      <c r="AV66" s="16">
        <f>+[3]Sheet1!AS66</f>
        <v>115.1353466617833</v>
      </c>
      <c r="AW66" s="16">
        <f>+[3]Sheet1!AT66</f>
        <v>2847711.9056184511</v>
      </c>
      <c r="AX66" s="16">
        <f>+base_mensual!AY66</f>
        <v>462</v>
      </c>
      <c r="AY66">
        <f>+base_mensual!AZ66</f>
        <v>1.9379713269494825</v>
      </c>
      <c r="AZ66">
        <f>+[3]Sheet1!AX66</f>
        <v>146.36498587502561</v>
      </c>
    </row>
    <row r="67" spans="1:52" x14ac:dyDescent="0.25">
      <c r="A67" s="2">
        <f>+base_mensual!A67</f>
        <v>43280</v>
      </c>
      <c r="B67" s="1">
        <f>+base_mensual!B67</f>
        <v>-4.115984975322573E-2</v>
      </c>
      <c r="C67">
        <f>+base_mensual!AE67</f>
        <v>147.36517939710768</v>
      </c>
      <c r="D67">
        <f>+base_mensual!H67</f>
        <v>196.737824401696</v>
      </c>
      <c r="E67">
        <f>+[3]Sheet1!B67</f>
        <v>38221.984693837912</v>
      </c>
      <c r="F67">
        <f>+[3]Sheet1!C67</f>
        <v>22820.974786155959</v>
      </c>
      <c r="G67">
        <f>+[3]Sheet1!D67</f>
        <v>49962.136361376201</v>
      </c>
      <c r="H67">
        <f>+[3]Sheet1!E67</f>
        <v>12735.828625134831</v>
      </c>
      <c r="I67">
        <f>+[3]Sheet1!F67</f>
        <v>999375.37006187637</v>
      </c>
      <c r="J67">
        <f>+[3]Sheet1!G67</f>
        <v>295.46996358012689</v>
      </c>
      <c r="K67">
        <f>+[3]Sheet1!H67</f>
        <v>415.74128209029101</v>
      </c>
      <c r="L67">
        <f>+[3]Sheet1!I67</f>
        <v>208.21552162251999</v>
      </c>
      <c r="M67">
        <f>+[3]Sheet1!J67</f>
        <v>17932.476233940961</v>
      </c>
      <c r="N67">
        <f>+[3]Sheet1!K67</f>
        <v>91209.492193200116</v>
      </c>
      <c r="O67">
        <f>+[3]Sheet1!L67</f>
        <v>65752.297014540905</v>
      </c>
      <c r="P67">
        <f>+[3]Sheet1!M67</f>
        <v>0.54992987031079299</v>
      </c>
      <c r="Q67">
        <f>+[3]Sheet1!N67</f>
        <v>2.7993500876730608</v>
      </c>
      <c r="R67">
        <f>+[3]Sheet1!O67</f>
        <v>2.1648556748803021</v>
      </c>
      <c r="S67">
        <f>+[3]Sheet1!P67</f>
        <v>28619.277874361709</v>
      </c>
      <c r="T67">
        <f>+[3]Sheet1!Q67</f>
        <v>28737.511475738971</v>
      </c>
      <c r="U67">
        <f>+[3]Sheet1!R67</f>
        <v>0.83607837521081285</v>
      </c>
      <c r="V67">
        <f>+[3]Sheet1!S67</f>
        <v>0.88278764073649285</v>
      </c>
      <c r="W67">
        <f>+[3]Sheet1!T67</f>
        <v>1281333.326588104</v>
      </c>
      <c r="X67">
        <f>+[3]Sheet1!U67</f>
        <v>36.928394089372922</v>
      </c>
      <c r="Y67">
        <f>+[3]Sheet1!V67</f>
        <v>1582722.554612967</v>
      </c>
      <c r="Z67">
        <f>+[3]Sheet1!W67</f>
        <v>47.248894728496438</v>
      </c>
      <c r="AA67">
        <f>+[3]Sheet1!X67</f>
        <v>2086193.7941459799</v>
      </c>
      <c r="AB67">
        <f>+[3]Sheet1!Y67</f>
        <v>67.097021930384898</v>
      </c>
      <c r="AC67">
        <f>+[3]Sheet1!Z67</f>
        <v>0.3178181129620985</v>
      </c>
      <c r="AD67">
        <f>+[3]Sheet1!AA67</f>
        <v>58298.232908059254</v>
      </c>
      <c r="AE67">
        <f>+[3]Sheet1!AB67</f>
        <v>147151.78511262391</v>
      </c>
      <c r="AF67">
        <f>+[3]Sheet1!AC67</f>
        <v>148.48041481050191</v>
      </c>
      <c r="AG67">
        <f>+[3]Sheet1!AD67</f>
        <v>112.90886748921</v>
      </c>
      <c r="AH67" s="16">
        <f>+[3]Sheet1!AE67</f>
        <v>150.76858305170421</v>
      </c>
      <c r="AI67" s="16">
        <f>+[3]Sheet1!AF67</f>
        <v>352.25571880744297</v>
      </c>
      <c r="AJ67" s="16">
        <f>+[3]Sheet1!AG67</f>
        <v>163.99635387405559</v>
      </c>
      <c r="AK67" s="16">
        <f>+[3]Sheet1!AH67</f>
        <v>92.763601655414917</v>
      </c>
      <c r="AL67" s="16">
        <f>+[3]Sheet1!AI67</f>
        <v>87.116190934476336</v>
      </c>
      <c r="AM67" s="16">
        <f>+[3]Sheet1!AJ67</f>
        <v>154.60721592502091</v>
      </c>
      <c r="AN67" s="16">
        <f>+[3]Sheet1!AK67</f>
        <v>88.332797119969129</v>
      </c>
      <c r="AO67" s="16">
        <f>+[3]Sheet1!AL67</f>
        <v>193.4167992821599</v>
      </c>
      <c r="AP67" s="16">
        <f>+[3]Sheet1!AM67</f>
        <v>194.9286306615131</v>
      </c>
      <c r="AQ67" s="16">
        <f>+[3]Sheet1!AN67</f>
        <v>183.83179652319541</v>
      </c>
      <c r="AR67" s="16">
        <f>+[3]Sheet1!AO67</f>
        <v>143.15766001678929</v>
      </c>
      <c r="AS67" s="16">
        <f>+[3]Sheet1!AP67</f>
        <v>138.083833465407</v>
      </c>
      <c r="AT67" s="16">
        <f>+[3]Sheet1!AQ67</f>
        <v>37.256753432529067</v>
      </c>
      <c r="AU67" s="16">
        <f>+[3]Sheet1!AR67</f>
        <v>135.4230285621791</v>
      </c>
      <c r="AV67" s="16">
        <f>+[3]Sheet1!AS67</f>
        <v>111.6312918115059</v>
      </c>
      <c r="AW67" s="16">
        <f>+[3]Sheet1!AT67</f>
        <v>2927367.1254520132</v>
      </c>
      <c r="AX67" s="16">
        <f>+base_mensual!AY67</f>
        <v>608</v>
      </c>
      <c r="AY67">
        <f>+base_mensual!AZ67</f>
        <v>2.0421604195137144</v>
      </c>
      <c r="AZ67">
        <f>+[3]Sheet1!AX67</f>
        <v>142.99231049372909</v>
      </c>
    </row>
    <row r="68" spans="1:52" x14ac:dyDescent="0.25">
      <c r="A68" s="2">
        <f>+base_mensual!A68</f>
        <v>43312</v>
      </c>
      <c r="B68" s="1">
        <f>+base_mensual!B68</f>
        <v>-2.7226800635156145E-3</v>
      </c>
      <c r="C68">
        <f>+base_mensual!AE68</f>
        <v>146.74856942015953</v>
      </c>
      <c r="D68">
        <f>+base_mensual!H68</f>
        <v>189.853117364083</v>
      </c>
      <c r="E68">
        <f>+[3]Sheet1!B68</f>
        <v>43341.070957548</v>
      </c>
      <c r="F68">
        <f>+[3]Sheet1!C68</f>
        <v>25699.415731906389</v>
      </c>
      <c r="G68">
        <f>+[3]Sheet1!D68</f>
        <v>48298.586462953637</v>
      </c>
      <c r="H68">
        <f>+[3]Sheet1!E68</f>
        <v>10768.40791633454</v>
      </c>
      <c r="I68">
        <f>+[3]Sheet1!F68</f>
        <v>973883.1380315898</v>
      </c>
      <c r="J68">
        <f>+[3]Sheet1!G68</f>
        <v>313.92978663045102</v>
      </c>
      <c r="K68">
        <f>+[3]Sheet1!H68</f>
        <v>441.17780394453189</v>
      </c>
      <c r="L68">
        <f>+[3]Sheet1!I68</f>
        <v>211.0590571005537</v>
      </c>
      <c r="M68">
        <f>+[3]Sheet1!J68</f>
        <v>15976.071034224071</v>
      </c>
      <c r="N68">
        <f>+[3]Sheet1!K68</f>
        <v>91521.96320193728</v>
      </c>
      <c r="O68">
        <f>+[3]Sheet1!L68</f>
        <v>60859.227853777513</v>
      </c>
      <c r="P68">
        <f>+[3]Sheet1!M68</f>
        <v>0.46182962704683173</v>
      </c>
      <c r="Q68">
        <f>+[3]Sheet1!N68</f>
        <v>2.6917394256459022</v>
      </c>
      <c r="R68">
        <f>+[3]Sheet1!O68</f>
        <v>1.7485751160788281</v>
      </c>
      <c r="S68">
        <f>+[3]Sheet1!P68</f>
        <v>28046.64091772601</v>
      </c>
      <c r="T68">
        <f>+[3]Sheet1!Q68</f>
        <v>28261.62035443819</v>
      </c>
      <c r="U68">
        <f>+[3]Sheet1!R68</f>
        <v>0.83344940941514356</v>
      </c>
      <c r="V68">
        <f>+[3]Sheet1!S68</f>
        <v>0.82540576977685653</v>
      </c>
      <c r="W68">
        <f>+[3]Sheet1!T68</f>
        <v>1324346.8889089569</v>
      </c>
      <c r="X68">
        <f>+[3]Sheet1!U68</f>
        <v>36.271681830487182</v>
      </c>
      <c r="Y68">
        <f>+[3]Sheet1!V68</f>
        <v>1410863.5376463169</v>
      </c>
      <c r="Z68">
        <f>+[3]Sheet1!W68</f>
        <v>44.399834097653738</v>
      </c>
      <c r="AA68">
        <f>+[3]Sheet1!X68</f>
        <v>1992882.37398644</v>
      </c>
      <c r="AB68">
        <f>+[3]Sheet1!Y68</f>
        <v>60.516519444926153</v>
      </c>
      <c r="AC68">
        <f>+[3]Sheet1!Z68</f>
        <v>0.34620195213991528</v>
      </c>
      <c r="AD68">
        <f>+[3]Sheet1!AA68</f>
        <v>59340.990951863103</v>
      </c>
      <c r="AE68">
        <f>+[3]Sheet1!AB68</f>
        <v>143043.6247121279</v>
      </c>
      <c r="AF68">
        <f>+[3]Sheet1!AC68</f>
        <v>149.20175870154301</v>
      </c>
      <c r="AG68">
        <f>+[3]Sheet1!AD68</f>
        <v>113.00134073590679</v>
      </c>
      <c r="AH68" s="16">
        <f>+[3]Sheet1!AE68</f>
        <v>147.67223651480921</v>
      </c>
      <c r="AI68" s="16">
        <f>+[3]Sheet1!AF68</f>
        <v>375.82792332466062</v>
      </c>
      <c r="AJ68" s="16">
        <f>+[3]Sheet1!AG68</f>
        <v>166.17270677962321</v>
      </c>
      <c r="AK68" s="16">
        <f>+[3]Sheet1!AH68</f>
        <v>88.4315447418508</v>
      </c>
      <c r="AL68" s="16">
        <f>+[3]Sheet1!AI68</f>
        <v>86.754030661230715</v>
      </c>
      <c r="AM68" s="16">
        <f>+[3]Sheet1!AJ68</f>
        <v>152.6712188777478</v>
      </c>
      <c r="AN68" s="16">
        <f>+[3]Sheet1!AK68</f>
        <v>85.556573484250222</v>
      </c>
      <c r="AO68" s="16">
        <f>+[3]Sheet1!AL68</f>
        <v>182.17631143963121</v>
      </c>
      <c r="AP68" s="16">
        <f>+[3]Sheet1!AM68</f>
        <v>189.74855706675419</v>
      </c>
      <c r="AQ68" s="16">
        <f>+[3]Sheet1!AN68</f>
        <v>194.81379227397341</v>
      </c>
      <c r="AR68" s="16">
        <f>+[3]Sheet1!AO68</f>
        <v>143.81054437312409</v>
      </c>
      <c r="AS68" s="16">
        <f>+[3]Sheet1!AP68</f>
        <v>155.64051551443731</v>
      </c>
      <c r="AT68" s="16">
        <f>+[3]Sheet1!AQ68</f>
        <v>37.693298450042427</v>
      </c>
      <c r="AU68" s="16">
        <f>+[3]Sheet1!AR68</f>
        <v>135.02112382868299</v>
      </c>
      <c r="AV68" s="16">
        <f>+[3]Sheet1!AS68</f>
        <v>108.89435656478059</v>
      </c>
      <c r="AW68" s="16">
        <f>+[3]Sheet1!AT68</f>
        <v>2973111.574640628</v>
      </c>
      <c r="AX68" s="16">
        <f>+base_mensual!AY68</f>
        <v>549</v>
      </c>
      <c r="AY68">
        <f>+base_mensual!AZ68</f>
        <v>2.01412257067296</v>
      </c>
      <c r="AZ68">
        <f>+[3]Sheet1!AX68</f>
        <v>144.2132331030061</v>
      </c>
    </row>
    <row r="69" spans="1:52" x14ac:dyDescent="0.25">
      <c r="A69" s="2">
        <f>+base_mensual!A69</f>
        <v>43343</v>
      </c>
      <c r="B69" s="1">
        <f>+base_mensual!B69</f>
        <v>-2.7226800635156145E-3</v>
      </c>
      <c r="C69">
        <f>+base_mensual!AE69</f>
        <v>142.36758663350065</v>
      </c>
      <c r="D69">
        <f>+base_mensual!H69</f>
        <v>194.03239119559001</v>
      </c>
      <c r="E69">
        <f>+[3]Sheet1!B69</f>
        <v>44330.758523781347</v>
      </c>
      <c r="F69">
        <f>+[3]Sheet1!C69</f>
        <v>26841.937962672371</v>
      </c>
      <c r="G69">
        <f>+[3]Sheet1!D69</f>
        <v>46802.510388980227</v>
      </c>
      <c r="H69">
        <f>+[3]Sheet1!E69</f>
        <v>11051.334853325239</v>
      </c>
      <c r="I69">
        <f>+[3]Sheet1!F69</f>
        <v>983022.36165675125</v>
      </c>
      <c r="J69">
        <f>+[3]Sheet1!G69</f>
        <v>317.40302489267629</v>
      </c>
      <c r="K69">
        <f>+[3]Sheet1!H69</f>
        <v>422.75693599929878</v>
      </c>
      <c r="L69">
        <f>+[3]Sheet1!I69</f>
        <v>203.0366437926096</v>
      </c>
      <c r="M69">
        <f>+[3]Sheet1!J69</f>
        <v>20623.61130800219</v>
      </c>
      <c r="N69">
        <f>+[3]Sheet1!K69</f>
        <v>93470.747920308757</v>
      </c>
      <c r="O69">
        <f>+[3]Sheet1!L69</f>
        <v>63175.057992712151</v>
      </c>
      <c r="P69">
        <f>+[3]Sheet1!M69</f>
        <v>0.50422181654448139</v>
      </c>
      <c r="Q69">
        <f>+[3]Sheet1!N69</f>
        <v>2.659425329558764</v>
      </c>
      <c r="R69">
        <f>+[3]Sheet1!O69</f>
        <v>1.7933169359246359</v>
      </c>
      <c r="S69">
        <f>+[3]Sheet1!P69</f>
        <v>29518.170398773971</v>
      </c>
      <c r="T69">
        <f>+[3]Sheet1!Q69</f>
        <v>28219.169405033979</v>
      </c>
      <c r="U69">
        <f>+[3]Sheet1!R69</f>
        <v>0.82329597215386352</v>
      </c>
      <c r="V69">
        <f>+[3]Sheet1!S69</f>
        <v>0.81256511851316182</v>
      </c>
      <c r="W69">
        <f>+[3]Sheet1!T69</f>
        <v>1341142.346115276</v>
      </c>
      <c r="X69">
        <f>+[3]Sheet1!U69</f>
        <v>36.689494051370872</v>
      </c>
      <c r="Y69">
        <f>+[3]Sheet1!V69</f>
        <v>1477238.323215283</v>
      </c>
      <c r="Z69">
        <f>+[3]Sheet1!W69</f>
        <v>42.662335758812027</v>
      </c>
      <c r="AA69">
        <f>+[3]Sheet1!X69</f>
        <v>2193368.4054512829</v>
      </c>
      <c r="AB69">
        <f>+[3]Sheet1!Y69</f>
        <v>64.391924438951634</v>
      </c>
      <c r="AC69">
        <f>+[3]Sheet1!Z69</f>
        <v>0.35549506990817131</v>
      </c>
      <c r="AD69">
        <f>+[3]Sheet1!AA69</f>
        <v>60610.005479636951</v>
      </c>
      <c r="AE69">
        <f>+[3]Sheet1!AB69</f>
        <v>146252.69835681489</v>
      </c>
      <c r="AF69">
        <f>+[3]Sheet1!AC69</f>
        <v>146.5530574131383</v>
      </c>
      <c r="AG69">
        <f>+[3]Sheet1!AD69</f>
        <v>113.4023205832795</v>
      </c>
      <c r="AH69" s="16">
        <f>+[3]Sheet1!AE69</f>
        <v>141.18930220173471</v>
      </c>
      <c r="AI69" s="16">
        <f>+[3]Sheet1!AF69</f>
        <v>355.09069375145532</v>
      </c>
      <c r="AJ69" s="16">
        <f>+[3]Sheet1!AG69</f>
        <v>164.14200139578449</v>
      </c>
      <c r="AK69" s="16">
        <f>+[3]Sheet1!AH69</f>
        <v>86.413798352324037</v>
      </c>
      <c r="AL69" s="16">
        <f>+[3]Sheet1!AI69</f>
        <v>86.292427051234966</v>
      </c>
      <c r="AM69" s="16">
        <f>+[3]Sheet1!AJ69</f>
        <v>153.8242094343837</v>
      </c>
      <c r="AN69" s="16">
        <f>+[3]Sheet1!AK69</f>
        <v>97.739917795553822</v>
      </c>
      <c r="AO69" s="16">
        <f>+[3]Sheet1!AL69</f>
        <v>152.92561685989051</v>
      </c>
      <c r="AP69" s="16">
        <f>+[3]Sheet1!AM69</f>
        <v>190.71245491438069</v>
      </c>
      <c r="AQ69" s="16">
        <f>+[3]Sheet1!AN69</f>
        <v>190.5469904069646</v>
      </c>
      <c r="AR69" s="16">
        <f>+[3]Sheet1!AO69</f>
        <v>140.20796352527819</v>
      </c>
      <c r="AS69" s="16">
        <f>+[3]Sheet1!AP69</f>
        <v>157.42990110250361</v>
      </c>
      <c r="AT69" s="16">
        <f>+[3]Sheet1!AQ69</f>
        <v>34.876041109668947</v>
      </c>
      <c r="AU69" s="16">
        <f>+[3]Sheet1!AR69</f>
        <v>135.23088809006239</v>
      </c>
      <c r="AV69" s="16">
        <f>+[3]Sheet1!AS69</f>
        <v>107.9280936165319</v>
      </c>
      <c r="AW69" s="16">
        <f>+[3]Sheet1!AT69</f>
        <v>2886752.9839368812</v>
      </c>
      <c r="AX69" s="16">
        <f>+base_mensual!AY69</f>
        <v>771</v>
      </c>
      <c r="AY69">
        <f>+base_mensual!AZ69</f>
        <v>1.9443592991287715</v>
      </c>
      <c r="AZ69">
        <f>+[3]Sheet1!AX69</f>
        <v>146.74669656673831</v>
      </c>
    </row>
    <row r="70" spans="1:52" x14ac:dyDescent="0.25">
      <c r="A70" s="2">
        <f>+base_mensual!A70</f>
        <v>43371</v>
      </c>
      <c r="B70" s="1">
        <f>+base_mensual!B70</f>
        <v>-2.7226800635156145E-3</v>
      </c>
      <c r="C70">
        <f>+base_mensual!AE70</f>
        <v>143.94313289286404</v>
      </c>
      <c r="D70">
        <f>+base_mensual!H70</f>
        <v>198.118086021599</v>
      </c>
      <c r="E70">
        <f>+[3]Sheet1!B70</f>
        <v>33320.027370451236</v>
      </c>
      <c r="F70">
        <f>+[3]Sheet1!C70</f>
        <v>20920.068342920229</v>
      </c>
      <c r="G70">
        <f>+[3]Sheet1!D70</f>
        <v>40952.583297888523</v>
      </c>
      <c r="H70">
        <f>+[3]Sheet1!E70</f>
        <v>7376.1159714963796</v>
      </c>
      <c r="I70">
        <f>+[3]Sheet1!F70</f>
        <v>929759.41385795129</v>
      </c>
      <c r="J70">
        <f>+[3]Sheet1!G70</f>
        <v>307.69456326519838</v>
      </c>
      <c r="K70">
        <f>+[3]Sheet1!H70</f>
        <v>418.9568397654354</v>
      </c>
      <c r="L70">
        <f>+[3]Sheet1!I70</f>
        <v>192.82790983592</v>
      </c>
      <c r="M70">
        <f>+[3]Sheet1!J70</f>
        <v>22465.566495807681</v>
      </c>
      <c r="N70">
        <f>+[3]Sheet1!K70</f>
        <v>100400.0685495276</v>
      </c>
      <c r="O70">
        <f>+[3]Sheet1!L70</f>
        <v>65158.537052173328</v>
      </c>
      <c r="P70">
        <f>+[3]Sheet1!M70</f>
        <v>0.5711675579224601</v>
      </c>
      <c r="Q70">
        <f>+[3]Sheet1!N70</f>
        <v>2.7424254953458829</v>
      </c>
      <c r="R70">
        <f>+[3]Sheet1!O70</f>
        <v>1.715735630345238</v>
      </c>
      <c r="S70">
        <f>+[3]Sheet1!P70</f>
        <v>31994.49449180963</v>
      </c>
      <c r="T70">
        <f>+[3]Sheet1!Q70</f>
        <v>31214.08315805225</v>
      </c>
      <c r="U70">
        <f>+[3]Sheet1!R70</f>
        <v>0.84497465681279005</v>
      </c>
      <c r="V70">
        <f>+[3]Sheet1!S70</f>
        <v>0.85977578602978</v>
      </c>
      <c r="W70">
        <f>+[3]Sheet1!T70</f>
        <v>1361815.21974804</v>
      </c>
      <c r="X70">
        <f>+[3]Sheet1!U70</f>
        <v>38.33393854722398</v>
      </c>
      <c r="Y70">
        <f>+[3]Sheet1!V70</f>
        <v>1519233.9849876389</v>
      </c>
      <c r="Z70">
        <f>+[3]Sheet1!W70</f>
        <v>43.541422203028837</v>
      </c>
      <c r="AA70">
        <f>+[3]Sheet1!X70</f>
        <v>2194869.3525401279</v>
      </c>
      <c r="AB70">
        <f>+[3]Sheet1!Y70</f>
        <v>59.229094585964198</v>
      </c>
      <c r="AC70">
        <f>+[3]Sheet1!Z70</f>
        <v>0.40315107979767428</v>
      </c>
      <c r="AD70">
        <f>+[3]Sheet1!AA70</f>
        <v>57692.55223181023</v>
      </c>
      <c r="AE70">
        <f>+[3]Sheet1!AB70</f>
        <v>134970.17029047309</v>
      </c>
      <c r="AF70">
        <f>+[3]Sheet1!AC70</f>
        <v>143.25823098154211</v>
      </c>
      <c r="AG70">
        <f>+[3]Sheet1!AD70</f>
        <v>106.00778668330589</v>
      </c>
      <c r="AH70" s="16">
        <f>+[3]Sheet1!AE70</f>
        <v>147.9824015885676</v>
      </c>
      <c r="AI70" s="16">
        <f>+[3]Sheet1!AF70</f>
        <v>322.02213791930632</v>
      </c>
      <c r="AJ70" s="16">
        <f>+[3]Sheet1!AG70</f>
        <v>162.61038237991289</v>
      </c>
      <c r="AK70" s="16">
        <f>+[3]Sheet1!AH70</f>
        <v>81.269489822597208</v>
      </c>
      <c r="AL70" s="16">
        <f>+[3]Sheet1!AI70</f>
        <v>86.425804858337358</v>
      </c>
      <c r="AM70" s="16">
        <f>+[3]Sheet1!AJ70</f>
        <v>150.73442106487681</v>
      </c>
      <c r="AN70" s="16">
        <f>+[3]Sheet1!AK70</f>
        <v>95.814804258358706</v>
      </c>
      <c r="AO70" s="16">
        <f>+[3]Sheet1!AL70</f>
        <v>183.4402013569626</v>
      </c>
      <c r="AP70" s="16">
        <f>+[3]Sheet1!AM70</f>
        <v>186.5250606009642</v>
      </c>
      <c r="AQ70" s="16">
        <f>+[3]Sheet1!AN70</f>
        <v>187.73114444833459</v>
      </c>
      <c r="AR70" s="16">
        <f>+[3]Sheet1!AO70</f>
        <v>139.65329604494769</v>
      </c>
      <c r="AS70" s="16">
        <f>+[3]Sheet1!AP70</f>
        <v>119.4920646378514</v>
      </c>
      <c r="AT70" s="16">
        <f>+[3]Sheet1!AQ70</f>
        <v>34.398670060494382</v>
      </c>
      <c r="AU70" s="16">
        <f>+[3]Sheet1!AR70</f>
        <v>131.3332090796516</v>
      </c>
      <c r="AV70" s="16">
        <f>+[3]Sheet1!AS70</f>
        <v>107.2650314373161</v>
      </c>
      <c r="AW70" s="16">
        <f>+[3]Sheet1!AT70</f>
        <v>3002777.087260833</v>
      </c>
      <c r="AX70" s="16">
        <f>+base_mensual!AY70</f>
        <v>623</v>
      </c>
      <c r="AY70">
        <f>+base_mensual!AZ70</f>
        <v>1.7494695854512807</v>
      </c>
      <c r="AZ70">
        <f>+[3]Sheet1!AX70</f>
        <v>143.58966836528609</v>
      </c>
    </row>
    <row r="71" spans="1:52" x14ac:dyDescent="0.25">
      <c r="A71" s="2">
        <f>+base_mensual!A71</f>
        <v>43404</v>
      </c>
      <c r="B71" s="1">
        <f>+base_mensual!B71</f>
        <v>-1.4890578347530603E-2</v>
      </c>
      <c r="C71">
        <f>+base_mensual!AE71</f>
        <v>144.93831122594656</v>
      </c>
      <c r="D71">
        <f>+base_mensual!H71</f>
        <v>186.991235050596</v>
      </c>
      <c r="E71">
        <f>+[3]Sheet1!B71</f>
        <v>34584.299091730332</v>
      </c>
      <c r="F71">
        <f>+[3]Sheet1!C71</f>
        <v>20993.245395465259</v>
      </c>
      <c r="G71">
        <f>+[3]Sheet1!D71</f>
        <v>38824.156917639622</v>
      </c>
      <c r="H71">
        <f>+[3]Sheet1!E71</f>
        <v>8649.1767663562277</v>
      </c>
      <c r="I71">
        <f>+[3]Sheet1!F71</f>
        <v>933760.86920437519</v>
      </c>
      <c r="J71">
        <f>+[3]Sheet1!G71</f>
        <v>299.87791181927832</v>
      </c>
      <c r="K71">
        <f>+[3]Sheet1!H71</f>
        <v>424.22629249847932</v>
      </c>
      <c r="L71">
        <f>+[3]Sheet1!I71</f>
        <v>195.52835909728779</v>
      </c>
      <c r="M71">
        <f>+[3]Sheet1!J71</f>
        <v>21734.561525096062</v>
      </c>
      <c r="N71">
        <f>+[3]Sheet1!K71</f>
        <v>107786.9106565527</v>
      </c>
      <c r="O71">
        <f>+[3]Sheet1!L71</f>
        <v>65215.975750160629</v>
      </c>
      <c r="P71">
        <f>+[3]Sheet1!M71</f>
        <v>0.63316291257957436</v>
      </c>
      <c r="Q71">
        <f>+[3]Sheet1!N71</f>
        <v>2.8425452773995512</v>
      </c>
      <c r="R71">
        <f>+[3]Sheet1!O71</f>
        <v>1.6729122428918299</v>
      </c>
      <c r="S71">
        <f>+[3]Sheet1!P71</f>
        <v>30332.716643446362</v>
      </c>
      <c r="T71">
        <f>+[3]Sheet1!Q71</f>
        <v>31344.01531794171</v>
      </c>
      <c r="U71">
        <f>+[3]Sheet1!R71</f>
        <v>0.77651213774843619</v>
      </c>
      <c r="V71">
        <f>+[3]Sheet1!S71</f>
        <v>0.76205575876086729</v>
      </c>
      <c r="W71">
        <f>+[3]Sheet1!T71</f>
        <v>1339718.662649747</v>
      </c>
      <c r="X71">
        <f>+[3]Sheet1!U71</f>
        <v>34.764273969800698</v>
      </c>
      <c r="Y71">
        <f>+[3]Sheet1!V71</f>
        <v>1444685.798070665</v>
      </c>
      <c r="Z71">
        <f>+[3]Sheet1!W71</f>
        <v>37.610503146456743</v>
      </c>
      <c r="AA71">
        <f>+[3]Sheet1!X71</f>
        <v>2203660.0663383128</v>
      </c>
      <c r="AB71">
        <f>+[3]Sheet1!Y71</f>
        <v>54.454559352360327</v>
      </c>
      <c r="AC71">
        <f>+[3]Sheet1!Z71</f>
        <v>0.51175960063616976</v>
      </c>
      <c r="AD71">
        <f>+[3]Sheet1!AA71</f>
        <v>61760.738628666462</v>
      </c>
      <c r="AE71">
        <f>+[3]Sheet1!AB71</f>
        <v>138129.13513398939</v>
      </c>
      <c r="AF71">
        <f>+[3]Sheet1!AC71</f>
        <v>151.09242182456481</v>
      </c>
      <c r="AG71">
        <f>+[3]Sheet1!AD71</f>
        <v>104.2625167677861</v>
      </c>
      <c r="AH71" s="16">
        <f>+[3]Sheet1!AE71</f>
        <v>150.81425867720489</v>
      </c>
      <c r="AI71" s="16">
        <f>+[3]Sheet1!AF71</f>
        <v>339.41794453835712</v>
      </c>
      <c r="AJ71" s="16">
        <f>+[3]Sheet1!AG71</f>
        <v>167.1827126626707</v>
      </c>
      <c r="AK71" s="16">
        <f>+[3]Sheet1!AH71</f>
        <v>99.951504697822799</v>
      </c>
      <c r="AL71" s="16">
        <f>+[3]Sheet1!AI71</f>
        <v>85.185033700974216</v>
      </c>
      <c r="AM71" s="16">
        <f>+[3]Sheet1!AJ71</f>
        <v>151.1719354438994</v>
      </c>
      <c r="AN71" s="16">
        <f>+[3]Sheet1!AK71</f>
        <v>96.967398766927531</v>
      </c>
      <c r="AO71" s="16">
        <f>+[3]Sheet1!AL71</f>
        <v>185.84981945666399</v>
      </c>
      <c r="AP71" s="16">
        <f>+[3]Sheet1!AM71</f>
        <v>182.05050856074061</v>
      </c>
      <c r="AQ71" s="16">
        <f>+[3]Sheet1!AN71</f>
        <v>189.2660761449244</v>
      </c>
      <c r="AR71" s="16">
        <f>+[3]Sheet1!AO71</f>
        <v>139.66482492704881</v>
      </c>
      <c r="AS71" s="16">
        <f>+[3]Sheet1!AP71</f>
        <v>123.8506287468069</v>
      </c>
      <c r="AT71" s="16">
        <f>+[3]Sheet1!AQ71</f>
        <v>28.441824701341911</v>
      </c>
      <c r="AU71" s="16">
        <f>+[3]Sheet1!AR71</f>
        <v>127.08714724156749</v>
      </c>
      <c r="AV71" s="16">
        <f>+[3]Sheet1!AS71</f>
        <v>105.2088254418564</v>
      </c>
      <c r="AW71" s="16">
        <f>+[3]Sheet1!AT71</f>
        <v>3161361.194563434</v>
      </c>
      <c r="AX71" s="16">
        <f>+base_mensual!AY71</f>
        <v>670</v>
      </c>
      <c r="AY71">
        <f>+base_mensual!AZ71</f>
        <v>1.7630518511486217</v>
      </c>
      <c r="AZ71">
        <f>+[3]Sheet1!AX71</f>
        <v>144.20531456409469</v>
      </c>
    </row>
    <row r="72" spans="1:52" x14ac:dyDescent="0.25">
      <c r="A72" s="2">
        <f>+base_mensual!A72</f>
        <v>43434</v>
      </c>
      <c r="B72" s="1">
        <f>+base_mensual!B72</f>
        <v>-1.4890578347530603E-2</v>
      </c>
      <c r="C72">
        <f>+base_mensual!AE72</f>
        <v>141.58153261152728</v>
      </c>
      <c r="D72">
        <f>+base_mensual!H72</f>
        <v>172.958633261675</v>
      </c>
      <c r="E72">
        <f>+[3]Sheet1!B72</f>
        <v>32673.393435512549</v>
      </c>
      <c r="F72">
        <f>+[3]Sheet1!C72</f>
        <v>24297.53267647258</v>
      </c>
      <c r="G72">
        <f>+[3]Sheet1!D72</f>
        <v>37070.300770555092</v>
      </c>
      <c r="H72">
        <f>+[3]Sheet1!E72</f>
        <v>10011.949416027541</v>
      </c>
      <c r="I72">
        <f>+[3]Sheet1!F72</f>
        <v>939437.60291077336</v>
      </c>
      <c r="J72">
        <f>+[3]Sheet1!G72</f>
        <v>310.07568097657492</v>
      </c>
      <c r="K72">
        <f>+[3]Sheet1!H72</f>
        <v>439.62568040455437</v>
      </c>
      <c r="L72">
        <f>+[3]Sheet1!I72</f>
        <v>206.21410879606259</v>
      </c>
      <c r="M72">
        <f>+[3]Sheet1!J72</f>
        <v>25253.201037487652</v>
      </c>
      <c r="N72">
        <f>+[3]Sheet1!K72</f>
        <v>98334.971410366707</v>
      </c>
      <c r="O72">
        <f>+[3]Sheet1!L72</f>
        <v>64544.084162039922</v>
      </c>
      <c r="P72">
        <f>+[3]Sheet1!M72</f>
        <v>0.6242792175222005</v>
      </c>
      <c r="Q72">
        <f>+[3]Sheet1!N72</f>
        <v>2.518835359044433</v>
      </c>
      <c r="R72">
        <f>+[3]Sheet1!O72</f>
        <v>1.7009366804780881</v>
      </c>
      <c r="S72">
        <f>+[3]Sheet1!P72</f>
        <v>30602.300529690219</v>
      </c>
      <c r="T72">
        <f>+[3]Sheet1!Q72</f>
        <v>30430.461045507691</v>
      </c>
      <c r="U72">
        <f>+[3]Sheet1!R72</f>
        <v>0.76524494000557164</v>
      </c>
      <c r="V72">
        <f>+[3]Sheet1!S72</f>
        <v>0.75868402551165437</v>
      </c>
      <c r="W72">
        <f>+[3]Sheet1!T72</f>
        <v>1380200.113495226</v>
      </c>
      <c r="X72">
        <f>+[3]Sheet1!U72</f>
        <v>33.740050330635682</v>
      </c>
      <c r="Y72">
        <f>+[3]Sheet1!V72</f>
        <v>1458587.8296146609</v>
      </c>
      <c r="Z72">
        <f>+[3]Sheet1!W72</f>
        <v>34.167940847393233</v>
      </c>
      <c r="AA72">
        <f>+[3]Sheet1!X72</f>
        <v>2231998.804831441</v>
      </c>
      <c r="AB72">
        <f>+[3]Sheet1!Y72</f>
        <v>54.962347934908777</v>
      </c>
      <c r="AC72">
        <f>+[3]Sheet1!Z72</f>
        <v>0.49593193358388432</v>
      </c>
      <c r="AD72">
        <f>+[3]Sheet1!AA72</f>
        <v>61005.656051105463</v>
      </c>
      <c r="AE72">
        <f>+[3]Sheet1!AB72</f>
        <v>130629.3277181062</v>
      </c>
      <c r="AF72">
        <f>+[3]Sheet1!AC72</f>
        <v>146.686561123845</v>
      </c>
      <c r="AG72">
        <f>+[3]Sheet1!AD72</f>
        <v>102.18519002447201</v>
      </c>
      <c r="AH72" s="16">
        <f>+[3]Sheet1!AE72</f>
        <v>147.73069794093959</v>
      </c>
      <c r="AI72" s="16">
        <f>+[3]Sheet1!AF72</f>
        <v>331.6392503441752</v>
      </c>
      <c r="AJ72" s="16">
        <f>+[3]Sheet1!AG72</f>
        <v>165.42448641921649</v>
      </c>
      <c r="AK72" s="16">
        <f>+[3]Sheet1!AH72</f>
        <v>83.497723360722091</v>
      </c>
      <c r="AL72" s="16">
        <f>+[3]Sheet1!AI72</f>
        <v>85.92143560943407</v>
      </c>
      <c r="AM72" s="16">
        <f>+[3]Sheet1!AJ72</f>
        <v>150.63427679488419</v>
      </c>
      <c r="AN72" s="16">
        <f>+[3]Sheet1!AK72</f>
        <v>95.258239322538202</v>
      </c>
      <c r="AO72" s="16">
        <f>+[3]Sheet1!AL72</f>
        <v>182.00607901318651</v>
      </c>
      <c r="AP72" s="16">
        <f>+[3]Sheet1!AM72</f>
        <v>186.65325272887421</v>
      </c>
      <c r="AQ72" s="16">
        <f>+[3]Sheet1!AN72</f>
        <v>194.196676589379</v>
      </c>
      <c r="AR72" s="16">
        <f>+[3]Sheet1!AO72</f>
        <v>138.8500857925836</v>
      </c>
      <c r="AS72" s="16">
        <f>+[3]Sheet1!AP72</f>
        <v>117.05957185632749</v>
      </c>
      <c r="AT72" s="16">
        <f>+[3]Sheet1!AQ72</f>
        <v>32.629483985412293</v>
      </c>
      <c r="AU72" s="16">
        <f>+[3]Sheet1!AR72</f>
        <v>126.9909433614841</v>
      </c>
      <c r="AV72" s="16">
        <f>+[3]Sheet1!AS72</f>
        <v>105.0213206832272</v>
      </c>
      <c r="AW72" s="16">
        <f>+[3]Sheet1!AT72</f>
        <v>3207771.273742646</v>
      </c>
      <c r="AX72" s="16">
        <f>+base_mensual!AY72</f>
        <v>706</v>
      </c>
      <c r="AY72">
        <f>+base_mensual!AZ72</f>
        <v>1.7673766864168541</v>
      </c>
      <c r="AZ72">
        <f>+[3]Sheet1!AX72</f>
        <v>142.8634555755315</v>
      </c>
    </row>
    <row r="73" spans="1:52" x14ac:dyDescent="0.25">
      <c r="A73" s="2">
        <f>+base_mensual!A73</f>
        <v>43465</v>
      </c>
      <c r="B73" s="1">
        <f>+base_mensual!B73</f>
        <v>-1.4890578347530603E-2</v>
      </c>
      <c r="C73">
        <f>+base_mensual!AE73</f>
        <v>139.08126342110404</v>
      </c>
      <c r="D73">
        <f>+base_mensual!H73</f>
        <v>168.06079288898599</v>
      </c>
      <c r="E73">
        <f>+[3]Sheet1!B73</f>
        <v>30340.603949829809</v>
      </c>
      <c r="F73">
        <f>+[3]Sheet1!C73</f>
        <v>21846.919077022379</v>
      </c>
      <c r="G73">
        <f>+[3]Sheet1!D73</f>
        <v>40240.619723694617</v>
      </c>
      <c r="H73">
        <f>+[3]Sheet1!E73</f>
        <v>8985.037234831816</v>
      </c>
      <c r="I73">
        <f>+[3]Sheet1!F73</f>
        <v>898659.47173463798</v>
      </c>
      <c r="J73">
        <f>+[3]Sheet1!G73</f>
        <v>305.27504747208491</v>
      </c>
      <c r="K73">
        <f>+[3]Sheet1!H73</f>
        <v>395.60927427936991</v>
      </c>
      <c r="L73">
        <f>+[3]Sheet1!I73</f>
        <v>157.74920775403581</v>
      </c>
      <c r="M73">
        <f>+[3]Sheet1!J73</f>
        <v>27418.82340579501</v>
      </c>
      <c r="N73">
        <f>+[3]Sheet1!K73</f>
        <v>104067.48387252841</v>
      </c>
      <c r="O73">
        <f>+[3]Sheet1!L73</f>
        <v>71863.221666587895</v>
      </c>
      <c r="P73">
        <f>+[3]Sheet1!M73</f>
        <v>0.68440453910602506</v>
      </c>
      <c r="Q73">
        <f>+[3]Sheet1!N73</f>
        <v>2.4886689409074618</v>
      </c>
      <c r="R73">
        <f>+[3]Sheet1!O73</f>
        <v>1.6753482883304269</v>
      </c>
      <c r="S73">
        <f>+[3]Sheet1!P73</f>
        <v>29159.340357795121</v>
      </c>
      <c r="T73">
        <f>+[3]Sheet1!Q73</f>
        <v>30258.616168634071</v>
      </c>
      <c r="U73">
        <f>+[3]Sheet1!R73</f>
        <v>0.7459519149616014</v>
      </c>
      <c r="V73">
        <f>+[3]Sheet1!S73</f>
        <v>0.72831458628813528</v>
      </c>
      <c r="W73">
        <f>+[3]Sheet1!T73</f>
        <v>1230416.3584573921</v>
      </c>
      <c r="X73">
        <f>+[3]Sheet1!U73</f>
        <v>32.22173732676881</v>
      </c>
      <c r="Y73">
        <f>+[3]Sheet1!V73</f>
        <v>1511002.8829578171</v>
      </c>
      <c r="Z73">
        <f>+[3]Sheet1!W73</f>
        <v>34.722319384222068</v>
      </c>
      <c r="AA73">
        <f>+[3]Sheet1!X73</f>
        <v>2249132.79669515</v>
      </c>
      <c r="AB73">
        <f>+[3]Sheet1!Y73</f>
        <v>53.649611129608751</v>
      </c>
      <c r="AC73">
        <f>+[3]Sheet1!Z73</f>
        <v>0.46080076146938781</v>
      </c>
      <c r="AD73">
        <f>+[3]Sheet1!AA73</f>
        <v>59392.112275957843</v>
      </c>
      <c r="AE73">
        <f>+[3]Sheet1!AB73</f>
        <v>126303.66974166399</v>
      </c>
      <c r="AF73">
        <f>+[3]Sheet1!AC73</f>
        <v>144.36734830872939</v>
      </c>
      <c r="AG73">
        <f>+[3]Sheet1!AD73</f>
        <v>100.6432475856999</v>
      </c>
      <c r="AH73" s="16">
        <f>+[3]Sheet1!AE73</f>
        <v>142.7167838887643</v>
      </c>
      <c r="AI73" s="16">
        <f>+[3]Sheet1!AF73</f>
        <v>314.65964376844988</v>
      </c>
      <c r="AJ73" s="16">
        <f>+[3]Sheet1!AG73</f>
        <v>162.540830424874</v>
      </c>
      <c r="AK73" s="16">
        <f>+[3]Sheet1!AH73</f>
        <v>83.759153567172035</v>
      </c>
      <c r="AL73" s="16">
        <f>+[3]Sheet1!AI73</f>
        <v>86.379569868066383</v>
      </c>
      <c r="AM73" s="16">
        <f>+[3]Sheet1!AJ73</f>
        <v>146.68083141711119</v>
      </c>
      <c r="AN73" s="16">
        <f>+[3]Sheet1!AK73</f>
        <v>95.379401040746743</v>
      </c>
      <c r="AO73" s="16">
        <f>+[3]Sheet1!AL73</f>
        <v>173.44441062749181</v>
      </c>
      <c r="AP73" s="16">
        <f>+[3]Sheet1!AM73</f>
        <v>178.0718568558957</v>
      </c>
      <c r="AQ73" s="16">
        <f>+[3]Sheet1!AN73</f>
        <v>179.00105382224271</v>
      </c>
      <c r="AR73" s="16">
        <f>+[3]Sheet1!AO73</f>
        <v>139.0912837447699</v>
      </c>
      <c r="AS73" s="16">
        <f>+[3]Sheet1!AP73</f>
        <v>107.92976030835131</v>
      </c>
      <c r="AT73" s="16">
        <f>+[3]Sheet1!AQ73</f>
        <v>35.473350973545848</v>
      </c>
      <c r="AU73" s="16">
        <f>+[3]Sheet1!AR73</f>
        <v>124.3503896396323</v>
      </c>
      <c r="AV73" s="16">
        <f>+[3]Sheet1!AS73</f>
        <v>104.5849607927604</v>
      </c>
      <c r="AW73" s="16">
        <f>+[3]Sheet1!AT73</f>
        <v>3155576.7903916072</v>
      </c>
      <c r="AX73" s="16">
        <f>+base_mensual!AY73</f>
        <v>813</v>
      </c>
      <c r="AY73">
        <f>+base_mensual!AZ73</f>
        <v>1.92</v>
      </c>
      <c r="AZ73">
        <f>+[3]Sheet1!AX73</f>
        <v>140.8700959017211</v>
      </c>
    </row>
    <row r="74" spans="1:52" x14ac:dyDescent="0.25">
      <c r="A74" s="2">
        <f>+base_mensual!A74</f>
        <v>43496</v>
      </c>
      <c r="B74" s="1">
        <f>+base_mensual!B74</f>
        <v>1.5659293988878886E-3</v>
      </c>
      <c r="C74">
        <f>+base_mensual!AE74</f>
        <v>137.82947650373015</v>
      </c>
      <c r="D74">
        <f>+base_mensual!H74</f>
        <v>175.93110866558001</v>
      </c>
      <c r="E74">
        <f>+[3]Sheet1!B74</f>
        <v>31204.344449665012</v>
      </c>
      <c r="F74">
        <f>+[3]Sheet1!C74</f>
        <v>16759.345454118851</v>
      </c>
      <c r="G74">
        <f>+[3]Sheet1!D74</f>
        <v>35610.424525259783</v>
      </c>
      <c r="H74">
        <f>+[3]Sheet1!E74</f>
        <v>9475.0557331439813</v>
      </c>
      <c r="I74">
        <f>+[3]Sheet1!F74</f>
        <v>910637.67780678754</v>
      </c>
      <c r="J74">
        <f>+[3]Sheet1!G74</f>
        <v>273.00650052444962</v>
      </c>
      <c r="K74">
        <f>+[3]Sheet1!H74</f>
        <v>426.00736688142462</v>
      </c>
      <c r="L74">
        <f>+[3]Sheet1!I74</f>
        <v>193.1408509699946</v>
      </c>
      <c r="M74">
        <f>+[3]Sheet1!J74</f>
        <v>31848.448378063509</v>
      </c>
      <c r="N74">
        <f>+[3]Sheet1!K74</f>
        <v>101644.5322446489</v>
      </c>
      <c r="O74">
        <f>+[3]Sheet1!L74</f>
        <v>75057.773271550628</v>
      </c>
      <c r="P74">
        <f>+[3]Sheet1!M74</f>
        <v>0.65314058538519204</v>
      </c>
      <c r="Q74">
        <f>+[3]Sheet1!N74</f>
        <v>2.5014870626495669</v>
      </c>
      <c r="R74">
        <f>+[3]Sheet1!O74</f>
        <v>1.7092432059973139</v>
      </c>
      <c r="S74">
        <f>+[3]Sheet1!P74</f>
        <v>33878.522343195553</v>
      </c>
      <c r="T74">
        <f>+[3]Sheet1!Q74</f>
        <v>31499.70713747988</v>
      </c>
      <c r="U74">
        <f>+[3]Sheet1!R74</f>
        <v>0.80868829453826141</v>
      </c>
      <c r="V74">
        <f>+[3]Sheet1!S74</f>
        <v>0.75744762299633195</v>
      </c>
      <c r="W74">
        <f>+[3]Sheet1!T74</f>
        <v>1451100.6452310551</v>
      </c>
      <c r="X74">
        <f>+[3]Sheet1!U74</f>
        <v>34.348927406308981</v>
      </c>
      <c r="Y74">
        <f>+[3]Sheet1!V74</f>
        <v>1509551.392130729</v>
      </c>
      <c r="Z74">
        <f>+[3]Sheet1!W74</f>
        <v>34.350285183003152</v>
      </c>
      <c r="AA74">
        <f>+[3]Sheet1!X74</f>
        <v>2264421.419779622</v>
      </c>
      <c r="AB74">
        <f>+[3]Sheet1!Y74</f>
        <v>51.679901706035523</v>
      </c>
      <c r="AC74">
        <f>+[3]Sheet1!Z74</f>
        <v>0.4541662250314592</v>
      </c>
      <c r="AD74">
        <f>+[3]Sheet1!AA74</f>
        <v>62641.380656193098</v>
      </c>
      <c r="AE74">
        <f>+[3]Sheet1!AB74</f>
        <v>141656.87405631461</v>
      </c>
      <c r="AF74">
        <f>+[3]Sheet1!AC74</f>
        <v>146.565989154921</v>
      </c>
      <c r="AG74">
        <f>+[3]Sheet1!AD74</f>
        <v>100.3150852111897</v>
      </c>
      <c r="AH74" s="16">
        <f>+[3]Sheet1!AE74</f>
        <v>140.12357159507931</v>
      </c>
      <c r="AI74" s="16">
        <f>+[3]Sheet1!AF74</f>
        <v>326.19171686933078</v>
      </c>
      <c r="AJ74" s="16">
        <f>+[3]Sheet1!AG74</f>
        <v>165.66623195054871</v>
      </c>
      <c r="AK74" s="16">
        <f>+[3]Sheet1!AH74</f>
        <v>82.992931637169534</v>
      </c>
      <c r="AL74" s="16">
        <f>+[3]Sheet1!AI74</f>
        <v>85.587981638657112</v>
      </c>
      <c r="AM74" s="16">
        <f>+[3]Sheet1!AJ74</f>
        <v>149.54988607995779</v>
      </c>
      <c r="AN74" s="16">
        <f>+[3]Sheet1!AK74</f>
        <v>94.834700956545021</v>
      </c>
      <c r="AO74" s="16">
        <f>+[3]Sheet1!AL74</f>
        <v>167.34602727644091</v>
      </c>
      <c r="AP74" s="16">
        <f>+[3]Sheet1!AM74</f>
        <v>179.14731296199071</v>
      </c>
      <c r="AQ74" s="16">
        <f>+[3]Sheet1!AN74</f>
        <v>184.90366012182611</v>
      </c>
      <c r="AR74" s="16">
        <f>+[3]Sheet1!AO74</f>
        <v>137.07396606343011</v>
      </c>
      <c r="AS74" s="16">
        <f>+[3]Sheet1!AP74</f>
        <v>112.7833056731197</v>
      </c>
      <c r="AT74" s="16">
        <f>+[3]Sheet1!AQ74</f>
        <v>31.534749427844229</v>
      </c>
      <c r="AU74" s="16">
        <f>+[3]Sheet1!AR74</f>
        <v>122.4761545260809</v>
      </c>
      <c r="AV74" s="16">
        <f>+[3]Sheet1!AS74</f>
        <v>103.1005694199695</v>
      </c>
      <c r="AW74" s="16">
        <f>+[3]Sheet1!AT74</f>
        <v>3156119.4762512119</v>
      </c>
      <c r="AX74" s="16">
        <f>+base_mensual!AY74</f>
        <v>663</v>
      </c>
      <c r="AY74">
        <f>+base_mensual!AZ74</f>
        <v>1.63</v>
      </c>
      <c r="AZ74">
        <f>+[3]Sheet1!AX74</f>
        <v>142.0342964618271</v>
      </c>
    </row>
    <row r="75" spans="1:52" x14ac:dyDescent="0.25">
      <c r="A75" s="2">
        <f>+base_mensual!A75</f>
        <v>43524</v>
      </c>
      <c r="B75" s="1">
        <f>+base_mensual!B75</f>
        <v>1.5659293988878886E-3</v>
      </c>
      <c r="C75">
        <f>+base_mensual!AE75</f>
        <v>139.66674294878999</v>
      </c>
      <c r="D75">
        <f>+base_mensual!H75</f>
        <v>191.26041508233499</v>
      </c>
      <c r="E75">
        <f>+[3]Sheet1!B75</f>
        <v>32105.773664645702</v>
      </c>
      <c r="F75">
        <f>+[3]Sheet1!C75</f>
        <v>20112.57158114218</v>
      </c>
      <c r="G75">
        <f>+[3]Sheet1!D75</f>
        <v>32694.254015816099</v>
      </c>
      <c r="H75">
        <f>+[3]Sheet1!E75</f>
        <v>8257.4519174761517</v>
      </c>
      <c r="I75">
        <f>+[3]Sheet1!F75</f>
        <v>1061246.8809774299</v>
      </c>
      <c r="J75">
        <f>+[3]Sheet1!G75</f>
        <v>279.1191693323467</v>
      </c>
      <c r="K75">
        <f>+[3]Sheet1!H75</f>
        <v>343.09163494890021</v>
      </c>
      <c r="L75">
        <f>+[3]Sheet1!I75</f>
        <v>188.82086463930091</v>
      </c>
      <c r="M75">
        <f>+[3]Sheet1!J75</f>
        <v>28170.359309457392</v>
      </c>
      <c r="N75">
        <f>+[3]Sheet1!K75</f>
        <v>111232.1997390241</v>
      </c>
      <c r="O75">
        <f>+[3]Sheet1!L75</f>
        <v>79172.292766135884</v>
      </c>
      <c r="P75">
        <f>+[3]Sheet1!M75</f>
        <v>0.67869781392192619</v>
      </c>
      <c r="Q75">
        <f>+[3]Sheet1!N75</f>
        <v>2.514134956212644</v>
      </c>
      <c r="R75">
        <f>+[3]Sheet1!O75</f>
        <v>1.7310532822038089</v>
      </c>
      <c r="S75">
        <f>+[3]Sheet1!P75</f>
        <v>34882.258609025746</v>
      </c>
      <c r="T75">
        <f>+[3]Sheet1!Q75</f>
        <v>34537.895198335842</v>
      </c>
      <c r="U75">
        <f>+[3]Sheet1!R75</f>
        <v>0.79113298936519527</v>
      </c>
      <c r="V75">
        <f>+[3]Sheet1!S75</f>
        <v>0.76520670572226157</v>
      </c>
      <c r="W75">
        <f>+[3]Sheet1!T75</f>
        <v>1434077.83778599</v>
      </c>
      <c r="X75">
        <f>+[3]Sheet1!U75</f>
        <v>33.722018409884903</v>
      </c>
      <c r="Y75">
        <f>+[3]Sheet1!V75</f>
        <v>1561442.0942845319</v>
      </c>
      <c r="Z75">
        <f>+[3]Sheet1!W75</f>
        <v>34.218035605148224</v>
      </c>
      <c r="AA75">
        <f>+[3]Sheet1!X75</f>
        <v>2364629.755474166</v>
      </c>
      <c r="AB75">
        <f>+[3]Sheet1!Y75</f>
        <v>51.252179486891613</v>
      </c>
      <c r="AC75">
        <f>+[3]Sheet1!Z75</f>
        <v>0.40270318504847707</v>
      </c>
      <c r="AD75">
        <f>+[3]Sheet1!AA75</f>
        <v>63034.700787986112</v>
      </c>
      <c r="AE75">
        <f>+[3]Sheet1!AB75</f>
        <v>151185.02804006331</v>
      </c>
      <c r="AF75">
        <f>+[3]Sheet1!AC75</f>
        <v>147.59633969216549</v>
      </c>
      <c r="AG75">
        <f>+[3]Sheet1!AD75</f>
        <v>101.989180583818</v>
      </c>
      <c r="AH75" s="16">
        <f>+[3]Sheet1!AE75</f>
        <v>148.33917868473591</v>
      </c>
      <c r="AI75" s="16">
        <f>+[3]Sheet1!AF75</f>
        <v>339.48574788674188</v>
      </c>
      <c r="AJ75" s="16">
        <f>+[3]Sheet1!AG75</f>
        <v>164.73310939224089</v>
      </c>
      <c r="AK75" s="16">
        <f>+[3]Sheet1!AH75</f>
        <v>92.786368396685134</v>
      </c>
      <c r="AL75" s="16">
        <f>+[3]Sheet1!AI75</f>
        <v>85.921405512001826</v>
      </c>
      <c r="AM75" s="16">
        <f>+[3]Sheet1!AJ75</f>
        <v>147.23645686757129</v>
      </c>
      <c r="AN75" s="16">
        <f>+[3]Sheet1!AK75</f>
        <v>88.662300004042734</v>
      </c>
      <c r="AO75" s="16">
        <f>+[3]Sheet1!AL75</f>
        <v>183.0823633106771</v>
      </c>
      <c r="AP75" s="16">
        <f>+[3]Sheet1!AM75</f>
        <v>205.26733233114089</v>
      </c>
      <c r="AQ75" s="16">
        <f>+[3]Sheet1!AN75</f>
        <v>156.65841099842871</v>
      </c>
      <c r="AR75" s="16">
        <f>+[3]Sheet1!AO75</f>
        <v>137.24040616925501</v>
      </c>
      <c r="AS75" s="16">
        <f>+[3]Sheet1!AP75</f>
        <v>115.0160361571825</v>
      </c>
      <c r="AT75" s="16">
        <f>+[3]Sheet1!AQ75</f>
        <v>35.784457192000673</v>
      </c>
      <c r="AU75" s="16">
        <f>+[3]Sheet1!AR75</f>
        <v>123.5806143745221</v>
      </c>
      <c r="AV75" s="16">
        <f>+[3]Sheet1!AS75</f>
        <v>102.7210222773144</v>
      </c>
      <c r="AW75" s="16">
        <f>+[3]Sheet1!AT75</f>
        <v>3052337.3631689842</v>
      </c>
      <c r="AX75" s="16">
        <f>+base_mensual!AY75</f>
        <v>699</v>
      </c>
      <c r="AY75">
        <f>+base_mensual!AZ75</f>
        <v>1.79</v>
      </c>
      <c r="AZ75">
        <f>+[3]Sheet1!AX75</f>
        <v>143.2561368607783</v>
      </c>
    </row>
    <row r="76" spans="1:52" x14ac:dyDescent="0.25">
      <c r="A76" s="2">
        <f>+base_mensual!A76</f>
        <v>43553</v>
      </c>
      <c r="B76" s="1">
        <f>+base_mensual!B76</f>
        <v>1.5659293988878886E-3</v>
      </c>
      <c r="C76">
        <f>+base_mensual!AE76</f>
        <v>139.28130827359121</v>
      </c>
      <c r="D76">
        <f>+base_mensual!H76</f>
        <v>185.05068552028399</v>
      </c>
      <c r="E76">
        <f>+[3]Sheet1!B76</f>
        <v>25936.90099742723</v>
      </c>
      <c r="F76">
        <f>+[3]Sheet1!C76</f>
        <v>19288.3217174071</v>
      </c>
      <c r="G76">
        <f>+[3]Sheet1!D76</f>
        <v>33800.013940486562</v>
      </c>
      <c r="H76">
        <f>+[3]Sheet1!E76</f>
        <v>7500.2160646380817</v>
      </c>
      <c r="I76">
        <f>+[3]Sheet1!F76</f>
        <v>900507.16470503621</v>
      </c>
      <c r="J76">
        <f>+[3]Sheet1!G76</f>
        <v>276.80498510242342</v>
      </c>
      <c r="K76">
        <f>+[3]Sheet1!H76</f>
        <v>398.01760903652149</v>
      </c>
      <c r="L76">
        <f>+[3]Sheet1!I76</f>
        <v>191.36615114961239</v>
      </c>
      <c r="M76">
        <f>+[3]Sheet1!J76</f>
        <v>27059.47350016471</v>
      </c>
      <c r="N76">
        <f>+[3]Sheet1!K76</f>
        <v>118207.5418402176</v>
      </c>
      <c r="O76">
        <f>+[3]Sheet1!L76</f>
        <v>77504.867800750333</v>
      </c>
      <c r="P76">
        <f>+[3]Sheet1!M76</f>
        <v>0.67649077471371588</v>
      </c>
      <c r="Q76">
        <f>+[3]Sheet1!N76</f>
        <v>2.3836212256695419</v>
      </c>
      <c r="R76">
        <f>+[3]Sheet1!O76</f>
        <v>1.6700285784229201</v>
      </c>
      <c r="S76">
        <f>+[3]Sheet1!P76</f>
        <v>34724.424806322517</v>
      </c>
      <c r="T76">
        <f>+[3]Sheet1!Q76</f>
        <v>33957.124471305797</v>
      </c>
      <c r="U76">
        <f>+[3]Sheet1!R76</f>
        <v>0.7449000504884703</v>
      </c>
      <c r="V76">
        <f>+[3]Sheet1!S76</f>
        <v>0.76179499266024875</v>
      </c>
      <c r="W76">
        <f>+[3]Sheet1!T76</f>
        <v>1388937.7626344259</v>
      </c>
      <c r="X76">
        <f>+[3]Sheet1!U76</f>
        <v>32.249362166631236</v>
      </c>
      <c r="Y76">
        <f>+[3]Sheet1!V76</f>
        <v>1569701.906912107</v>
      </c>
      <c r="Z76">
        <f>+[3]Sheet1!W76</f>
        <v>32.817979909295708</v>
      </c>
      <c r="AA76">
        <f>+[3]Sheet1!X76</f>
        <v>2410766.6635258328</v>
      </c>
      <c r="AB76">
        <f>+[3]Sheet1!Y76</f>
        <v>50.525547849903937</v>
      </c>
      <c r="AC76">
        <f>+[3]Sheet1!Z76</f>
        <v>0.44369103447396241</v>
      </c>
      <c r="AD76">
        <f>+[3]Sheet1!AA76</f>
        <v>59609.439851631207</v>
      </c>
      <c r="AE76">
        <f>+[3]Sheet1!AB76</f>
        <v>126933.8525356357</v>
      </c>
      <c r="AF76">
        <f>+[3]Sheet1!AC76</f>
        <v>145.74697606981971</v>
      </c>
      <c r="AG76">
        <f>+[3]Sheet1!AD76</f>
        <v>91.097330786377213</v>
      </c>
      <c r="AH76" s="16">
        <f>+[3]Sheet1!AE76</f>
        <v>142.13534903439449</v>
      </c>
      <c r="AI76" s="16">
        <f>+[3]Sheet1!AF76</f>
        <v>306.69437785688848</v>
      </c>
      <c r="AJ76" s="16">
        <f>+[3]Sheet1!AG76</f>
        <v>151.945420949105</v>
      </c>
      <c r="AK76" s="16">
        <f>+[3]Sheet1!AH76</f>
        <v>80.617775763111553</v>
      </c>
      <c r="AL76" s="16">
        <f>+[3]Sheet1!AI76</f>
        <v>84.403554481154046</v>
      </c>
      <c r="AM76" s="16">
        <f>+[3]Sheet1!AJ76</f>
        <v>145.56800968030069</v>
      </c>
      <c r="AN76" s="16">
        <f>+[3]Sheet1!AK76</f>
        <v>99.353742900335575</v>
      </c>
      <c r="AO76" s="16">
        <f>+[3]Sheet1!AL76</f>
        <v>176.52137259540689</v>
      </c>
      <c r="AP76" s="16">
        <f>+[3]Sheet1!AM76</f>
        <v>181.16336841734969</v>
      </c>
      <c r="AQ76" s="16">
        <f>+[3]Sheet1!AN76</f>
        <v>174.53023667957081</v>
      </c>
      <c r="AR76" s="16">
        <f>+[3]Sheet1!AO76</f>
        <v>129.96160191082689</v>
      </c>
      <c r="AS76" s="16">
        <f>+[3]Sheet1!AP76</f>
        <v>92.119668462769738</v>
      </c>
      <c r="AT76" s="16">
        <f>+[3]Sheet1!AQ76</f>
        <v>35.304649682625843</v>
      </c>
      <c r="AU76" s="16">
        <f>+[3]Sheet1!AR76</f>
        <v>120.7522151319089</v>
      </c>
      <c r="AV76" s="16">
        <f>+[3]Sheet1!AS76</f>
        <v>102.33686676002139</v>
      </c>
      <c r="AW76" s="16">
        <f>+[3]Sheet1!AT76</f>
        <v>3129624.5380212618</v>
      </c>
      <c r="AX76" s="16">
        <f>+base_mensual!AY76</f>
        <v>774</v>
      </c>
      <c r="AY76">
        <f>+base_mensual!AZ76</f>
        <v>1.6</v>
      </c>
      <c r="AZ76">
        <f>+[3]Sheet1!AX76</f>
        <v>139.8686523956533</v>
      </c>
    </row>
    <row r="77" spans="1:52" x14ac:dyDescent="0.25">
      <c r="A77" s="2">
        <f>+base_mensual!A77</f>
        <v>43585</v>
      </c>
      <c r="B77" s="1">
        <f>+base_mensual!B77</f>
        <v>6.9240993173260712E-3</v>
      </c>
      <c r="C77">
        <f>+base_mensual!AE77</f>
        <v>141.08128880235384</v>
      </c>
      <c r="D77">
        <f>+base_mensual!H77</f>
        <v>182.620873698559</v>
      </c>
      <c r="E77">
        <f>+[3]Sheet1!B77</f>
        <v>27971.877055111301</v>
      </c>
      <c r="F77">
        <f>+[3]Sheet1!C77</f>
        <v>21079.341816653861</v>
      </c>
      <c r="G77">
        <f>+[3]Sheet1!D77</f>
        <v>30869.013290162118</v>
      </c>
      <c r="H77">
        <f>+[3]Sheet1!E77</f>
        <v>6875.1201648295573</v>
      </c>
      <c r="I77">
        <f>+[3]Sheet1!F77</f>
        <v>936644.68215926143</v>
      </c>
      <c r="J77">
        <f>+[3]Sheet1!G77</f>
        <v>278.38229352994102</v>
      </c>
      <c r="K77">
        <f>+[3]Sheet1!H77</f>
        <v>416.98878630250749</v>
      </c>
      <c r="L77">
        <f>+[3]Sheet1!I77</f>
        <v>192.03032808402369</v>
      </c>
      <c r="M77">
        <f>+[3]Sheet1!J77</f>
        <v>35750.444705776208</v>
      </c>
      <c r="N77">
        <f>+[3]Sheet1!K77</f>
        <v>117295.3502035502</v>
      </c>
      <c r="O77">
        <f>+[3]Sheet1!L77</f>
        <v>91678.91335872437</v>
      </c>
      <c r="P77">
        <f>+[3]Sheet1!M77</f>
        <v>0.6893421217491591</v>
      </c>
      <c r="Q77">
        <f>+[3]Sheet1!N77</f>
        <v>2.455406837381144</v>
      </c>
      <c r="R77">
        <f>+[3]Sheet1!O77</f>
        <v>1.959889048015055</v>
      </c>
      <c r="S77">
        <f>+[3]Sheet1!P77</f>
        <v>33827.931756248887</v>
      </c>
      <c r="T77">
        <f>+[3]Sheet1!Q77</f>
        <v>34234.902401386142</v>
      </c>
      <c r="U77">
        <f>+[3]Sheet1!R77</f>
        <v>0.69683706585683669</v>
      </c>
      <c r="V77">
        <f>+[3]Sheet1!S77</f>
        <v>0.70065075747143946</v>
      </c>
      <c r="W77">
        <f>+[3]Sheet1!T77</f>
        <v>1457636.2855478071</v>
      </c>
      <c r="X77">
        <f>+[3]Sheet1!U77</f>
        <v>30.27404075316554</v>
      </c>
      <c r="Y77">
        <f>+[3]Sheet1!V77</f>
        <v>1492857.920385605</v>
      </c>
      <c r="Z77">
        <f>+[3]Sheet1!W77</f>
        <v>33.541213793874299</v>
      </c>
      <c r="AA77">
        <f>+[3]Sheet1!X77</f>
        <v>2406272.5226446921</v>
      </c>
      <c r="AB77">
        <f>+[3]Sheet1!Y77</f>
        <v>50.535267031884601</v>
      </c>
      <c r="AC77">
        <f>+[3]Sheet1!Z77</f>
        <v>0.44774530912525778</v>
      </c>
      <c r="AD77">
        <f>+[3]Sheet1!AA77</f>
        <v>62414.414684642317</v>
      </c>
      <c r="AE77">
        <f>+[3]Sheet1!AB77</f>
        <v>143050.37693892949</v>
      </c>
      <c r="AF77">
        <f>+[3]Sheet1!AC77</f>
        <v>149.0431429387616</v>
      </c>
      <c r="AG77">
        <f>+[3]Sheet1!AD77</f>
        <v>97.373683081309551</v>
      </c>
      <c r="AH77" s="16">
        <f>+[3]Sheet1!AE77</f>
        <v>143.41187702272981</v>
      </c>
      <c r="AI77" s="16">
        <f>+[3]Sheet1!AF77</f>
        <v>314.44740959152188</v>
      </c>
      <c r="AJ77" s="16">
        <f>+[3]Sheet1!AG77</f>
        <v>169.982402146146</v>
      </c>
      <c r="AK77" s="16">
        <f>+[3]Sheet1!AH77</f>
        <v>84.170260764607903</v>
      </c>
      <c r="AL77" s="16">
        <f>+[3]Sheet1!AI77</f>
        <v>85.600514186471543</v>
      </c>
      <c r="AM77" s="16">
        <f>+[3]Sheet1!AJ77</f>
        <v>145.25771189327691</v>
      </c>
      <c r="AN77" s="16">
        <f>+[3]Sheet1!AK77</f>
        <v>93.870982789055461</v>
      </c>
      <c r="AO77" s="16">
        <f>+[3]Sheet1!AL77</f>
        <v>171.02965206100691</v>
      </c>
      <c r="AP77" s="16">
        <f>+[3]Sheet1!AM77</f>
        <v>188.83983960926381</v>
      </c>
      <c r="AQ77" s="16">
        <f>+[3]Sheet1!AN77</f>
        <v>185.42294840132979</v>
      </c>
      <c r="AR77" s="16">
        <f>+[3]Sheet1!AO77</f>
        <v>136.96539670575811</v>
      </c>
      <c r="AS77" s="16">
        <f>+[3]Sheet1!AP77</f>
        <v>100.72403185961269</v>
      </c>
      <c r="AT77" s="16">
        <f>+[3]Sheet1!AQ77</f>
        <v>35.700734542653272</v>
      </c>
      <c r="AU77" s="16">
        <f>+[3]Sheet1!AR77</f>
        <v>119.59873490533219</v>
      </c>
      <c r="AV77" s="16">
        <f>+[3]Sheet1!AS77</f>
        <v>101.8143725430064</v>
      </c>
      <c r="AW77" s="16">
        <f>+[3]Sheet1!AT77</f>
        <v>3299847.0299941609</v>
      </c>
      <c r="AX77" s="16">
        <f>+base_mensual!AY77</f>
        <v>963</v>
      </c>
      <c r="AY77">
        <f>+base_mensual!AZ77</f>
        <v>1.5293285521423048</v>
      </c>
      <c r="AZ77">
        <f>+[3]Sheet1!AX77</f>
        <v>143.8042063146606</v>
      </c>
    </row>
    <row r="78" spans="1:52" x14ac:dyDescent="0.25">
      <c r="A78" s="2">
        <f>+base_mensual!A78</f>
        <v>43616</v>
      </c>
      <c r="B78" s="1">
        <f>+base_mensual!B78</f>
        <v>6.9240993173260712E-3</v>
      </c>
      <c r="C78">
        <f>+base_mensual!AE78</f>
        <v>144.39073211681242</v>
      </c>
      <c r="D78">
        <f>+base_mensual!H78</f>
        <v>188.757993369964</v>
      </c>
      <c r="E78">
        <f>+[3]Sheet1!B78</f>
        <v>25718.101507339419</v>
      </c>
      <c r="F78">
        <f>+[3]Sheet1!C78</f>
        <v>20517.182858395139</v>
      </c>
      <c r="G78">
        <f>+[3]Sheet1!D78</f>
        <v>30318.668960517829</v>
      </c>
      <c r="H78">
        <f>+[3]Sheet1!E78</f>
        <v>5343.9172279129489</v>
      </c>
      <c r="I78">
        <f>+[3]Sheet1!F78</f>
        <v>1054891.24699365</v>
      </c>
      <c r="J78">
        <f>+[3]Sheet1!G78</f>
        <v>277.03566127897273</v>
      </c>
      <c r="K78">
        <f>+[3]Sheet1!H78</f>
        <v>401.31533097953212</v>
      </c>
      <c r="L78">
        <f>+[3]Sheet1!I78</f>
        <v>202.15198411468671</v>
      </c>
      <c r="M78">
        <f>+[3]Sheet1!J78</f>
        <v>40353.348280803773</v>
      </c>
      <c r="N78">
        <f>+[3]Sheet1!K78</f>
        <v>127761.05258644999</v>
      </c>
      <c r="O78">
        <f>+[3]Sheet1!L78</f>
        <v>107230.35744735719</v>
      </c>
      <c r="P78">
        <f>+[3]Sheet1!M78</f>
        <v>0.86298497320408507</v>
      </c>
      <c r="Q78">
        <f>+[3]Sheet1!N78</f>
        <v>2.5326457597067562</v>
      </c>
      <c r="R78">
        <f>+[3]Sheet1!O78</f>
        <v>2.237368199867956</v>
      </c>
      <c r="S78">
        <f>+[3]Sheet1!P78</f>
        <v>35523.932313513047</v>
      </c>
      <c r="T78">
        <f>+[3]Sheet1!Q78</f>
        <v>34742.715203725413</v>
      </c>
      <c r="U78">
        <f>+[3]Sheet1!R78</f>
        <v>0.68912039341645015</v>
      </c>
      <c r="V78">
        <f>+[3]Sheet1!S78</f>
        <v>0.68042403990640343</v>
      </c>
      <c r="W78">
        <f>+[3]Sheet1!T78</f>
        <v>1531382.891287677</v>
      </c>
      <c r="X78">
        <f>+[3]Sheet1!U78</f>
        <v>29.818767019450981</v>
      </c>
      <c r="Y78">
        <f>+[3]Sheet1!V78</f>
        <v>1661832.505180344</v>
      </c>
      <c r="Z78">
        <f>+[3]Sheet1!W78</f>
        <v>33.7105921989126</v>
      </c>
      <c r="AA78">
        <f>+[3]Sheet1!X78</f>
        <v>2378612.3839757862</v>
      </c>
      <c r="AB78">
        <f>+[3]Sheet1!Y78</f>
        <v>50.681188817356237</v>
      </c>
      <c r="AC78">
        <f>+[3]Sheet1!Z78</f>
        <v>0.53589303953699685</v>
      </c>
      <c r="AD78">
        <f>+[3]Sheet1!AA78</f>
        <v>64830.615897560121</v>
      </c>
      <c r="AE78">
        <f>+[3]Sheet1!AB78</f>
        <v>141979.13160366571</v>
      </c>
      <c r="AF78">
        <f>+[3]Sheet1!AC78</f>
        <v>153.0611981247626</v>
      </c>
      <c r="AG78">
        <f>+[3]Sheet1!AD78</f>
        <v>92.407746955699082</v>
      </c>
      <c r="AH78" s="16">
        <f>+[3]Sheet1!AE78</f>
        <v>147.19016909703129</v>
      </c>
      <c r="AI78" s="16">
        <f>+[3]Sheet1!AF78</f>
        <v>309.1741312980771</v>
      </c>
      <c r="AJ78" s="16">
        <f>+[3]Sheet1!AG78</f>
        <v>171.56827732803001</v>
      </c>
      <c r="AK78" s="16">
        <f>+[3]Sheet1!AH78</f>
        <v>90.72840346786208</v>
      </c>
      <c r="AL78" s="16">
        <f>+[3]Sheet1!AI78</f>
        <v>88.095810982514024</v>
      </c>
      <c r="AM78" s="16">
        <f>+[3]Sheet1!AJ78</f>
        <v>150.79570874956309</v>
      </c>
      <c r="AN78" s="16">
        <f>+[3]Sheet1!AK78</f>
        <v>98.917193179897367</v>
      </c>
      <c r="AO78" s="16">
        <f>+[3]Sheet1!AL78</f>
        <v>181.44735059873929</v>
      </c>
      <c r="AP78" s="16">
        <f>+[3]Sheet1!AM78</f>
        <v>181.56009150051739</v>
      </c>
      <c r="AQ78" s="16">
        <f>+[3]Sheet1!AN78</f>
        <v>182.60608931622801</v>
      </c>
      <c r="AR78" s="16">
        <f>+[3]Sheet1!AO78</f>
        <v>134.91708749194299</v>
      </c>
      <c r="AS78" s="16">
        <f>+[3]Sheet1!AP78</f>
        <v>92.525960396896934</v>
      </c>
      <c r="AT78" s="16">
        <f>+[3]Sheet1!AQ78</f>
        <v>38.588257968063282</v>
      </c>
      <c r="AU78" s="16">
        <f>+[3]Sheet1!AR78</f>
        <v>118.4538453309432</v>
      </c>
      <c r="AV78" s="16">
        <f>+[3]Sheet1!AS78</f>
        <v>101.3777865494045</v>
      </c>
      <c r="AW78" s="16">
        <f>+[3]Sheet1!AT78</f>
        <v>3164689.593502813</v>
      </c>
      <c r="AX78" s="16">
        <f>+base_mensual!AY78</f>
        <v>985</v>
      </c>
      <c r="AY78">
        <f>+base_mensual!AZ78</f>
        <v>1.6144017202427614</v>
      </c>
      <c r="AZ78">
        <f>+[3]Sheet1!AX78</f>
        <v>151.76971674374289</v>
      </c>
    </row>
    <row r="79" spans="1:52" x14ac:dyDescent="0.25">
      <c r="A79" s="2">
        <f>+base_mensual!A79</f>
        <v>43644</v>
      </c>
      <c r="B79" s="1">
        <f>+base_mensual!B79</f>
        <v>6.9240993173260712E-3</v>
      </c>
      <c r="C79">
        <f>+base_mensual!AE79</f>
        <v>139.72616246953822</v>
      </c>
      <c r="D79">
        <f>+base_mensual!H79</f>
        <v>180.29555252307301</v>
      </c>
      <c r="E79">
        <f>+[3]Sheet1!B79</f>
        <v>22190.840862343121</v>
      </c>
      <c r="F79">
        <f>+[3]Sheet1!C79</f>
        <v>17664.704392632211</v>
      </c>
      <c r="G79">
        <f>+[3]Sheet1!D79</f>
        <v>32970.432757186922</v>
      </c>
      <c r="H79">
        <f>+[3]Sheet1!E79</f>
        <v>7309.2065615522552</v>
      </c>
      <c r="I79">
        <f>+[3]Sheet1!F79</f>
        <v>893488.93369822099</v>
      </c>
      <c r="J79">
        <f>+[3]Sheet1!G79</f>
        <v>271.90619319261839</v>
      </c>
      <c r="K79">
        <f>+[3]Sheet1!H79</f>
        <v>410.88969640513932</v>
      </c>
      <c r="L79">
        <f>+[3]Sheet1!I79</f>
        <v>189.32593100343939</v>
      </c>
      <c r="M79">
        <f>+[3]Sheet1!J79</f>
        <v>35856.539014793598</v>
      </c>
      <c r="N79">
        <f>+[3]Sheet1!K79</f>
        <v>125112.0688918548</v>
      </c>
      <c r="O79">
        <f>+[3]Sheet1!L79</f>
        <v>107997.90936223191</v>
      </c>
      <c r="P79">
        <f>+[3]Sheet1!M79</f>
        <v>0.75537216782975936</v>
      </c>
      <c r="Q79">
        <f>+[3]Sheet1!N79</f>
        <v>2.4750964670842279</v>
      </c>
      <c r="R79">
        <f>+[3]Sheet1!O79</f>
        <v>2.1561680190905328</v>
      </c>
      <c r="S79">
        <f>+[3]Sheet1!P79</f>
        <v>45007.559487461127</v>
      </c>
      <c r="T79">
        <f>+[3]Sheet1!Q79</f>
        <v>37306.400079024686</v>
      </c>
      <c r="U79">
        <f>+[3]Sheet1!R79</f>
        <v>0.85884599498194159</v>
      </c>
      <c r="V79">
        <f>+[3]Sheet1!S79</f>
        <v>0.7301989754754572</v>
      </c>
      <c r="W79">
        <f>+[3]Sheet1!T79</f>
        <v>1942310.025005023</v>
      </c>
      <c r="X79">
        <f>+[3]Sheet1!U79</f>
        <v>36.669943949618407</v>
      </c>
      <c r="Y79">
        <f>+[3]Sheet1!V79</f>
        <v>1769566.5069183081</v>
      </c>
      <c r="Z79">
        <f>+[3]Sheet1!W79</f>
        <v>33.529789191876311</v>
      </c>
      <c r="AA79">
        <f>+[3]Sheet1!X79</f>
        <v>2359624.2496183179</v>
      </c>
      <c r="AB79">
        <f>+[3]Sheet1!Y79</f>
        <v>50.023394447422334</v>
      </c>
      <c r="AC79">
        <f>+[3]Sheet1!Z79</f>
        <v>0.52564924820958958</v>
      </c>
      <c r="AD79">
        <f>+[3]Sheet1!AA79</f>
        <v>58741.903495030849</v>
      </c>
      <c r="AE79">
        <f>+[3]Sheet1!AB79</f>
        <v>136882.60573919141</v>
      </c>
      <c r="AF79">
        <f>+[3]Sheet1!AC79</f>
        <v>147.05846736457039</v>
      </c>
      <c r="AG79">
        <f>+[3]Sheet1!AD79</f>
        <v>91.920951541653352</v>
      </c>
      <c r="AH79" s="16">
        <f>+[3]Sheet1!AE79</f>
        <v>141.797861612601</v>
      </c>
      <c r="AI79" s="16">
        <f>+[3]Sheet1!AF79</f>
        <v>286.8551998248376</v>
      </c>
      <c r="AJ79" s="16">
        <f>+[3]Sheet1!AG79</f>
        <v>166.7978704351809</v>
      </c>
      <c r="AK79" s="16">
        <f>+[3]Sheet1!AH79</f>
        <v>78.32019030047168</v>
      </c>
      <c r="AL79" s="16">
        <f>+[3]Sheet1!AI79</f>
        <v>86.147329277749364</v>
      </c>
      <c r="AM79" s="16">
        <f>+[3]Sheet1!AJ79</f>
        <v>147.23227000492719</v>
      </c>
      <c r="AN79" s="16">
        <f>+[3]Sheet1!AK79</f>
        <v>96.820402297896237</v>
      </c>
      <c r="AO79" s="16">
        <f>+[3]Sheet1!AL79</f>
        <v>167.78725490369581</v>
      </c>
      <c r="AP79" s="16">
        <f>+[3]Sheet1!AM79</f>
        <v>180.89756878816871</v>
      </c>
      <c r="AQ79" s="16">
        <f>+[3]Sheet1!AN79</f>
        <v>185.8545524324351</v>
      </c>
      <c r="AR79" s="16">
        <f>+[3]Sheet1!AO79</f>
        <v>134.9973168458628</v>
      </c>
      <c r="AS79" s="16">
        <f>+[3]Sheet1!AP79</f>
        <v>80.285745788004249</v>
      </c>
      <c r="AT79" s="16">
        <f>+[3]Sheet1!AQ79</f>
        <v>41.516355121991161</v>
      </c>
      <c r="AU79" s="16">
        <f>+[3]Sheet1!AR79</f>
        <v>122.02554840205551</v>
      </c>
      <c r="AV79" s="16">
        <f>+[3]Sheet1!AS79</f>
        <v>101.2702382925163</v>
      </c>
      <c r="AW79" s="16">
        <f>+[3]Sheet1!AT79</f>
        <v>3907956.368458936</v>
      </c>
      <c r="AX79" s="16">
        <f>+base_mensual!AY79</f>
        <v>835</v>
      </c>
      <c r="AY79">
        <f>+base_mensual!AZ79</f>
        <v>1.8565122668361567</v>
      </c>
      <c r="AZ79">
        <f>+[3]Sheet1!AX79</f>
        <v>143.04247165017321</v>
      </c>
    </row>
    <row r="80" spans="1:52" x14ac:dyDescent="0.25">
      <c r="A80" s="2">
        <f>+base_mensual!A80</f>
        <v>43677</v>
      </c>
      <c r="B80" s="1">
        <f>+base_mensual!B80</f>
        <v>-7.5368568638989331E-4</v>
      </c>
      <c r="C80">
        <f>+base_mensual!AE80</f>
        <v>142.24989257206232</v>
      </c>
      <c r="D80">
        <f>+base_mensual!H80</f>
        <v>181.59729927133</v>
      </c>
      <c r="E80">
        <f>+[3]Sheet1!B80</f>
        <v>24006.19880866586</v>
      </c>
      <c r="F80">
        <f>+[3]Sheet1!C80</f>
        <v>19848.037335212161</v>
      </c>
      <c r="G80">
        <f>+[3]Sheet1!D80</f>
        <v>41709.495471390772</v>
      </c>
      <c r="H80">
        <f>+[3]Sheet1!E80</f>
        <v>8117.8674139125824</v>
      </c>
      <c r="I80">
        <f>+[3]Sheet1!F80</f>
        <v>1012036.304568323</v>
      </c>
      <c r="J80">
        <f>+[3]Sheet1!G80</f>
        <v>230.8703985748665</v>
      </c>
      <c r="K80">
        <f>+[3]Sheet1!H80</f>
        <v>390.83764369625351</v>
      </c>
      <c r="L80">
        <f>+[3]Sheet1!I80</f>
        <v>183.1549766734075</v>
      </c>
      <c r="M80">
        <f>+[3]Sheet1!J80</f>
        <v>42836.929033132408</v>
      </c>
      <c r="N80">
        <f>+[3]Sheet1!K80</f>
        <v>129311.7389242465</v>
      </c>
      <c r="O80">
        <f>+[3]Sheet1!L80</f>
        <v>102420.77211689651</v>
      </c>
      <c r="P80">
        <f>+[3]Sheet1!M80</f>
        <v>0.8276336469244967</v>
      </c>
      <c r="Q80">
        <f>+[3]Sheet1!N80</f>
        <v>2.489802254194545</v>
      </c>
      <c r="R80">
        <f>+[3]Sheet1!O80</f>
        <v>1.94593953585725</v>
      </c>
      <c r="S80">
        <f>+[3]Sheet1!P80</f>
        <v>37297.934592694393</v>
      </c>
      <c r="T80">
        <f>+[3]Sheet1!Q80</f>
        <v>41340.203334192651</v>
      </c>
      <c r="U80">
        <f>+[3]Sheet1!R80</f>
        <v>0.74937434475535936</v>
      </c>
      <c r="V80">
        <f>+[3]Sheet1!S80</f>
        <v>0.78604083597107122</v>
      </c>
      <c r="W80">
        <f>+[3]Sheet1!T80</f>
        <v>1884569.642952933</v>
      </c>
      <c r="X80">
        <f>+[3]Sheet1!U80</f>
        <v>32.595130951199927</v>
      </c>
      <c r="Y80">
        <f>+[3]Sheet1!V80</f>
        <v>1574935.7948916799</v>
      </c>
      <c r="Z80">
        <f>+[3]Sheet1!W80</f>
        <v>33.694048740821259</v>
      </c>
      <c r="AA80">
        <f>+[3]Sheet1!X80</f>
        <v>2442949.0676177982</v>
      </c>
      <c r="AB80">
        <f>+[3]Sheet1!Y80</f>
        <v>49.641526172173727</v>
      </c>
      <c r="AC80">
        <f>+[3]Sheet1!Z80</f>
        <v>0.49294664902305108</v>
      </c>
      <c r="AD80">
        <f>+[3]Sheet1!AA80</f>
        <v>66331.842063916585</v>
      </c>
      <c r="AE80">
        <f>+[3]Sheet1!AB80</f>
        <v>156581.01684206829</v>
      </c>
      <c r="AF80">
        <f>+[3]Sheet1!AC80</f>
        <v>158.73473881851729</v>
      </c>
      <c r="AG80">
        <f>+[3]Sheet1!AD80</f>
        <v>101.1839427829494</v>
      </c>
      <c r="AH80" s="16">
        <f>+[3]Sheet1!AE80</f>
        <v>148.28482193666551</v>
      </c>
      <c r="AI80" s="16">
        <f>+[3]Sheet1!AF80</f>
        <v>284.48600511854733</v>
      </c>
      <c r="AJ80" s="16">
        <f>+[3]Sheet1!AG80</f>
        <v>178.349129025948</v>
      </c>
      <c r="AK80" s="16">
        <f>+[3]Sheet1!AH80</f>
        <v>90.40562383193236</v>
      </c>
      <c r="AL80" s="16">
        <f>+[3]Sheet1!AI80</f>
        <v>86.021866152626743</v>
      </c>
      <c r="AM80" s="16">
        <f>+[3]Sheet1!AJ80</f>
        <v>141.57543925674179</v>
      </c>
      <c r="AN80" s="16">
        <f>+[3]Sheet1!AK80</f>
        <v>98.580416421821752</v>
      </c>
      <c r="AO80" s="16">
        <f>+[3]Sheet1!AL80</f>
        <v>191.31418735000489</v>
      </c>
      <c r="AP80" s="16">
        <f>+[3]Sheet1!AM80</f>
        <v>185.36769020736389</v>
      </c>
      <c r="AQ80" s="16">
        <f>+[3]Sheet1!AN80</f>
        <v>176.84349280887179</v>
      </c>
      <c r="AR80" s="16">
        <f>+[3]Sheet1!AO80</f>
        <v>147.49428663030369</v>
      </c>
      <c r="AS80" s="16">
        <f>+[3]Sheet1!AP80</f>
        <v>85.29859099230886</v>
      </c>
      <c r="AT80" s="16">
        <f>+[3]Sheet1!AQ80</f>
        <v>45.653602192194832</v>
      </c>
      <c r="AU80" s="16">
        <f>+[3]Sheet1!AR80</f>
        <v>125.7337060148449</v>
      </c>
      <c r="AV80" s="16">
        <f>+[3]Sheet1!AS80</f>
        <v>102.2017296466239</v>
      </c>
      <c r="AW80" s="16">
        <f>+[3]Sheet1!AT80</f>
        <v>4040730.76478273</v>
      </c>
      <c r="AX80" s="16">
        <f>+base_mensual!AY80</f>
        <v>792</v>
      </c>
      <c r="AY80">
        <f>+base_mensual!AZ80</f>
        <v>1.97</v>
      </c>
      <c r="AZ80">
        <f>+[3]Sheet1!AX80</f>
        <v>145.020887396597</v>
      </c>
    </row>
    <row r="81" spans="1:52" x14ac:dyDescent="0.25">
      <c r="A81" s="2">
        <f>+base_mensual!A81</f>
        <v>43707</v>
      </c>
      <c r="B81" s="1">
        <f>+base_mensual!B81</f>
        <v>-7.5368568638989331E-4</v>
      </c>
      <c r="C81">
        <f>+base_mensual!AE81</f>
        <v>142.53537022962428</v>
      </c>
      <c r="D81">
        <f>+base_mensual!H81</f>
        <v>185.546769808709</v>
      </c>
      <c r="E81">
        <f>+[3]Sheet1!B81</f>
        <v>26458.87923050582</v>
      </c>
      <c r="F81">
        <f>+[3]Sheet1!C81</f>
        <v>17400.747870509531</v>
      </c>
      <c r="G81">
        <f>+[3]Sheet1!D81</f>
        <v>33461.76152711593</v>
      </c>
      <c r="H81">
        <f>+[3]Sheet1!E81</f>
        <v>8574.103185603748</v>
      </c>
      <c r="I81">
        <f>+[3]Sheet1!F81</f>
        <v>926295.40917896712</v>
      </c>
      <c r="J81">
        <f>+[3]Sheet1!G81</f>
        <v>221.06580637532599</v>
      </c>
      <c r="K81">
        <f>+[3]Sheet1!H81</f>
        <v>402.64388642776612</v>
      </c>
      <c r="L81">
        <f>+[3]Sheet1!I81</f>
        <v>193.9969977093171</v>
      </c>
      <c r="M81">
        <f>+[3]Sheet1!J81</f>
        <v>64531.319792947019</v>
      </c>
      <c r="N81">
        <f>+[3]Sheet1!K81</f>
        <v>142101.92501475339</v>
      </c>
      <c r="O81">
        <f>+[3]Sheet1!L81</f>
        <v>93518.574146240484</v>
      </c>
      <c r="P81">
        <f>+[3]Sheet1!M81</f>
        <v>1.049980282749847</v>
      </c>
      <c r="Q81">
        <f>+[3]Sheet1!N81</f>
        <v>2.4987960895760781</v>
      </c>
      <c r="R81">
        <f>+[3]Sheet1!O81</f>
        <v>1.6701436416057289</v>
      </c>
      <c r="S81">
        <f>+[3]Sheet1!P81</f>
        <v>22684.645305555288</v>
      </c>
      <c r="T81">
        <f>+[3]Sheet1!Q81</f>
        <v>31227.27820836641</v>
      </c>
      <c r="U81">
        <f>+[3]Sheet1!R81</f>
        <v>0.42065353294024388</v>
      </c>
      <c r="V81">
        <f>+[3]Sheet1!S81</f>
        <v>0.61251574044117796</v>
      </c>
      <c r="W81">
        <f>+[3]Sheet1!T81</f>
        <v>1033351.7061989791</v>
      </c>
      <c r="X81">
        <f>+[3]Sheet1!U81</f>
        <v>18.075358506098819</v>
      </c>
      <c r="Y81">
        <f>+[3]Sheet1!V81</f>
        <v>1830465.5318617909</v>
      </c>
      <c r="Z81">
        <f>+[3]Sheet1!W81</f>
        <v>33.358361872884089</v>
      </c>
      <c r="AA81">
        <f>+[3]Sheet1!X81</f>
        <v>2671455.5109557109</v>
      </c>
      <c r="AB81">
        <f>+[3]Sheet1!Y81</f>
        <v>50.317006310725233</v>
      </c>
      <c r="AC81">
        <f>+[3]Sheet1!Z81</f>
        <v>0.563937818376686</v>
      </c>
      <c r="AD81">
        <f>+[3]Sheet1!AA81</f>
        <v>62586.951384509091</v>
      </c>
      <c r="AE81">
        <f>+[3]Sheet1!AB81</f>
        <v>146205.11086012461</v>
      </c>
      <c r="AF81">
        <f>+[3]Sheet1!AC81</f>
        <v>153.4237503745878</v>
      </c>
      <c r="AG81">
        <f>+[3]Sheet1!AD81</f>
        <v>93.665615433974466</v>
      </c>
      <c r="AH81" s="16">
        <f>+[3]Sheet1!AE81</f>
        <v>148.6295315240755</v>
      </c>
      <c r="AI81" s="16">
        <f>+[3]Sheet1!AF81</f>
        <v>295.67028076083102</v>
      </c>
      <c r="AJ81" s="16">
        <f>+[3]Sheet1!AG81</f>
        <v>173.22115732414221</v>
      </c>
      <c r="AK81" s="16">
        <f>+[3]Sheet1!AH81</f>
        <v>86.988965063250845</v>
      </c>
      <c r="AL81" s="16">
        <f>+[3]Sheet1!AI81</f>
        <v>85.68594170719031</v>
      </c>
      <c r="AM81" s="16">
        <f>+[3]Sheet1!AJ81</f>
        <v>146.69504762347199</v>
      </c>
      <c r="AN81" s="16">
        <f>+[3]Sheet1!AK81</f>
        <v>100.785011329055</v>
      </c>
      <c r="AO81" s="16">
        <f>+[3]Sheet1!AL81</f>
        <v>170.33445060593661</v>
      </c>
      <c r="AP81" s="16">
        <f>+[3]Sheet1!AM81</f>
        <v>184.1866660642402</v>
      </c>
      <c r="AQ81" s="16">
        <f>+[3]Sheet1!AN81</f>
        <v>179.4969139558018</v>
      </c>
      <c r="AR81" s="16">
        <f>+[3]Sheet1!AO81</f>
        <v>135.97532815807219</v>
      </c>
      <c r="AS81" s="16">
        <f>+[3]Sheet1!AP81</f>
        <v>93.269296672785757</v>
      </c>
      <c r="AT81" s="16">
        <f>+[3]Sheet1!AQ81</f>
        <v>40.450192880941238</v>
      </c>
      <c r="AU81" s="16">
        <f>+[3]Sheet1!AR81</f>
        <v>117.36422379184491</v>
      </c>
      <c r="AV81" s="16">
        <f>+[3]Sheet1!AS81</f>
        <v>101.2091381808446</v>
      </c>
      <c r="AW81" s="16">
        <f>+[3]Sheet1!AT81</f>
        <v>4018623.0914069829</v>
      </c>
      <c r="AX81" s="16">
        <f>+base_mensual!AY81</f>
        <v>2532</v>
      </c>
      <c r="AY81">
        <f>+base_mensual!AZ81</f>
        <v>2.2000000000000002</v>
      </c>
      <c r="AZ81">
        <f>+[3]Sheet1!AX81</f>
        <v>141.54557133099851</v>
      </c>
    </row>
    <row r="82" spans="1:52" x14ac:dyDescent="0.25">
      <c r="A82" s="2">
        <f>+base_mensual!A82</f>
        <v>43738</v>
      </c>
      <c r="B82" s="1">
        <f>+base_mensual!B82</f>
        <v>-7.5368568638989331E-4</v>
      </c>
      <c r="C82">
        <f>+base_mensual!AE82</f>
        <v>139.17265141764557</v>
      </c>
      <c r="D82">
        <f>+base_mensual!H82</f>
        <v>176.92966687516</v>
      </c>
      <c r="E82">
        <f>+[3]Sheet1!B82</f>
        <v>23301.28441082807</v>
      </c>
      <c r="F82">
        <f>+[3]Sheet1!C82</f>
        <v>18700.883225556201</v>
      </c>
      <c r="G82">
        <f>+[3]Sheet1!D82</f>
        <v>25643.851007435751</v>
      </c>
      <c r="H82">
        <f>+[3]Sheet1!E82</f>
        <v>7893.695714849775</v>
      </c>
      <c r="I82">
        <f>+[3]Sheet1!F82</f>
        <v>851290.41101200157</v>
      </c>
      <c r="J82">
        <f>+[3]Sheet1!G82</f>
        <v>260.63714223381072</v>
      </c>
      <c r="K82">
        <f>+[3]Sheet1!H82</f>
        <v>394.89041881311732</v>
      </c>
      <c r="L82">
        <f>+[3]Sheet1!I82</f>
        <v>180.58201328282519</v>
      </c>
      <c r="M82">
        <f>+[3]Sheet1!J82</f>
        <v>49389.478396448591</v>
      </c>
      <c r="N82">
        <f>+[3]Sheet1!K82</f>
        <v>137270.65368715071</v>
      </c>
      <c r="O82">
        <f>+[3]Sheet1!L82</f>
        <v>93387.906246483049</v>
      </c>
      <c r="P82">
        <f>+[3]Sheet1!M82</f>
        <v>0.78782731675879414</v>
      </c>
      <c r="Q82">
        <f>+[3]Sheet1!N82</f>
        <v>2.385691367816237</v>
      </c>
      <c r="R82">
        <f>+[3]Sheet1!O82</f>
        <v>1.580263605925976</v>
      </c>
      <c r="S82">
        <f>+[3]Sheet1!P82</f>
        <v>25849.44415477143</v>
      </c>
      <c r="T82">
        <f>+[3]Sheet1!Q82</f>
        <v>26610.03150270374</v>
      </c>
      <c r="U82">
        <f>+[3]Sheet1!R82</f>
        <v>0.46885210161876911</v>
      </c>
      <c r="V82">
        <f>+[3]Sheet1!S82</f>
        <v>0.50690845976081822</v>
      </c>
      <c r="W82">
        <f>+[3]Sheet1!T82</f>
        <v>1089801.9215600251</v>
      </c>
      <c r="X82">
        <f>+[3]Sheet1!U82</f>
        <v>19.716020569132489</v>
      </c>
      <c r="Y82">
        <f>+[3]Sheet1!V82</f>
        <v>1741047.358499418</v>
      </c>
      <c r="Z82">
        <f>+[3]Sheet1!W82</f>
        <v>33.30487752662016</v>
      </c>
      <c r="AA82">
        <f>+[3]Sheet1!X82</f>
        <v>2732761.7460145261</v>
      </c>
      <c r="AB82">
        <f>+[3]Sheet1!Y82</f>
        <v>48.585750529103279</v>
      </c>
      <c r="AC82">
        <f>+[3]Sheet1!Z82</f>
        <v>0.59242188562594233</v>
      </c>
      <c r="AD82">
        <f>+[3]Sheet1!AA82</f>
        <v>63844.30855182228</v>
      </c>
      <c r="AE82">
        <f>+[3]Sheet1!AB82</f>
        <v>143658.54983036121</v>
      </c>
      <c r="AF82">
        <f>+[3]Sheet1!AC82</f>
        <v>149.98335965321519</v>
      </c>
      <c r="AG82">
        <f>+[3]Sheet1!AD82</f>
        <v>98.201589169453669</v>
      </c>
      <c r="AH82" s="16">
        <f>+[3]Sheet1!AE82</f>
        <v>143.92556760423619</v>
      </c>
      <c r="AI82" s="16">
        <f>+[3]Sheet1!AF82</f>
        <v>283.39403697647259</v>
      </c>
      <c r="AJ82" s="16">
        <f>+[3]Sheet1!AG82</f>
        <v>169.9669907502838</v>
      </c>
      <c r="AK82" s="16">
        <f>+[3]Sheet1!AH82</f>
        <v>86.084886724438022</v>
      </c>
      <c r="AL82" s="16">
        <f>+[3]Sheet1!AI82</f>
        <v>85.491330593635112</v>
      </c>
      <c r="AM82" s="16">
        <f>+[3]Sheet1!AJ82</f>
        <v>144.22005402577381</v>
      </c>
      <c r="AN82" s="16">
        <f>+[3]Sheet1!AK82</f>
        <v>98.430878404395372</v>
      </c>
      <c r="AO82" s="16">
        <f>+[3]Sheet1!AL82</f>
        <v>175.95275712046501</v>
      </c>
      <c r="AP82" s="16">
        <f>+[3]Sheet1!AM82</f>
        <v>170.2262476289645</v>
      </c>
      <c r="AQ82" s="16">
        <f>+[3]Sheet1!AN82</f>
        <v>175.49978314906519</v>
      </c>
      <c r="AR82" s="16">
        <f>+[3]Sheet1!AO82</f>
        <v>140.84250905312729</v>
      </c>
      <c r="AS82" s="16">
        <f>+[3]Sheet1!AP82</f>
        <v>84.072654917425254</v>
      </c>
      <c r="AT82" s="16">
        <f>+[3]Sheet1!AQ82</f>
        <v>42.190486234561142</v>
      </c>
      <c r="AU82" s="16">
        <f>+[3]Sheet1!AR82</f>
        <v>115.14728154234091</v>
      </c>
      <c r="AV82" s="16">
        <f>+[3]Sheet1!AS82</f>
        <v>100.4701068351872</v>
      </c>
      <c r="AW82" s="16">
        <f>+[3]Sheet1!AT82</f>
        <v>3205782.428519933</v>
      </c>
      <c r="AX82" s="16">
        <f>+base_mensual!AY82</f>
        <v>2172</v>
      </c>
      <c r="AY82">
        <f>+base_mensual!AZ82</f>
        <v>1.91</v>
      </c>
      <c r="AZ82">
        <f>+[3]Sheet1!AX82</f>
        <v>140.44520954082051</v>
      </c>
    </row>
    <row r="83" spans="1:52" x14ac:dyDescent="0.25">
      <c r="A83" s="2">
        <f>+base_mensual!A83</f>
        <v>43769</v>
      </c>
      <c r="B83" s="1">
        <f>+base_mensual!B83</f>
        <v>-1.2792000571229312E-2</v>
      </c>
      <c r="C83">
        <f>+base_mensual!AE83</f>
        <v>143.5295997222274</v>
      </c>
      <c r="D83">
        <f>+base_mensual!H83</f>
        <v>167.63972150245399</v>
      </c>
      <c r="E83">
        <f>+[3]Sheet1!B83</f>
        <v>27292.140036152359</v>
      </c>
      <c r="F83">
        <f>+[3]Sheet1!C83</f>
        <v>18054.876543637009</v>
      </c>
      <c r="G83">
        <f>+[3]Sheet1!D83</f>
        <v>27455.057328294781</v>
      </c>
      <c r="H83">
        <f>+[3]Sheet1!E83</f>
        <v>9160.9711475849217</v>
      </c>
      <c r="I83">
        <f>+[3]Sheet1!F83</f>
        <v>835856.89489560004</v>
      </c>
      <c r="J83">
        <f>+[3]Sheet1!G83</f>
        <v>251.77666098390301</v>
      </c>
      <c r="K83">
        <f>+[3]Sheet1!H83</f>
        <v>363.87504086145231</v>
      </c>
      <c r="L83">
        <f>+[3]Sheet1!I83</f>
        <v>204.04682928154409</v>
      </c>
      <c r="M83">
        <f>+[3]Sheet1!J83</f>
        <v>51609.864283249357</v>
      </c>
      <c r="N83">
        <f>+[3]Sheet1!K83</f>
        <v>143392.3789155538</v>
      </c>
      <c r="O83">
        <f>+[3]Sheet1!L83</f>
        <v>80644.180755311943</v>
      </c>
      <c r="P83">
        <f>+[3]Sheet1!M83</f>
        <v>0.95636040265162148</v>
      </c>
      <c r="Q83">
        <f>+[3]Sheet1!N83</f>
        <v>2.490558458795753</v>
      </c>
      <c r="R83">
        <f>+[3]Sheet1!O83</f>
        <v>1.3842154030316529</v>
      </c>
      <c r="S83">
        <f>+[3]Sheet1!P83</f>
        <v>35689.140483622279</v>
      </c>
      <c r="T83">
        <f>+[3]Sheet1!Q83</f>
        <v>36059.136402621327</v>
      </c>
      <c r="U83">
        <f>+[3]Sheet1!R83</f>
        <v>0.61860895433240792</v>
      </c>
      <c r="V83">
        <f>+[3]Sheet1!S83</f>
        <v>0.55638765941529433</v>
      </c>
      <c r="W83">
        <f>+[3]Sheet1!T83</f>
        <v>1411699.2043031701</v>
      </c>
      <c r="X83">
        <f>+[3]Sheet1!U83</f>
        <v>26.141061269102671</v>
      </c>
      <c r="Y83">
        <f>+[3]Sheet1!V83</f>
        <v>1888599.839049632</v>
      </c>
      <c r="Z83">
        <f>+[3]Sheet1!W83</f>
        <v>33.376145636842281</v>
      </c>
      <c r="AA83">
        <f>+[3]Sheet1!X83</f>
        <v>2851933.587409494</v>
      </c>
      <c r="AB83">
        <f>+[3]Sheet1!Y83</f>
        <v>46.17278125128405</v>
      </c>
      <c r="AC83">
        <f>+[3]Sheet1!Z83</f>
        <v>0.56073365610115955</v>
      </c>
      <c r="AD83">
        <f>+[3]Sheet1!AA83</f>
        <v>64888.710428967701</v>
      </c>
      <c r="AE83">
        <f>+[3]Sheet1!AB83</f>
        <v>147056.3693238876</v>
      </c>
      <c r="AF83">
        <f>+[3]Sheet1!AC83</f>
        <v>151.6204232063763</v>
      </c>
      <c r="AG83">
        <f>+[3]Sheet1!AD83</f>
        <v>102.1473567832556</v>
      </c>
      <c r="AH83" s="16">
        <f>+[3]Sheet1!AE83</f>
        <v>151.36160397382011</v>
      </c>
      <c r="AI83" s="16">
        <f>+[3]Sheet1!AF83</f>
        <v>300.21531039386412</v>
      </c>
      <c r="AJ83" s="16">
        <f>+[3]Sheet1!AG83</f>
        <v>172.88088632485639</v>
      </c>
      <c r="AK83" s="16">
        <f>+[3]Sheet1!AH83</f>
        <v>84.370286591913015</v>
      </c>
      <c r="AL83" s="16">
        <f>+[3]Sheet1!AI83</f>
        <v>85.436885094903744</v>
      </c>
      <c r="AM83" s="16">
        <f>+[3]Sheet1!AJ83</f>
        <v>147.56071111553999</v>
      </c>
      <c r="AN83" s="16">
        <f>+[3]Sheet1!AK83</f>
        <v>99.409065514574849</v>
      </c>
      <c r="AO83" s="16">
        <f>+[3]Sheet1!AL83</f>
        <v>191.20990224244551</v>
      </c>
      <c r="AP83" s="16">
        <f>+[3]Sheet1!AM83</f>
        <v>172.61123977406641</v>
      </c>
      <c r="AQ83" s="16">
        <f>+[3]Sheet1!AN83</f>
        <v>174.0064544556034</v>
      </c>
      <c r="AR83" s="16">
        <f>+[3]Sheet1!AO83</f>
        <v>142.50068913470429</v>
      </c>
      <c r="AS83" s="16">
        <f>+[3]Sheet1!AP83</f>
        <v>98.096452942038283</v>
      </c>
      <c r="AT83" s="16">
        <f>+[3]Sheet1!AQ83</f>
        <v>40.598894507140017</v>
      </c>
      <c r="AU83" s="16">
        <f>+[3]Sheet1!AR83</f>
        <v>116.1421907844538</v>
      </c>
      <c r="AV83" s="16">
        <f>+[3]Sheet1!AS83</f>
        <v>100.4656825642337</v>
      </c>
      <c r="AW83" s="16">
        <f>+[3]Sheet1!AT83</f>
        <v>3877708.6594429361</v>
      </c>
      <c r="AX83" s="16">
        <f>+base_mensual!AY83</f>
        <v>2146</v>
      </c>
      <c r="AY83">
        <f>+base_mensual!AZ83</f>
        <v>2.0099999999999998</v>
      </c>
      <c r="AZ83">
        <f>+[3]Sheet1!AX83</f>
        <v>144.04083009700389</v>
      </c>
    </row>
    <row r="84" spans="1:52" x14ac:dyDescent="0.25">
      <c r="A84" s="2">
        <f>+base_mensual!A84</f>
        <v>43798</v>
      </c>
      <c r="B84" s="1">
        <f>+base_mensual!B84</f>
        <v>-1.2792000571229312E-2</v>
      </c>
      <c r="C84">
        <f>+base_mensual!AE84</f>
        <v>140.07828303922886</v>
      </c>
      <c r="D84">
        <f>+base_mensual!H84</f>
        <v>168.05004646059999</v>
      </c>
      <c r="E84">
        <f>+[3]Sheet1!B84</f>
        <v>22547.96143028696</v>
      </c>
      <c r="F84">
        <f>+[3]Sheet1!C84</f>
        <v>16952.716219961439</v>
      </c>
      <c r="G84">
        <f>+[3]Sheet1!D84</f>
        <v>26058.933525794379</v>
      </c>
      <c r="H84">
        <f>+[3]Sheet1!E84</f>
        <v>7492.6921887977733</v>
      </c>
      <c r="I84">
        <f>+[3]Sheet1!F84</f>
        <v>803376.01198689174</v>
      </c>
      <c r="J84">
        <f>+[3]Sheet1!G84</f>
        <v>239.09001551589679</v>
      </c>
      <c r="K84">
        <f>+[3]Sheet1!H84</f>
        <v>339.50121469989188</v>
      </c>
      <c r="L84">
        <f>+[3]Sheet1!I84</f>
        <v>160.1251609072109</v>
      </c>
      <c r="M84">
        <f>+[3]Sheet1!J84</f>
        <v>72937.23588376191</v>
      </c>
      <c r="N84">
        <f>+[3]Sheet1!K84</f>
        <v>145394.1701941583</v>
      </c>
      <c r="O84">
        <f>+[3]Sheet1!L84</f>
        <v>83286.325378301728</v>
      </c>
      <c r="P84">
        <f>+[3]Sheet1!M84</f>
        <v>1.1877723321401961</v>
      </c>
      <c r="Q84">
        <f>+[3]Sheet1!N84</f>
        <v>2.443122171425105</v>
      </c>
      <c r="R84">
        <f>+[3]Sheet1!O84</f>
        <v>1.5203852615080731</v>
      </c>
      <c r="S84">
        <f>+[3]Sheet1!P84</f>
        <v>30558.056745200451</v>
      </c>
      <c r="T84">
        <f>+[3]Sheet1!Q84</f>
        <v>31156.989584375049</v>
      </c>
      <c r="U84">
        <f>+[3]Sheet1!R84</f>
        <v>0.53858928102447312</v>
      </c>
      <c r="V84">
        <f>+[3]Sheet1!S84</f>
        <v>0.53917777748443985</v>
      </c>
      <c r="W84">
        <f>+[3]Sheet1!T84</f>
        <v>1456663.9275515489</v>
      </c>
      <c r="X84">
        <f>+[3]Sheet1!U84</f>
        <v>23.131955032299139</v>
      </c>
      <c r="Y84">
        <f>+[3]Sheet1!V84</f>
        <v>1977627.2365578271</v>
      </c>
      <c r="Z84">
        <f>+[3]Sheet1!W84</f>
        <v>29.95901763422691</v>
      </c>
      <c r="AA84">
        <f>+[3]Sheet1!X84</f>
        <v>2984004.2752423459</v>
      </c>
      <c r="AB84">
        <f>+[3]Sheet1!Y84</f>
        <v>45.828048552263503</v>
      </c>
      <c r="AC84">
        <f>+[3]Sheet1!Z84</f>
        <v>0.43821449991406253</v>
      </c>
      <c r="AD84">
        <f>+[3]Sheet1!AA84</f>
        <v>62290.838043226453</v>
      </c>
      <c r="AE84">
        <f>+[3]Sheet1!AB84</f>
        <v>150769.90855780081</v>
      </c>
      <c r="AF84">
        <f>+[3]Sheet1!AC84</f>
        <v>147.3854792078952</v>
      </c>
      <c r="AG84">
        <f>+[3]Sheet1!AD84</f>
        <v>104.49898032120601</v>
      </c>
      <c r="AH84" s="16">
        <f>+[3]Sheet1!AE84</f>
        <v>145.22807060771621</v>
      </c>
      <c r="AI84" s="16">
        <f>+[3]Sheet1!AF84</f>
        <v>253.131424712567</v>
      </c>
      <c r="AJ84" s="16">
        <f>+[3]Sheet1!AG84</f>
        <v>167.09470160699999</v>
      </c>
      <c r="AK84" s="16">
        <f>+[3]Sheet1!AH84</f>
        <v>82.184294119712362</v>
      </c>
      <c r="AL84" s="16">
        <f>+[3]Sheet1!AI84</f>
        <v>84.723203248969924</v>
      </c>
      <c r="AM84" s="16">
        <f>+[3]Sheet1!AJ84</f>
        <v>147.00073378795059</v>
      </c>
      <c r="AN84" s="16">
        <f>+[3]Sheet1!AK84</f>
        <v>102.3770894120571</v>
      </c>
      <c r="AO84" s="16">
        <f>+[3]Sheet1!AL84</f>
        <v>184.9962214914772</v>
      </c>
      <c r="AP84" s="16">
        <f>+[3]Sheet1!AM84</f>
        <v>167.7808029787906</v>
      </c>
      <c r="AQ84" s="16">
        <f>+[3]Sheet1!AN84</f>
        <v>164.669848191847</v>
      </c>
      <c r="AR84" s="16">
        <f>+[3]Sheet1!AO84</f>
        <v>145.96052188229231</v>
      </c>
      <c r="AS84" s="16">
        <f>+[3]Sheet1!AP84</f>
        <v>81.898864177676089</v>
      </c>
      <c r="AT84" s="16">
        <f>+[3]Sheet1!AQ84</f>
        <v>41.72503450080756</v>
      </c>
      <c r="AU84" s="16">
        <f>+[3]Sheet1!AR84</f>
        <v>115.5082030666904</v>
      </c>
      <c r="AV84" s="16">
        <f>+[3]Sheet1!AS84</f>
        <v>99.37709915537836</v>
      </c>
      <c r="AW84" s="16">
        <f>+[3]Sheet1!AT84</f>
        <v>3104143.5832252358</v>
      </c>
      <c r="AX84" s="16">
        <f>+base_mensual!AY84</f>
        <v>2262</v>
      </c>
      <c r="AY84">
        <f>+base_mensual!AZ84</f>
        <v>1.98</v>
      </c>
      <c r="AZ84">
        <f>+[3]Sheet1!AX84</f>
        <v>140.87203627030621</v>
      </c>
    </row>
    <row r="85" spans="1:52" x14ac:dyDescent="0.25">
      <c r="A85" s="2">
        <f>+base_mensual!A85</f>
        <v>43830</v>
      </c>
      <c r="B85" s="1">
        <f>+base_mensual!B85</f>
        <v>-1.2792000571229312E-2</v>
      </c>
      <c r="C85">
        <f>+base_mensual!AE85</f>
        <v>141.33621256301575</v>
      </c>
      <c r="D85">
        <f>+base_mensual!H85</f>
        <v>152.96565912032901</v>
      </c>
      <c r="E85">
        <f>+[3]Sheet1!B85</f>
        <v>25277.786712310361</v>
      </c>
      <c r="F85">
        <f>+[3]Sheet1!C85</f>
        <v>17932.891387810709</v>
      </c>
      <c r="G85">
        <f>+[3]Sheet1!D85</f>
        <v>22953.024608734941</v>
      </c>
      <c r="H85">
        <f>+[3]Sheet1!E85</f>
        <v>4565.21324909738</v>
      </c>
      <c r="I85">
        <f>+[3]Sheet1!F85</f>
        <v>829833.86614111473</v>
      </c>
      <c r="J85">
        <f>+[3]Sheet1!G85</f>
        <v>182.918036283774</v>
      </c>
      <c r="K85">
        <f>+[3]Sheet1!H85</f>
        <v>353.12212438860621</v>
      </c>
      <c r="L85">
        <f>+[3]Sheet1!I85</f>
        <v>149.69031750638871</v>
      </c>
      <c r="M85">
        <f>+[3]Sheet1!J85</f>
        <v>80679.716597822582</v>
      </c>
      <c r="N85">
        <f>+[3]Sheet1!K85</f>
        <v>138792.28573029311</v>
      </c>
      <c r="O85">
        <f>+[3]Sheet1!L85</f>
        <v>100442.3870286172</v>
      </c>
      <c r="P85">
        <f>+[3]Sheet1!M85</f>
        <v>1.3368663570506201</v>
      </c>
      <c r="Q85">
        <f>+[3]Sheet1!N85</f>
        <v>2.1890584679366372</v>
      </c>
      <c r="R85">
        <f>+[3]Sheet1!O85</f>
        <v>1.4867149359263481</v>
      </c>
      <c r="S85">
        <f>+[3]Sheet1!P85</f>
        <v>39027.004284422088</v>
      </c>
      <c r="T85">
        <f>+[3]Sheet1!Q85</f>
        <v>36379.129306930838</v>
      </c>
      <c r="U85">
        <f>+[3]Sheet1!R85</f>
        <v>0.64491791477327709</v>
      </c>
      <c r="V85">
        <f>+[3]Sheet1!S85</f>
        <v>0.57558440283857681</v>
      </c>
      <c r="W85">
        <f>+[3]Sheet1!T85</f>
        <v>1728346.470065746</v>
      </c>
      <c r="X85">
        <f>+[3]Sheet1!U85</f>
        <v>27.924311563063199</v>
      </c>
      <c r="Y85">
        <f>+[3]Sheet1!V85</f>
        <v>2171883.737943735</v>
      </c>
      <c r="Z85">
        <f>+[3]Sheet1!W85</f>
        <v>31.52712405361892</v>
      </c>
      <c r="AA85">
        <f>+[3]Sheet1!X85</f>
        <v>2972858.9843369131</v>
      </c>
      <c r="AB85">
        <f>+[3]Sheet1!Y85</f>
        <v>45.644682654014559</v>
      </c>
      <c r="AC85">
        <f>+[3]Sheet1!Z85</f>
        <v>0.38560012251212161</v>
      </c>
      <c r="AD85">
        <f>+[3]Sheet1!AA85</f>
        <v>66023.363172196128</v>
      </c>
      <c r="AE85">
        <f>+[3]Sheet1!AB85</f>
        <v>144391.6812889986</v>
      </c>
      <c r="AF85">
        <f>+[3]Sheet1!AC85</f>
        <v>150.92058508529789</v>
      </c>
      <c r="AG85">
        <f>+[3]Sheet1!AD85</f>
        <v>100.5888122823078</v>
      </c>
      <c r="AH85" s="16">
        <f>+[3]Sheet1!AE85</f>
        <v>149.73825280893081</v>
      </c>
      <c r="AI85" s="16">
        <f>+[3]Sheet1!AF85</f>
        <v>273.32808673487358</v>
      </c>
      <c r="AJ85" s="16">
        <f>+[3]Sheet1!AG85</f>
        <v>171.49718658693419</v>
      </c>
      <c r="AK85" s="16">
        <f>+[3]Sheet1!AH85</f>
        <v>80.804943780717721</v>
      </c>
      <c r="AL85" s="16">
        <f>+[3]Sheet1!AI85</f>
        <v>84.973800528547457</v>
      </c>
      <c r="AM85" s="16">
        <f>+[3]Sheet1!AJ85</f>
        <v>147.21897043983151</v>
      </c>
      <c r="AN85" s="16">
        <f>+[3]Sheet1!AK85</f>
        <v>97.559970815956191</v>
      </c>
      <c r="AO85" s="16">
        <f>+[3]Sheet1!AL85</f>
        <v>192.3497210121136</v>
      </c>
      <c r="AP85" s="16">
        <f>+[3]Sheet1!AM85</f>
        <v>169.24345772727139</v>
      </c>
      <c r="AQ85" s="16">
        <f>+[3]Sheet1!AN85</f>
        <v>163.98877766011461</v>
      </c>
      <c r="AR85" s="16">
        <f>+[3]Sheet1!AO85</f>
        <v>140.8719417886243</v>
      </c>
      <c r="AS85" s="16">
        <f>+[3]Sheet1!AP85</f>
        <v>81.315541921412432</v>
      </c>
      <c r="AT85" s="16">
        <f>+[3]Sheet1!AQ85</f>
        <v>41.868151089417793</v>
      </c>
      <c r="AU85" s="16">
        <f>+[3]Sheet1!AR85</f>
        <v>114.1779250705148</v>
      </c>
      <c r="AV85" s="16">
        <f>+[3]Sheet1!AS85</f>
        <v>98.295773766944933</v>
      </c>
      <c r="AW85" s="16">
        <f>+[3]Sheet1!AT85</f>
        <v>3271189.8167175129</v>
      </c>
      <c r="AX85" s="16">
        <f>+base_mensual!AY85</f>
        <v>1738</v>
      </c>
      <c r="AY85">
        <f>+base_mensual!AZ85</f>
        <v>1.97</v>
      </c>
      <c r="AZ85">
        <f>+[3]Sheet1!AX85</f>
        <v>140.09593171134651</v>
      </c>
    </row>
    <row r="86" spans="1:52" x14ac:dyDescent="0.25">
      <c r="A86" s="2">
        <f>+base_mensual!A86</f>
        <v>43861</v>
      </c>
      <c r="B86" s="1">
        <f>+base_mensual!B86</f>
        <v>-4.7474384348041854E-2</v>
      </c>
      <c r="C86">
        <f>+base_mensual!AE86</f>
        <v>134.57825947689301</v>
      </c>
      <c r="D86">
        <f>+base_mensual!H86</f>
        <v>152.14557212158701</v>
      </c>
      <c r="E86">
        <f>+[3]Sheet1!B86</f>
        <v>38891.685518892918</v>
      </c>
      <c r="F86">
        <f>+[3]Sheet1!C86</f>
        <v>18168.932987841941</v>
      </c>
      <c r="G86">
        <f>+[3]Sheet1!D86</f>
        <v>29236.619310106431</v>
      </c>
      <c r="H86">
        <f>+[3]Sheet1!E86</f>
        <v>9024.3694804396528</v>
      </c>
      <c r="I86">
        <f>+[3]Sheet1!F86</f>
        <v>833692.44484300388</v>
      </c>
      <c r="J86">
        <f>+[3]Sheet1!G86</f>
        <v>235.39412891381261</v>
      </c>
      <c r="K86">
        <f>+[3]Sheet1!H86</f>
        <v>336.68651824312462</v>
      </c>
      <c r="L86">
        <f>+[3]Sheet1!I86</f>
        <v>156.4234419064361</v>
      </c>
      <c r="M86">
        <f>+[3]Sheet1!J86</f>
        <v>52481.140577165883</v>
      </c>
      <c r="N86">
        <f>+[3]Sheet1!K86</f>
        <v>153073.07095577501</v>
      </c>
      <c r="O86">
        <f>+[3]Sheet1!L86</f>
        <v>101585.61366090221</v>
      </c>
      <c r="P86">
        <f>+[3]Sheet1!M86</f>
        <v>0.70972622967821031</v>
      </c>
      <c r="Q86">
        <f>+[3]Sheet1!N86</f>
        <v>2.4322021111878311</v>
      </c>
      <c r="R86">
        <f>+[3]Sheet1!O86</f>
        <v>1.5289304046681369</v>
      </c>
      <c r="S86">
        <f>+[3]Sheet1!P86</f>
        <v>38252.532696477523</v>
      </c>
      <c r="T86">
        <f>+[3]Sheet1!Q86</f>
        <v>39688.550357975822</v>
      </c>
      <c r="U86">
        <f>+[3]Sheet1!R86</f>
        <v>0.57489188503872179</v>
      </c>
      <c r="V86">
        <f>+[3]Sheet1!S86</f>
        <v>0.59741734963278648</v>
      </c>
      <c r="W86">
        <f>+[3]Sheet1!T86</f>
        <v>1754352.0215429079</v>
      </c>
      <c r="X86">
        <f>+[3]Sheet1!U86</f>
        <v>25.260921910225171</v>
      </c>
      <c r="Y86">
        <f>+[3]Sheet1!V86</f>
        <v>2274423.6107978672</v>
      </c>
      <c r="Z86">
        <f>+[3]Sheet1!W86</f>
        <v>33.739451680650888</v>
      </c>
      <c r="AA86">
        <f>+[3]Sheet1!X86</f>
        <v>3511166.7642298969</v>
      </c>
      <c r="AB86">
        <f>+[3]Sheet1!Y86</f>
        <v>51.931875230985263</v>
      </c>
      <c r="AC86">
        <f>+[3]Sheet1!Z86</f>
        <v>0.35400966784750387</v>
      </c>
      <c r="AD86">
        <f>+[3]Sheet1!AA86</f>
        <v>65071.419581818693</v>
      </c>
      <c r="AE86">
        <f>+[3]Sheet1!AB86</f>
        <v>152516.42783934099</v>
      </c>
      <c r="AF86">
        <f>+[3]Sheet1!AC86</f>
        <v>151.1968109901442</v>
      </c>
      <c r="AG86">
        <f>+[3]Sheet1!AD86</f>
        <v>101.4225941761221</v>
      </c>
      <c r="AH86" s="16">
        <f>+[3]Sheet1!AE86</f>
        <v>150.47175516292549</v>
      </c>
      <c r="AI86" s="16">
        <f>+[3]Sheet1!AF86</f>
        <v>373.58611136644708</v>
      </c>
      <c r="AJ86" s="16">
        <f>+[3]Sheet1!AG86</f>
        <v>171.26585709355669</v>
      </c>
      <c r="AK86" s="16">
        <f>+[3]Sheet1!AH86</f>
        <v>85.198292549802005</v>
      </c>
      <c r="AL86" s="16">
        <f>+[3]Sheet1!AI86</f>
        <v>86.135674581201485</v>
      </c>
      <c r="AM86" s="16">
        <f>+[3]Sheet1!AJ86</f>
        <v>143.9927674498262</v>
      </c>
      <c r="AN86" s="16">
        <f>+[3]Sheet1!AK86</f>
        <v>98.359558368596694</v>
      </c>
      <c r="AO86" s="16">
        <f>+[3]Sheet1!AL86</f>
        <v>196.824735626592</v>
      </c>
      <c r="AP86" s="16">
        <f>+[3]Sheet1!AM86</f>
        <v>169.3094767247392</v>
      </c>
      <c r="AQ86" s="16">
        <f>+[3]Sheet1!AN86</f>
        <v>161.99926148917311</v>
      </c>
      <c r="AR86" s="16">
        <f>+[3]Sheet1!AO86</f>
        <v>139.31280035278999</v>
      </c>
      <c r="AS86" s="16">
        <f>+[3]Sheet1!AP86</f>
        <v>139.35873732685479</v>
      </c>
      <c r="AT86" s="16">
        <f>+[3]Sheet1!AQ86</f>
        <v>41.81812489967043</v>
      </c>
      <c r="AU86" s="16">
        <f>+[3]Sheet1!AR86</f>
        <v>116.9341089991718</v>
      </c>
      <c r="AV86" s="16">
        <f>+[3]Sheet1!AS86</f>
        <v>102.3509003057201</v>
      </c>
      <c r="AW86" s="16">
        <f>+[3]Sheet1!AT86</f>
        <v>3063380.875104791</v>
      </c>
      <c r="AX86" s="16">
        <f>+base_mensual!AY86</f>
        <v>2068</v>
      </c>
      <c r="AY86">
        <f>+base_mensual!AZ86</f>
        <v>2.3199999999999998</v>
      </c>
      <c r="AZ86">
        <f>+[3]Sheet1!AX86</f>
        <v>140.86556652123019</v>
      </c>
    </row>
    <row r="87" spans="1:52" x14ac:dyDescent="0.25">
      <c r="A87" s="2">
        <f>+base_mensual!A87</f>
        <v>43889</v>
      </c>
      <c r="B87" s="1">
        <f>+base_mensual!B87</f>
        <v>-4.7474384348041854E-2</v>
      </c>
      <c r="C87">
        <f>+base_mensual!AE87</f>
        <v>130.69654643105</v>
      </c>
      <c r="D87">
        <f>+base_mensual!H87</f>
        <v>154.20742782973301</v>
      </c>
      <c r="E87">
        <f>+[3]Sheet1!B87</f>
        <v>26406.726095158181</v>
      </c>
      <c r="F87">
        <f>+[3]Sheet1!C87</f>
        <v>18968.711445514549</v>
      </c>
      <c r="G87">
        <f>+[3]Sheet1!D87</f>
        <v>29379.218941367599</v>
      </c>
      <c r="H87">
        <f>+[3]Sheet1!E87</f>
        <v>8348.1621841054948</v>
      </c>
      <c r="I87">
        <f>+[3]Sheet1!F87</f>
        <v>828180.61436118477</v>
      </c>
      <c r="J87">
        <f>+[3]Sheet1!G87</f>
        <v>260.20069930737191</v>
      </c>
      <c r="K87">
        <f>+[3]Sheet1!H87</f>
        <v>372.35605222046388</v>
      </c>
      <c r="L87">
        <f>+[3]Sheet1!I87</f>
        <v>164.8760390388376</v>
      </c>
      <c r="M87">
        <f>+[3]Sheet1!J87</f>
        <v>33105.480782898638</v>
      </c>
      <c r="N87">
        <f>+[3]Sheet1!K87</f>
        <v>152477.5692118303</v>
      </c>
      <c r="O87">
        <f>+[3]Sheet1!L87</f>
        <v>105009.4550961987</v>
      </c>
      <c r="P87">
        <f>+[3]Sheet1!M87</f>
        <v>0.55560726816553641</v>
      </c>
      <c r="Q87">
        <f>+[3]Sheet1!N87</f>
        <v>2.3115404194392459</v>
      </c>
      <c r="R87">
        <f>+[3]Sheet1!O87</f>
        <v>1.5474044372505631</v>
      </c>
      <c r="S87">
        <f>+[3]Sheet1!P87</f>
        <v>36169.451377266247</v>
      </c>
      <c r="T87">
        <f>+[3]Sheet1!Q87</f>
        <v>37957.206331453221</v>
      </c>
      <c r="U87">
        <f>+[3]Sheet1!R87</f>
        <v>0.54401433884023254</v>
      </c>
      <c r="V87">
        <f>+[3]Sheet1!S87</f>
        <v>0.5465341212479824</v>
      </c>
      <c r="W87">
        <f>+[3]Sheet1!T87</f>
        <v>1496530.4340033471</v>
      </c>
      <c r="X87">
        <f>+[3]Sheet1!U87</f>
        <v>23.66819356899169</v>
      </c>
      <c r="Y87">
        <f>+[3]Sheet1!V87</f>
        <v>2359590.1228709258</v>
      </c>
      <c r="Z87">
        <f>+[3]Sheet1!W87</f>
        <v>34.247799289127613</v>
      </c>
      <c r="AA87">
        <f>+[3]Sheet1!X87</f>
        <v>3748320.619441669</v>
      </c>
      <c r="AB87">
        <f>+[3]Sheet1!Y87</f>
        <v>53.772163759760822</v>
      </c>
      <c r="AC87">
        <f>+[3]Sheet1!Z87</f>
        <v>0.35856753652647561</v>
      </c>
      <c r="AD87">
        <f>+[3]Sheet1!AA87</f>
        <v>63531.577868487868</v>
      </c>
      <c r="AE87">
        <f>+[3]Sheet1!AB87</f>
        <v>141063.82568130639</v>
      </c>
      <c r="AF87">
        <f>+[3]Sheet1!AC87</f>
        <v>150.76953591068579</v>
      </c>
      <c r="AG87">
        <f>+[3]Sheet1!AD87</f>
        <v>99.881318299741821</v>
      </c>
      <c r="AH87" s="16">
        <f>+[3]Sheet1!AE87</f>
        <v>151.07903698794871</v>
      </c>
      <c r="AI87" s="16">
        <f>+[3]Sheet1!AF87</f>
        <v>286.2608782072341</v>
      </c>
      <c r="AJ87" s="16">
        <f>+[3]Sheet1!AG87</f>
        <v>172.28096107514969</v>
      </c>
      <c r="AK87" s="16">
        <f>+[3]Sheet1!AH87</f>
        <v>80.526677116829177</v>
      </c>
      <c r="AL87" s="16">
        <f>+[3]Sheet1!AI87</f>
        <v>85.174201317686553</v>
      </c>
      <c r="AM87" s="16">
        <f>+[3]Sheet1!AJ87</f>
        <v>149.00724819281831</v>
      </c>
      <c r="AN87" s="16">
        <f>+[3]Sheet1!AK87</f>
        <v>98.622907880590702</v>
      </c>
      <c r="AO87" s="16">
        <f>+[3]Sheet1!AL87</f>
        <v>185.9548487191442</v>
      </c>
      <c r="AP87" s="16">
        <f>+[3]Sheet1!AM87</f>
        <v>167.227720068189</v>
      </c>
      <c r="AQ87" s="16">
        <f>+[3]Sheet1!AN87</f>
        <v>170.1827697623367</v>
      </c>
      <c r="AR87" s="16">
        <f>+[3]Sheet1!AO87</f>
        <v>136.45712530248619</v>
      </c>
      <c r="AS87" s="16">
        <f>+[3]Sheet1!AP87</f>
        <v>95.256820018521353</v>
      </c>
      <c r="AT87" s="16">
        <f>+[3]Sheet1!AQ87</f>
        <v>42.276777841249228</v>
      </c>
      <c r="AU87" s="16">
        <f>+[3]Sheet1!AR87</f>
        <v>110.173914519845</v>
      </c>
      <c r="AV87" s="16">
        <f>+[3]Sheet1!AS87</f>
        <v>105.2688260566585</v>
      </c>
      <c r="AW87" s="16">
        <f>+[3]Sheet1!AT87</f>
        <v>3270488.9550658171</v>
      </c>
      <c r="AX87" s="16">
        <f>+base_mensual!AY87</f>
        <v>2283</v>
      </c>
      <c r="AY87">
        <f>+base_mensual!AZ87</f>
        <v>2.27</v>
      </c>
      <c r="AZ87">
        <f>+[3]Sheet1!AX87</f>
        <v>139.8948645238531</v>
      </c>
    </row>
    <row r="88" spans="1:52" x14ac:dyDescent="0.25">
      <c r="A88" s="2">
        <f>+base_mensual!A88</f>
        <v>43921</v>
      </c>
      <c r="B88" s="1">
        <f>+base_mensual!B88</f>
        <v>-4.7474384348041854E-2</v>
      </c>
      <c r="C88">
        <f>+base_mensual!AE88</f>
        <v>125.0898704288834</v>
      </c>
      <c r="D88">
        <f>+base_mensual!H88</f>
        <v>94.194898359699906</v>
      </c>
      <c r="E88">
        <f>+[3]Sheet1!B88</f>
        <v>13887.866926188601</v>
      </c>
      <c r="F88">
        <f>+[3]Sheet1!C88</f>
        <v>12502.536213703541</v>
      </c>
      <c r="G88">
        <f>+[3]Sheet1!D88</f>
        <v>18187.004654847358</v>
      </c>
      <c r="H88">
        <f>+[3]Sheet1!E88</f>
        <v>3774.960588312063</v>
      </c>
      <c r="I88">
        <f>+[3]Sheet1!F88</f>
        <v>477860.99963790091</v>
      </c>
      <c r="J88">
        <f>+[3]Sheet1!G88</f>
        <v>211.1610417615978</v>
      </c>
      <c r="K88">
        <f>+[3]Sheet1!H88</f>
        <v>295.37256440450813</v>
      </c>
      <c r="L88">
        <f>+[3]Sheet1!I88</f>
        <v>134.1179937562022</v>
      </c>
      <c r="M88">
        <f>+[3]Sheet1!J88</f>
        <v>37032.97176030936</v>
      </c>
      <c r="N88">
        <f>+[3]Sheet1!K88</f>
        <v>147338.9952155491</v>
      </c>
      <c r="O88">
        <f>+[3]Sheet1!L88</f>
        <v>101343.77225840421</v>
      </c>
      <c r="P88">
        <f>+[3]Sheet1!M88</f>
        <v>0.65969262233019121</v>
      </c>
      <c r="Q88">
        <f>+[3]Sheet1!N88</f>
        <v>1.9971533893153799</v>
      </c>
      <c r="R88">
        <f>+[3]Sheet1!O88</f>
        <v>1.5110714053432259</v>
      </c>
      <c r="S88">
        <f>+[3]Sheet1!P88</f>
        <v>26600.568079615241</v>
      </c>
      <c r="T88">
        <f>+[3]Sheet1!Q88</f>
        <v>31139.7836334237</v>
      </c>
      <c r="U88">
        <f>+[3]Sheet1!R88</f>
        <v>0.38912157973709532</v>
      </c>
      <c r="V88">
        <f>+[3]Sheet1!S88</f>
        <v>0.46741132825829118</v>
      </c>
      <c r="W88">
        <f>+[3]Sheet1!T88</f>
        <v>993263.55309541896</v>
      </c>
      <c r="X88">
        <f>+[3]Sheet1!U88</f>
        <v>16.410771554825931</v>
      </c>
      <c r="Y88">
        <f>+[3]Sheet1!V88</f>
        <v>2473681.3369306428</v>
      </c>
      <c r="Z88">
        <f>+[3]Sheet1!W88</f>
        <v>35.408489686040873</v>
      </c>
      <c r="AA88">
        <f>+[3]Sheet1!X88</f>
        <v>4200426.5205751201</v>
      </c>
      <c r="AB88">
        <f>+[3]Sheet1!Y88</f>
        <v>59.193699860453158</v>
      </c>
      <c r="AC88">
        <f>+[3]Sheet1!Z88</f>
        <v>0.31744201811103678</v>
      </c>
      <c r="AD88">
        <f>+[3]Sheet1!AA88</f>
        <v>61996.341556252919</v>
      </c>
      <c r="AE88">
        <f>+[3]Sheet1!AB88</f>
        <v>93922.262933839462</v>
      </c>
      <c r="AF88">
        <f>+[3]Sheet1!AC88</f>
        <v>147.1088928476191</v>
      </c>
      <c r="AG88">
        <f>+[3]Sheet1!AD88</f>
        <v>75.41393306880704</v>
      </c>
      <c r="AH88" s="16">
        <f>+[3]Sheet1!AE88</f>
        <v>125.8678985625522</v>
      </c>
      <c r="AI88" s="16">
        <f>+[3]Sheet1!AF88</f>
        <v>203.88171707059709</v>
      </c>
      <c r="AJ88" s="16">
        <f>+[3]Sheet1!AG88</f>
        <v>152.3183439547015</v>
      </c>
      <c r="AK88" s="16">
        <f>+[3]Sheet1!AH88</f>
        <v>80.030933435766372</v>
      </c>
      <c r="AL88" s="16">
        <f>+[3]Sheet1!AI88</f>
        <v>85.05585886435523</v>
      </c>
      <c r="AM88" s="16">
        <f>+[3]Sheet1!AJ88</f>
        <v>141.93258330373061</v>
      </c>
      <c r="AN88" s="16">
        <f>+[3]Sheet1!AK88</f>
        <v>90.81313993677098</v>
      </c>
      <c r="AO88" s="16">
        <f>+[3]Sheet1!AL88</f>
        <v>169.6380145200458</v>
      </c>
      <c r="AP88" s="16">
        <f>+[3]Sheet1!AM88</f>
        <v>99.965514520314358</v>
      </c>
      <c r="AQ88" s="16">
        <f>+[3]Sheet1!AN88</f>
        <v>139.67507323727409</v>
      </c>
      <c r="AR88" s="16">
        <f>+[3]Sheet1!AO88</f>
        <v>110.8834971564409</v>
      </c>
      <c r="AS88" s="16">
        <f>+[3]Sheet1!AP88</f>
        <v>49.137632987517691</v>
      </c>
      <c r="AT88" s="16">
        <f>+[3]Sheet1!AQ88</f>
        <v>41.654840169434017</v>
      </c>
      <c r="AU88" s="16">
        <f>+[3]Sheet1!AR88</f>
        <v>100.3380450080039</v>
      </c>
      <c r="AV88" s="16">
        <f>+[3]Sheet1!AS88</f>
        <v>104.9507273613855</v>
      </c>
      <c r="AW88" s="16">
        <f>+[3]Sheet1!AT88</f>
        <v>2993120.3250366328</v>
      </c>
      <c r="AX88" s="16">
        <f>+base_mensual!AY88</f>
        <v>4185</v>
      </c>
      <c r="AY88">
        <f>+base_mensual!AZ88</f>
        <v>2.2200000000000002</v>
      </c>
      <c r="AZ88">
        <f>+[3]Sheet1!AX88</f>
        <v>122.9807052286849</v>
      </c>
    </row>
    <row r="89" spans="1:52" x14ac:dyDescent="0.25">
      <c r="A89" s="2">
        <f>+base_mensual!A89</f>
        <v>43951</v>
      </c>
      <c r="B89" s="1">
        <f>+base_mensual!B89</f>
        <v>-0.13890148620209986</v>
      </c>
      <c r="C89">
        <f>+base_mensual!AE89</f>
        <v>125.898563809598</v>
      </c>
      <c r="D89">
        <f>+base_mensual!H89</f>
        <v>46.906009350308601</v>
      </c>
      <c r="E89">
        <f>+[3]Sheet1!B89</f>
        <v>-1383.269258019704</v>
      </c>
      <c r="F89">
        <f>+[3]Sheet1!C89</f>
        <v>3016.0141191904249</v>
      </c>
      <c r="G89">
        <f>+[3]Sheet1!D89</f>
        <v>9218.2005076110472</v>
      </c>
      <c r="H89">
        <f>+[3]Sheet1!E89</f>
        <v>2267.2426182111981</v>
      </c>
      <c r="I89">
        <f>+[3]Sheet1!F89</f>
        <v>424017.62945949292</v>
      </c>
      <c r="J89">
        <f>+[3]Sheet1!G89</f>
        <v>114.0095807553497</v>
      </c>
      <c r="K89">
        <f>+[3]Sheet1!H89</f>
        <v>123.7720438487581</v>
      </c>
      <c r="L89">
        <f>+[3]Sheet1!I89</f>
        <v>7.4575241578499991</v>
      </c>
      <c r="M89">
        <f>+[3]Sheet1!J89</f>
        <v>43671.506830846818</v>
      </c>
      <c r="N89">
        <f>+[3]Sheet1!K89</f>
        <v>124292.3191523291</v>
      </c>
      <c r="O89">
        <f>+[3]Sheet1!L89</f>
        <v>95698.042688899208</v>
      </c>
      <c r="P89">
        <f>+[3]Sheet1!M89</f>
        <v>0.59560120768151636</v>
      </c>
      <c r="Q89">
        <f>+[3]Sheet1!N89</f>
        <v>1.8036154928418009</v>
      </c>
      <c r="R89">
        <f>+[3]Sheet1!O89</f>
        <v>1.4537264298802051</v>
      </c>
      <c r="S89">
        <f>+[3]Sheet1!P89</f>
        <v>37807.503207352398</v>
      </c>
      <c r="T89">
        <f>+[3]Sheet1!Q89</f>
        <v>34722.767314855198</v>
      </c>
      <c r="U89">
        <f>+[3]Sheet1!R89</f>
        <v>0.56701994221044227</v>
      </c>
      <c r="V89">
        <f>+[3]Sheet1!S89</f>
        <v>0.49569592746902619</v>
      </c>
      <c r="W89">
        <f>+[3]Sheet1!T89</f>
        <v>1722711.455534267</v>
      </c>
      <c r="X89">
        <f>+[3]Sheet1!U89</f>
        <v>23.961744170293791</v>
      </c>
      <c r="Y89">
        <f>+[3]Sheet1!V89</f>
        <v>2581079.2406804408</v>
      </c>
      <c r="Z89">
        <f>+[3]Sheet1!W89</f>
        <v>40.157252201145923</v>
      </c>
      <c r="AA89">
        <f>+[3]Sheet1!X89</f>
        <v>4435759.0925141722</v>
      </c>
      <c r="AB89">
        <f>+[3]Sheet1!Y89</f>
        <v>63.667944705079783</v>
      </c>
      <c r="AC89">
        <f>+[3]Sheet1!Z89</f>
        <v>0.16102684641738019</v>
      </c>
      <c r="AD89">
        <f>+[3]Sheet1!AA89</f>
        <v>70678.224448629917</v>
      </c>
      <c r="AE89">
        <f>+[3]Sheet1!AB89</f>
        <v>28592.005125052889</v>
      </c>
      <c r="AF89">
        <f>+[3]Sheet1!AC89</f>
        <v>134.7836725173506</v>
      </c>
      <c r="AG89">
        <f>+[3]Sheet1!AD89</f>
        <v>54.041835512022303</v>
      </c>
      <c r="AH89" s="16">
        <f>+[3]Sheet1!AE89</f>
        <v>96.96872836027579</v>
      </c>
      <c r="AI89" s="16">
        <f>+[3]Sheet1!AF89</f>
        <v>44.400144842366117</v>
      </c>
      <c r="AJ89" s="16">
        <f>+[3]Sheet1!AG89</f>
        <v>164.8087302556988</v>
      </c>
      <c r="AK89" s="16">
        <f>+[3]Sheet1!AH89</f>
        <v>37.106258616582913</v>
      </c>
      <c r="AL89" s="16">
        <f>+[3]Sheet1!AI89</f>
        <v>85.110942887105153</v>
      </c>
      <c r="AM89" s="16">
        <f>+[3]Sheet1!AJ89</f>
        <v>123.30466902521</v>
      </c>
      <c r="AN89" s="16">
        <f>+[3]Sheet1!AK89</f>
        <v>61.831729538089881</v>
      </c>
      <c r="AO89" s="16">
        <f>+[3]Sheet1!AL89</f>
        <v>140.04370563762629</v>
      </c>
      <c r="AP89" s="16">
        <f>+[3]Sheet1!AM89</f>
        <v>68.917181480421149</v>
      </c>
      <c r="AQ89" s="16">
        <f>+[3]Sheet1!AN89</f>
        <v>68.021781738053406</v>
      </c>
      <c r="AR89" s="16">
        <f>+[3]Sheet1!AO89</f>
        <v>84.655611458746407</v>
      </c>
      <c r="AS89" s="16">
        <f>+[3]Sheet1!AP89</f>
        <v>-6.3068648455452418</v>
      </c>
      <c r="AT89" s="16">
        <f>+[3]Sheet1!AQ89</f>
        <v>41.341670657054131</v>
      </c>
      <c r="AU89" s="16">
        <f>+[3]Sheet1!AR89</f>
        <v>91.937751909104549</v>
      </c>
      <c r="AV89" s="16">
        <f>+[3]Sheet1!AS89</f>
        <v>103.25738323991639</v>
      </c>
      <c r="AW89" s="16">
        <f>+[3]Sheet1!AT89</f>
        <v>3055406.6042236639</v>
      </c>
      <c r="AX89" s="16">
        <f>+base_mensual!AY89</f>
        <v>4037</v>
      </c>
      <c r="AY89">
        <f>+base_mensual!AZ89</f>
        <v>3.29</v>
      </c>
      <c r="AZ89">
        <f>+[3]Sheet1!AX89</f>
        <v>106.1499393750703</v>
      </c>
    </row>
    <row r="90" spans="1:52" x14ac:dyDescent="0.25">
      <c r="A90" s="2">
        <f>+base_mensual!A90</f>
        <v>43980</v>
      </c>
      <c r="B90" s="1">
        <f>+base_mensual!B90</f>
        <v>-0.13890148620209986</v>
      </c>
      <c r="C90">
        <f>+base_mensual!AE90</f>
        <v>126.61647363691699</v>
      </c>
      <c r="D90">
        <f>+base_mensual!H90</f>
        <v>105.116159242745</v>
      </c>
      <c r="E90">
        <f>+[3]Sheet1!B90</f>
        <v>1050.6115977643251</v>
      </c>
      <c r="F90">
        <f>+[3]Sheet1!C90</f>
        <v>2076.2317431340261</v>
      </c>
      <c r="G90">
        <f>+[3]Sheet1!D90</f>
        <v>23287.945291688051</v>
      </c>
      <c r="H90">
        <f>+[3]Sheet1!E90</f>
        <v>1998.16534218471</v>
      </c>
      <c r="I90">
        <f>+[3]Sheet1!F90</f>
        <v>735012.62913622288</v>
      </c>
      <c r="J90">
        <f>+[3]Sheet1!G90</f>
        <v>76.324151271725</v>
      </c>
      <c r="K90">
        <f>+[3]Sheet1!H90</f>
        <v>191.04224765113781</v>
      </c>
      <c r="L90">
        <f>+[3]Sheet1!I90</f>
        <v>94.566813712904036</v>
      </c>
      <c r="M90">
        <f>+[3]Sheet1!J90</f>
        <v>20846.578236586829</v>
      </c>
      <c r="N90">
        <f>+[3]Sheet1!K90</f>
        <v>135927.15256537209</v>
      </c>
      <c r="O90">
        <f>+[3]Sheet1!L90</f>
        <v>113172.6350276002</v>
      </c>
      <c r="P90">
        <f>+[3]Sheet1!M90</f>
        <v>0.32776342419200782</v>
      </c>
      <c r="Q90">
        <f>+[3]Sheet1!N90</f>
        <v>1.866753254399842</v>
      </c>
      <c r="R90">
        <f>+[3]Sheet1!O90</f>
        <v>1.5812794399097041</v>
      </c>
      <c r="S90">
        <f>+[3]Sheet1!P90</f>
        <v>37543.701690269569</v>
      </c>
      <c r="T90">
        <f>+[3]Sheet1!Q90</f>
        <v>40461.941362933569</v>
      </c>
      <c r="U90">
        <f>+[3]Sheet1!R90</f>
        <v>0.55325646927229488</v>
      </c>
      <c r="V90">
        <f>+[3]Sheet1!S90</f>
        <v>0.5655403547633594</v>
      </c>
      <c r="W90">
        <f>+[3]Sheet1!T90</f>
        <v>1720406.7485798791</v>
      </c>
      <c r="X90">
        <f>+[3]Sheet1!U90</f>
        <v>23.436679757782439</v>
      </c>
      <c r="Y90">
        <f>+[3]Sheet1!V90</f>
        <v>3137519.1839240482</v>
      </c>
      <c r="Z90">
        <f>+[3]Sheet1!W90</f>
        <v>42.508497068451312</v>
      </c>
      <c r="AA90">
        <f>+[3]Sheet1!X90</f>
        <v>4528775.523073894</v>
      </c>
      <c r="AB90">
        <f>+[3]Sheet1!Y90</f>
        <v>66.622858940226109</v>
      </c>
      <c r="AC90">
        <f>+[3]Sheet1!Z90</f>
        <v>0.2389641247822282</v>
      </c>
      <c r="AD90">
        <f>+[3]Sheet1!AA90</f>
        <v>59775.942375795777</v>
      </c>
      <c r="AE90">
        <f>+[3]Sheet1!AB90</f>
        <v>70878.796028795026</v>
      </c>
      <c r="AF90">
        <f>+[3]Sheet1!AC90</f>
        <v>146.00724513094099</v>
      </c>
      <c r="AG90">
        <f>+[3]Sheet1!AD90</f>
        <v>65.155116662053302</v>
      </c>
      <c r="AH90" s="16">
        <f>+[3]Sheet1!AE90</f>
        <v>112.5184321298938</v>
      </c>
      <c r="AI90" s="16">
        <f>+[3]Sheet1!AF90</f>
        <v>90.913149712918866</v>
      </c>
      <c r="AJ90" s="16">
        <f>+[3]Sheet1!AG90</f>
        <v>166.65553117843521</v>
      </c>
      <c r="AK90" s="16">
        <f>+[3]Sheet1!AH90</f>
        <v>76.488995419863542</v>
      </c>
      <c r="AL90" s="16">
        <f>+[3]Sheet1!AI90</f>
        <v>84.548514379186699</v>
      </c>
      <c r="AM90" s="16">
        <f>+[3]Sheet1!AJ90</f>
        <v>140.1385366356308</v>
      </c>
      <c r="AN90" s="16">
        <f>+[3]Sheet1!AK90</f>
        <v>71.371963435321959</v>
      </c>
      <c r="AO90" s="16">
        <f>+[3]Sheet1!AL90</f>
        <v>151.75687303153919</v>
      </c>
      <c r="AP90" s="16">
        <f>+[3]Sheet1!AM90</f>
        <v>108.179989846493</v>
      </c>
      <c r="AQ90" s="16">
        <f>+[3]Sheet1!AN90</f>
        <v>89.473689487456397</v>
      </c>
      <c r="AR90" s="16">
        <f>+[3]Sheet1!AO90</f>
        <v>102.72942390737499</v>
      </c>
      <c r="AS90" s="16">
        <f>+[3]Sheet1!AP90</f>
        <v>2.8919890589908088</v>
      </c>
      <c r="AT90" s="16">
        <f>+[3]Sheet1!AQ90</f>
        <v>40.511980227405282</v>
      </c>
      <c r="AU90" s="16">
        <f>+[3]Sheet1!AR90</f>
        <v>104.3774609433612</v>
      </c>
      <c r="AV90" s="16">
        <f>+[3]Sheet1!AS90</f>
        <v>99.757701656453136</v>
      </c>
      <c r="AW90" s="16">
        <f>+[3]Sheet1!AT90</f>
        <v>3199188.5039884979</v>
      </c>
      <c r="AX90" s="16">
        <f>+base_mensual!AY90</f>
        <v>2627</v>
      </c>
      <c r="AY90">
        <f>+base_mensual!AZ90</f>
        <v>3</v>
      </c>
      <c r="AZ90">
        <f>+[3]Sheet1!AX90</f>
        <v>119.6647825978463</v>
      </c>
    </row>
    <row r="91" spans="1:52" x14ac:dyDescent="0.25">
      <c r="A91" s="2">
        <f>+base_mensual!A91</f>
        <v>44012</v>
      </c>
      <c r="B91" s="1">
        <f>+base_mensual!B91</f>
        <v>-0.13890148620209986</v>
      </c>
      <c r="C91">
        <f>+base_mensual!AE91</f>
        <v>129.04626719579858</v>
      </c>
      <c r="D91">
        <f>+base_mensual!H91</f>
        <v>146.154988233484</v>
      </c>
      <c r="E91">
        <f>+[3]Sheet1!B91</f>
        <v>12879.486713939081</v>
      </c>
      <c r="F91">
        <f>+[3]Sheet1!C91</f>
        <v>6390.3908151528558</v>
      </c>
      <c r="G91">
        <f>+[3]Sheet1!D91</f>
        <v>21103.709801503821</v>
      </c>
      <c r="H91">
        <f>+[3]Sheet1!E91</f>
        <v>7901.8704461307061</v>
      </c>
      <c r="I91">
        <f>+[3]Sheet1!F91</f>
        <v>832705.39823453012</v>
      </c>
      <c r="J91">
        <f>+[3]Sheet1!G91</f>
        <v>146.55697881760679</v>
      </c>
      <c r="K91">
        <f>+[3]Sheet1!H91</f>
        <v>234.62286736688489</v>
      </c>
      <c r="L91">
        <f>+[3]Sheet1!I91</f>
        <v>122.06024816757279</v>
      </c>
      <c r="M91">
        <f>+[3]Sheet1!J91</f>
        <v>38597.860675526259</v>
      </c>
      <c r="N91">
        <f>+[3]Sheet1!K91</f>
        <v>130907.1614991629</v>
      </c>
      <c r="O91">
        <f>+[3]Sheet1!L91</f>
        <v>117679.7472000681</v>
      </c>
      <c r="P91">
        <f>+[3]Sheet1!M91</f>
        <v>0.63934262272484321</v>
      </c>
      <c r="Q91">
        <f>+[3]Sheet1!N91</f>
        <v>1.922064202407725</v>
      </c>
      <c r="R91">
        <f>+[3]Sheet1!O91</f>
        <v>1.597037579251535</v>
      </c>
      <c r="S91">
        <f>+[3]Sheet1!P91</f>
        <v>39838.456826084926</v>
      </c>
      <c r="T91">
        <f>+[3]Sheet1!Q91</f>
        <v>39283.255888335087</v>
      </c>
      <c r="U91">
        <f>+[3]Sheet1!R91</f>
        <v>0.57378672554219401</v>
      </c>
      <c r="V91">
        <f>+[3]Sheet1!S91</f>
        <v>0.54368218320430384</v>
      </c>
      <c r="W91">
        <f>+[3]Sheet1!T91</f>
        <v>1823801.9369559761</v>
      </c>
      <c r="X91">
        <f>+[3]Sheet1!U91</f>
        <v>24.12987146027595</v>
      </c>
      <c r="Y91">
        <f>+[3]Sheet1!V91</f>
        <v>3274995.4458108</v>
      </c>
      <c r="Z91">
        <f>+[3]Sheet1!W91</f>
        <v>43.915813541523043</v>
      </c>
      <c r="AA91">
        <f>+[3]Sheet1!X91</f>
        <v>4754155.2961275131</v>
      </c>
      <c r="AB91">
        <f>+[3]Sheet1!Y91</f>
        <v>67.887722879376753</v>
      </c>
      <c r="AC91">
        <f>+[3]Sheet1!Z91</f>
        <v>0.30984181653094378</v>
      </c>
      <c r="AD91">
        <f>+[3]Sheet1!AA91</f>
        <v>63800.856867131159</v>
      </c>
      <c r="AE91">
        <f>+[3]Sheet1!AB91</f>
        <v>139792.6591037013</v>
      </c>
      <c r="AF91">
        <f>+[3]Sheet1!AC91</f>
        <v>160.8882616976322</v>
      </c>
      <c r="AG91">
        <f>+[3]Sheet1!AD91</f>
        <v>76.228141797902708</v>
      </c>
      <c r="AH91" s="16">
        <f>+[3]Sheet1!AE91</f>
        <v>127.4459024319091</v>
      </c>
      <c r="AI91" s="16">
        <f>+[3]Sheet1!AF91</f>
        <v>185.21461882900209</v>
      </c>
      <c r="AJ91" s="16">
        <f>+[3]Sheet1!AG91</f>
        <v>173.44728545715111</v>
      </c>
      <c r="AK91" s="16">
        <f>+[3]Sheet1!AH91</f>
        <v>118.21259184551479</v>
      </c>
      <c r="AL91" s="16">
        <f>+[3]Sheet1!AI91</f>
        <v>84.123865474520358</v>
      </c>
      <c r="AM91" s="16">
        <f>+[3]Sheet1!AJ91</f>
        <v>142.2990951449404</v>
      </c>
      <c r="AN91" s="16">
        <f>+[3]Sheet1!AK91</f>
        <v>89.494658551118036</v>
      </c>
      <c r="AO91" s="16">
        <f>+[3]Sheet1!AL91</f>
        <v>163.82760837105499</v>
      </c>
      <c r="AP91" s="16">
        <f>+[3]Sheet1!AM91</f>
        <v>168.42661709844069</v>
      </c>
      <c r="AQ91" s="16">
        <f>+[3]Sheet1!AN91</f>
        <v>108.18152138111751</v>
      </c>
      <c r="AR91" s="16">
        <f>+[3]Sheet1!AO91</f>
        <v>112.5086976957701</v>
      </c>
      <c r="AS91" s="16">
        <f>+[3]Sheet1!AP91</f>
        <v>47.074248881897773</v>
      </c>
      <c r="AT91" s="16">
        <f>+[3]Sheet1!AQ91</f>
        <v>40.038055127591157</v>
      </c>
      <c r="AU91" s="16">
        <f>+[3]Sheet1!AR91</f>
        <v>112.0411898201249</v>
      </c>
      <c r="AV91" s="16">
        <f>+[3]Sheet1!AS91</f>
        <v>98.211409595092888</v>
      </c>
      <c r="AW91" s="16">
        <f>+[3]Sheet1!AT91</f>
        <v>3173576.9834943959</v>
      </c>
      <c r="AX91" s="16">
        <f>+base_mensual!AY91</f>
        <v>2533</v>
      </c>
      <c r="AY91">
        <f>+base_mensual!AZ91</f>
        <v>2.77</v>
      </c>
      <c r="AZ91">
        <f>+[3]Sheet1!AX91</f>
        <v>124.73999138665179</v>
      </c>
    </row>
    <row r="92" spans="1:52" x14ac:dyDescent="0.25">
      <c r="A92" s="2">
        <f>+base_mensual!A92</f>
        <v>44043</v>
      </c>
      <c r="B92" s="1">
        <f>+base_mensual!B92</f>
        <v>0.10653663395450219</v>
      </c>
      <c r="C92">
        <f>+base_mensual!AE92</f>
        <v>134.33824471914363</v>
      </c>
      <c r="D92">
        <f>+base_mensual!H92</f>
        <v>154.85675479871901</v>
      </c>
      <c r="E92">
        <f>+[3]Sheet1!B92</f>
        <v>24110.540190353171</v>
      </c>
      <c r="F92">
        <f>+[3]Sheet1!C92</f>
        <v>9887.753788265296</v>
      </c>
      <c r="G92">
        <f>+[3]Sheet1!D92</f>
        <v>25756.266501388229</v>
      </c>
      <c r="H92">
        <f>+[3]Sheet1!E92</f>
        <v>8747.4847678524347</v>
      </c>
      <c r="I92">
        <f>+[3]Sheet1!F92</f>
        <v>860267.7625366092</v>
      </c>
      <c r="J92">
        <f>+[3]Sheet1!G92</f>
        <v>294.80182942853003</v>
      </c>
      <c r="K92">
        <f>+[3]Sheet1!H92</f>
        <v>297.88989583160372</v>
      </c>
      <c r="L92">
        <f>+[3]Sheet1!I92</f>
        <v>127.7118804097656</v>
      </c>
      <c r="M92">
        <f>+[3]Sheet1!J92</f>
        <v>45958.499256879521</v>
      </c>
      <c r="N92">
        <f>+[3]Sheet1!K92</f>
        <v>130007.74370372431</v>
      </c>
      <c r="O92">
        <f>+[3]Sheet1!L92</f>
        <v>112699.46855283339</v>
      </c>
      <c r="P92">
        <f>+[3]Sheet1!M92</f>
        <v>0.64265205053438945</v>
      </c>
      <c r="Q92">
        <f>+[3]Sheet1!N92</f>
        <v>1.928204639674709</v>
      </c>
      <c r="R92">
        <f>+[3]Sheet1!O92</f>
        <v>1.577533622993025</v>
      </c>
      <c r="S92">
        <f>+[3]Sheet1!P92</f>
        <v>67386.468263831048</v>
      </c>
      <c r="T92">
        <f>+[3]Sheet1!Q92</f>
        <v>43831.4771829167</v>
      </c>
      <c r="U92">
        <f>+[3]Sheet1!R92</f>
        <v>0.60486040420191123</v>
      </c>
      <c r="V92">
        <f>+[3]Sheet1!S92</f>
        <v>0.59033872469727144</v>
      </c>
      <c r="W92">
        <f>+[3]Sheet1!T92</f>
        <v>2189700.0589009249</v>
      </c>
      <c r="X92">
        <f>+[3]Sheet1!U92</f>
        <v>25.63933028669722</v>
      </c>
      <c r="Y92">
        <f>+[3]Sheet1!V92</f>
        <v>3084690.6002841098</v>
      </c>
      <c r="Z92">
        <f>+[3]Sheet1!W92</f>
        <v>43.856818995833322</v>
      </c>
      <c r="AA92">
        <f>+[3]Sheet1!X92</f>
        <v>4936866.0871626837</v>
      </c>
      <c r="AB92">
        <f>+[3]Sheet1!Y92</f>
        <v>69.014979317681266</v>
      </c>
      <c r="AC92">
        <f>+[3]Sheet1!Z92</f>
        <v>0.30426665748543291</v>
      </c>
      <c r="AD92">
        <f>+[3]Sheet1!AA92</f>
        <v>61647.711743169668</v>
      </c>
      <c r="AE92">
        <f>+[3]Sheet1!AB92</f>
        <v>137448.14077931369</v>
      </c>
      <c r="AF92">
        <f>+[3]Sheet1!AC92</f>
        <v>151.5037884613287</v>
      </c>
      <c r="AG92">
        <f>+[3]Sheet1!AD92</f>
        <v>97.999862171419196</v>
      </c>
      <c r="AH92" s="16">
        <f>+[3]Sheet1!AE92</f>
        <v>138.65564732356879</v>
      </c>
      <c r="AI92" s="16">
        <f>+[3]Sheet1!AF92</f>
        <v>255.8670603793741</v>
      </c>
      <c r="AJ92" s="16">
        <f>+[3]Sheet1!AG92</f>
        <v>173.13999220556599</v>
      </c>
      <c r="AK92" s="16">
        <f>+[3]Sheet1!AH92</f>
        <v>77.231496571958019</v>
      </c>
      <c r="AL92" s="16">
        <f>+[3]Sheet1!AI92</f>
        <v>85.120684882723936</v>
      </c>
      <c r="AM92" s="16">
        <f>+[3]Sheet1!AJ92</f>
        <v>140.51872187934899</v>
      </c>
      <c r="AN92" s="16">
        <f>+[3]Sheet1!AK92</f>
        <v>90.676200670778954</v>
      </c>
      <c r="AO92" s="16">
        <f>+[3]Sheet1!AL92</f>
        <v>183.44405314846821</v>
      </c>
      <c r="AP92" s="16">
        <f>+[3]Sheet1!AM92</f>
        <v>169.1658911118638</v>
      </c>
      <c r="AQ92" s="16">
        <f>+[3]Sheet1!AN92</f>
        <v>130.08287610999321</v>
      </c>
      <c r="AR92" s="16">
        <f>+[3]Sheet1!AO92</f>
        <v>135.87795453693369</v>
      </c>
      <c r="AS92" s="16">
        <f>+[3]Sheet1!AP92</f>
        <v>87.088602894964339</v>
      </c>
      <c r="AT92" s="16">
        <f>+[3]Sheet1!AQ92</f>
        <v>39.573607317027559</v>
      </c>
      <c r="AU92" s="16">
        <f>+[3]Sheet1!AR92</f>
        <v>119.2503650713135</v>
      </c>
      <c r="AV92" s="16">
        <f>+[3]Sheet1!AS92</f>
        <v>96.891777438192619</v>
      </c>
      <c r="AW92" s="16">
        <f>+[3]Sheet1!AT92</f>
        <v>3156251.96331556</v>
      </c>
      <c r="AX92" s="16">
        <f>+base_mensual!AY92</f>
        <v>2263</v>
      </c>
      <c r="AY92">
        <f>+base_mensual!AZ92</f>
        <v>2.5299999999999998</v>
      </c>
      <c r="AZ92">
        <f>+[3]Sheet1!AX92</f>
        <v>125.6202385310599</v>
      </c>
    </row>
    <row r="93" spans="1:52" x14ac:dyDescent="0.25">
      <c r="A93" s="2">
        <f>+base_mensual!A93</f>
        <v>44074</v>
      </c>
      <c r="B93" s="1">
        <f>+base_mensual!B93</f>
        <v>0.10653663395450219</v>
      </c>
      <c r="C93">
        <f>+base_mensual!AE93</f>
        <v>138.89236994621288</v>
      </c>
      <c r="D93">
        <f>+base_mensual!H93</f>
        <v>156.782492454172</v>
      </c>
      <c r="E93">
        <f>+[3]Sheet1!B93</f>
        <v>21928.625051458301</v>
      </c>
      <c r="F93">
        <f>+[3]Sheet1!C93</f>
        <v>11846.55187618697</v>
      </c>
      <c r="G93">
        <f>+[3]Sheet1!D93</f>
        <v>25943.77929975171</v>
      </c>
      <c r="H93">
        <f>+[3]Sheet1!E93</f>
        <v>8419.6654508142983</v>
      </c>
      <c r="I93">
        <f>+[3]Sheet1!F93</f>
        <v>803308.29649166111</v>
      </c>
      <c r="J93">
        <f>+[3]Sheet1!G93</f>
        <v>267.02629808277351</v>
      </c>
      <c r="K93">
        <f>+[3]Sheet1!H93</f>
        <v>306.89922198049072</v>
      </c>
      <c r="L93">
        <f>+[3]Sheet1!I93</f>
        <v>101.903894676655</v>
      </c>
      <c r="M93">
        <f>+[3]Sheet1!J93</f>
        <v>66061.169806222024</v>
      </c>
      <c r="N93">
        <f>+[3]Sheet1!K93</f>
        <v>165985.37791108689</v>
      </c>
      <c r="O93">
        <f>+[3]Sheet1!L93</f>
        <v>129112.1364366718</v>
      </c>
      <c r="P93">
        <f>+[3]Sheet1!M93</f>
        <v>0.71996816057510538</v>
      </c>
      <c r="Q93">
        <f>+[3]Sheet1!N93</f>
        <v>2.009387327197357</v>
      </c>
      <c r="R93">
        <f>+[3]Sheet1!O93</f>
        <v>1.6145421232513959</v>
      </c>
      <c r="S93">
        <f>+[3]Sheet1!P93</f>
        <v>39890.313964067711</v>
      </c>
      <c r="T93">
        <f>+[3]Sheet1!Q93</f>
        <v>43294.884743787683</v>
      </c>
      <c r="U93">
        <f>+[3]Sheet1!R93</f>
        <v>0.56908990915347868</v>
      </c>
      <c r="V93">
        <f>+[3]Sheet1!S93</f>
        <v>0.64165935076406899</v>
      </c>
      <c r="W93">
        <f>+[3]Sheet1!T93</f>
        <v>1328546.0943326191</v>
      </c>
      <c r="X93">
        <f>+[3]Sheet1!U93</f>
        <v>24.048887478107261</v>
      </c>
      <c r="Y93">
        <f>+[3]Sheet1!V93</f>
        <v>3413295.881650879</v>
      </c>
      <c r="Z93">
        <f>+[3]Sheet1!W93</f>
        <v>44.006889275195611</v>
      </c>
      <c r="AA93">
        <f>+[3]Sheet1!X93</f>
        <v>5223648.2740468672</v>
      </c>
      <c r="AB93">
        <f>+[3]Sheet1!Y93</f>
        <v>68.17047736573798</v>
      </c>
      <c r="AC93">
        <f>+[3]Sheet1!Z93</f>
        <v>0.30407385205040588</v>
      </c>
      <c r="AD93">
        <f>+[3]Sheet1!AA93</f>
        <v>62243.165072199081</v>
      </c>
      <c r="AE93">
        <f>+[3]Sheet1!AB93</f>
        <v>141013.08371769491</v>
      </c>
      <c r="AF93">
        <f>+[3]Sheet1!AC93</f>
        <v>148.61540117647891</v>
      </c>
      <c r="AG93">
        <f>+[3]Sheet1!AD93</f>
        <v>86.361081062093788</v>
      </c>
      <c r="AH93" s="16">
        <f>+[3]Sheet1!AE93</f>
        <v>146.47065945614591</v>
      </c>
      <c r="AI93" s="16">
        <f>+[3]Sheet1!AF93</f>
        <v>246.72804316334151</v>
      </c>
      <c r="AJ93" s="16">
        <f>+[3]Sheet1!AG93</f>
        <v>168.2977402051086</v>
      </c>
      <c r="AK93" s="16">
        <f>+[3]Sheet1!AH93</f>
        <v>83.031966375354855</v>
      </c>
      <c r="AL93" s="16">
        <f>+[3]Sheet1!AI93</f>
        <v>85.425586413120072</v>
      </c>
      <c r="AM93" s="16">
        <f>+[3]Sheet1!AJ93</f>
        <v>138.63169220843881</v>
      </c>
      <c r="AN93" s="16">
        <f>+[3]Sheet1!AK93</f>
        <v>88.000800637027851</v>
      </c>
      <c r="AO93" s="16">
        <f>+[3]Sheet1!AL93</f>
        <v>193.45272129347541</v>
      </c>
      <c r="AP93" s="16">
        <f>+[3]Sheet1!AM93</f>
        <v>164.6550362404021</v>
      </c>
      <c r="AQ93" s="16">
        <f>+[3]Sheet1!AN93</f>
        <v>133.1419725180632</v>
      </c>
      <c r="AR93" s="16">
        <f>+[3]Sheet1!AO93</f>
        <v>123.45359148197051</v>
      </c>
      <c r="AS93" s="16">
        <f>+[3]Sheet1!AP93</f>
        <v>78.203356286584977</v>
      </c>
      <c r="AT93" s="16">
        <f>+[3]Sheet1!AQ93</f>
        <v>39.91277748172444</v>
      </c>
      <c r="AU93" s="16">
        <f>+[3]Sheet1!AR93</f>
        <v>120.7936025326691</v>
      </c>
      <c r="AV93" s="16">
        <f>+[3]Sheet1!AS93</f>
        <v>96.227033798533341</v>
      </c>
      <c r="AW93" s="16">
        <f>+[3]Sheet1!AT93</f>
        <v>3305095.4617819572</v>
      </c>
      <c r="AX93" s="16">
        <f>+base_mensual!AY93</f>
        <v>2142</v>
      </c>
      <c r="AY93">
        <f>+base_mensual!AZ93</f>
        <v>2.38</v>
      </c>
      <c r="AZ93">
        <f>+[3]Sheet1!AX93</f>
        <v>125.71894504620001</v>
      </c>
    </row>
    <row r="94" spans="1:52" x14ac:dyDescent="0.25">
      <c r="A94" s="2">
        <f>+base_mensual!A94</f>
        <v>44104</v>
      </c>
      <c r="B94" s="1">
        <f>+base_mensual!B94</f>
        <v>0.10653663395450219</v>
      </c>
      <c r="C94">
        <f>+base_mensual!AE94</f>
        <v>142.34449716890649</v>
      </c>
      <c r="D94">
        <f>+base_mensual!H94</f>
        <v>162.79804405965299</v>
      </c>
      <c r="E94">
        <f>+[3]Sheet1!B94</f>
        <v>26869.758107498252</v>
      </c>
      <c r="F94">
        <f>+[3]Sheet1!C94</f>
        <v>14219.980632844899</v>
      </c>
      <c r="G94">
        <f>+[3]Sheet1!D94</f>
        <v>34037.437146578668</v>
      </c>
      <c r="H94">
        <f>+[3]Sheet1!E94</f>
        <v>9019.4788563461025</v>
      </c>
      <c r="I94">
        <f>+[3]Sheet1!F94</f>
        <v>935685.83434004406</v>
      </c>
      <c r="J94">
        <f>+[3]Sheet1!G94</f>
        <v>166.04241922539521</v>
      </c>
      <c r="K94">
        <f>+[3]Sheet1!H94</f>
        <v>347.69217454730369</v>
      </c>
      <c r="L94">
        <f>+[3]Sheet1!I94</f>
        <v>101.5238728592111</v>
      </c>
      <c r="M94">
        <f>+[3]Sheet1!J94</f>
        <v>65485.673565695492</v>
      </c>
      <c r="N94">
        <f>+[3]Sheet1!K94</f>
        <v>172716.05110351811</v>
      </c>
      <c r="O94">
        <f>+[3]Sheet1!L94</f>
        <v>134445.18701452759</v>
      </c>
      <c r="P94">
        <f>+[3]Sheet1!M94</f>
        <v>0.79448819899854861</v>
      </c>
      <c r="Q94">
        <f>+[3]Sheet1!N94</f>
        <v>2.137572928744877</v>
      </c>
      <c r="R94">
        <f>+[3]Sheet1!O94</f>
        <v>1.637303646592932</v>
      </c>
      <c r="S94">
        <f>+[3]Sheet1!P94</f>
        <v>34438.321167605507</v>
      </c>
      <c r="T94">
        <f>+[3]Sheet1!Q94</f>
        <v>39650.231510588557</v>
      </c>
      <c r="U94">
        <f>+[3]Sheet1!R94</f>
        <v>0.50904238577984218</v>
      </c>
      <c r="V94">
        <f>+[3]Sheet1!S94</f>
        <v>0.56342059519158005</v>
      </c>
      <c r="W94">
        <f>+[3]Sheet1!T94</f>
        <v>1605686.2800945551</v>
      </c>
      <c r="X94">
        <f>+[3]Sheet1!U94</f>
        <v>21.21121937639818</v>
      </c>
      <c r="Y94">
        <f>+[3]Sheet1!V94</f>
        <v>3281078.3582601398</v>
      </c>
      <c r="Z94">
        <f>+[3]Sheet1!W94</f>
        <v>43.795836329642903</v>
      </c>
      <c r="AA94">
        <f>+[3]Sheet1!X94</f>
        <v>5237430.7589845341</v>
      </c>
      <c r="AB94">
        <f>+[3]Sheet1!Y94</f>
        <v>67.868118711273027</v>
      </c>
      <c r="AC94">
        <f>+[3]Sheet1!Z94</f>
        <v>0.29183903301491543</v>
      </c>
      <c r="AD94">
        <f>+[3]Sheet1!AA94</f>
        <v>62607.495352729471</v>
      </c>
      <c r="AE94">
        <f>+[3]Sheet1!AB94</f>
        <v>147195.14563185151</v>
      </c>
      <c r="AF94">
        <f>+[3]Sheet1!AC94</f>
        <v>152.60915030260909</v>
      </c>
      <c r="AG94">
        <f>+[3]Sheet1!AD94</f>
        <v>101.262760214548</v>
      </c>
      <c r="AH94" s="16">
        <f>+[3]Sheet1!AE94</f>
        <v>152.1872109186553</v>
      </c>
      <c r="AI94" s="16">
        <f>+[3]Sheet1!AF94</f>
        <v>273.78968093539419</v>
      </c>
      <c r="AJ94" s="16">
        <f>+[3]Sheet1!AG94</f>
        <v>172.842455254513</v>
      </c>
      <c r="AK94" s="16">
        <f>+[3]Sheet1!AH94</f>
        <v>86.263180592903609</v>
      </c>
      <c r="AL94" s="16">
        <f>+[3]Sheet1!AI94</f>
        <v>85.115967404611737</v>
      </c>
      <c r="AM94" s="16">
        <f>+[3]Sheet1!AJ94</f>
        <v>141.57408740552901</v>
      </c>
      <c r="AN94" s="16">
        <f>+[3]Sheet1!AK94</f>
        <v>77.538475685384753</v>
      </c>
      <c r="AO94" s="16">
        <f>+[3]Sheet1!AL94</f>
        <v>195.74070354631471</v>
      </c>
      <c r="AP94" s="16">
        <f>+[3]Sheet1!AM94</f>
        <v>189.63742204418679</v>
      </c>
      <c r="AQ94" s="16">
        <f>+[3]Sheet1!AN94</f>
        <v>143.9457588391378</v>
      </c>
      <c r="AR94" s="16">
        <f>+[3]Sheet1!AO94</f>
        <v>136.91645191967251</v>
      </c>
      <c r="AS94" s="16">
        <f>+[3]Sheet1!AP94</f>
        <v>95.388017903715919</v>
      </c>
      <c r="AT94" s="16">
        <f>+[3]Sheet1!AQ94</f>
        <v>39.248028087941407</v>
      </c>
      <c r="AU94" s="16">
        <f>+[3]Sheet1!AR94</f>
        <v>122.8051564245378</v>
      </c>
      <c r="AV94" s="16">
        <f>+[3]Sheet1!AS94</f>
        <v>96.916474781967523</v>
      </c>
      <c r="AW94" s="16">
        <f>+[3]Sheet1!AT94</f>
        <v>3120445.5546406028</v>
      </c>
      <c r="AX94" s="16">
        <f>+base_mensual!AY94</f>
        <v>1332</v>
      </c>
      <c r="AY94">
        <f>+base_mensual!AZ94</f>
        <v>2.27</v>
      </c>
      <c r="AZ94">
        <f>+[3]Sheet1!AX94</f>
        <v>131.6571508866289</v>
      </c>
    </row>
    <row r="95" spans="1:52" x14ac:dyDescent="0.25">
      <c r="A95" s="2">
        <f>+base_mensual!A95</f>
        <v>44134</v>
      </c>
      <c r="B95" s="1">
        <f>+base_mensual!B95</f>
        <v>5.085259663257724E-2</v>
      </c>
      <c r="C95">
        <f>+base_mensual!AE95</f>
        <v>142.87903792302811</v>
      </c>
      <c r="D95">
        <f>+base_mensual!H95</f>
        <v>168.19559200912201</v>
      </c>
      <c r="E95">
        <f>+[3]Sheet1!B95</f>
        <v>24161.727119216761</v>
      </c>
      <c r="F95">
        <f>+[3]Sheet1!C95</f>
        <v>12482.368780082021</v>
      </c>
      <c r="G95">
        <f>+[3]Sheet1!D95</f>
        <v>33136.428027462738</v>
      </c>
      <c r="H95">
        <f>+[3]Sheet1!E95</f>
        <v>9037.4488237419537</v>
      </c>
      <c r="I95">
        <f>+[3]Sheet1!F95</f>
        <v>963462.5183857705</v>
      </c>
      <c r="J95">
        <f>+[3]Sheet1!G95</f>
        <v>247.83320981352921</v>
      </c>
      <c r="K95">
        <f>+[3]Sheet1!H95</f>
        <v>360.68924016047572</v>
      </c>
      <c r="L95">
        <f>+[3]Sheet1!I95</f>
        <v>146.41754277335309</v>
      </c>
      <c r="M95">
        <f>+[3]Sheet1!J95</f>
        <v>49248.779034457257</v>
      </c>
      <c r="N95">
        <f>+[3]Sheet1!K95</f>
        <v>192257.9966033744</v>
      </c>
      <c r="O95">
        <f>+[3]Sheet1!L95</f>
        <v>139375.01381822021</v>
      </c>
      <c r="P95">
        <f>+[3]Sheet1!M95</f>
        <v>0.70868521293537301</v>
      </c>
      <c r="Q95">
        <f>+[3]Sheet1!N95</f>
        <v>2.3458872219438369</v>
      </c>
      <c r="R95">
        <f>+[3]Sheet1!O95</f>
        <v>1.748251592277102</v>
      </c>
      <c r="S95">
        <f>+[3]Sheet1!P95</f>
        <v>42426.460408125873</v>
      </c>
      <c r="T95">
        <f>+[3]Sheet1!Q95</f>
        <v>58083.880914717643</v>
      </c>
      <c r="U95">
        <f>+[3]Sheet1!R95</f>
        <v>0.56063450936494208</v>
      </c>
      <c r="V95">
        <f>+[3]Sheet1!S95</f>
        <v>0.5839244676733335</v>
      </c>
      <c r="W95">
        <f>+[3]Sheet1!T95</f>
        <v>1754608.32319725</v>
      </c>
      <c r="X95">
        <f>+[3]Sheet1!U95</f>
        <v>23.62418404529652</v>
      </c>
      <c r="Y95">
        <f>+[3]Sheet1!V95</f>
        <v>3425731.6247602468</v>
      </c>
      <c r="Z95">
        <f>+[3]Sheet1!W95</f>
        <v>43.037820486094049</v>
      </c>
      <c r="AA95">
        <f>+[3]Sheet1!X95</f>
        <v>5445419.1198824774</v>
      </c>
      <c r="AB95">
        <f>+[3]Sheet1!Y95</f>
        <v>63.869630068894111</v>
      </c>
      <c r="AC95">
        <f>+[3]Sheet1!Z95</f>
        <v>0.32199744778866451</v>
      </c>
      <c r="AD95">
        <f>+[3]Sheet1!AA95</f>
        <v>61528.676281047803</v>
      </c>
      <c r="AE95">
        <f>+[3]Sheet1!AB95</f>
        <v>149598.53528897261</v>
      </c>
      <c r="AF95">
        <f>+[3]Sheet1!AC95</f>
        <v>153.8508227591941</v>
      </c>
      <c r="AG95">
        <f>+[3]Sheet1!AD95</f>
        <v>102.6593647907695</v>
      </c>
      <c r="AH95" s="16">
        <f>+[3]Sheet1!AE95</f>
        <v>149.89304292247911</v>
      </c>
      <c r="AI95" s="16">
        <f>+[3]Sheet1!AF95</f>
        <v>255.61316563282031</v>
      </c>
      <c r="AJ95" s="16">
        <f>+[3]Sheet1!AG95</f>
        <v>173.2650473697436</v>
      </c>
      <c r="AK95" s="16">
        <f>+[3]Sheet1!AH95</f>
        <v>90.844102405469272</v>
      </c>
      <c r="AL95" s="16">
        <f>+[3]Sheet1!AI95</f>
        <v>85.384448071872328</v>
      </c>
      <c r="AM95" s="16">
        <f>+[3]Sheet1!AJ95</f>
        <v>131.1785926392335</v>
      </c>
      <c r="AN95" s="16">
        <f>+[3]Sheet1!AK95</f>
        <v>81.00784916721345</v>
      </c>
      <c r="AO95" s="16">
        <f>+[3]Sheet1!AL95</f>
        <v>191.24104554037541</v>
      </c>
      <c r="AP95" s="16">
        <f>+[3]Sheet1!AM95</f>
        <v>190.93922427101401</v>
      </c>
      <c r="AQ95" s="16">
        <f>+[3]Sheet1!AN95</f>
        <v>156.00869496525391</v>
      </c>
      <c r="AR95" s="16">
        <f>+[3]Sheet1!AO95</f>
        <v>140.38199875953981</v>
      </c>
      <c r="AS95" s="16">
        <f>+[3]Sheet1!AP95</f>
        <v>86.629390968373727</v>
      </c>
      <c r="AT95" s="16">
        <f>+[3]Sheet1!AQ95</f>
        <v>37.255040572751277</v>
      </c>
      <c r="AU95" s="16">
        <f>+[3]Sheet1!AR95</f>
        <v>125.7135983713051</v>
      </c>
      <c r="AV95" s="16">
        <f>+[3]Sheet1!AS95</f>
        <v>97.721459938923743</v>
      </c>
      <c r="AW95" s="16">
        <f>+[3]Sheet1!AT95</f>
        <v>3157424.754467323</v>
      </c>
      <c r="AX95" s="16">
        <f>+base_mensual!AY95</f>
        <v>1482</v>
      </c>
      <c r="AY95">
        <f>+base_mensual!AZ95</f>
        <v>1.99</v>
      </c>
      <c r="AZ95">
        <f>+[3]Sheet1!AX95</f>
        <v>134.83378700583819</v>
      </c>
    </row>
    <row r="96" spans="1:52" x14ac:dyDescent="0.25">
      <c r="A96" s="2">
        <f>+base_mensual!A96</f>
        <v>44165</v>
      </c>
      <c r="B96" s="1">
        <f>+base_mensual!B96</f>
        <v>5.085259663257724E-2</v>
      </c>
      <c r="C96">
        <f>+base_mensual!AE96</f>
        <v>145.57665293336413</v>
      </c>
      <c r="D96">
        <f>+base_mensual!H96</f>
        <v>181.57908528006601</v>
      </c>
      <c r="E96">
        <f>+[3]Sheet1!B96</f>
        <v>27132.675571767741</v>
      </c>
      <c r="F96">
        <f>+[3]Sheet1!C96</f>
        <v>9970.8825170628588</v>
      </c>
      <c r="G96">
        <f>+[3]Sheet1!D96</f>
        <v>32269.713972890091</v>
      </c>
      <c r="H96">
        <f>+[3]Sheet1!E96</f>
        <v>10645.280571329829</v>
      </c>
      <c r="I96">
        <f>+[3]Sheet1!F96</f>
        <v>1076860.641332</v>
      </c>
      <c r="J96">
        <f>+[3]Sheet1!G96</f>
        <v>198.96040317638401</v>
      </c>
      <c r="K96">
        <f>+[3]Sheet1!H96</f>
        <v>372.58599796003648</v>
      </c>
      <c r="L96">
        <f>+[3]Sheet1!I96</f>
        <v>143.9969809946214</v>
      </c>
      <c r="M96">
        <f>+[3]Sheet1!J96</f>
        <v>98860.068032689596</v>
      </c>
      <c r="N96">
        <f>+[3]Sheet1!K96</f>
        <v>196707.33820140021</v>
      </c>
      <c r="O96">
        <f>+[3]Sheet1!L96</f>
        <v>144362.40276838691</v>
      </c>
      <c r="P96">
        <f>+[3]Sheet1!M96</f>
        <v>0.79565120412251744</v>
      </c>
      <c r="Q96">
        <f>+[3]Sheet1!N96</f>
        <v>2.3751407975874641</v>
      </c>
      <c r="R96">
        <f>+[3]Sheet1!O96</f>
        <v>1.9294404170838539</v>
      </c>
      <c r="S96">
        <f>+[3]Sheet1!P96</f>
        <v>43971.184704341671</v>
      </c>
      <c r="T96">
        <f>+[3]Sheet1!Q96</f>
        <v>44821.971028873872</v>
      </c>
      <c r="U96">
        <f>+[3]Sheet1!R96</f>
        <v>0.61725939399917729</v>
      </c>
      <c r="V96">
        <f>+[3]Sheet1!S96</f>
        <v>0.56815086437192241</v>
      </c>
      <c r="W96">
        <f>+[3]Sheet1!T96</f>
        <v>2279586.047553855</v>
      </c>
      <c r="X96">
        <f>+[3]Sheet1!U96</f>
        <v>25.865386901587499</v>
      </c>
      <c r="Y96">
        <f>+[3]Sheet1!V96</f>
        <v>3584585.5777125121</v>
      </c>
      <c r="Z96">
        <f>+[3]Sheet1!W96</f>
        <v>38.817584786076758</v>
      </c>
      <c r="AA96">
        <f>+[3]Sheet1!X96</f>
        <v>5546548.0661346652</v>
      </c>
      <c r="AB96">
        <f>+[3]Sheet1!Y96</f>
        <v>63.118359186293603</v>
      </c>
      <c r="AC96">
        <f>+[3]Sheet1!Z96</f>
        <v>0.30042376248711111</v>
      </c>
      <c r="AD96">
        <f>+[3]Sheet1!AA96</f>
        <v>62226.534214422201</v>
      </c>
      <c r="AE96">
        <f>+[3]Sheet1!AB96</f>
        <v>133180.00494292751</v>
      </c>
      <c r="AF96">
        <f>+[3]Sheet1!AC96</f>
        <v>152.22908042295151</v>
      </c>
      <c r="AG96">
        <f>+[3]Sheet1!AD96</f>
        <v>103.06076681059</v>
      </c>
      <c r="AH96" s="16">
        <f>+[3]Sheet1!AE96</f>
        <v>153.33417899289611</v>
      </c>
      <c r="AI96" s="16">
        <f>+[3]Sheet1!AF96</f>
        <v>288.79276190146459</v>
      </c>
      <c r="AJ96" s="16">
        <f>+[3]Sheet1!AG96</f>
        <v>172.2341195420581</v>
      </c>
      <c r="AK96" s="16">
        <f>+[3]Sheet1!AH96</f>
        <v>85.872723569440012</v>
      </c>
      <c r="AL96" s="16">
        <f>+[3]Sheet1!AI96</f>
        <v>85.208786333243907</v>
      </c>
      <c r="AM96" s="16">
        <f>+[3]Sheet1!AJ96</f>
        <v>142.25787232464819</v>
      </c>
      <c r="AN96" s="16">
        <f>+[3]Sheet1!AK96</f>
        <v>89.756188391372476</v>
      </c>
      <c r="AO96" s="16">
        <f>+[3]Sheet1!AL96</f>
        <v>186.9346454369323</v>
      </c>
      <c r="AP96" s="16">
        <f>+[3]Sheet1!AM96</f>
        <v>210.85334968591209</v>
      </c>
      <c r="AQ96" s="16">
        <f>+[3]Sheet1!AN96</f>
        <v>162.745044399671</v>
      </c>
      <c r="AR96" s="16">
        <f>+[3]Sheet1!AO96</f>
        <v>142.62967796845541</v>
      </c>
      <c r="AS96" s="16">
        <f>+[3]Sheet1!AP96</f>
        <v>96.793498186578248</v>
      </c>
      <c r="AT96" s="16">
        <f>+[3]Sheet1!AQ96</f>
        <v>39.910499294043689</v>
      </c>
      <c r="AU96" s="16">
        <f>+[3]Sheet1!AR96</f>
        <v>132.7533745044754</v>
      </c>
      <c r="AV96" s="16">
        <f>+[3]Sheet1!AS96</f>
        <v>97.118600066519761</v>
      </c>
      <c r="AW96" s="16">
        <f>+[3]Sheet1!AT96</f>
        <v>3313508.5544501231</v>
      </c>
      <c r="AX96" s="16">
        <f>+base_mensual!AY96</f>
        <v>1376</v>
      </c>
      <c r="AY96">
        <f>+base_mensual!AZ96</f>
        <v>2.02</v>
      </c>
      <c r="AZ96">
        <f>+[3]Sheet1!AX96</f>
        <v>135.2586158339578</v>
      </c>
    </row>
    <row r="97" spans="1:52" x14ac:dyDescent="0.25">
      <c r="A97" s="2">
        <f>+base_mensual!A97</f>
        <v>44196</v>
      </c>
      <c r="B97" s="1">
        <f>+base_mensual!B97</f>
        <v>5.085259663257724E-2</v>
      </c>
      <c r="C97">
        <f>+base_mensual!AE97</f>
        <v>145.28980875233822</v>
      </c>
      <c r="D97">
        <f>+base_mensual!H97</f>
        <v>189.91709240247499</v>
      </c>
      <c r="E97">
        <f>+[3]Sheet1!B97</f>
        <v>40742.63708000831</v>
      </c>
      <c r="F97">
        <f>+[3]Sheet1!C97</f>
        <v>17514.610530708462</v>
      </c>
      <c r="G97">
        <f>+[3]Sheet1!D97</f>
        <v>32628.787609144409</v>
      </c>
      <c r="H97">
        <f>+[3]Sheet1!E97</f>
        <v>9361.1264639067795</v>
      </c>
      <c r="I97">
        <f>+[3]Sheet1!F97</f>
        <v>1079006.0580825559</v>
      </c>
      <c r="J97">
        <f>+[3]Sheet1!G97</f>
        <v>247.10618781682871</v>
      </c>
      <c r="K97">
        <f>+[3]Sheet1!H97</f>
        <v>397.9282400583462</v>
      </c>
      <c r="L97">
        <f>+[3]Sheet1!I97</f>
        <v>195.21247309087099</v>
      </c>
      <c r="M97">
        <f>+[3]Sheet1!J97</f>
        <v>50992.469543564162</v>
      </c>
      <c r="N97">
        <f>+[3]Sheet1!K97</f>
        <v>205607.05713894821</v>
      </c>
      <c r="O97">
        <f>+[3]Sheet1!L97</f>
        <v>168857.57564031289</v>
      </c>
      <c r="P97">
        <f>+[3]Sheet1!M97</f>
        <v>0.68420509236845106</v>
      </c>
      <c r="Q97">
        <f>+[3]Sheet1!N97</f>
        <v>2.3900917461770841</v>
      </c>
      <c r="R97">
        <f>+[3]Sheet1!O97</f>
        <v>1.775002759115887</v>
      </c>
      <c r="S97">
        <f>+[3]Sheet1!P97</f>
        <v>43921.61324311739</v>
      </c>
      <c r="T97">
        <f>+[3]Sheet1!Q97</f>
        <v>49747.445552618621</v>
      </c>
      <c r="U97">
        <f>+[3]Sheet1!R97</f>
        <v>0.56262228145904503</v>
      </c>
      <c r="V97">
        <f>+[3]Sheet1!S97</f>
        <v>0.57662369045554773</v>
      </c>
      <c r="W97">
        <f>+[3]Sheet1!T97</f>
        <v>2112472.1181888459</v>
      </c>
      <c r="X97">
        <f>+[3]Sheet1!U97</f>
        <v>23.684697031164191</v>
      </c>
      <c r="Y97">
        <f>+[3]Sheet1!V97</f>
        <v>3525101.8106647348</v>
      </c>
      <c r="Z97">
        <f>+[3]Sheet1!W97</f>
        <v>39.899250902481548</v>
      </c>
      <c r="AA97">
        <f>+[3]Sheet1!X97</f>
        <v>4949390.9930298533</v>
      </c>
      <c r="AB97">
        <f>+[3]Sheet1!Y97</f>
        <v>62.974271373365013</v>
      </c>
      <c r="AC97">
        <f>+[3]Sheet1!Z97</f>
        <v>0.32051468987571108</v>
      </c>
      <c r="AD97">
        <f>+[3]Sheet1!AA97</f>
        <v>62005.060265459397</v>
      </c>
      <c r="AE97">
        <f>+[3]Sheet1!AB97</f>
        <v>144763.83621832871</v>
      </c>
      <c r="AF97">
        <f>+[3]Sheet1!AC97</f>
        <v>144.57002441817411</v>
      </c>
      <c r="AG97">
        <f>+[3]Sheet1!AD97</f>
        <v>107.1877730262478</v>
      </c>
      <c r="AH97" s="16">
        <f>+[3]Sheet1!AE97</f>
        <v>155.51551965050641</v>
      </c>
      <c r="AI97" s="16">
        <f>+[3]Sheet1!AF97</f>
        <v>378.12234633576821</v>
      </c>
      <c r="AJ97" s="16">
        <f>+[3]Sheet1!AG97</f>
        <v>160.8211500278338</v>
      </c>
      <c r="AK97" s="16">
        <f>+[3]Sheet1!AH97</f>
        <v>88.665875170332441</v>
      </c>
      <c r="AL97" s="16">
        <f>+[3]Sheet1!AI97</f>
        <v>85.497762646940615</v>
      </c>
      <c r="AM97" s="16">
        <f>+[3]Sheet1!AJ97</f>
        <v>145.358956145907</v>
      </c>
      <c r="AN97" s="16">
        <f>+[3]Sheet1!AK97</f>
        <v>90.745294191110474</v>
      </c>
      <c r="AO97" s="16">
        <f>+[3]Sheet1!AL97</f>
        <v>195.71868917217839</v>
      </c>
      <c r="AP97" s="16">
        <f>+[3]Sheet1!AM97</f>
        <v>207.43223967840029</v>
      </c>
      <c r="AQ97" s="16">
        <f>+[3]Sheet1!AN97</f>
        <v>171.94160465242649</v>
      </c>
      <c r="AR97" s="16">
        <f>+[3]Sheet1!AO97</f>
        <v>144.26229261176181</v>
      </c>
      <c r="AS97" s="16">
        <f>+[3]Sheet1!AP97</f>
        <v>134.17537424337189</v>
      </c>
      <c r="AT97" s="16">
        <f>+[3]Sheet1!AQ97</f>
        <v>39.125181108231963</v>
      </c>
      <c r="AU97" s="16">
        <f>+[3]Sheet1!AR97</f>
        <v>128.19322766822791</v>
      </c>
      <c r="AV97" s="16">
        <f>+[3]Sheet1!AS97</f>
        <v>96.474088560485256</v>
      </c>
      <c r="AW97" s="16">
        <f>+[3]Sheet1!AT97</f>
        <v>1260965.9471455971</v>
      </c>
      <c r="AX97" s="16">
        <f>+base_mensual!AY97</f>
        <v>1356</v>
      </c>
      <c r="AY97">
        <f>+base_mensual!AZ97</f>
        <v>1.85</v>
      </c>
      <c r="AZ97">
        <f>+[3]Sheet1!AX97</f>
        <v>137.38351712724219</v>
      </c>
    </row>
    <row r="98" spans="1:52" x14ac:dyDescent="0.25">
      <c r="A98" s="2">
        <f>+base_mensual!A98</f>
        <v>44225</v>
      </c>
      <c r="B98" s="1">
        <f>+base_mensual!B98</f>
        <v>2.9911570922553699E-2</v>
      </c>
      <c r="C98">
        <f>+base_mensual!AE98</f>
        <v>156.63235330704256</v>
      </c>
      <c r="D98">
        <f>+base_mensual!H98</f>
        <v>197.76418745911201</v>
      </c>
      <c r="E98">
        <f>+[3]Sheet1!B98</f>
        <v>43603.142354820833</v>
      </c>
      <c r="F98">
        <f>+[3]Sheet1!C98</f>
        <v>22508.364882200211</v>
      </c>
      <c r="G98">
        <f>+[3]Sheet1!D98</f>
        <v>32035.247222226859</v>
      </c>
      <c r="H98">
        <f>+[3]Sheet1!E98</f>
        <v>9856.7405660380664</v>
      </c>
      <c r="I98">
        <f>+[3]Sheet1!F98</f>
        <v>997379.46057345346</v>
      </c>
      <c r="J98">
        <f>+[3]Sheet1!G98</f>
        <v>254.68941953929669</v>
      </c>
      <c r="K98">
        <f>+[3]Sheet1!H98</f>
        <v>392.29396007123478</v>
      </c>
      <c r="L98">
        <f>+[3]Sheet1!I98</f>
        <v>216.90032127911149</v>
      </c>
      <c r="M98">
        <f>+[3]Sheet1!J98</f>
        <v>119452.40031683681</v>
      </c>
      <c r="N98">
        <f>+[3]Sheet1!K98</f>
        <v>212344.91853721961</v>
      </c>
      <c r="O98">
        <f>+[3]Sheet1!L98</f>
        <v>155665.8339227665</v>
      </c>
      <c r="P98">
        <f>+[3]Sheet1!M98</f>
        <v>1.2577274292359979</v>
      </c>
      <c r="Q98">
        <f>+[3]Sheet1!N98</f>
        <v>2.4031442338500648</v>
      </c>
      <c r="R98">
        <f>+[3]Sheet1!O98</f>
        <v>1.7207202616069079</v>
      </c>
      <c r="S98">
        <f>+[3]Sheet1!P98</f>
        <v>45848.954959743212</v>
      </c>
      <c r="T98">
        <f>+[3]Sheet1!Q98</f>
        <v>50364.864343428453</v>
      </c>
      <c r="U98">
        <f>+[3]Sheet1!R98</f>
        <v>0.49071804751220521</v>
      </c>
      <c r="V98">
        <f>+[3]Sheet1!S98</f>
        <v>0.52322932158264202</v>
      </c>
      <c r="W98">
        <f>+[3]Sheet1!T98</f>
        <v>2309010.053474938</v>
      </c>
      <c r="X98">
        <f>+[3]Sheet1!U98</f>
        <v>20.87593555052889</v>
      </c>
      <c r="Y98">
        <f>+[3]Sheet1!V98</f>
        <v>3564766.96129716</v>
      </c>
      <c r="Z98">
        <f>+[3]Sheet1!W98</f>
        <v>40.188828788875959</v>
      </c>
      <c r="AA98">
        <f>+[3]Sheet1!X98</f>
        <v>5315394.3942014007</v>
      </c>
      <c r="AB98">
        <f>+[3]Sheet1!Y98</f>
        <v>63.974192596959099</v>
      </c>
      <c r="AC98">
        <f>+[3]Sheet1!Z98</f>
        <v>0.34236926326255912</v>
      </c>
      <c r="AD98">
        <f>+[3]Sheet1!AA98</f>
        <v>60715.721501284082</v>
      </c>
      <c r="AE98">
        <f>+[3]Sheet1!AB98</f>
        <v>137081.91074882611</v>
      </c>
      <c r="AF98">
        <f>+[3]Sheet1!AC98</f>
        <v>155.0127286898061</v>
      </c>
      <c r="AG98">
        <f>+[3]Sheet1!AD98</f>
        <v>115.3665415004623</v>
      </c>
      <c r="AH98" s="16">
        <f>+[3]Sheet1!AE98</f>
        <v>156.6362134206544</v>
      </c>
      <c r="AI98" s="16">
        <f>+[3]Sheet1!AF98</f>
        <v>385.40666961653449</v>
      </c>
      <c r="AJ98" s="16">
        <f>+[3]Sheet1!AG98</f>
        <v>173.83049918929021</v>
      </c>
      <c r="AK98" s="16">
        <f>+[3]Sheet1!AH98</f>
        <v>89.896549505221557</v>
      </c>
      <c r="AL98" s="16">
        <f>+[3]Sheet1!AI98</f>
        <v>86.200006395417574</v>
      </c>
      <c r="AM98" s="16">
        <f>+[3]Sheet1!AJ98</f>
        <v>124.6726434912872</v>
      </c>
      <c r="AN98" s="16">
        <f>+[3]Sheet1!AK98</f>
        <v>94.532610183619752</v>
      </c>
      <c r="AO98" s="16">
        <f>+[3]Sheet1!AL98</f>
        <v>196.0090639920713</v>
      </c>
      <c r="AP98" s="16">
        <f>+[3]Sheet1!AM98</f>
        <v>192.08811362631661</v>
      </c>
      <c r="AQ98" s="16">
        <f>+[3]Sheet1!AN98</f>
        <v>171.4265698660198</v>
      </c>
      <c r="AR98" s="16">
        <f>+[3]Sheet1!AO98</f>
        <v>151.41939404758409</v>
      </c>
      <c r="AS98" s="16">
        <f>+[3]Sheet1!AP98</f>
        <v>155.41268879495249</v>
      </c>
      <c r="AT98" s="16">
        <f>+[3]Sheet1!AQ98</f>
        <v>37.200554863155347</v>
      </c>
      <c r="AU98" s="16">
        <f>+[3]Sheet1!AR98</f>
        <v>128.6112146092035</v>
      </c>
      <c r="AV98" s="16">
        <f>+[3]Sheet1!AS98</f>
        <v>95.280033711614735</v>
      </c>
      <c r="AW98" s="16">
        <f>+[3]Sheet1!AT98</f>
        <v>4035342.098748506</v>
      </c>
      <c r="AX98" s="16">
        <f>+base_mensual!AY98</f>
        <v>1445</v>
      </c>
      <c r="AY98">
        <f>+base_mensual!AZ98</f>
        <v>1.88</v>
      </c>
      <c r="AZ98">
        <f>+[3]Sheet1!AX98</f>
        <v>138.40203152894969</v>
      </c>
    </row>
    <row r="99" spans="1:52" x14ac:dyDescent="0.25">
      <c r="A99" s="2">
        <f>+base_mensual!A99</f>
        <v>44253</v>
      </c>
      <c r="B99" s="1">
        <f>+base_mensual!B99</f>
        <v>2.9911570922553699E-2</v>
      </c>
      <c r="C99">
        <f>+base_mensual!AE99</f>
        <v>150.75358368102485</v>
      </c>
      <c r="D99">
        <f>+base_mensual!H99</f>
        <v>187.40050911029101</v>
      </c>
      <c r="E99">
        <f>+[3]Sheet1!B99</f>
        <v>23380.711497800541</v>
      </c>
      <c r="F99">
        <f>+[3]Sheet1!C99</f>
        <v>16902.780090262069</v>
      </c>
      <c r="G99">
        <f>+[3]Sheet1!D99</f>
        <v>28931.225324910421</v>
      </c>
      <c r="H99">
        <f>+[3]Sheet1!E99</f>
        <v>9227.6261423594005</v>
      </c>
      <c r="I99">
        <f>+[3]Sheet1!F99</f>
        <v>959889.13949845522</v>
      </c>
      <c r="J99">
        <f>+[3]Sheet1!G99</f>
        <v>266.23226785190298</v>
      </c>
      <c r="K99">
        <f>+[3]Sheet1!H99</f>
        <v>376.31402106532647</v>
      </c>
      <c r="L99">
        <f>+[3]Sheet1!I99</f>
        <v>162.61804037124779</v>
      </c>
      <c r="M99">
        <f>+[3]Sheet1!J99</f>
        <v>80494.915826578101</v>
      </c>
      <c r="N99">
        <f>+[3]Sheet1!K99</f>
        <v>224310.14668238329</v>
      </c>
      <c r="O99">
        <f>+[3]Sheet1!L99</f>
        <v>161076.2403414537</v>
      </c>
      <c r="P99">
        <f>+[3]Sheet1!M99</f>
        <v>0.9384821174074075</v>
      </c>
      <c r="Q99">
        <f>+[3]Sheet1!N99</f>
        <v>2.4416410732112839</v>
      </c>
      <c r="R99">
        <f>+[3]Sheet1!O99</f>
        <v>1.718776778205185</v>
      </c>
      <c r="S99">
        <f>+[3]Sheet1!P99</f>
        <v>48314.687473747923</v>
      </c>
      <c r="T99">
        <f>+[3]Sheet1!Q99</f>
        <v>51503.959138749153</v>
      </c>
      <c r="U99">
        <f>+[3]Sheet1!R99</f>
        <v>0.53802485567138492</v>
      </c>
      <c r="V99">
        <f>+[3]Sheet1!S99</f>
        <v>0.52158161031537553</v>
      </c>
      <c r="W99">
        <f>+[3]Sheet1!T99</f>
        <v>2070025.23975797</v>
      </c>
      <c r="X99">
        <f>+[3]Sheet1!U99</f>
        <v>22.718822045307189</v>
      </c>
      <c r="Y99">
        <f>+[3]Sheet1!V99</f>
        <v>3599959.4493736718</v>
      </c>
      <c r="Z99">
        <f>+[3]Sheet1!W99</f>
        <v>39.503552709174912</v>
      </c>
      <c r="AA99">
        <f>+[3]Sheet1!X99</f>
        <v>6323056.2601860119</v>
      </c>
      <c r="AB99">
        <f>+[3]Sheet1!Y99</f>
        <v>63.362206869014152</v>
      </c>
      <c r="AC99">
        <f>+[3]Sheet1!Z99</f>
        <v>0.36198038950397482</v>
      </c>
      <c r="AD99">
        <f>+[3]Sheet1!AA99</f>
        <v>61995.469487469243</v>
      </c>
      <c r="AE99">
        <f>+[3]Sheet1!AB99</f>
        <v>142924.91788137241</v>
      </c>
      <c r="AF99">
        <f>+[3]Sheet1!AC99</f>
        <v>156.73255685171131</v>
      </c>
      <c r="AG99">
        <f>+[3]Sheet1!AD99</f>
        <v>106.8066625270361</v>
      </c>
      <c r="AH99" s="16">
        <f>+[3]Sheet1!AE99</f>
        <v>150.10098071716291</v>
      </c>
      <c r="AI99" s="16">
        <f>+[3]Sheet1!AF99</f>
        <v>294.08503359409809</v>
      </c>
      <c r="AJ99" s="16">
        <f>+[3]Sheet1!AG99</f>
        <v>175.64628238469021</v>
      </c>
      <c r="AK99" s="16">
        <f>+[3]Sheet1!AH99</f>
        <v>93.714813130208285</v>
      </c>
      <c r="AL99" s="16">
        <f>+[3]Sheet1!AI99</f>
        <v>85.985157823471042</v>
      </c>
      <c r="AM99" s="16">
        <f>+[3]Sheet1!AJ99</f>
        <v>139.39145598375649</v>
      </c>
      <c r="AN99" s="16">
        <f>+[3]Sheet1!AK99</f>
        <v>91.927692566388274</v>
      </c>
      <c r="AO99" s="16">
        <f>+[3]Sheet1!AL99</f>
        <v>167.22714999611239</v>
      </c>
      <c r="AP99" s="16">
        <f>+[3]Sheet1!AM99</f>
        <v>193.15291669408259</v>
      </c>
      <c r="AQ99" s="16">
        <f>+[3]Sheet1!AN99</f>
        <v>166.44956221970099</v>
      </c>
      <c r="AR99" s="16">
        <f>+[3]Sheet1!AO99</f>
        <v>152.58285082891771</v>
      </c>
      <c r="AS99" s="16">
        <f>+[3]Sheet1!AP99</f>
        <v>84.425279866883315</v>
      </c>
      <c r="AT99" s="16">
        <f>+[3]Sheet1!AQ99</f>
        <v>37.444319702714921</v>
      </c>
      <c r="AU99" s="16">
        <f>+[3]Sheet1!AR99</f>
        <v>126.1909949038613</v>
      </c>
      <c r="AV99" s="16">
        <f>+[3]Sheet1!AS99</f>
        <v>96.903356655331791</v>
      </c>
      <c r="AW99" s="16">
        <f>+[3]Sheet1!AT99</f>
        <v>3486376.8246882372</v>
      </c>
      <c r="AX99" s="16">
        <f>+base_mensual!AY99</f>
        <v>1511</v>
      </c>
      <c r="AY99">
        <f>+base_mensual!AZ99</f>
        <v>1.82</v>
      </c>
      <c r="AZ99">
        <f>+[3]Sheet1!AX99</f>
        <v>137.42459326644851</v>
      </c>
    </row>
    <row r="100" spans="1:52" x14ac:dyDescent="0.25">
      <c r="A100" s="2">
        <f>+base_mensual!A100</f>
        <v>44286</v>
      </c>
      <c r="B100" s="1">
        <f>+base_mensual!B100</f>
        <v>2.9911570922553699E-2</v>
      </c>
      <c r="C100">
        <f>+base_mensual!AE100</f>
        <v>158.9154049137102</v>
      </c>
      <c r="D100">
        <f>+base_mensual!H100</f>
        <v>188.650825233197</v>
      </c>
      <c r="E100">
        <f>+[3]Sheet1!B100</f>
        <v>35917.309233138862</v>
      </c>
      <c r="F100">
        <f>+[3]Sheet1!C100</f>
        <v>21113.474101959331</v>
      </c>
      <c r="G100">
        <f>+[3]Sheet1!D100</f>
        <v>30212.237956497142</v>
      </c>
      <c r="H100">
        <f>+[3]Sheet1!E100</f>
        <v>9947.1245776039032</v>
      </c>
      <c r="I100">
        <f>+[3]Sheet1!F100</f>
        <v>969825.05693634332</v>
      </c>
      <c r="J100">
        <f>+[3]Sheet1!G100</f>
        <v>288.65595633394588</v>
      </c>
      <c r="K100">
        <f>+[3]Sheet1!H100</f>
        <v>433.28071823236661</v>
      </c>
      <c r="L100">
        <f>+[3]Sheet1!I100</f>
        <v>165.4330742250196</v>
      </c>
      <c r="M100">
        <f>+[3]Sheet1!J100</f>
        <v>85058.612831230741</v>
      </c>
      <c r="N100">
        <f>+[3]Sheet1!K100</f>
        <v>259712.71414560129</v>
      </c>
      <c r="O100">
        <f>+[3]Sheet1!L100</f>
        <v>166293.76578124831</v>
      </c>
      <c r="P100">
        <f>+[3]Sheet1!M100</f>
        <v>1.094573936219345</v>
      </c>
      <c r="Q100">
        <f>+[3]Sheet1!N100</f>
        <v>2.5143245480014169</v>
      </c>
      <c r="R100">
        <f>+[3]Sheet1!O100</f>
        <v>1.7826366303170449</v>
      </c>
      <c r="S100">
        <f>+[3]Sheet1!P100</f>
        <v>49551.821511372742</v>
      </c>
      <c r="T100">
        <f>+[3]Sheet1!Q100</f>
        <v>53530.255648295213</v>
      </c>
      <c r="U100">
        <f>+[3]Sheet1!R100</f>
        <v>0.53337392738266565</v>
      </c>
      <c r="V100">
        <f>+[3]Sheet1!S100</f>
        <v>0.55760707680320198</v>
      </c>
      <c r="W100">
        <f>+[3]Sheet1!T100</f>
        <v>2023335.6689128641</v>
      </c>
      <c r="X100">
        <f>+[3]Sheet1!U100</f>
        <v>22.461596164303579</v>
      </c>
      <c r="Y100">
        <f>+[3]Sheet1!V100</f>
        <v>3920678.726949424</v>
      </c>
      <c r="Z100">
        <f>+[3]Sheet1!W100</f>
        <v>39.345587291175072</v>
      </c>
      <c r="AA100">
        <f>+[3]Sheet1!X100</f>
        <v>6555122.1845184863</v>
      </c>
      <c r="AB100">
        <f>+[3]Sheet1!Y100</f>
        <v>63.762387020856522</v>
      </c>
      <c r="AC100">
        <f>+[3]Sheet1!Z100</f>
        <v>0.36735090602876957</v>
      </c>
      <c r="AD100">
        <f>+[3]Sheet1!AA100</f>
        <v>62507.85408553484</v>
      </c>
      <c r="AE100">
        <f>+[3]Sheet1!AB100</f>
        <v>152070.84384375939</v>
      </c>
      <c r="AF100">
        <f>+[3]Sheet1!AC100</f>
        <v>168.34131598694731</v>
      </c>
      <c r="AG100">
        <f>+[3]Sheet1!AD100</f>
        <v>113.8611583077118</v>
      </c>
      <c r="AH100" s="16">
        <f>+[3]Sheet1!AE100</f>
        <v>158.757920766334</v>
      </c>
      <c r="AI100" s="16">
        <f>+[3]Sheet1!AF100</f>
        <v>399.2558690746647</v>
      </c>
      <c r="AJ100" s="16">
        <f>+[3]Sheet1!AG100</f>
        <v>175.97081087841599</v>
      </c>
      <c r="AK100" s="16">
        <f>+[3]Sheet1!AH100</f>
        <v>108.1818008911315</v>
      </c>
      <c r="AL100" s="16">
        <f>+[3]Sheet1!AI100</f>
        <v>85.89701015072842</v>
      </c>
      <c r="AM100" s="16">
        <f>+[3]Sheet1!AJ100</f>
        <v>154.4631957492978</v>
      </c>
      <c r="AN100" s="16">
        <f>+[3]Sheet1!AK100</f>
        <v>94.276043815055019</v>
      </c>
      <c r="AO100" s="16">
        <f>+[3]Sheet1!AL100</f>
        <v>207.77717153692291</v>
      </c>
      <c r="AP100" s="16">
        <f>+[3]Sheet1!AM100</f>
        <v>195.0947388250535</v>
      </c>
      <c r="AQ100" s="16">
        <f>+[3]Sheet1!AN100</f>
        <v>179.4574566461678</v>
      </c>
      <c r="AR100" s="16">
        <f>+[3]Sheet1!AO100</f>
        <v>157.30119430220219</v>
      </c>
      <c r="AS100" s="16">
        <f>+[3]Sheet1!AP100</f>
        <v>129.8942145553842</v>
      </c>
      <c r="AT100" s="16">
        <f>+[3]Sheet1!AQ100</f>
        <v>38.664638134616567</v>
      </c>
      <c r="AU100" s="16">
        <f>+[3]Sheet1!AR100</f>
        <v>127.29297330717191</v>
      </c>
      <c r="AV100" s="16">
        <f>+[3]Sheet1!AS100</f>
        <v>96.899226331450009</v>
      </c>
      <c r="AW100" s="16">
        <f>+[3]Sheet1!AT100</f>
        <v>3692534.259661458</v>
      </c>
      <c r="AX100" s="16">
        <f>+base_mensual!AY100</f>
        <v>1572</v>
      </c>
      <c r="AY100">
        <f>+base_mensual!AZ100</f>
        <v>1.78</v>
      </c>
      <c r="AZ100">
        <f>+[3]Sheet1!AX100</f>
        <v>140.49634737197519</v>
      </c>
    </row>
    <row r="101" spans="1:52" x14ac:dyDescent="0.25">
      <c r="A101" s="2">
        <f>+base_mensual!A101</f>
        <v>44316</v>
      </c>
      <c r="B101" s="1">
        <f>+base_mensual!B101</f>
        <v>6.8638511802983082E-3</v>
      </c>
      <c r="C101">
        <f>+base_mensual!AE101</f>
        <v>158.9806016677264</v>
      </c>
      <c r="D101">
        <f>+base_mensual!H101</f>
        <v>181.188895278806</v>
      </c>
      <c r="E101">
        <f>+[3]Sheet1!B101</f>
        <v>28954.517508910911</v>
      </c>
      <c r="F101">
        <f>+[3]Sheet1!C101</f>
        <v>16078.322040216761</v>
      </c>
      <c r="G101">
        <f>+[3]Sheet1!D101</f>
        <v>30057.450978072251</v>
      </c>
      <c r="H101">
        <f>+[3]Sheet1!E101</f>
        <v>8759.1805405855794</v>
      </c>
      <c r="I101">
        <f>+[3]Sheet1!F101</f>
        <v>972078.18429666338</v>
      </c>
      <c r="J101">
        <f>+[3]Sheet1!G101</f>
        <v>289.61689047400938</v>
      </c>
      <c r="K101">
        <f>+[3]Sheet1!H101</f>
        <v>391.13379622763279</v>
      </c>
      <c r="L101">
        <f>+[3]Sheet1!I101</f>
        <v>175.25670583049239</v>
      </c>
      <c r="M101">
        <f>+[3]Sheet1!J101</f>
        <v>109154.64195051719</v>
      </c>
      <c r="N101">
        <f>+[3]Sheet1!K101</f>
        <v>243618.29833416131</v>
      </c>
      <c r="O101">
        <f>+[3]Sheet1!L101</f>
        <v>171310.85136070129</v>
      </c>
      <c r="P101">
        <f>+[3]Sheet1!M101</f>
        <v>1.069088511937337</v>
      </c>
      <c r="Q101">
        <f>+[3]Sheet1!N101</f>
        <v>2.4082548715066241</v>
      </c>
      <c r="R101">
        <f>+[3]Sheet1!O101</f>
        <v>1.787204747471459</v>
      </c>
      <c r="S101">
        <f>+[3]Sheet1!P101</f>
        <v>51971.687293398703</v>
      </c>
      <c r="T101">
        <f>+[3]Sheet1!Q101</f>
        <v>56251.913043202767</v>
      </c>
      <c r="U101">
        <f>+[3]Sheet1!R101</f>
        <v>0.56448082440480385</v>
      </c>
      <c r="V101">
        <f>+[3]Sheet1!S101</f>
        <v>0.55584968148870284</v>
      </c>
      <c r="W101">
        <f>+[3]Sheet1!T101</f>
        <v>2619902.344185357</v>
      </c>
      <c r="X101">
        <f>+[3]Sheet1!U101</f>
        <v>23.794582614469888</v>
      </c>
      <c r="Y101">
        <f>+[3]Sheet1!V101</f>
        <v>3889803.1754842862</v>
      </c>
      <c r="Z101">
        <f>+[3]Sheet1!W101</f>
        <v>40.343465109309342</v>
      </c>
      <c r="AA101">
        <f>+[3]Sheet1!X101</f>
        <v>6697022.4917671084</v>
      </c>
      <c r="AB101">
        <f>+[3]Sheet1!Y101</f>
        <v>64.167536567520756</v>
      </c>
      <c r="AC101">
        <f>+[3]Sheet1!Z101</f>
        <v>0.33489644135644359</v>
      </c>
      <c r="AD101">
        <f>+[3]Sheet1!AA101</f>
        <v>61874.052167162998</v>
      </c>
      <c r="AE101">
        <f>+[3]Sheet1!AB101</f>
        <v>138784.8098925307</v>
      </c>
      <c r="AF101">
        <f>+[3]Sheet1!AC101</f>
        <v>157.1819144215722</v>
      </c>
      <c r="AG101">
        <f>+[3]Sheet1!AD101</f>
        <v>135.62208325958181</v>
      </c>
      <c r="AH101" s="16">
        <f>+[3]Sheet1!AE101</f>
        <v>156.7309642507249</v>
      </c>
      <c r="AI101" s="16">
        <f>+[3]Sheet1!AF101</f>
        <v>266.79307810860701</v>
      </c>
      <c r="AJ101" s="16">
        <f>+[3]Sheet1!AG101</f>
        <v>178.37940206586751</v>
      </c>
      <c r="AK101" s="16">
        <f>+[3]Sheet1!AH101</f>
        <v>91.04260850071357</v>
      </c>
      <c r="AL101" s="16">
        <f>+[3]Sheet1!AI101</f>
        <v>85.757995676201261</v>
      </c>
      <c r="AM101" s="16">
        <f>+[3]Sheet1!AJ101</f>
        <v>147.17473165615019</v>
      </c>
      <c r="AN101" s="16">
        <f>+[3]Sheet1!AK101</f>
        <v>94.110202483441398</v>
      </c>
      <c r="AO101" s="16">
        <f>+[3]Sheet1!AL101</f>
        <v>201.62883262098259</v>
      </c>
      <c r="AP101" s="16">
        <f>+[3]Sheet1!AM101</f>
        <v>194.7726141986995</v>
      </c>
      <c r="AQ101" s="16">
        <f>+[3]Sheet1!AN101</f>
        <v>165.36765810611601</v>
      </c>
      <c r="AR101" s="16">
        <f>+[3]Sheet1!AO101</f>
        <v>178.5049296074969</v>
      </c>
      <c r="AS101" s="16">
        <f>+[3]Sheet1!AP101</f>
        <v>105.45479441846889</v>
      </c>
      <c r="AT101" s="16">
        <f>+[3]Sheet1!AQ101</f>
        <v>37.565892965624393</v>
      </c>
      <c r="AU101" s="16">
        <f>+[3]Sheet1!AR101</f>
        <v>128.2196580326428</v>
      </c>
      <c r="AV101" s="16">
        <f>+[3]Sheet1!AS101</f>
        <v>97.486610492113897</v>
      </c>
      <c r="AW101" s="16">
        <f>+[3]Sheet1!AT101</f>
        <v>3592451.4795981599</v>
      </c>
      <c r="AX101" s="16">
        <f>+base_mensual!AY101</f>
        <v>1551</v>
      </c>
      <c r="AY101">
        <f>+base_mensual!AZ101</f>
        <v>1.73</v>
      </c>
      <c r="AZ101">
        <f>+[3]Sheet1!AX101</f>
        <v>139.37275716400319</v>
      </c>
    </row>
    <row r="102" spans="1:52" x14ac:dyDescent="0.25">
      <c r="A102" s="2">
        <f>+base_mensual!A102</f>
        <v>44347</v>
      </c>
      <c r="B102" s="1">
        <f>+base_mensual!B102</f>
        <v>6.8638511802983082E-3</v>
      </c>
      <c r="C102">
        <f>+base_mensual!AE102</f>
        <v>156.68065619461083</v>
      </c>
      <c r="D102">
        <f>+base_mensual!H102</f>
        <v>176.95133322243899</v>
      </c>
      <c r="E102">
        <f>+[3]Sheet1!B102</f>
        <v>32040.88631439098</v>
      </c>
      <c r="F102">
        <f>+[3]Sheet1!C102</f>
        <v>18785.75335868715</v>
      </c>
      <c r="G102">
        <f>+[3]Sheet1!D102</f>
        <v>28916.864673606739</v>
      </c>
      <c r="H102">
        <f>+[3]Sheet1!E102</f>
        <v>9108.1119110492291</v>
      </c>
      <c r="I102">
        <f>+[3]Sheet1!F102</f>
        <v>982184.08680338133</v>
      </c>
      <c r="J102">
        <f>+[3]Sheet1!G102</f>
        <v>280.62975243850087</v>
      </c>
      <c r="K102">
        <f>+[3]Sheet1!H102</f>
        <v>386.80271298479602</v>
      </c>
      <c r="L102">
        <f>+[3]Sheet1!I102</f>
        <v>173.67704208484309</v>
      </c>
      <c r="M102">
        <f>+[3]Sheet1!J102</f>
        <v>93813.89768546226</v>
      </c>
      <c r="N102">
        <f>+[3]Sheet1!K102</f>
        <v>247664.3344012663</v>
      </c>
      <c r="O102">
        <f>+[3]Sheet1!L102</f>
        <v>177326.65604343711</v>
      </c>
      <c r="P102">
        <f>+[3]Sheet1!M102</f>
        <v>0.89828203890523439</v>
      </c>
      <c r="Q102">
        <f>+[3]Sheet1!N102</f>
        <v>2.3527618269518351</v>
      </c>
      <c r="R102">
        <f>+[3]Sheet1!O102</f>
        <v>1.661826008567258</v>
      </c>
      <c r="S102">
        <f>+[3]Sheet1!P102</f>
        <v>54588.114385154557</v>
      </c>
      <c r="T102">
        <f>+[3]Sheet1!Q102</f>
        <v>58294.969642249896</v>
      </c>
      <c r="U102">
        <f>+[3]Sheet1!R102</f>
        <v>0.58558139711865431</v>
      </c>
      <c r="V102">
        <f>+[3]Sheet1!S102</f>
        <v>0.55816783158813776</v>
      </c>
      <c r="W102">
        <f>+[3]Sheet1!T102</f>
        <v>2672968.8904424841</v>
      </c>
      <c r="X102">
        <f>+[3]Sheet1!U102</f>
        <v>24.67343358065915</v>
      </c>
      <c r="Y102">
        <f>+[3]Sheet1!V102</f>
        <v>3957465.2692178078</v>
      </c>
      <c r="Z102">
        <f>+[3]Sheet1!W102</f>
        <v>40.114496148549563</v>
      </c>
      <c r="AA102">
        <f>+[3]Sheet1!X102</f>
        <v>6516667.3051096229</v>
      </c>
      <c r="AB102">
        <f>+[3]Sheet1!Y102</f>
        <v>64.516273674460962</v>
      </c>
      <c r="AC102">
        <f>+[3]Sheet1!Z102</f>
        <v>0.33567665120860879</v>
      </c>
      <c r="AD102">
        <f>+[3]Sheet1!AA102</f>
        <v>62005.551511381607</v>
      </c>
      <c r="AE102">
        <f>+[3]Sheet1!AB102</f>
        <v>91166.914058544033</v>
      </c>
      <c r="AF102">
        <f>+[3]Sheet1!AC102</f>
        <v>153.6852011598842</v>
      </c>
      <c r="AG102">
        <f>+[3]Sheet1!AD102</f>
        <v>117.77625905524179</v>
      </c>
      <c r="AH102" s="16">
        <f>+[3]Sheet1!AE102</f>
        <v>154.96932310119419</v>
      </c>
      <c r="AI102" s="16">
        <f>+[3]Sheet1!AF102</f>
        <v>317.09973433118603</v>
      </c>
      <c r="AJ102" s="16">
        <f>+[3]Sheet1!AG102</f>
        <v>172.7319887211913</v>
      </c>
      <c r="AK102" s="16">
        <f>+[3]Sheet1!AH102</f>
        <v>88.244442073310111</v>
      </c>
      <c r="AL102" s="16">
        <f>+[3]Sheet1!AI102</f>
        <v>85.76020064285467</v>
      </c>
      <c r="AM102" s="16">
        <f>+[3]Sheet1!AJ102</f>
        <v>147.3124234737648</v>
      </c>
      <c r="AN102" s="16">
        <f>+[3]Sheet1!AK102</f>
        <v>95.001600085359883</v>
      </c>
      <c r="AO102" s="16">
        <f>+[3]Sheet1!AL102</f>
        <v>197.95494227907361</v>
      </c>
      <c r="AP102" s="16">
        <f>+[3]Sheet1!AM102</f>
        <v>175.20254997314231</v>
      </c>
      <c r="AQ102" s="16">
        <f>+[3]Sheet1!AN102</f>
        <v>168.13487514214509</v>
      </c>
      <c r="AR102" s="16">
        <f>+[3]Sheet1!AO102</f>
        <v>157.1370681120583</v>
      </c>
      <c r="AS102" s="16">
        <f>+[3]Sheet1!AP102</f>
        <v>116.4936417699399</v>
      </c>
      <c r="AT102" s="16">
        <f>+[3]Sheet1!AQ102</f>
        <v>37.365400886040867</v>
      </c>
      <c r="AU102" s="16">
        <f>+[3]Sheet1!AR102</f>
        <v>127.96507535699131</v>
      </c>
      <c r="AV102" s="16">
        <f>+[3]Sheet1!AS102</f>
        <v>96.155030418287566</v>
      </c>
      <c r="AW102" s="16">
        <f>+[3]Sheet1!AT102</f>
        <v>3418572.1013573911</v>
      </c>
      <c r="AX102" s="16">
        <f>+base_mensual!AY102</f>
        <v>1508</v>
      </c>
      <c r="AY102">
        <f>+base_mensual!AZ102</f>
        <v>1.93</v>
      </c>
      <c r="AZ102">
        <f>+[3]Sheet1!AX102</f>
        <v>140.77155982982441</v>
      </c>
    </row>
    <row r="103" spans="1:52" x14ac:dyDescent="0.25">
      <c r="A103" s="2">
        <f>+base_mensual!A103</f>
        <v>44377</v>
      </c>
      <c r="B103" s="1">
        <f>+base_mensual!B103</f>
        <v>6.8638511802983082E-3</v>
      </c>
      <c r="C103">
        <f>+base_mensual!AE103</f>
        <v>157.86406868158059</v>
      </c>
      <c r="D103">
        <f>+base_mensual!H103</f>
        <v>186.43834047005501</v>
      </c>
      <c r="E103">
        <f>+[3]Sheet1!B103</f>
        <v>36096.745409124211</v>
      </c>
      <c r="F103">
        <f>+[3]Sheet1!C103</f>
        <v>21812.289378066929</v>
      </c>
      <c r="G103">
        <f>+[3]Sheet1!D103</f>
        <v>25337.98912856061</v>
      </c>
      <c r="H103">
        <f>+[3]Sheet1!E103</f>
        <v>8204.6423493178063</v>
      </c>
      <c r="I103">
        <f>+[3]Sheet1!F103</f>
        <v>984506.70023205853</v>
      </c>
      <c r="J103">
        <f>+[3]Sheet1!G103</f>
        <v>275.21323097749462</v>
      </c>
      <c r="K103">
        <f>+[3]Sheet1!H103</f>
        <v>389.60374142836929</v>
      </c>
      <c r="L103">
        <f>+[3]Sheet1!I103</f>
        <v>179.68050063464531</v>
      </c>
      <c r="M103">
        <f>+[3]Sheet1!J103</f>
        <v>94890.563021880283</v>
      </c>
      <c r="N103">
        <f>+[3]Sheet1!K103</f>
        <v>243710.99608247049</v>
      </c>
      <c r="O103">
        <f>+[3]Sheet1!L103</f>
        <v>186391.14631780269</v>
      </c>
      <c r="P103">
        <f>+[3]Sheet1!M103</f>
        <v>1.010341959780277</v>
      </c>
      <c r="Q103">
        <f>+[3]Sheet1!N103</f>
        <v>2.3834528252444991</v>
      </c>
      <c r="R103">
        <f>+[3]Sheet1!O103</f>
        <v>1.650525488946321</v>
      </c>
      <c r="S103">
        <f>+[3]Sheet1!P103</f>
        <v>94217.692232129892</v>
      </c>
      <c r="T103">
        <f>+[3]Sheet1!Q103</f>
        <v>61927.75541100675</v>
      </c>
      <c r="U103">
        <f>+[3]Sheet1!R103</f>
        <v>0.63700916512469319</v>
      </c>
      <c r="V103">
        <f>+[3]Sheet1!S103</f>
        <v>0.5662025286844875</v>
      </c>
      <c r="W103">
        <f>+[3]Sheet1!T103</f>
        <v>2818920.4744251431</v>
      </c>
      <c r="X103">
        <f>+[3]Sheet1!U103</f>
        <v>26.618501042698441</v>
      </c>
      <c r="Y103">
        <f>+[3]Sheet1!V103</f>
        <v>4516664.6785980565</v>
      </c>
      <c r="Z103">
        <f>+[3]Sheet1!W103</f>
        <v>39.820870025453139</v>
      </c>
      <c r="AA103">
        <f>+[3]Sheet1!X103</f>
        <v>7006043.1151453294</v>
      </c>
      <c r="AB103">
        <f>+[3]Sheet1!Y103</f>
        <v>64.463483349522761</v>
      </c>
      <c r="AC103">
        <f>+[3]Sheet1!Z103</f>
        <v>0.34390087712133061</v>
      </c>
      <c r="AD103">
        <f>+[3]Sheet1!AA103</f>
        <v>60165.484538974299</v>
      </c>
      <c r="AE103">
        <f>+[3]Sheet1!AB103</f>
        <v>148857.18695999219</v>
      </c>
      <c r="AF103">
        <f>+[3]Sheet1!AC103</f>
        <v>159.324387069046</v>
      </c>
      <c r="AG103">
        <f>+[3]Sheet1!AD103</f>
        <v>119.5317188386968</v>
      </c>
      <c r="AH103" s="16">
        <f>+[3]Sheet1!AE103</f>
        <v>157.97805421411019</v>
      </c>
      <c r="AI103" s="16">
        <f>+[3]Sheet1!AF103</f>
        <v>341.61812183408352</v>
      </c>
      <c r="AJ103" s="16">
        <f>+[3]Sheet1!AG103</f>
        <v>179.772537471943</v>
      </c>
      <c r="AK103" s="16">
        <f>+[3]Sheet1!AH103</f>
        <v>90.321509984667514</v>
      </c>
      <c r="AL103" s="16">
        <f>+[3]Sheet1!AI103</f>
        <v>85.655515718480402</v>
      </c>
      <c r="AM103" s="16">
        <f>+[3]Sheet1!AJ103</f>
        <v>143.66609109780549</v>
      </c>
      <c r="AN103" s="16">
        <f>+[3]Sheet1!AK103</f>
        <v>96.613402956685633</v>
      </c>
      <c r="AO103" s="16">
        <f>+[3]Sheet1!AL103</f>
        <v>204.12061859278489</v>
      </c>
      <c r="AP103" s="16">
        <f>+[3]Sheet1!AM103</f>
        <v>197.56439951993801</v>
      </c>
      <c r="AQ103" s="16">
        <f>+[3]Sheet1!AN103</f>
        <v>168.19345525868519</v>
      </c>
      <c r="AR103" s="16">
        <f>+[3]Sheet1!AO103</f>
        <v>156.19562689656379</v>
      </c>
      <c r="AS103" s="16">
        <f>+[3]Sheet1!AP103</f>
        <v>131.92890314096579</v>
      </c>
      <c r="AT103" s="16">
        <f>+[3]Sheet1!AQ103</f>
        <v>34.7156918301473</v>
      </c>
      <c r="AU103" s="16">
        <f>+[3]Sheet1!AR103</f>
        <v>126.8005954757818</v>
      </c>
      <c r="AV103" s="16">
        <f>+[3]Sheet1!AS103</f>
        <v>95.472163344304292</v>
      </c>
      <c r="AW103" s="16">
        <f>+[3]Sheet1!AT103</f>
        <v>3502258.066160874</v>
      </c>
      <c r="AX103" s="16">
        <f>+base_mensual!AY103</f>
        <v>1573</v>
      </c>
      <c r="AY103">
        <f>+base_mensual!AZ103</f>
        <v>1.7</v>
      </c>
      <c r="AZ103">
        <f>+[3]Sheet1!AX103</f>
        <v>142.2369154857181</v>
      </c>
    </row>
    <row r="104" spans="1:52" x14ac:dyDescent="0.25">
      <c r="A104" s="2">
        <f>+base_mensual!A104</f>
        <v>44407</v>
      </c>
      <c r="B104" s="1">
        <f>+base_mensual!B104</f>
        <v>1.9707112145431527E-2</v>
      </c>
      <c r="C104">
        <f>+base_mensual!AE104</f>
        <v>155.71140641795364</v>
      </c>
      <c r="D104">
        <f>+base_mensual!H104</f>
        <v>188.28618591681499</v>
      </c>
      <c r="E104">
        <f>+[3]Sheet1!B104</f>
        <v>34259.677785378663</v>
      </c>
      <c r="F104">
        <f>+[3]Sheet1!C104</f>
        <v>24197.286128149441</v>
      </c>
      <c r="G104">
        <f>+[3]Sheet1!D104</f>
        <v>28164.937846714642</v>
      </c>
      <c r="H104">
        <f>+[3]Sheet1!E104</f>
        <v>8821.6145636518613</v>
      </c>
      <c r="I104">
        <f>+[3]Sheet1!F104</f>
        <v>1023765.868529978</v>
      </c>
      <c r="J104">
        <f>+[3]Sheet1!G104</f>
        <v>357.59628095327753</v>
      </c>
      <c r="K104">
        <f>+[3]Sheet1!H104</f>
        <v>404.18812486759879</v>
      </c>
      <c r="L104">
        <f>+[3]Sheet1!I104</f>
        <v>202.21319926814081</v>
      </c>
      <c r="M104">
        <f>+[3]Sheet1!J104</f>
        <v>102117.0209864645</v>
      </c>
      <c r="N104">
        <f>+[3]Sheet1!K104</f>
        <v>244477.19838704169</v>
      </c>
      <c r="O104">
        <f>+[3]Sheet1!L104</f>
        <v>188292.01095383271</v>
      </c>
      <c r="P104">
        <f>+[3]Sheet1!M104</f>
        <v>0.94581986057503709</v>
      </c>
      <c r="Q104">
        <f>+[3]Sheet1!N104</f>
        <v>2.401142349937333</v>
      </c>
      <c r="R104">
        <f>+[3]Sheet1!O104</f>
        <v>1.74645231661846</v>
      </c>
      <c r="S104">
        <f>+[3]Sheet1!P104</f>
        <v>99475.040008918877</v>
      </c>
      <c r="T104">
        <f>+[3]Sheet1!Q104</f>
        <v>64406.934717931646</v>
      </c>
      <c r="U104">
        <f>+[3]Sheet1!R104</f>
        <v>0.56071803956997845</v>
      </c>
      <c r="V104">
        <f>+[3]Sheet1!S104</f>
        <v>0.58672894250798058</v>
      </c>
      <c r="W104">
        <f>+[3]Sheet1!T104</f>
        <v>2924705.3948149569</v>
      </c>
      <c r="X104">
        <f>+[3]Sheet1!U104</f>
        <v>23.315218902630111</v>
      </c>
      <c r="Y104">
        <f>+[3]Sheet1!V104</f>
        <v>4409492.7548477063</v>
      </c>
      <c r="Z104">
        <f>+[3]Sheet1!W104</f>
        <v>39.879931863279893</v>
      </c>
      <c r="AA104">
        <f>+[3]Sheet1!X104</f>
        <v>7130819.9198555863</v>
      </c>
      <c r="AB104">
        <f>+[3]Sheet1!Y104</f>
        <v>64.34695525175205</v>
      </c>
      <c r="AC104">
        <f>+[3]Sheet1!Z104</f>
        <v>0.34005838897547341</v>
      </c>
      <c r="AD104">
        <f>+[3]Sheet1!AA104</f>
        <v>62292.689992836371</v>
      </c>
      <c r="AE104">
        <f>+[3]Sheet1!AB104</f>
        <v>139526.03892718401</v>
      </c>
      <c r="AF104">
        <f>+[3]Sheet1!AC104</f>
        <v>157.33345823525519</v>
      </c>
      <c r="AG104">
        <f>+[3]Sheet1!AD104</f>
        <v>136.11212984300789</v>
      </c>
      <c r="AH104" s="16">
        <f>+[3]Sheet1!AE104</f>
        <v>156.28614328322931</v>
      </c>
      <c r="AI104" s="16">
        <f>+[3]Sheet1!AF104</f>
        <v>336.62505528604572</v>
      </c>
      <c r="AJ104" s="16">
        <f>+[3]Sheet1!AG104</f>
        <v>177.46313815655921</v>
      </c>
      <c r="AK104" s="16">
        <f>+[3]Sheet1!AH104</f>
        <v>89.847140397857089</v>
      </c>
      <c r="AL104" s="16">
        <f>+[3]Sheet1!AI104</f>
        <v>85.680427141295013</v>
      </c>
      <c r="AM104" s="16">
        <f>+[3]Sheet1!AJ104</f>
        <v>153.06709024395991</v>
      </c>
      <c r="AN104" s="16">
        <f>+[3]Sheet1!AK104</f>
        <v>96.009413149916824</v>
      </c>
      <c r="AO104" s="16">
        <f>+[3]Sheet1!AL104</f>
        <v>198.79063958670801</v>
      </c>
      <c r="AP104" s="16">
        <f>+[3]Sheet1!AM104</f>
        <v>202.7371099056443</v>
      </c>
      <c r="AQ104" s="16">
        <f>+[3]Sheet1!AN104</f>
        <v>174.50316808396471</v>
      </c>
      <c r="AR104" s="16">
        <f>+[3]Sheet1!AO104</f>
        <v>181.4258836411384</v>
      </c>
      <c r="AS104" s="16">
        <f>+[3]Sheet1!AP104</f>
        <v>124.7110295861759</v>
      </c>
      <c r="AT104" s="16">
        <f>+[3]Sheet1!AQ104</f>
        <v>39.067055935479381</v>
      </c>
      <c r="AU104" s="16">
        <f>+[3]Sheet1!AR104</f>
        <v>129.90926559986241</v>
      </c>
      <c r="AV104" s="16">
        <f>+[3]Sheet1!AS104</f>
        <v>97.573551806111524</v>
      </c>
      <c r="AW104" s="16">
        <f>+[3]Sheet1!AT104</f>
        <v>3506339.7320255921</v>
      </c>
      <c r="AX104" s="16">
        <f>+base_mensual!AY104</f>
        <v>1591</v>
      </c>
      <c r="AY104">
        <f>+base_mensual!AZ104</f>
        <v>1.7</v>
      </c>
      <c r="AZ104">
        <f>+[3]Sheet1!AX104</f>
        <v>140.74883238766381</v>
      </c>
    </row>
    <row r="105" spans="1:52" x14ac:dyDescent="0.25">
      <c r="A105" s="2">
        <f>+base_mensual!A105</f>
        <v>44439</v>
      </c>
      <c r="B105" s="1">
        <f>+base_mensual!B105</f>
        <v>1.9707112145431527E-2</v>
      </c>
      <c r="C105">
        <f>+base_mensual!AE105</f>
        <v>154.12203709038212</v>
      </c>
      <c r="D105">
        <f>+base_mensual!H105</f>
        <v>186.39880729862901</v>
      </c>
      <c r="E105">
        <f>+[3]Sheet1!B105</f>
        <v>33851.662011419772</v>
      </c>
      <c r="F105">
        <f>+[3]Sheet1!C105</f>
        <v>22475.084566243779</v>
      </c>
      <c r="G105">
        <f>+[3]Sheet1!D105</f>
        <v>26776.318998969651</v>
      </c>
      <c r="H105">
        <f>+[3]Sheet1!E105</f>
        <v>9297.0177624703629</v>
      </c>
      <c r="I105">
        <f>+[3]Sheet1!F105</f>
        <v>989817.8238767524</v>
      </c>
      <c r="J105">
        <f>+[3]Sheet1!G105</f>
        <v>327.23539907314421</v>
      </c>
      <c r="K105">
        <f>+[3]Sheet1!H105</f>
        <v>400.15234581683978</v>
      </c>
      <c r="L105">
        <f>+[3]Sheet1!I105</f>
        <v>178.73901823197201</v>
      </c>
      <c r="M105">
        <f>+[3]Sheet1!J105</f>
        <v>130634.6613498846</v>
      </c>
      <c r="N105">
        <f>+[3]Sheet1!K105</f>
        <v>295980.13329016918</v>
      </c>
      <c r="O105">
        <f>+[3]Sheet1!L105</f>
        <v>215645.4140209964</v>
      </c>
      <c r="P105">
        <f>+[3]Sheet1!M105</f>
        <v>1.005678615127866</v>
      </c>
      <c r="Q105">
        <f>+[3]Sheet1!N105</f>
        <v>2.4067286944877591</v>
      </c>
      <c r="R105">
        <f>+[3]Sheet1!O105</f>
        <v>1.788568837267476</v>
      </c>
      <c r="S105">
        <f>+[3]Sheet1!P105</f>
        <v>61837.537248881607</v>
      </c>
      <c r="T105">
        <f>+[3]Sheet1!Q105</f>
        <v>54480.519493024993</v>
      </c>
      <c r="U105">
        <f>+[3]Sheet1!R105</f>
        <v>0.62424850227851403</v>
      </c>
      <c r="V105">
        <f>+[3]Sheet1!S105</f>
        <v>0.59687560067610868</v>
      </c>
      <c r="W105">
        <f>+[3]Sheet1!T105</f>
        <v>1871485.306812915</v>
      </c>
      <c r="X105">
        <f>+[3]Sheet1!U105</f>
        <v>25.90980748885384</v>
      </c>
      <c r="Y105">
        <f>+[3]Sheet1!V105</f>
        <v>4834852.5221037846</v>
      </c>
      <c r="Z105">
        <f>+[3]Sheet1!W105</f>
        <v>40.566068704387582</v>
      </c>
      <c r="AA105">
        <f>+[3]Sheet1!X105</f>
        <v>7774817.3073163629</v>
      </c>
      <c r="AB105">
        <f>+[3]Sheet1!Y105</f>
        <v>65.886137140366017</v>
      </c>
      <c r="AC105">
        <f>+[3]Sheet1!Z105</f>
        <v>0.34025414196107201</v>
      </c>
      <c r="AD105">
        <f>+[3]Sheet1!AA105</f>
        <v>62020.024813158001</v>
      </c>
      <c r="AE105">
        <f>+[3]Sheet1!AB105</f>
        <v>140454.04349372879</v>
      </c>
      <c r="AF105">
        <f>+[3]Sheet1!AC105</f>
        <v>157.2627775514232</v>
      </c>
      <c r="AG105">
        <f>+[3]Sheet1!AD105</f>
        <v>119.09377781762009</v>
      </c>
      <c r="AH105" s="16">
        <f>+[3]Sheet1!AE105</f>
        <v>159.10156954518331</v>
      </c>
      <c r="AI105" s="16">
        <f>+[3]Sheet1!AF105</f>
        <v>337.0476752019274</v>
      </c>
      <c r="AJ105" s="16">
        <f>+[3]Sheet1!AG105</f>
        <v>177.47689588097239</v>
      </c>
      <c r="AK105" s="16">
        <f>+[3]Sheet1!AH105</f>
        <v>89.179107209936817</v>
      </c>
      <c r="AL105" s="16">
        <f>+[3]Sheet1!AI105</f>
        <v>85.771788938145079</v>
      </c>
      <c r="AM105" s="16">
        <f>+[3]Sheet1!AJ105</f>
        <v>149.20055541881339</v>
      </c>
      <c r="AN105" s="16">
        <f>+[3]Sheet1!AK105</f>
        <v>96.938340596271942</v>
      </c>
      <c r="AO105" s="16">
        <f>+[3]Sheet1!AL105</f>
        <v>202.0076414788696</v>
      </c>
      <c r="AP105" s="16">
        <f>+[3]Sheet1!AM105</f>
        <v>198.28543538181259</v>
      </c>
      <c r="AQ105" s="16">
        <f>+[3]Sheet1!AN105</f>
        <v>174.1373466203485</v>
      </c>
      <c r="AR105" s="16">
        <f>+[3]Sheet1!AO105</f>
        <v>157.96447525748599</v>
      </c>
      <c r="AS105" s="16">
        <f>+[3]Sheet1!AP105</f>
        <v>124.1392486692659</v>
      </c>
      <c r="AT105" s="16">
        <f>+[3]Sheet1!AQ105</f>
        <v>38.348436578273073</v>
      </c>
      <c r="AU105" s="16">
        <f>+[3]Sheet1!AR105</f>
        <v>130.78195136659389</v>
      </c>
      <c r="AV105" s="16">
        <f>+[3]Sheet1!AS105</f>
        <v>97.783432090098813</v>
      </c>
      <c r="AW105" s="16">
        <f>+[3]Sheet1!AT105</f>
        <v>3420744.9578593541</v>
      </c>
      <c r="AX105" s="16">
        <f>+base_mensual!AY105</f>
        <v>1538</v>
      </c>
      <c r="AY105">
        <f>+base_mensual!AZ105</f>
        <v>1.85</v>
      </c>
      <c r="AZ105">
        <f>+[3]Sheet1!AX105</f>
        <v>141.41718495391871</v>
      </c>
    </row>
    <row r="106" spans="1:52" x14ac:dyDescent="0.25">
      <c r="A106" s="2">
        <f>+base_mensual!A106</f>
        <v>44469</v>
      </c>
      <c r="B106" s="1">
        <f>+base_mensual!B106</f>
        <v>1.9707112145431527E-2</v>
      </c>
      <c r="C106">
        <f>+base_mensual!AE106</f>
        <v>155.30310706352802</v>
      </c>
      <c r="D106">
        <f>+base_mensual!H106</f>
        <v>185.51536010804901</v>
      </c>
      <c r="E106">
        <f>+[3]Sheet1!B106</f>
        <v>37233.050887069381</v>
      </c>
      <c r="F106">
        <f>+[3]Sheet1!C106</f>
        <v>20108.30159459346</v>
      </c>
      <c r="G106">
        <f>+[3]Sheet1!D106</f>
        <v>23525.70347620696</v>
      </c>
      <c r="H106">
        <f>+[3]Sheet1!E106</f>
        <v>9544.7586316420966</v>
      </c>
      <c r="I106">
        <f>+[3]Sheet1!F106</f>
        <v>1001189.274982578</v>
      </c>
      <c r="J106">
        <f>+[3]Sheet1!G106</f>
        <v>308.13573361266731</v>
      </c>
      <c r="K106">
        <f>+[3]Sheet1!H106</f>
        <v>421.92561995647219</v>
      </c>
      <c r="L106">
        <f>+[3]Sheet1!I106</f>
        <v>196.76681823461479</v>
      </c>
      <c r="M106">
        <f>+[3]Sheet1!J106</f>
        <v>107802.8058567573</v>
      </c>
      <c r="N106">
        <f>+[3]Sheet1!K106</f>
        <v>309614.3815780147</v>
      </c>
      <c r="O106">
        <f>+[3]Sheet1!L106</f>
        <v>243303.06191439799</v>
      </c>
      <c r="P106">
        <f>+[3]Sheet1!M106</f>
        <v>0.88987701198771818</v>
      </c>
      <c r="Q106">
        <f>+[3]Sheet1!N106</f>
        <v>2.5007250258074381</v>
      </c>
      <c r="R106">
        <f>+[3]Sheet1!O106</f>
        <v>1.804284777448274</v>
      </c>
      <c r="S106">
        <f>+[3]Sheet1!P106</f>
        <v>66039.578444012164</v>
      </c>
      <c r="T106">
        <f>+[3]Sheet1!Q106</f>
        <v>70798.321792846909</v>
      </c>
      <c r="U106">
        <f>+[3]Sheet1!R106</f>
        <v>0.65516037914413572</v>
      </c>
      <c r="V106">
        <f>+[3]Sheet1!S106</f>
        <v>0.63920177037970116</v>
      </c>
      <c r="W106">
        <f>+[3]Sheet1!T106</f>
        <v>3142543.6272702329</v>
      </c>
      <c r="X106">
        <f>+[3]Sheet1!U106</f>
        <v>27.5008444287717</v>
      </c>
      <c r="Y106">
        <f>+[3]Sheet1!V106</f>
        <v>4760446.3256026059</v>
      </c>
      <c r="Z106">
        <f>+[3]Sheet1!W106</f>
        <v>40.339785604979582</v>
      </c>
      <c r="AA106">
        <f>+[3]Sheet1!X106</f>
        <v>7663250.5719179679</v>
      </c>
      <c r="AB106">
        <f>+[3]Sheet1!Y106</f>
        <v>65.303565774160802</v>
      </c>
      <c r="AC106">
        <f>+[3]Sheet1!Z106</f>
        <v>0.33105769913097138</v>
      </c>
      <c r="AD106">
        <f>+[3]Sheet1!AA106</f>
        <v>61968.453824642616</v>
      </c>
      <c r="AE106">
        <f>+[3]Sheet1!AB106</f>
        <v>149194.6554807651</v>
      </c>
      <c r="AF106">
        <f>+[3]Sheet1!AC106</f>
        <v>160.34895278397599</v>
      </c>
      <c r="AG106">
        <f>+[3]Sheet1!AD106</f>
        <v>122.1033044244038</v>
      </c>
      <c r="AH106" s="16">
        <f>+[3]Sheet1!AE106</f>
        <v>159.76100370218921</v>
      </c>
      <c r="AI106" s="16">
        <f>+[3]Sheet1!AF106</f>
        <v>358.58010377796978</v>
      </c>
      <c r="AJ106" s="16">
        <f>+[3]Sheet1!AG106</f>
        <v>181.0672630520007</v>
      </c>
      <c r="AK106" s="16">
        <f>+[3]Sheet1!AH106</f>
        <v>90.790374396213764</v>
      </c>
      <c r="AL106" s="16">
        <f>+[3]Sheet1!AI106</f>
        <v>86.175458362381619</v>
      </c>
      <c r="AM106" s="16">
        <f>+[3]Sheet1!AJ106</f>
        <v>150.64875985170099</v>
      </c>
      <c r="AN106" s="16">
        <f>+[3]Sheet1!AK106</f>
        <v>98.326517803921519</v>
      </c>
      <c r="AO106" s="16">
        <f>+[3]Sheet1!AL106</f>
        <v>203.7551261035494</v>
      </c>
      <c r="AP106" s="16">
        <f>+[3]Sheet1!AM106</f>
        <v>202.39649041759091</v>
      </c>
      <c r="AQ106" s="16">
        <f>+[3]Sheet1!AN106</f>
        <v>177.9410014742711</v>
      </c>
      <c r="AR106" s="16">
        <f>+[3]Sheet1!AO106</f>
        <v>158.77058869764991</v>
      </c>
      <c r="AS106" s="16">
        <f>+[3]Sheet1!AP106</f>
        <v>137.6484973198497</v>
      </c>
      <c r="AT106" s="16">
        <f>+[3]Sheet1!AQ106</f>
        <v>39.183869687066107</v>
      </c>
      <c r="AU106" s="16">
        <f>+[3]Sheet1!AR106</f>
        <v>131.83194901698019</v>
      </c>
      <c r="AV106" s="16">
        <f>+[3]Sheet1!AS106</f>
        <v>98.297401118968082</v>
      </c>
      <c r="AW106" s="16">
        <f>+[3]Sheet1!AT106</f>
        <v>3629221.1274254988</v>
      </c>
      <c r="AX106" s="16">
        <f>+base_mensual!AY106</f>
        <v>1619</v>
      </c>
      <c r="AY106">
        <f>+base_mensual!AZ106</f>
        <v>1.58</v>
      </c>
      <c r="AZ106">
        <f>+[3]Sheet1!AX106</f>
        <v>144.2759959667128</v>
      </c>
    </row>
    <row r="107" spans="1:52" x14ac:dyDescent="0.25">
      <c r="A107" s="2">
        <f>+base_mensual!A107</f>
        <v>44498</v>
      </c>
      <c r="B107" s="1">
        <f>+base_mensual!B107</f>
        <v>2.5010150428882438E-2</v>
      </c>
      <c r="C107">
        <f>+base_mensual!AE107</f>
        <v>153.83919960469541</v>
      </c>
      <c r="D107">
        <f>+base_mensual!H107</f>
        <v>188.220276492279</v>
      </c>
      <c r="E107">
        <f>+[3]Sheet1!B107</f>
        <v>36813.870397957588</v>
      </c>
      <c r="F107">
        <f>+[3]Sheet1!C107</f>
        <v>21946.48951838207</v>
      </c>
      <c r="G107">
        <f>+[3]Sheet1!D107</f>
        <v>24268.741245368201</v>
      </c>
      <c r="H107">
        <f>+[3]Sheet1!E107</f>
        <v>8530.9693194911397</v>
      </c>
      <c r="I107">
        <f>+[3]Sheet1!F107</f>
        <v>1038206.481404952</v>
      </c>
      <c r="J107">
        <f>+[3]Sheet1!G107</f>
        <v>297.90826778296798</v>
      </c>
      <c r="K107">
        <f>+[3]Sheet1!H107</f>
        <v>414.64693637455957</v>
      </c>
      <c r="L107">
        <f>+[3]Sheet1!I107</f>
        <v>201.2071528562625</v>
      </c>
      <c r="M107">
        <f>+[3]Sheet1!J107</f>
        <v>111380.0807611467</v>
      </c>
      <c r="N107">
        <f>+[3]Sheet1!K107</f>
        <v>302645.26644207642</v>
      </c>
      <c r="O107">
        <f>+[3]Sheet1!L107</f>
        <v>209717.96602119631</v>
      </c>
      <c r="P107">
        <f>+[3]Sheet1!M107</f>
        <v>1.011406434781029</v>
      </c>
      <c r="Q107">
        <f>+[3]Sheet1!N107</f>
        <v>2.3322051592085198</v>
      </c>
      <c r="R107">
        <f>+[3]Sheet1!O107</f>
        <v>1.7808361895286899</v>
      </c>
      <c r="S107">
        <f>+[3]Sheet1!P107</f>
        <v>75491.639813447109</v>
      </c>
      <c r="T107">
        <f>+[3]Sheet1!Q107</f>
        <v>100229.8185082424</v>
      </c>
      <c r="U107">
        <f>+[3]Sheet1!R107</f>
        <v>0.67808299033466168</v>
      </c>
      <c r="V107">
        <f>+[3]Sheet1!S107</f>
        <v>0.67785708603594574</v>
      </c>
      <c r="W107">
        <f>+[3]Sheet1!T107</f>
        <v>3254088.4134542351</v>
      </c>
      <c r="X107">
        <f>+[3]Sheet1!U107</f>
        <v>28.602500142176119</v>
      </c>
      <c r="Y107">
        <f>+[3]Sheet1!V107</f>
        <v>5036916.7473923136</v>
      </c>
      <c r="Z107">
        <f>+[3]Sheet1!W107</f>
        <v>40.806391624564782</v>
      </c>
      <c r="AA107">
        <f>+[3]Sheet1!X107</f>
        <v>8316151.9830912473</v>
      </c>
      <c r="AB107">
        <f>+[3]Sheet1!Y107</f>
        <v>64.418010901832901</v>
      </c>
      <c r="AC107">
        <f>+[3]Sheet1!Z107</f>
        <v>0.32750366698692529</v>
      </c>
      <c r="AD107">
        <f>+[3]Sheet1!AA107</f>
        <v>62383.148113310017</v>
      </c>
      <c r="AE107">
        <f>+[3]Sheet1!AB107</f>
        <v>138721.81693921459</v>
      </c>
      <c r="AF107">
        <f>+[3]Sheet1!AC107</f>
        <v>154.88510814869511</v>
      </c>
      <c r="AG107">
        <f>+[3]Sheet1!AD107</f>
        <v>122.3132772404844</v>
      </c>
      <c r="AH107" s="16">
        <f>+[3]Sheet1!AE107</f>
        <v>157.59113629505541</v>
      </c>
      <c r="AI107" s="16">
        <f>+[3]Sheet1!AF107</f>
        <v>337.02556211263021</v>
      </c>
      <c r="AJ107" s="16">
        <f>+[3]Sheet1!AG107</f>
        <v>175.72419819122641</v>
      </c>
      <c r="AK107" s="16">
        <f>+[3]Sheet1!AH107</f>
        <v>84.337325503263514</v>
      </c>
      <c r="AL107" s="16">
        <f>+[3]Sheet1!AI107</f>
        <v>85.735296938183467</v>
      </c>
      <c r="AM107" s="16">
        <f>+[3]Sheet1!AJ107</f>
        <v>148.42964880297529</v>
      </c>
      <c r="AN107" s="16">
        <f>+[3]Sheet1!AK107</f>
        <v>101.8586500278366</v>
      </c>
      <c r="AO107" s="16">
        <f>+[3]Sheet1!AL107</f>
        <v>198.2677499135068</v>
      </c>
      <c r="AP107" s="16">
        <f>+[3]Sheet1!AM107</f>
        <v>204.63192785411661</v>
      </c>
      <c r="AQ107" s="16">
        <f>+[3]Sheet1!AN107</f>
        <v>178.43517133700689</v>
      </c>
      <c r="AR107" s="16">
        <f>+[3]Sheet1!AO107</f>
        <v>156.33914759690481</v>
      </c>
      <c r="AS107" s="16">
        <f>+[3]Sheet1!AP107</f>
        <v>135.97254502736911</v>
      </c>
      <c r="AT107" s="16">
        <f>+[3]Sheet1!AQ107</f>
        <v>39.245565477345529</v>
      </c>
      <c r="AU107" s="16">
        <f>+[3]Sheet1!AR107</f>
        <v>131.7469965435551</v>
      </c>
      <c r="AV107" s="16">
        <f>+[3]Sheet1!AS107</f>
        <v>97.982421733195153</v>
      </c>
      <c r="AW107" s="16">
        <f>+[3]Sheet1!AT107</f>
        <v>3412583.2400891948</v>
      </c>
      <c r="AX107" s="16">
        <f>+base_mensual!AY107</f>
        <v>1712</v>
      </c>
      <c r="AY107">
        <f>+base_mensual!AZ107</f>
        <v>1.52</v>
      </c>
      <c r="AZ107">
        <f>+[3]Sheet1!AX107</f>
        <v>143.6889814925245</v>
      </c>
    </row>
    <row r="108" spans="1:52" x14ac:dyDescent="0.25">
      <c r="A108" s="2">
        <f>+base_mensual!A108</f>
        <v>44530</v>
      </c>
      <c r="B108" s="1">
        <f>+base_mensual!B108</f>
        <v>2.5010150428882438E-2</v>
      </c>
      <c r="C108">
        <f>+base_mensual!AE108</f>
        <v>155.84283028490344</v>
      </c>
      <c r="D108">
        <f>+base_mensual!H108</f>
        <v>189.90745602706701</v>
      </c>
      <c r="E108">
        <f>+[3]Sheet1!B108</f>
        <v>40030.59536145904</v>
      </c>
      <c r="F108">
        <f>+[3]Sheet1!C108</f>
        <v>30445.434056990311</v>
      </c>
      <c r="G108">
        <f>+[3]Sheet1!D108</f>
        <v>27711.339529938559</v>
      </c>
      <c r="H108">
        <f>+[3]Sheet1!E108</f>
        <v>8807.2636500648823</v>
      </c>
      <c r="I108">
        <f>+[3]Sheet1!F108</f>
        <v>1081172.8174983719</v>
      </c>
      <c r="J108">
        <f>+[3]Sheet1!G108</f>
        <v>305.11836978292979</v>
      </c>
      <c r="K108">
        <f>+[3]Sheet1!H108</f>
        <v>429.68970903308241</v>
      </c>
      <c r="L108">
        <f>+[3]Sheet1!I108</f>
        <v>197.3874087985063</v>
      </c>
      <c r="M108">
        <f>+[3]Sheet1!J108</f>
        <v>186302.26921994201</v>
      </c>
      <c r="N108">
        <f>+[3]Sheet1!K108</f>
        <v>324074.88634891761</v>
      </c>
      <c r="O108">
        <f>+[3]Sheet1!L108</f>
        <v>216101.97348773101</v>
      </c>
      <c r="P108">
        <f>+[3]Sheet1!M108</f>
        <v>0.99787412112909957</v>
      </c>
      <c r="Q108">
        <f>+[3]Sheet1!N108</f>
        <v>2.5100700404766569</v>
      </c>
      <c r="R108">
        <f>+[3]Sheet1!O108</f>
        <v>1.8508806799530471</v>
      </c>
      <c r="S108">
        <f>+[3]Sheet1!P108</f>
        <v>53840.239622778863</v>
      </c>
      <c r="T108">
        <f>+[3]Sheet1!Q108</f>
        <v>77769.468585113253</v>
      </c>
      <c r="U108">
        <f>+[3]Sheet1!R108</f>
        <v>0.53490657137561715</v>
      </c>
      <c r="V108">
        <f>+[3]Sheet1!S108</f>
        <v>0.62473719652819582</v>
      </c>
      <c r="W108">
        <f>+[3]Sheet1!T108</f>
        <v>3345161.5646687322</v>
      </c>
      <c r="X108">
        <f>+[3]Sheet1!U108</f>
        <v>22.207467121135629</v>
      </c>
      <c r="Y108">
        <f>+[3]Sheet1!V108</f>
        <v>5412870.2265365887</v>
      </c>
      <c r="Z108">
        <f>+[3]Sheet1!W108</f>
        <v>39.9264260270592</v>
      </c>
      <c r="AA108">
        <f>+[3]Sheet1!X108</f>
        <v>8943248.0719650574</v>
      </c>
      <c r="AB108">
        <f>+[3]Sheet1!Y108</f>
        <v>66.729795880399877</v>
      </c>
      <c r="AC108">
        <f>+[3]Sheet1!Z108</f>
        <v>0.32462848845957221</v>
      </c>
      <c r="AD108">
        <f>+[3]Sheet1!AA108</f>
        <v>61710.89009404496</v>
      </c>
      <c r="AE108">
        <f>+[3]Sheet1!AB108</f>
        <v>156973.4208626578</v>
      </c>
      <c r="AF108">
        <f>+[3]Sheet1!AC108</f>
        <v>161.1512328730534</v>
      </c>
      <c r="AG108">
        <f>+[3]Sheet1!AD108</f>
        <v>123.3462498116244</v>
      </c>
      <c r="AH108" s="16">
        <f>+[3]Sheet1!AE108</f>
        <v>160.5937236756937</v>
      </c>
      <c r="AI108" s="16">
        <f>+[3]Sheet1!AF108</f>
        <v>359.49096464138148</v>
      </c>
      <c r="AJ108" s="16">
        <f>+[3]Sheet1!AG108</f>
        <v>180.13443340898209</v>
      </c>
      <c r="AK108" s="16">
        <f>+[3]Sheet1!AH108</f>
        <v>96.750757965064736</v>
      </c>
      <c r="AL108" s="16">
        <f>+[3]Sheet1!AI108</f>
        <v>86.359219585701538</v>
      </c>
      <c r="AM108" s="16">
        <f>+[3]Sheet1!AJ108</f>
        <v>151.68506624801429</v>
      </c>
      <c r="AN108" s="16">
        <f>+[3]Sheet1!AK108</f>
        <v>100.2938653770435</v>
      </c>
      <c r="AO108" s="16">
        <f>+[3]Sheet1!AL108</f>
        <v>212.71768795247661</v>
      </c>
      <c r="AP108" s="16">
        <f>+[3]Sheet1!AM108</f>
        <v>210.92858397710049</v>
      </c>
      <c r="AQ108" s="16">
        <f>+[3]Sheet1!AN108</f>
        <v>183.54239104295431</v>
      </c>
      <c r="AR108" s="16">
        <f>+[3]Sheet1!AO108</f>
        <v>156.15187947244721</v>
      </c>
      <c r="AS108" s="16">
        <f>+[3]Sheet1!AP108</f>
        <v>147.71112697352751</v>
      </c>
      <c r="AT108" s="16">
        <f>+[3]Sheet1!AQ108</f>
        <v>38.216732603302752</v>
      </c>
      <c r="AU108" s="16">
        <f>+[3]Sheet1!AR108</f>
        <v>134.4478161680934</v>
      </c>
      <c r="AV108" s="16">
        <f>+[3]Sheet1!AS108</f>
        <v>99.365388772188197</v>
      </c>
      <c r="AW108" s="16">
        <f>+[3]Sheet1!AT108</f>
        <v>3386535.2452923199</v>
      </c>
      <c r="AX108" s="16">
        <f>+base_mensual!AY108</f>
        <v>1872</v>
      </c>
      <c r="AY108">
        <f>+base_mensual!AZ108</f>
        <v>1.45</v>
      </c>
      <c r="AZ108">
        <f>+[3]Sheet1!AX108</f>
        <v>146.69936236507041</v>
      </c>
    </row>
    <row r="109" spans="1:52" x14ac:dyDescent="0.25">
      <c r="A109" s="2">
        <f>+base_mensual!A109</f>
        <v>44561</v>
      </c>
      <c r="B109" s="1">
        <f>+base_mensual!B109</f>
        <v>2.5010150428882438E-2</v>
      </c>
      <c r="C109">
        <f>+base_mensual!AE109</f>
        <v>158.98914156966958</v>
      </c>
      <c r="D109">
        <f>+base_mensual!H109</f>
        <v>197.92973595523799</v>
      </c>
      <c r="E109">
        <f>+[3]Sheet1!B109</f>
        <v>50430.337242427428</v>
      </c>
      <c r="F109">
        <f>+[3]Sheet1!C109</f>
        <v>21843.256415034939</v>
      </c>
      <c r="G109">
        <f>+[3]Sheet1!D109</f>
        <v>28486.332422212221</v>
      </c>
      <c r="H109">
        <f>+[3]Sheet1!E109</f>
        <v>9487.79096736871</v>
      </c>
      <c r="I109">
        <f>+[3]Sheet1!F109</f>
        <v>1128425.1513122551</v>
      </c>
      <c r="J109">
        <f>+[3]Sheet1!G109</f>
        <v>313.12809682294909</v>
      </c>
      <c r="K109">
        <f>+[3]Sheet1!H109</f>
        <v>434.06737508680197</v>
      </c>
      <c r="L109">
        <f>+[3]Sheet1!I109</f>
        <v>203.6114030334202</v>
      </c>
      <c r="M109">
        <f>+[3]Sheet1!J109</f>
        <v>121206.4008325991</v>
      </c>
      <c r="N109">
        <f>+[3]Sheet1!K109</f>
        <v>340528.6816858119</v>
      </c>
      <c r="O109">
        <f>+[3]Sheet1!L109</f>
        <v>265071.32506673649</v>
      </c>
      <c r="P109">
        <f>+[3]Sheet1!M109</f>
        <v>0.98468572392043363</v>
      </c>
      <c r="Q109">
        <f>+[3]Sheet1!N109</f>
        <v>2.6686357596140149</v>
      </c>
      <c r="R109">
        <f>+[3]Sheet1!O109</f>
        <v>1.8056251753775949</v>
      </c>
      <c r="S109">
        <f>+[3]Sheet1!P109</f>
        <v>74238.387158530255</v>
      </c>
      <c r="T109">
        <f>+[3]Sheet1!Q109</f>
        <v>82151.986101001545</v>
      </c>
      <c r="U109">
        <f>+[3]Sheet1!R109</f>
        <v>0.59823948033346563</v>
      </c>
      <c r="V109">
        <f>+[3]Sheet1!S109</f>
        <v>0.58177722454948821</v>
      </c>
      <c r="W109">
        <f>+[3]Sheet1!T109</f>
        <v>3501239.5892969929</v>
      </c>
      <c r="X109">
        <f>+[3]Sheet1!U109</f>
        <v>24.858588425323589</v>
      </c>
      <c r="Y109">
        <f>+[3]Sheet1!V109</f>
        <v>5357557.886420643</v>
      </c>
      <c r="Z109">
        <f>+[3]Sheet1!W109</f>
        <v>40.161355722955768</v>
      </c>
      <c r="AA109">
        <f>+[3]Sheet1!X109</f>
        <v>7673195.3575579459</v>
      </c>
      <c r="AB109">
        <f>+[3]Sheet1!Y109</f>
        <v>66.960679240488432</v>
      </c>
      <c r="AC109">
        <f>+[3]Sheet1!Z109</f>
        <v>0.34112227174851811</v>
      </c>
      <c r="AD109">
        <f>+[3]Sheet1!AA109</f>
        <v>61834.413615436279</v>
      </c>
      <c r="AE109">
        <f>+[3]Sheet1!AB109</f>
        <v>156549.14967221959</v>
      </c>
      <c r="AF109">
        <f>+[3]Sheet1!AC109</f>
        <v>162.66179410484619</v>
      </c>
      <c r="AG109">
        <f>+[3]Sheet1!AD109</f>
        <v>135.2235521445146</v>
      </c>
      <c r="AH109" s="16">
        <f>+[3]Sheet1!AE109</f>
        <v>158.06005673013721</v>
      </c>
      <c r="AI109" s="16">
        <f>+[3]Sheet1!AF109</f>
        <v>400.37006175288502</v>
      </c>
      <c r="AJ109" s="16">
        <f>+[3]Sheet1!AG109</f>
        <v>181.5664060824738</v>
      </c>
      <c r="AK109" s="16">
        <f>+[3]Sheet1!AH109</f>
        <v>95.959669707990315</v>
      </c>
      <c r="AL109" s="16">
        <f>+[3]Sheet1!AI109</f>
        <v>87.494674988821131</v>
      </c>
      <c r="AM109" s="16">
        <f>+[3]Sheet1!AJ109</f>
        <v>148.39290318136619</v>
      </c>
      <c r="AN109" s="16">
        <f>+[3]Sheet1!AK109</f>
        <v>98.766389341346851</v>
      </c>
      <c r="AO109" s="16">
        <f>+[3]Sheet1!AL109</f>
        <v>190.92384907649179</v>
      </c>
      <c r="AP109" s="16">
        <f>+[3]Sheet1!AM109</f>
        <v>209.42588094938719</v>
      </c>
      <c r="AQ109" s="16">
        <f>+[3]Sheet1!AN109</f>
        <v>185.1042692570889</v>
      </c>
      <c r="AR109" s="16">
        <f>+[3]Sheet1!AO109</f>
        <v>164.85849512880591</v>
      </c>
      <c r="AS109" s="16">
        <f>+[3]Sheet1!AP109</f>
        <v>173.95517787630729</v>
      </c>
      <c r="AT109" s="16">
        <f>+[3]Sheet1!AQ109</f>
        <v>38.085916794869277</v>
      </c>
      <c r="AU109" s="16">
        <f>+[3]Sheet1!AR109</f>
        <v>133.42559860181359</v>
      </c>
      <c r="AV109" s="16">
        <f>+[3]Sheet1!AS109</f>
        <v>98.191715451393875</v>
      </c>
      <c r="AW109" s="16">
        <f>+[3]Sheet1!AT109</f>
        <v>3274735.860285386</v>
      </c>
      <c r="AX109" s="16">
        <f>+base_mensual!AY109</f>
        <v>1688</v>
      </c>
      <c r="AY109">
        <f>+base_mensual!AZ109</f>
        <v>1.42</v>
      </c>
      <c r="AZ109">
        <f>+[3]Sheet1!AX109</f>
        <v>150.30999009523609</v>
      </c>
    </row>
    <row r="110" spans="1:52" x14ac:dyDescent="0.25">
      <c r="A110" s="2">
        <f>+base_mensual!A110</f>
        <v>44592</v>
      </c>
      <c r="B110" s="1">
        <f>+base_mensual!B110</f>
        <v>1.874703148602741E-2</v>
      </c>
      <c r="C110">
        <f>+base_mensual!AE110</f>
        <v>156.84246101771828</v>
      </c>
      <c r="D110">
        <f>+base_mensual!H110</f>
        <v>189.73793995485701</v>
      </c>
      <c r="E110">
        <f>+[3]Sheet1!B110</f>
        <v>40074.015816043822</v>
      </c>
      <c r="F110">
        <f>+[3]Sheet1!C110</f>
        <v>21232.93503371927</v>
      </c>
      <c r="G110">
        <f>+[3]Sheet1!D110</f>
        <v>27953.11656846627</v>
      </c>
      <c r="H110">
        <f>+[3]Sheet1!E110</f>
        <v>8963.8607000459178</v>
      </c>
      <c r="I110">
        <f>+[3]Sheet1!F110</f>
        <v>996436.16071887675</v>
      </c>
      <c r="J110">
        <f>+[3]Sheet1!G110</f>
        <v>319.15200593829798</v>
      </c>
      <c r="K110">
        <f>+[3]Sheet1!H110</f>
        <v>357.96522886706072</v>
      </c>
      <c r="L110">
        <f>+[3]Sheet1!I110</f>
        <v>185.79889111943189</v>
      </c>
      <c r="M110">
        <f>+[3]Sheet1!J110</f>
        <v>126527.70456078929</v>
      </c>
      <c r="N110">
        <f>+[3]Sheet1!K110</f>
        <v>343270.57790745958</v>
      </c>
      <c r="O110">
        <f>+[3]Sheet1!L110</f>
        <v>242811.68588108939</v>
      </c>
      <c r="P110">
        <f>+[3]Sheet1!M110</f>
        <v>0.92184460621191022</v>
      </c>
      <c r="Q110">
        <f>+[3]Sheet1!N110</f>
        <v>2.4375997249593269</v>
      </c>
      <c r="R110">
        <f>+[3]Sheet1!O110</f>
        <v>1.826828674176467</v>
      </c>
      <c r="S110">
        <f>+[3]Sheet1!P110</f>
        <v>88852.188598912457</v>
      </c>
      <c r="T110">
        <f>+[3]Sheet1!Q110</f>
        <v>89505.850719132141</v>
      </c>
      <c r="U110">
        <f>+[3]Sheet1!R110</f>
        <v>0.59131597119966006</v>
      </c>
      <c r="V110">
        <f>+[3]Sheet1!S110</f>
        <v>0.57763256766206972</v>
      </c>
      <c r="W110">
        <f>+[3]Sheet1!T110</f>
        <v>4532936.3802663414</v>
      </c>
      <c r="X110">
        <f>+[3]Sheet1!U110</f>
        <v>24.504057342472841</v>
      </c>
      <c r="Y110">
        <f>+[3]Sheet1!V110</f>
        <v>5605458.3179551046</v>
      </c>
      <c r="Z110">
        <f>+[3]Sheet1!W110</f>
        <v>41.842252290568929</v>
      </c>
      <c r="AA110">
        <f>+[3]Sheet1!X110</f>
        <v>8089109.1596565563</v>
      </c>
      <c r="AB110">
        <f>+[3]Sheet1!Y110</f>
        <v>66.522279417164242</v>
      </c>
      <c r="AC110">
        <f>+[3]Sheet1!Z110</f>
        <v>0.3880775827259324</v>
      </c>
      <c r="AD110">
        <f>+[3]Sheet1!AA110</f>
        <v>56661.621946963627</v>
      </c>
      <c r="AE110">
        <f>+[3]Sheet1!AB110</f>
        <v>125370.12181624561</v>
      </c>
      <c r="AF110">
        <f>+[3]Sheet1!AC110</f>
        <v>153.52176752872549</v>
      </c>
      <c r="AG110">
        <f>+[3]Sheet1!AD110</f>
        <v>118.5025118550324</v>
      </c>
      <c r="AH110" s="16">
        <f>+[3]Sheet1!AE110</f>
        <v>157.75921099248191</v>
      </c>
      <c r="AI110" s="16">
        <f>+[3]Sheet1!AF110</f>
        <v>353.86059730854601</v>
      </c>
      <c r="AJ110" s="16">
        <f>+[3]Sheet1!AG110</f>
        <v>171.6144124677603</v>
      </c>
      <c r="AK110" s="16">
        <f>+[3]Sheet1!AH110</f>
        <v>89.95442623929452</v>
      </c>
      <c r="AL110" s="16">
        <f>+[3]Sheet1!AI110</f>
        <v>85.683734150204714</v>
      </c>
      <c r="AM110" s="16">
        <f>+[3]Sheet1!AJ110</f>
        <v>140.34847243538991</v>
      </c>
      <c r="AN110" s="16">
        <f>+[3]Sheet1!AK110</f>
        <v>94.755168423856929</v>
      </c>
      <c r="AO110" s="16">
        <f>+[3]Sheet1!AL110</f>
        <v>206.95271635081619</v>
      </c>
      <c r="AP110" s="16">
        <f>+[3]Sheet1!AM110</f>
        <v>184.0290377185664</v>
      </c>
      <c r="AQ110" s="16">
        <f>+[3]Sheet1!AN110</f>
        <v>162.9644295962897</v>
      </c>
      <c r="AR110" s="16">
        <f>+[3]Sheet1!AO110</f>
        <v>154.8848131549336</v>
      </c>
      <c r="AS110" s="16">
        <f>+[3]Sheet1!AP110</f>
        <v>147.69200619186839</v>
      </c>
      <c r="AT110" s="16">
        <f>+[3]Sheet1!AQ110</f>
        <v>39.153644430394337</v>
      </c>
      <c r="AU110" s="16">
        <f>+[3]Sheet1!AR110</f>
        <v>131.74700029507451</v>
      </c>
      <c r="AV110" s="16">
        <f>+[3]Sheet1!AS110</f>
        <v>98.792808276074581</v>
      </c>
      <c r="AW110" s="16">
        <f>+[3]Sheet1!AT110</f>
        <v>3356523.940009668</v>
      </c>
      <c r="AX110" s="16">
        <f>+base_mensual!AY110</f>
        <v>1756</v>
      </c>
      <c r="AY110">
        <f>+base_mensual!AZ110</f>
        <v>1.54</v>
      </c>
      <c r="AZ110">
        <f>+[3]Sheet1!AX110</f>
        <v>146.8042426771822</v>
      </c>
    </row>
    <row r="111" spans="1:52" x14ac:dyDescent="0.25">
      <c r="A111" s="2">
        <f>+base_mensual!A111</f>
        <v>44620</v>
      </c>
      <c r="B111" s="1">
        <f>+base_mensual!B111</f>
        <v>1.874703148602741E-2</v>
      </c>
      <c r="C111">
        <f>+base_mensual!AE111</f>
        <v>163.22197071379017</v>
      </c>
      <c r="D111">
        <f>+base_mensual!H111</f>
        <v>199.91848276795599</v>
      </c>
      <c r="E111">
        <f>+[3]Sheet1!B111</f>
        <v>41179.588801842823</v>
      </c>
      <c r="F111">
        <f>+[3]Sheet1!C111</f>
        <v>23749.029967851911</v>
      </c>
      <c r="G111">
        <f>+[3]Sheet1!D111</f>
        <v>28330.318934763531</v>
      </c>
      <c r="H111">
        <f>+[3]Sheet1!E111</f>
        <v>8867.1273303466751</v>
      </c>
      <c r="I111">
        <f>+[3]Sheet1!F111</f>
        <v>1100016.4145534961</v>
      </c>
      <c r="J111">
        <f>+[3]Sheet1!G111</f>
        <v>269.51984813462332</v>
      </c>
      <c r="K111">
        <f>+[3]Sheet1!H111</f>
        <v>373.73810463324088</v>
      </c>
      <c r="L111">
        <f>+[3]Sheet1!I111</f>
        <v>192.41309932363731</v>
      </c>
      <c r="M111">
        <f>+[3]Sheet1!J111</f>
        <v>132154.4948856174</v>
      </c>
      <c r="N111">
        <f>+[3]Sheet1!K111</f>
        <v>349695.8291256646</v>
      </c>
      <c r="O111">
        <f>+[3]Sheet1!L111</f>
        <v>257649.56225121109</v>
      </c>
      <c r="P111">
        <f>+[3]Sheet1!M111</f>
        <v>1.0476416383073139</v>
      </c>
      <c r="Q111">
        <f>+[3]Sheet1!N111</f>
        <v>2.512103820572718</v>
      </c>
      <c r="R111">
        <f>+[3]Sheet1!O111</f>
        <v>1.871397978650938</v>
      </c>
      <c r="S111">
        <f>+[3]Sheet1!P111</f>
        <v>83697.752195289271</v>
      </c>
      <c r="T111">
        <f>+[3]Sheet1!Q111</f>
        <v>93283.344150027086</v>
      </c>
      <c r="U111">
        <f>+[3]Sheet1!R111</f>
        <v>0.61928879645016854</v>
      </c>
      <c r="V111">
        <f>+[3]Sheet1!S111</f>
        <v>0.6104573690063394</v>
      </c>
      <c r="W111">
        <f>+[3]Sheet1!T111</f>
        <v>3707686.7717153351</v>
      </c>
      <c r="X111">
        <f>+[3]Sheet1!U111</f>
        <v>25.908589364225129</v>
      </c>
      <c r="Y111">
        <f>+[3]Sheet1!V111</f>
        <v>5512914.4204773279</v>
      </c>
      <c r="Z111">
        <f>+[3]Sheet1!W111</f>
        <v>39.579194268034868</v>
      </c>
      <c r="AA111">
        <f>+[3]Sheet1!X111</f>
        <v>9654900.0017200056</v>
      </c>
      <c r="AB111">
        <f>+[3]Sheet1!Y111</f>
        <v>64.952727292324127</v>
      </c>
      <c r="AC111">
        <f>+[3]Sheet1!Z111</f>
        <v>0.41809497851715699</v>
      </c>
      <c r="AD111">
        <f>+[3]Sheet1!AA111</f>
        <v>62702.414419774519</v>
      </c>
      <c r="AE111">
        <f>+[3]Sheet1!AB111</f>
        <v>141759.1743040437</v>
      </c>
      <c r="AF111">
        <f>+[3]Sheet1!AC111</f>
        <v>161.47481099533121</v>
      </c>
      <c r="AG111">
        <f>+[3]Sheet1!AD111</f>
        <v>130.82424589100799</v>
      </c>
      <c r="AH111" s="16">
        <f>+[3]Sheet1!AE111</f>
        <v>162.11966589876161</v>
      </c>
      <c r="AI111" s="16">
        <f>+[3]Sheet1!AF111</f>
        <v>352.66524977075028</v>
      </c>
      <c r="AJ111" s="16">
        <f>+[3]Sheet1!AG111</f>
        <v>181.97659332753679</v>
      </c>
      <c r="AK111" s="16">
        <f>+[3]Sheet1!AH111</f>
        <v>90.364764670986261</v>
      </c>
      <c r="AL111" s="16">
        <f>+[3]Sheet1!AI111</f>
        <v>85.839575461998564</v>
      </c>
      <c r="AM111" s="16">
        <f>+[3]Sheet1!AJ111</f>
        <v>150.4625868316237</v>
      </c>
      <c r="AN111" s="16">
        <f>+[3]Sheet1!AK111</f>
        <v>84.713851530152127</v>
      </c>
      <c r="AO111" s="16">
        <f>+[3]Sheet1!AL111</f>
        <v>208.32377151652369</v>
      </c>
      <c r="AP111" s="16">
        <f>+[3]Sheet1!AM111</f>
        <v>208.24892686740759</v>
      </c>
      <c r="AQ111" s="16">
        <f>+[3]Sheet1!AN111</f>
        <v>168.4627603401799</v>
      </c>
      <c r="AR111" s="16">
        <f>+[3]Sheet1!AO111</f>
        <v>161.43134633923239</v>
      </c>
      <c r="AS111" s="16">
        <f>+[3]Sheet1!AP111</f>
        <v>151.04545480267919</v>
      </c>
      <c r="AT111" s="16">
        <f>+[3]Sheet1!AQ111</f>
        <v>39.732240462463928</v>
      </c>
      <c r="AU111" s="16">
        <f>+[3]Sheet1!AR111</f>
        <v>134.2613464087284</v>
      </c>
      <c r="AV111" s="16">
        <f>+[3]Sheet1!AS111</f>
        <v>97.933911264458033</v>
      </c>
      <c r="AW111" s="16">
        <f>+[3]Sheet1!AT111</f>
        <v>3347676.24401019</v>
      </c>
      <c r="AX111" s="16">
        <f>+base_mensual!AY111</f>
        <v>1795</v>
      </c>
      <c r="AY111">
        <f>+base_mensual!AZ111</f>
        <v>1.49</v>
      </c>
      <c r="AZ111">
        <f>+[3]Sheet1!AX111</f>
        <v>149.71986838897121</v>
      </c>
    </row>
    <row r="112" spans="1:52" x14ac:dyDescent="0.25">
      <c r="A112" s="2">
        <f>+base_mensual!A112</f>
        <v>44651</v>
      </c>
      <c r="B112" s="1">
        <f>+base_mensual!B112</f>
        <v>1.874703148602741E-2</v>
      </c>
      <c r="C112">
        <f>+base_mensual!AE112</f>
        <v>162.13442557196794</v>
      </c>
      <c r="D112">
        <f>+base_mensual!H112</f>
        <v>193.61818831390099</v>
      </c>
      <c r="E112">
        <f>+[3]Sheet1!B112</f>
        <v>41589.854825748247</v>
      </c>
      <c r="F112">
        <f>+[3]Sheet1!C112</f>
        <v>22942.178027960879</v>
      </c>
      <c r="G112">
        <f>+[3]Sheet1!D112</f>
        <v>30933.426849103049</v>
      </c>
      <c r="H112">
        <f>+[3]Sheet1!E112</f>
        <v>8677.9173873510954</v>
      </c>
      <c r="I112">
        <f>+[3]Sheet1!F112</f>
        <v>1051346.2327817201</v>
      </c>
      <c r="J112">
        <f>+[3]Sheet1!G112</f>
        <v>291.9881415756654</v>
      </c>
      <c r="K112">
        <f>+[3]Sheet1!H112</f>
        <v>422.59497840129859</v>
      </c>
      <c r="L112">
        <f>+[3]Sheet1!I112</f>
        <v>198.71159695141</v>
      </c>
      <c r="M112">
        <f>+[3]Sheet1!J112</f>
        <v>187747.45165764939</v>
      </c>
      <c r="N112">
        <f>+[3]Sheet1!K112</f>
        <v>395107.26276326057</v>
      </c>
      <c r="O112">
        <f>+[3]Sheet1!L112</f>
        <v>251615.46790801341</v>
      </c>
      <c r="P112">
        <f>+[3]Sheet1!M112</f>
        <v>1.290123667747259</v>
      </c>
      <c r="Q112">
        <f>+[3]Sheet1!N112</f>
        <v>2.5224944795995059</v>
      </c>
      <c r="R112">
        <f>+[3]Sheet1!O112</f>
        <v>1.8597277717521279</v>
      </c>
      <c r="S112">
        <f>+[3]Sheet1!P112</f>
        <v>91070.671392430784</v>
      </c>
      <c r="T112">
        <f>+[3]Sheet1!Q112</f>
        <v>94981.043247625552</v>
      </c>
      <c r="U112">
        <f>+[3]Sheet1!R112</f>
        <v>0.65223991832081063</v>
      </c>
      <c r="V112">
        <f>+[3]Sheet1!S112</f>
        <v>0.66009577126036489</v>
      </c>
      <c r="W112">
        <f>+[3]Sheet1!T112</f>
        <v>3824464.6878704941</v>
      </c>
      <c r="X112">
        <f>+[3]Sheet1!U112</f>
        <v>27.261171795105689</v>
      </c>
      <c r="Y112">
        <f>+[3]Sheet1!V112</f>
        <v>5923782.7568855947</v>
      </c>
      <c r="Z112">
        <f>+[3]Sheet1!W112</f>
        <v>38.792097145822439</v>
      </c>
      <c r="AA112">
        <f>+[3]Sheet1!X112</f>
        <v>9774129.6070721932</v>
      </c>
      <c r="AB112">
        <f>+[3]Sheet1!Y112</f>
        <v>63.305285234604817</v>
      </c>
      <c r="AC112">
        <f>+[3]Sheet1!Z112</f>
        <v>0.44848342863153878</v>
      </c>
      <c r="AD112">
        <f>+[3]Sheet1!AA112</f>
        <v>64271.48002244113</v>
      </c>
      <c r="AE112">
        <f>+[3]Sheet1!AB112</f>
        <v>131514.61126188701</v>
      </c>
      <c r="AF112">
        <f>+[3]Sheet1!AC112</f>
        <v>169.4822172205495</v>
      </c>
      <c r="AG112">
        <f>+[3]Sheet1!AD112</f>
        <v>138.20168304063981</v>
      </c>
      <c r="AH112" s="16">
        <f>+[3]Sheet1!AE112</f>
        <v>158.10345840027071</v>
      </c>
      <c r="AI112" s="16">
        <f>+[3]Sheet1!AF112</f>
        <v>362.71507707580082</v>
      </c>
      <c r="AJ112" s="16">
        <f>+[3]Sheet1!AG112</f>
        <v>181.5074765670864</v>
      </c>
      <c r="AK112" s="16">
        <f>+[3]Sheet1!AH112</f>
        <v>94.820518140626376</v>
      </c>
      <c r="AL112" s="16">
        <f>+[3]Sheet1!AI112</f>
        <v>85.977551444853603</v>
      </c>
      <c r="AM112" s="16">
        <f>+[3]Sheet1!AJ112</f>
        <v>152.5142408540604</v>
      </c>
      <c r="AN112" s="16">
        <f>+[3]Sheet1!AK112</f>
        <v>91.715249478799379</v>
      </c>
      <c r="AO112" s="16">
        <f>+[3]Sheet1!AL112</f>
        <v>204.31557182114651</v>
      </c>
      <c r="AP112" s="16">
        <f>+[3]Sheet1!AM112</f>
        <v>210.6287517583277</v>
      </c>
      <c r="AQ112" s="16">
        <f>+[3]Sheet1!AN112</f>
        <v>181.30758041203319</v>
      </c>
      <c r="AR112" s="16">
        <f>+[3]Sheet1!AO112</f>
        <v>175.34191611183289</v>
      </c>
      <c r="AS112" s="16">
        <f>+[3]Sheet1!AP112</f>
        <v>151.87116032438959</v>
      </c>
      <c r="AT112" s="16">
        <f>+[3]Sheet1!AQ112</f>
        <v>37.662698685785202</v>
      </c>
      <c r="AU112" s="16">
        <f>+[3]Sheet1!AR112</f>
        <v>134.50845068317801</v>
      </c>
      <c r="AV112" s="16">
        <f>+[3]Sheet1!AS112</f>
        <v>97.325185927922305</v>
      </c>
      <c r="AW112" s="16">
        <f>+[3]Sheet1!AT112</f>
        <v>3254688.527652909</v>
      </c>
      <c r="AX112" s="16">
        <f>+base_mensual!AY112</f>
        <v>1785</v>
      </c>
      <c r="AY112">
        <f>+base_mensual!AZ112</f>
        <v>1.51</v>
      </c>
      <c r="AZ112">
        <f>+[3]Sheet1!AX112</f>
        <v>148.16268757801771</v>
      </c>
    </row>
    <row r="113" spans="1:52" x14ac:dyDescent="0.25">
      <c r="A113" s="2">
        <f>+base_mensual!A113</f>
        <v>44680</v>
      </c>
      <c r="B113" s="1">
        <f>+base_mensual!B113</f>
        <v>1.3888104283082736E-2</v>
      </c>
      <c r="C113">
        <f>+base_mensual!AE113</f>
        <v>167.72412703089378</v>
      </c>
      <c r="D113">
        <f>+base_mensual!H113</f>
        <v>200.758272331093</v>
      </c>
      <c r="E113">
        <f>+[3]Sheet1!B113</f>
        <v>43595.685318343472</v>
      </c>
      <c r="F113">
        <f>+[3]Sheet1!C113</f>
        <v>27528.104485217871</v>
      </c>
      <c r="G113">
        <f>+[3]Sheet1!D113</f>
        <v>30417.218095752651</v>
      </c>
      <c r="H113">
        <f>+[3]Sheet1!E113</f>
        <v>9959.9634077578812</v>
      </c>
      <c r="I113">
        <f>+[3]Sheet1!F113</f>
        <v>1076558.0099483191</v>
      </c>
      <c r="J113">
        <f>+[3]Sheet1!G113</f>
        <v>267.59891256431769</v>
      </c>
      <c r="K113">
        <f>+[3]Sheet1!H113</f>
        <v>409.51564434889542</v>
      </c>
      <c r="L113">
        <f>+[3]Sheet1!I113</f>
        <v>181.86167947338581</v>
      </c>
      <c r="M113">
        <f>+[3]Sheet1!J113</f>
        <v>144239.70663545679</v>
      </c>
      <c r="N113">
        <f>+[3]Sheet1!K113</f>
        <v>409965.14865143492</v>
      </c>
      <c r="O113">
        <f>+[3]Sheet1!L113</f>
        <v>291713.45320809289</v>
      </c>
      <c r="P113">
        <f>+[3]Sheet1!M113</f>
        <v>0.91638396124575916</v>
      </c>
      <c r="Q113">
        <f>+[3]Sheet1!N113</f>
        <v>2.564588328814811</v>
      </c>
      <c r="R113">
        <f>+[3]Sheet1!O113</f>
        <v>1.937714135723134</v>
      </c>
      <c r="S113">
        <f>+[3]Sheet1!P113</f>
        <v>88180.824943947853</v>
      </c>
      <c r="T113">
        <f>+[3]Sheet1!Q113</f>
        <v>97689.811082281623</v>
      </c>
      <c r="U113">
        <f>+[3]Sheet1!R113</f>
        <v>0.61570052198658332</v>
      </c>
      <c r="V113">
        <f>+[3]Sheet1!S113</f>
        <v>0.64278079772864627</v>
      </c>
      <c r="W113">
        <f>+[3]Sheet1!T113</f>
        <v>3360821.8384884452</v>
      </c>
      <c r="X113">
        <f>+[3]Sheet1!U113</f>
        <v>25.910473387242849</v>
      </c>
      <c r="Y113">
        <f>+[3]Sheet1!V113</f>
        <v>5860555.7828063462</v>
      </c>
      <c r="Z113">
        <f>+[3]Sheet1!W113</f>
        <v>38.222562705702963</v>
      </c>
      <c r="AA113">
        <f>+[3]Sheet1!X113</f>
        <v>10602621.76933928</v>
      </c>
      <c r="AB113">
        <f>+[3]Sheet1!Y113</f>
        <v>62.378739426941593</v>
      </c>
      <c r="AC113">
        <f>+[3]Sheet1!Z113</f>
        <v>0.45386999841342168</v>
      </c>
      <c r="AD113">
        <f>+[3]Sheet1!AA113</f>
        <v>62595.454290382637</v>
      </c>
      <c r="AE113">
        <f>+[3]Sheet1!AB113</f>
        <v>139790.5502970189</v>
      </c>
      <c r="AF113">
        <f>+[3]Sheet1!AC113</f>
        <v>160.02507568603301</v>
      </c>
      <c r="AG113">
        <f>+[3]Sheet1!AD113</f>
        <v>131.49388070594441</v>
      </c>
      <c r="AH113" s="16">
        <f>+[3]Sheet1!AE113</f>
        <v>158.11845764358819</v>
      </c>
      <c r="AI113" s="16">
        <f>+[3]Sheet1!AF113</f>
        <v>364.45654121596738</v>
      </c>
      <c r="AJ113" s="16">
        <f>+[3]Sheet1!AG113</f>
        <v>180.9995614518981</v>
      </c>
      <c r="AK113" s="16">
        <f>+[3]Sheet1!AH113</f>
        <v>92.287072087891616</v>
      </c>
      <c r="AL113" s="16">
        <f>+[3]Sheet1!AI113</f>
        <v>85.976013633835777</v>
      </c>
      <c r="AM113" s="16">
        <f>+[3]Sheet1!AJ113</f>
        <v>151.10738921910581</v>
      </c>
      <c r="AN113" s="16">
        <f>+[3]Sheet1!AK113</f>
        <v>102.4419581716209</v>
      </c>
      <c r="AO113" s="16">
        <f>+[3]Sheet1!AL113</f>
        <v>201.0153348868366</v>
      </c>
      <c r="AP113" s="16">
        <f>+[3]Sheet1!AM113</f>
        <v>208.84344995667669</v>
      </c>
      <c r="AQ113" s="16">
        <f>+[3]Sheet1!AN113</f>
        <v>168.51361320780859</v>
      </c>
      <c r="AR113" s="16">
        <f>+[3]Sheet1!AO113</f>
        <v>162.95104307917629</v>
      </c>
      <c r="AS113" s="16">
        <f>+[3]Sheet1!AP113</f>
        <v>159.5712320507848</v>
      </c>
      <c r="AT113" s="16">
        <f>+[3]Sheet1!AQ113</f>
        <v>38.040824099581933</v>
      </c>
      <c r="AU113" s="16">
        <f>+[3]Sheet1!AR113</f>
        <v>134.14457685653599</v>
      </c>
      <c r="AV113" s="16">
        <f>+[3]Sheet1!AS113</f>
        <v>97.261753981161576</v>
      </c>
      <c r="AW113" s="16">
        <f>+[3]Sheet1!AT113</f>
        <v>3384870.7730535199</v>
      </c>
      <c r="AX113" s="16">
        <f>+base_mensual!AY113</f>
        <v>1801</v>
      </c>
      <c r="AY113">
        <f>+base_mensual!AZ113</f>
        <v>1.51</v>
      </c>
      <c r="AZ113">
        <f>+[3]Sheet1!AX113</f>
        <v>148.86572967800581</v>
      </c>
    </row>
    <row r="114" spans="1:52" x14ac:dyDescent="0.25">
      <c r="A114" s="2">
        <f>+base_mensual!A114</f>
        <v>44712</v>
      </c>
      <c r="B114" s="1">
        <f>+base_mensual!B114</f>
        <v>1.3888104283082736E-2</v>
      </c>
      <c r="C114">
        <f>+base_mensual!AE114</f>
        <v>167.3125706013405</v>
      </c>
      <c r="D114">
        <f>+base_mensual!H114</f>
        <v>202.531537313222</v>
      </c>
      <c r="E114">
        <f>+[3]Sheet1!B114</f>
        <v>43364.911768355872</v>
      </c>
      <c r="F114">
        <f>+[3]Sheet1!C114</f>
        <v>25900.47290351952</v>
      </c>
      <c r="G114">
        <f>+[3]Sheet1!D114</f>
        <v>31735.17296970086</v>
      </c>
      <c r="H114">
        <f>+[3]Sheet1!E114</f>
        <v>9670.3246705144666</v>
      </c>
      <c r="I114">
        <f>+[3]Sheet1!F114</f>
        <v>1142475.593414539</v>
      </c>
      <c r="J114">
        <f>+[3]Sheet1!G114</f>
        <v>312.1456324635281</v>
      </c>
      <c r="K114">
        <f>+[3]Sheet1!H114</f>
        <v>437.82200558402093</v>
      </c>
      <c r="L114">
        <f>+[3]Sheet1!I114</f>
        <v>196.29467598189481</v>
      </c>
      <c r="M114">
        <f>+[3]Sheet1!J114</f>
        <v>150682.12039017581</v>
      </c>
      <c r="N114">
        <f>+[3]Sheet1!K114</f>
        <v>424860.9476764857</v>
      </c>
      <c r="O114">
        <f>+[3]Sheet1!L114</f>
        <v>386009.39473785122</v>
      </c>
      <c r="P114">
        <f>+[3]Sheet1!M114</f>
        <v>0.84126418407353287</v>
      </c>
      <c r="Q114">
        <f>+[3]Sheet1!N114</f>
        <v>2.6029996559091568</v>
      </c>
      <c r="R114">
        <f>+[3]Sheet1!O114</f>
        <v>2.168858632671109</v>
      </c>
      <c r="S114">
        <f>+[3]Sheet1!P114</f>
        <v>81125.850917539734</v>
      </c>
      <c r="T114">
        <f>+[3]Sheet1!Q114</f>
        <v>78852.133898062588</v>
      </c>
      <c r="U114">
        <f>+[3]Sheet1!R114</f>
        <v>0.55000569123782117</v>
      </c>
      <c r="V114">
        <f>+[3]Sheet1!S114</f>
        <v>0.56864619778125236</v>
      </c>
      <c r="W114">
        <f>+[3]Sheet1!T114</f>
        <v>4070388.528644789</v>
      </c>
      <c r="X114">
        <f>+[3]Sheet1!U114</f>
        <v>23.333401233359229</v>
      </c>
      <c r="Y114">
        <f>+[3]Sheet1!V114</f>
        <v>5918514.6070817914</v>
      </c>
      <c r="Z114">
        <f>+[3]Sheet1!W114</f>
        <v>38.087314010821309</v>
      </c>
      <c r="AA114">
        <f>+[3]Sheet1!X114</f>
        <v>10597007.490846019</v>
      </c>
      <c r="AB114">
        <f>+[3]Sheet1!Y114</f>
        <v>62.342430462439197</v>
      </c>
      <c r="AC114">
        <f>+[3]Sheet1!Z114</f>
        <v>0.43438972878463078</v>
      </c>
      <c r="AD114">
        <f>+[3]Sheet1!AA114</f>
        <v>62464.487881604189</v>
      </c>
      <c r="AE114">
        <f>+[3]Sheet1!AB114</f>
        <v>134821.25278493951</v>
      </c>
      <c r="AF114">
        <f>+[3]Sheet1!AC114</f>
        <v>165.48373742302161</v>
      </c>
      <c r="AG114">
        <f>+[3]Sheet1!AD114</f>
        <v>147.1470207014452</v>
      </c>
      <c r="AH114" s="16">
        <f>+[3]Sheet1!AE114</f>
        <v>161.78469726924951</v>
      </c>
      <c r="AI114" s="16">
        <f>+[3]Sheet1!AF114</f>
        <v>349.70604643018351</v>
      </c>
      <c r="AJ114" s="16">
        <f>+[3]Sheet1!AG114</f>
        <v>184.11433287096619</v>
      </c>
      <c r="AK114" s="16">
        <f>+[3]Sheet1!AH114</f>
        <v>99.68964499552385</v>
      </c>
      <c r="AL114" s="16">
        <f>+[3]Sheet1!AI114</f>
        <v>86.063556969107594</v>
      </c>
      <c r="AM114" s="16">
        <f>+[3]Sheet1!AJ114</f>
        <v>162.24565665379791</v>
      </c>
      <c r="AN114" s="16">
        <f>+[3]Sheet1!AK114</f>
        <v>102.82054723425441</v>
      </c>
      <c r="AO114" s="16">
        <f>+[3]Sheet1!AL114</f>
        <v>204.38941416951499</v>
      </c>
      <c r="AP114" s="16">
        <f>+[3]Sheet1!AM114</f>
        <v>213.3628663433301</v>
      </c>
      <c r="AQ114" s="16">
        <f>+[3]Sheet1!AN114</f>
        <v>191.21553603715881</v>
      </c>
      <c r="AR114" s="16">
        <f>+[3]Sheet1!AO114</f>
        <v>178.40759113648511</v>
      </c>
      <c r="AS114" s="16">
        <f>+[3]Sheet1!AP114</f>
        <v>159.11686125167591</v>
      </c>
      <c r="AT114" s="16">
        <f>+[3]Sheet1!AQ114</f>
        <v>38.140390436994508</v>
      </c>
      <c r="AU114" s="16">
        <f>+[3]Sheet1!AR114</f>
        <v>134.88665939813561</v>
      </c>
      <c r="AV114" s="16">
        <f>+[3]Sheet1!AS114</f>
        <v>98.027374937703641</v>
      </c>
      <c r="AW114" s="16">
        <f>+[3]Sheet1!AT114</f>
        <v>3278285.7802560632</v>
      </c>
      <c r="AX114" s="16">
        <f>+base_mensual!AY114</f>
        <v>1916</v>
      </c>
      <c r="AY114">
        <f>+base_mensual!AZ114</f>
        <v>1.3</v>
      </c>
      <c r="AZ114">
        <f>+[3]Sheet1!AX114</f>
        <v>154.1034141444494</v>
      </c>
    </row>
    <row r="115" spans="1:52" x14ac:dyDescent="0.25">
      <c r="A115" s="2">
        <f>+base_mensual!A115</f>
        <v>44742</v>
      </c>
      <c r="B115" s="1">
        <f>+base_mensual!B115</f>
        <v>1.3888104283082736E-2</v>
      </c>
      <c r="C115">
        <f>+base_mensual!AE115</f>
        <v>165.35057459007109</v>
      </c>
      <c r="D115">
        <f>+base_mensual!H115</f>
        <v>199.48807196757801</v>
      </c>
      <c r="E115">
        <f>+[3]Sheet1!B115</f>
        <v>43496.70889377295</v>
      </c>
      <c r="F115">
        <f>+[3]Sheet1!C115</f>
        <v>31298.577990743299</v>
      </c>
      <c r="G115">
        <f>+[3]Sheet1!D115</f>
        <v>31916.812787678991</v>
      </c>
      <c r="H115">
        <f>+[3]Sheet1!E115</f>
        <v>11077.33922147569</v>
      </c>
      <c r="I115">
        <f>+[3]Sheet1!F115</f>
        <v>1096187.81893173</v>
      </c>
      <c r="J115">
        <f>+[3]Sheet1!G115</f>
        <v>295.20278949904008</v>
      </c>
      <c r="K115">
        <f>+[3]Sheet1!H115</f>
        <v>453.18125475014813</v>
      </c>
      <c r="L115">
        <f>+[3]Sheet1!I115</f>
        <v>215.33253879762751</v>
      </c>
      <c r="M115">
        <f>+[3]Sheet1!J115</f>
        <v>125159.81445105041</v>
      </c>
      <c r="N115">
        <f>+[3]Sheet1!K115</f>
        <v>439880.15745809127</v>
      </c>
      <c r="O115">
        <f>+[3]Sheet1!L115</f>
        <v>428711.87004391052</v>
      </c>
      <c r="P115">
        <f>+[3]Sheet1!M115</f>
        <v>0.71814865896399493</v>
      </c>
      <c r="Q115">
        <f>+[3]Sheet1!N115</f>
        <v>2.597467336088187</v>
      </c>
      <c r="R115">
        <f>+[3]Sheet1!O115</f>
        <v>2.2482907169485959</v>
      </c>
      <c r="S115">
        <f>+[3]Sheet1!P115</f>
        <v>151980.60125700291</v>
      </c>
      <c r="T115">
        <f>+[3]Sheet1!Q115</f>
        <v>81051.072750052641</v>
      </c>
      <c r="U115">
        <f>+[3]Sheet1!R115</f>
        <v>0.62768149254524086</v>
      </c>
      <c r="V115">
        <f>+[3]Sheet1!S115</f>
        <v>0.45615155365923249</v>
      </c>
      <c r="W115">
        <f>+[3]Sheet1!T115</f>
        <v>3919235.9299041489</v>
      </c>
      <c r="X115">
        <f>+[3]Sheet1!U115</f>
        <v>26.314243789913359</v>
      </c>
      <c r="Y115">
        <f>+[3]Sheet1!V115</f>
        <v>6992973.3828402841</v>
      </c>
      <c r="Z115">
        <f>+[3]Sheet1!W115</f>
        <v>38.066281302229847</v>
      </c>
      <c r="AA115">
        <f>+[3]Sheet1!X115</f>
        <v>11551020.31179307</v>
      </c>
      <c r="AB115">
        <f>+[3]Sheet1!Y115</f>
        <v>64.087451122092503</v>
      </c>
      <c r="AC115">
        <f>+[3]Sheet1!Z115</f>
        <v>0.4631713856380667</v>
      </c>
      <c r="AD115">
        <f>+[3]Sheet1!AA115</f>
        <v>64094.322217041852</v>
      </c>
      <c r="AE115">
        <f>+[3]Sheet1!AB115</f>
        <v>138894.56850719891</v>
      </c>
      <c r="AF115">
        <f>+[3]Sheet1!AC115</f>
        <v>160.9890712062564</v>
      </c>
      <c r="AG115">
        <f>+[3]Sheet1!AD115</f>
        <v>137.03855960139421</v>
      </c>
      <c r="AH115" s="16">
        <f>+[3]Sheet1!AE115</f>
        <v>162.87848496017301</v>
      </c>
      <c r="AI115" s="16">
        <f>+[3]Sheet1!AF115</f>
        <v>362.76371005636082</v>
      </c>
      <c r="AJ115" s="16">
        <f>+[3]Sheet1!AG115</f>
        <v>181.13059591490719</v>
      </c>
      <c r="AK115" s="16">
        <f>+[3]Sheet1!AH115</f>
        <v>95.855129146309551</v>
      </c>
      <c r="AL115" s="16">
        <f>+[3]Sheet1!AI115</f>
        <v>86.026175590603728</v>
      </c>
      <c r="AM115" s="16">
        <f>+[3]Sheet1!AJ115</f>
        <v>156.78569770886941</v>
      </c>
      <c r="AN115" s="16">
        <f>+[3]Sheet1!AK115</f>
        <v>104.71842852098121</v>
      </c>
      <c r="AO115" s="16">
        <f>+[3]Sheet1!AL115</f>
        <v>207.0503337716635</v>
      </c>
      <c r="AP115" s="16">
        <f>+[3]Sheet1!AM115</f>
        <v>214.33295544006401</v>
      </c>
      <c r="AQ115" s="16">
        <f>+[3]Sheet1!AN115</f>
        <v>192.33394957523049</v>
      </c>
      <c r="AR115" s="16">
        <f>+[3]Sheet1!AO115</f>
        <v>168.85192019189321</v>
      </c>
      <c r="AS115" s="16">
        <f>+[3]Sheet1!AP115</f>
        <v>159.3791845484196</v>
      </c>
      <c r="AT115" s="16">
        <f>+[3]Sheet1!AQ115</f>
        <v>39.15817562966383</v>
      </c>
      <c r="AU115" s="16">
        <f>+[3]Sheet1!AR115</f>
        <v>135.62867083346219</v>
      </c>
      <c r="AV115" s="16">
        <f>+[3]Sheet1!AS115</f>
        <v>98.427554986814684</v>
      </c>
      <c r="AW115" s="16">
        <f>+[3]Sheet1!AT115</f>
        <v>3352140.48519286</v>
      </c>
      <c r="AX115" s="16">
        <f>+base_mensual!AY115</f>
        <v>2356</v>
      </c>
      <c r="AY115">
        <f>+base_mensual!AZ115</f>
        <v>1.4</v>
      </c>
      <c r="AZ115">
        <f>+[3]Sheet1!AX115</f>
        <v>156.4433462531407</v>
      </c>
    </row>
    <row r="116" spans="1:52" x14ac:dyDescent="0.25">
      <c r="A116" s="2">
        <f>+base_mensual!A116</f>
        <v>44771</v>
      </c>
      <c r="B116" s="1">
        <f>+base_mensual!B116</f>
        <v>-4.9997286616432213E-3</v>
      </c>
      <c r="C116">
        <f>+base_mensual!AE116</f>
        <v>162.42732838914085</v>
      </c>
      <c r="D116">
        <f>+base_mensual!H116</f>
        <v>201.659122464116</v>
      </c>
      <c r="E116">
        <f>+[3]Sheet1!B116</f>
        <v>45405.593802258169</v>
      </c>
      <c r="F116">
        <f>+[3]Sheet1!C116</f>
        <v>23123.43599965037</v>
      </c>
      <c r="G116">
        <f>+[3]Sheet1!D116</f>
        <v>33054.145174925638</v>
      </c>
      <c r="H116">
        <f>+[3]Sheet1!E116</f>
        <v>10088.69866514067</v>
      </c>
      <c r="I116">
        <f>+[3]Sheet1!F116</f>
        <v>1106764.997259438</v>
      </c>
      <c r="J116">
        <f>+[3]Sheet1!G116</f>
        <v>293.78416304905312</v>
      </c>
      <c r="K116">
        <f>+[3]Sheet1!H116</f>
        <v>446.44128970597899</v>
      </c>
      <c r="L116">
        <f>+[3]Sheet1!I116</f>
        <v>241.07837257877529</v>
      </c>
      <c r="M116">
        <f>+[3]Sheet1!J116</f>
        <v>164095.16891605579</v>
      </c>
      <c r="N116">
        <f>+[3]Sheet1!K116</f>
        <v>455101.28134466958</v>
      </c>
      <c r="O116">
        <f>+[3]Sheet1!L116</f>
        <v>400588.68433484167</v>
      </c>
      <c r="P116">
        <f>+[3]Sheet1!M116</f>
        <v>0.85357987549255387</v>
      </c>
      <c r="Q116">
        <f>+[3]Sheet1!N116</f>
        <v>2.572033057651617</v>
      </c>
      <c r="R116">
        <f>+[3]Sheet1!O116</f>
        <v>2.173521274593472</v>
      </c>
      <c r="S116">
        <f>+[3]Sheet1!P116</f>
        <v>176005.89386553151</v>
      </c>
      <c r="T116">
        <f>+[3]Sheet1!Q116</f>
        <v>111735.7916481592</v>
      </c>
      <c r="U116">
        <f>+[3]Sheet1!R116</f>
        <v>0.65945122141346446</v>
      </c>
      <c r="V116">
        <f>+[3]Sheet1!S116</f>
        <v>0.61013808557360794</v>
      </c>
      <c r="W116">
        <f>+[3]Sheet1!T116</f>
        <v>5653240.989974428</v>
      </c>
      <c r="X116">
        <f>+[3]Sheet1!U116</f>
        <v>27.799508052591349</v>
      </c>
      <c r="Y116">
        <f>+[3]Sheet1!V116</f>
        <v>7232608.486289571</v>
      </c>
      <c r="Z116">
        <f>+[3]Sheet1!W116</f>
        <v>37.131664810994202</v>
      </c>
      <c r="AA116">
        <f>+[3]Sheet1!X116</f>
        <v>11934111.083988041</v>
      </c>
      <c r="AB116">
        <f>+[3]Sheet1!Y116</f>
        <v>62.045926212742593</v>
      </c>
      <c r="AC116">
        <f>+[3]Sheet1!Z116</f>
        <v>0.48207548920742238</v>
      </c>
      <c r="AD116">
        <f>+[3]Sheet1!AA116</f>
        <v>61991.571913149499</v>
      </c>
      <c r="AE116">
        <f>+[3]Sheet1!AB116</f>
        <v>133279.40225299491</v>
      </c>
      <c r="AF116">
        <f>+[3]Sheet1!AC116</f>
        <v>161.44448984949489</v>
      </c>
      <c r="AG116">
        <f>+[3]Sheet1!AD116</f>
        <v>133.54603466459039</v>
      </c>
      <c r="AH116" s="16">
        <f>+[3]Sheet1!AE116</f>
        <v>160.1051827189801</v>
      </c>
      <c r="AI116" s="16">
        <f>+[3]Sheet1!AF116</f>
        <v>386.58463527903268</v>
      </c>
      <c r="AJ116" s="16">
        <f>+[3]Sheet1!AG116</f>
        <v>181.88336969137299</v>
      </c>
      <c r="AK116" s="16">
        <f>+[3]Sheet1!AH116</f>
        <v>102.7831212325855</v>
      </c>
      <c r="AL116" s="16">
        <f>+[3]Sheet1!AI116</f>
        <v>85.92499430264256</v>
      </c>
      <c r="AM116" s="16">
        <f>+[3]Sheet1!AJ116</f>
        <v>152.25995818198609</v>
      </c>
      <c r="AN116" s="16">
        <f>+[3]Sheet1!AK116</f>
        <v>103.2260052747172</v>
      </c>
      <c r="AO116" s="16">
        <f>+[3]Sheet1!AL116</f>
        <v>196.204925585887</v>
      </c>
      <c r="AP116" s="16">
        <f>+[3]Sheet1!AM116</f>
        <v>217.73852424289711</v>
      </c>
      <c r="AQ116" s="16">
        <f>+[3]Sheet1!AN116</f>
        <v>193.03389416340309</v>
      </c>
      <c r="AR116" s="16">
        <f>+[3]Sheet1!AO116</f>
        <v>163.6999125187229</v>
      </c>
      <c r="AS116" s="16">
        <f>+[3]Sheet1!AP116</f>
        <v>165.74988677768471</v>
      </c>
      <c r="AT116" s="16">
        <f>+[3]Sheet1!AQ116</f>
        <v>35.525640424162702</v>
      </c>
      <c r="AU116" s="16">
        <f>+[3]Sheet1!AR116</f>
        <v>134.71842893324731</v>
      </c>
      <c r="AV116" s="16">
        <f>+[3]Sheet1!AS116</f>
        <v>96.755096279974524</v>
      </c>
      <c r="AW116" s="16">
        <f>+[3]Sheet1!AT116</f>
        <v>3233072.5602954058</v>
      </c>
      <c r="AX116" s="16">
        <f>+base_mensual!AY116</f>
        <v>2398</v>
      </c>
      <c r="AY116">
        <f>+base_mensual!AZ116</f>
        <v>1.4</v>
      </c>
      <c r="AZ116">
        <f>+[3]Sheet1!AX116</f>
        <v>151.30145220292351</v>
      </c>
    </row>
    <row r="117" spans="1:52" x14ac:dyDescent="0.25">
      <c r="A117" s="2">
        <f>+base_mensual!A117</f>
        <v>44804</v>
      </c>
      <c r="B117" s="1">
        <f>+base_mensual!B117</f>
        <v>-4.9997286616432213E-3</v>
      </c>
      <c r="C117">
        <f>+base_mensual!AE117</f>
        <v>160.31876340085051</v>
      </c>
      <c r="D117">
        <f>+base_mensual!H117</f>
        <v>195.667675543163</v>
      </c>
      <c r="E117">
        <f>+[3]Sheet1!B117</f>
        <v>48463.448910886233</v>
      </c>
      <c r="F117">
        <f>+[3]Sheet1!C117</f>
        <v>28802.429390898658</v>
      </c>
      <c r="G117">
        <f>+[3]Sheet1!D117</f>
        <v>31650.858519058631</v>
      </c>
      <c r="H117">
        <f>+[3]Sheet1!E117</f>
        <v>9258.2116121915442</v>
      </c>
      <c r="I117">
        <f>+[3]Sheet1!F117</f>
        <v>1137705.2328056679</v>
      </c>
      <c r="J117">
        <f>+[3]Sheet1!G117</f>
        <v>290.77978121009022</v>
      </c>
      <c r="K117">
        <f>+[3]Sheet1!H117</f>
        <v>440.19779613705668</v>
      </c>
      <c r="L117">
        <f>+[3]Sheet1!I117</f>
        <v>204.56158643262631</v>
      </c>
      <c r="M117">
        <f>+[3]Sheet1!J117</f>
        <v>175791.9134677127</v>
      </c>
      <c r="N117">
        <f>+[3]Sheet1!K117</f>
        <v>537203.41885024717</v>
      </c>
      <c r="O117">
        <f>+[3]Sheet1!L117</f>
        <v>401974.5773809462</v>
      </c>
      <c r="P117">
        <f>+[3]Sheet1!M117</f>
        <v>0.73612447539797032</v>
      </c>
      <c r="Q117">
        <f>+[3]Sheet1!N117</f>
        <v>2.553567691394282</v>
      </c>
      <c r="R117">
        <f>+[3]Sheet1!O117</f>
        <v>1.870003269791519</v>
      </c>
      <c r="S117">
        <f>+[3]Sheet1!P117</f>
        <v>113911.29472432339</v>
      </c>
      <c r="T117">
        <f>+[3]Sheet1!Q117</f>
        <v>123039.85997625539</v>
      </c>
      <c r="U117">
        <f>+[3]Sheet1!R117</f>
        <v>0.66668184039867273</v>
      </c>
      <c r="V117">
        <f>+[3]Sheet1!S117</f>
        <v>0.66130452795239181</v>
      </c>
      <c r="W117">
        <f>+[3]Sheet1!T117</f>
        <v>4431681.3135864343</v>
      </c>
      <c r="X117">
        <f>+[3]Sheet1!U117</f>
        <v>28.034080447796669</v>
      </c>
      <c r="Y117">
        <f>+[3]Sheet1!V117</f>
        <v>7485053.4065843681</v>
      </c>
      <c r="Z117">
        <f>+[3]Sheet1!W117</f>
        <v>35.637473992195922</v>
      </c>
      <c r="AA117">
        <f>+[3]Sheet1!X117</f>
        <v>12384617.586125599</v>
      </c>
      <c r="AB117">
        <f>+[3]Sheet1!Y117</f>
        <v>58.993414835997307</v>
      </c>
      <c r="AC117">
        <f>+[3]Sheet1!Z117</f>
        <v>0.58087257833834405</v>
      </c>
      <c r="AD117">
        <f>+[3]Sheet1!AA117</f>
        <v>63058.652206384628</v>
      </c>
      <c r="AE117">
        <f>+[3]Sheet1!AB117</f>
        <v>128477.2522222752</v>
      </c>
      <c r="AF117">
        <f>+[3]Sheet1!AC117</f>
        <v>163.90421423292059</v>
      </c>
      <c r="AG117">
        <f>+[3]Sheet1!AD117</f>
        <v>138.008289457009</v>
      </c>
      <c r="AH117" s="16">
        <f>+[3]Sheet1!AE117</f>
        <v>160.36193519010689</v>
      </c>
      <c r="AI117" s="16">
        <f>+[3]Sheet1!AF117</f>
        <v>385.32136080049168</v>
      </c>
      <c r="AJ117" s="16">
        <f>+[3]Sheet1!AG117</f>
        <v>182.75848558780811</v>
      </c>
      <c r="AK117" s="16">
        <f>+[3]Sheet1!AH117</f>
        <v>100.321377956017</v>
      </c>
      <c r="AL117" s="16">
        <f>+[3]Sheet1!AI117</f>
        <v>86.287354915628526</v>
      </c>
      <c r="AM117" s="16">
        <f>+[3]Sheet1!AJ117</f>
        <v>141.56439948300249</v>
      </c>
      <c r="AN117" s="16">
        <f>+[3]Sheet1!AK117</f>
        <v>103.6925140658649</v>
      </c>
      <c r="AO117" s="16">
        <f>+[3]Sheet1!AL117</f>
        <v>192.64561090080201</v>
      </c>
      <c r="AP117" s="16">
        <f>+[3]Sheet1!AM117</f>
        <v>215.99569423693879</v>
      </c>
      <c r="AQ117" s="16">
        <f>+[3]Sheet1!AN117</f>
        <v>190.94011452896399</v>
      </c>
      <c r="AR117" s="16">
        <f>+[3]Sheet1!AO117</f>
        <v>163.44195407219101</v>
      </c>
      <c r="AS117" s="16">
        <f>+[3]Sheet1!AP117</f>
        <v>178.14444390618669</v>
      </c>
      <c r="AT117" s="16">
        <f>+[3]Sheet1!AQ117</f>
        <v>35.63777882911328</v>
      </c>
      <c r="AU117" s="16">
        <f>+[3]Sheet1!AR117</f>
        <v>134.1568402814093</v>
      </c>
      <c r="AV117" s="16">
        <f>+[3]Sheet1!AS117</f>
        <v>96.879249013611926</v>
      </c>
      <c r="AW117" s="16">
        <f>+[3]Sheet1!AT117</f>
        <v>3086020.843106573</v>
      </c>
      <c r="AX117" s="16">
        <f>+base_mensual!AY117</f>
        <v>2394</v>
      </c>
      <c r="AY117">
        <f>+base_mensual!AZ117</f>
        <v>1.18</v>
      </c>
      <c r="AZ117">
        <f>+[3]Sheet1!AX117</f>
        <v>151.4089503633727</v>
      </c>
    </row>
    <row r="118" spans="1:52" x14ac:dyDescent="0.25">
      <c r="A118" s="2">
        <f>+base_mensual!A118</f>
        <v>44834</v>
      </c>
      <c r="B118" s="1">
        <f>+base_mensual!B118</f>
        <v>-4.9997286616432213E-3</v>
      </c>
      <c r="C118">
        <f>+base_mensual!AE118</f>
        <v>154.68067999982239</v>
      </c>
      <c r="D118">
        <f>+base_mensual!H118</f>
        <v>192.422788805453</v>
      </c>
      <c r="E118">
        <f>+[3]Sheet1!B118</f>
        <v>45875.188903838127</v>
      </c>
      <c r="F118">
        <f>+[3]Sheet1!C118</f>
        <v>28977.109580666991</v>
      </c>
      <c r="G118">
        <f>+[3]Sheet1!D118</f>
        <v>31390.92188194038</v>
      </c>
      <c r="H118">
        <f>+[3]Sheet1!E118</f>
        <v>10409.830337330281</v>
      </c>
      <c r="I118">
        <f>+[3]Sheet1!F118</f>
        <v>1105364.544515844</v>
      </c>
      <c r="J118">
        <f>+[3]Sheet1!G118</f>
        <v>277.18821543833718</v>
      </c>
      <c r="K118">
        <f>+[3]Sheet1!H118</f>
        <v>407.86066872757942</v>
      </c>
      <c r="L118">
        <f>+[3]Sheet1!I118</f>
        <v>186.4295993520083</v>
      </c>
      <c r="M118">
        <f>+[3]Sheet1!J118</f>
        <v>452893.23055865878</v>
      </c>
      <c r="N118">
        <f>+[3]Sheet1!K118</f>
        <v>573157.66221687733</v>
      </c>
      <c r="O118">
        <f>+[3]Sheet1!L118</f>
        <v>490871.65272240911</v>
      </c>
      <c r="P118">
        <f>+[3]Sheet1!M118</f>
        <v>2.2444026487349111</v>
      </c>
      <c r="Q118">
        <f>+[3]Sheet1!N118</f>
        <v>2.5257664352316</v>
      </c>
      <c r="R118">
        <f>+[3]Sheet1!O118</f>
        <v>2.0686295886000319</v>
      </c>
      <c r="S118">
        <f>+[3]Sheet1!P118</f>
        <v>117145.0441145847</v>
      </c>
      <c r="T118">
        <f>+[3]Sheet1!Q118</f>
        <v>130740.7721175176</v>
      </c>
      <c r="U118">
        <f>+[3]Sheet1!R118</f>
        <v>0.65477861575498797</v>
      </c>
      <c r="V118">
        <f>+[3]Sheet1!S118</f>
        <v>0.65675000135977757</v>
      </c>
      <c r="W118">
        <f>+[3]Sheet1!T118</f>
        <v>6545043.4242878752</v>
      </c>
      <c r="X118">
        <f>+[3]Sheet1!U118</f>
        <v>28.095114675933399</v>
      </c>
      <c r="Y118">
        <f>+[3]Sheet1!V118</f>
        <v>7748010.5164892413</v>
      </c>
      <c r="Z118">
        <f>+[3]Sheet1!W118</f>
        <v>35.516098017712217</v>
      </c>
      <c r="AA118">
        <f>+[3]Sheet1!X118</f>
        <v>12818122.60884361</v>
      </c>
      <c r="AB118">
        <f>+[3]Sheet1!Y118</f>
        <v>59.473965042798177</v>
      </c>
      <c r="AC118">
        <f>+[3]Sheet1!Z118</f>
        <v>0.61606602368038588</v>
      </c>
      <c r="AD118">
        <f>+[3]Sheet1!AA118</f>
        <v>65416.925286379992</v>
      </c>
      <c r="AE118">
        <f>+[3]Sheet1!AB118</f>
        <v>127409.5138640064</v>
      </c>
      <c r="AF118">
        <f>+[3]Sheet1!AC118</f>
        <v>162.22335936992201</v>
      </c>
      <c r="AG118">
        <f>+[3]Sheet1!AD118</f>
        <v>135.27560629773569</v>
      </c>
      <c r="AH118" s="16">
        <f>+[3]Sheet1!AE118</f>
        <v>148.63469579116051</v>
      </c>
      <c r="AI118" s="16">
        <f>+[3]Sheet1!AF118</f>
        <v>371.14514081615857</v>
      </c>
      <c r="AJ118" s="16">
        <f>+[3]Sheet1!AG118</f>
        <v>180.85650545798089</v>
      </c>
      <c r="AK118" s="16">
        <f>+[3]Sheet1!AH118</f>
        <v>97.456878720487168</v>
      </c>
      <c r="AL118" s="16">
        <f>+[3]Sheet1!AI118</f>
        <v>86.327073183181852</v>
      </c>
      <c r="AM118" s="16">
        <f>+[3]Sheet1!AJ118</f>
        <v>141.08156537433891</v>
      </c>
      <c r="AN118" s="16">
        <f>+[3]Sheet1!AK118</f>
        <v>101.7493886554722</v>
      </c>
      <c r="AO118" s="16">
        <f>+[3]Sheet1!AL118</f>
        <v>169.7440580739235</v>
      </c>
      <c r="AP118" s="16">
        <f>+[3]Sheet1!AM118</f>
        <v>214.24083917609181</v>
      </c>
      <c r="AQ118" s="16">
        <f>+[3]Sheet1!AN118</f>
        <v>182.63180737247609</v>
      </c>
      <c r="AR118" s="16">
        <f>+[3]Sheet1!AO118</f>
        <v>162.92074265642299</v>
      </c>
      <c r="AS118" s="16">
        <f>+[3]Sheet1!AP118</f>
        <v>168.50077133563531</v>
      </c>
      <c r="AT118" s="16">
        <f>+[3]Sheet1!AQ118</f>
        <v>36.468949579360093</v>
      </c>
      <c r="AU118" s="16">
        <f>+[3]Sheet1!AR118</f>
        <v>132.26769100873969</v>
      </c>
      <c r="AV118" s="16">
        <f>+[3]Sheet1!AS118</f>
        <v>96.60779423980388</v>
      </c>
      <c r="AW118" s="16">
        <f>+[3]Sheet1!AT118</f>
        <v>2607272.791209796</v>
      </c>
      <c r="AX118" s="16">
        <f>+base_mensual!AY118</f>
        <v>2801</v>
      </c>
      <c r="AY118">
        <f>+base_mensual!AZ118</f>
        <v>1.18</v>
      </c>
      <c r="AZ118">
        <f>+[3]Sheet1!AX118</f>
        <v>151.3780760986327</v>
      </c>
    </row>
    <row r="119" spans="1:52" x14ac:dyDescent="0.25">
      <c r="A119" s="2">
        <f>+base_mensual!A119</f>
        <v>44865</v>
      </c>
      <c r="B119" s="1">
        <f>+base_mensual!B119</f>
        <v>-1.939194740195993E-2</v>
      </c>
      <c r="C119">
        <f>+base_mensual!AE119</f>
        <v>155.01611637638078</v>
      </c>
      <c r="D119">
        <f>+base_mensual!H119</f>
        <v>188.78241387729301</v>
      </c>
      <c r="E119">
        <f>+[3]Sheet1!B119</f>
        <v>47686.350434823849</v>
      </c>
      <c r="F119">
        <f>+[3]Sheet1!C119</f>
        <v>31638.202868688659</v>
      </c>
      <c r="G119">
        <f>+[3]Sheet1!D119</f>
        <v>31453.064873976891</v>
      </c>
      <c r="H119">
        <f>+[3]Sheet1!E119</f>
        <v>11396.74469878437</v>
      </c>
      <c r="I119">
        <f>+[3]Sheet1!F119</f>
        <v>1034459.3326869491</v>
      </c>
      <c r="J119">
        <f>+[3]Sheet1!G119</f>
        <v>248.28564325903039</v>
      </c>
      <c r="K119">
        <f>+[3]Sheet1!H119</f>
        <v>452.25178537625351</v>
      </c>
      <c r="L119">
        <f>+[3]Sheet1!I119</f>
        <v>187.47010044713821</v>
      </c>
      <c r="M119">
        <f>+[3]Sheet1!J119</f>
        <v>150446.98430011849</v>
      </c>
      <c r="N119">
        <f>+[3]Sheet1!K119</f>
        <v>630212.50256139028</v>
      </c>
      <c r="O119">
        <f>+[3]Sheet1!L119</f>
        <v>484676.41919075837</v>
      </c>
      <c r="P119">
        <f>+[3]Sheet1!M119</f>
        <v>0.70612614946733776</v>
      </c>
      <c r="Q119">
        <f>+[3]Sheet1!N119</f>
        <v>2.5599816383583782</v>
      </c>
      <c r="R119">
        <f>+[3]Sheet1!O119</f>
        <v>2.1957084407884579</v>
      </c>
      <c r="S119">
        <f>+[3]Sheet1!P119</f>
        <v>137723.44230027121</v>
      </c>
      <c r="T119">
        <f>+[3]Sheet1!Q119</f>
        <v>168314.68386170629</v>
      </c>
      <c r="U119">
        <f>+[3]Sheet1!R119</f>
        <v>0.64887443812767753</v>
      </c>
      <c r="V119">
        <f>+[3]Sheet1!S119</f>
        <v>0.64593762039356006</v>
      </c>
      <c r="W119">
        <f>+[3]Sheet1!T119</f>
        <v>6040727.4412771706</v>
      </c>
      <c r="X119">
        <f>+[3]Sheet1!U119</f>
        <v>27.573886470987389</v>
      </c>
      <c r="Y119">
        <f>+[3]Sheet1!V119</f>
        <v>8017661.2724611256</v>
      </c>
      <c r="Z119">
        <f>+[3]Sheet1!W119</f>
        <v>34.062937190163922</v>
      </c>
      <c r="AA119">
        <f>+[3]Sheet1!X119</f>
        <v>13380960.27047975</v>
      </c>
      <c r="AB119">
        <f>+[3]Sheet1!Y119</f>
        <v>55.468332856186301</v>
      </c>
      <c r="AC119">
        <f>+[3]Sheet1!Z119</f>
        <v>0.64698478005283655</v>
      </c>
      <c r="AD119">
        <f>+[3]Sheet1!AA119</f>
        <v>59982.052981764216</v>
      </c>
      <c r="AE119">
        <f>+[3]Sheet1!AB119</f>
        <v>114219.27957100559</v>
      </c>
      <c r="AF119">
        <f>+[3]Sheet1!AC119</f>
        <v>159.2453903772178</v>
      </c>
      <c r="AG119">
        <f>+[3]Sheet1!AD119</f>
        <v>133.0687027779731</v>
      </c>
      <c r="AH119" s="16">
        <f>+[3]Sheet1!AE119</f>
        <v>144.94936796368009</v>
      </c>
      <c r="AI119" s="16">
        <f>+[3]Sheet1!AF119</f>
        <v>392.45160804289031</v>
      </c>
      <c r="AJ119" s="16">
        <f>+[3]Sheet1!AG119</f>
        <v>178.7053433044498</v>
      </c>
      <c r="AK119" s="16">
        <f>+[3]Sheet1!AH119</f>
        <v>95.227741453063985</v>
      </c>
      <c r="AL119" s="16">
        <f>+[3]Sheet1!AI119</f>
        <v>86.126089519670458</v>
      </c>
      <c r="AM119" s="16">
        <f>+[3]Sheet1!AJ119</f>
        <v>154.44022366895311</v>
      </c>
      <c r="AN119" s="16">
        <f>+[3]Sheet1!AK119</f>
        <v>101.0707121314187</v>
      </c>
      <c r="AO119" s="16">
        <f>+[3]Sheet1!AL119</f>
        <v>167.1482909644505</v>
      </c>
      <c r="AP119" s="16">
        <f>+[3]Sheet1!AM119</f>
        <v>194.99026933672519</v>
      </c>
      <c r="AQ119" s="16">
        <f>+[3]Sheet1!AN119</f>
        <v>195.72714455794079</v>
      </c>
      <c r="AR119" s="16">
        <f>+[3]Sheet1!AO119</f>
        <v>161.478732843492</v>
      </c>
      <c r="AS119" s="16">
        <f>+[3]Sheet1!AP119</f>
        <v>174.70715257699089</v>
      </c>
      <c r="AT119" s="16">
        <f>+[3]Sheet1!AQ119</f>
        <v>34.57344919345951</v>
      </c>
      <c r="AU119" s="16">
        <f>+[3]Sheet1!AR119</f>
        <v>131.22627178625311</v>
      </c>
      <c r="AV119" s="16">
        <f>+[3]Sheet1!AS119</f>
        <v>95.142441493217831</v>
      </c>
      <c r="AW119" s="16">
        <f>+[3]Sheet1!AT119</f>
        <v>2783288.275412607</v>
      </c>
      <c r="AX119" s="16">
        <f>+base_mensual!AY119</f>
        <v>2554</v>
      </c>
      <c r="AY119">
        <f>+base_mensual!AZ119</f>
        <v>1.28</v>
      </c>
      <c r="AZ119">
        <f>+[3]Sheet1!AX119</f>
        <v>149.78543623250809</v>
      </c>
    </row>
    <row r="120" spans="1:52" x14ac:dyDescent="0.25">
      <c r="A120" s="2">
        <f>+base_mensual!A120</f>
        <v>44895</v>
      </c>
      <c r="B120" s="1">
        <f>+base_mensual!B120</f>
        <v>-1.939194740195993E-2</v>
      </c>
      <c r="C120">
        <f>+base_mensual!AE120</f>
        <v>154.95910739378402</v>
      </c>
      <c r="D120">
        <f>+base_mensual!H120</f>
        <v>186.347726405526</v>
      </c>
      <c r="E120">
        <f>+[3]Sheet1!B120</f>
        <v>45928.462013795339</v>
      </c>
      <c r="F120">
        <f>+[3]Sheet1!C120</f>
        <v>27508.10289371519</v>
      </c>
      <c r="G120">
        <f>+[3]Sheet1!D120</f>
        <v>36450.208486130563</v>
      </c>
      <c r="H120">
        <f>+[3]Sheet1!E120</f>
        <v>11478.53120253118</v>
      </c>
      <c r="I120">
        <f>+[3]Sheet1!F120</f>
        <v>1080992.016034273</v>
      </c>
      <c r="J120">
        <f>+[3]Sheet1!G120</f>
        <v>289.75646080026672</v>
      </c>
      <c r="K120">
        <f>+[3]Sheet1!H120</f>
        <v>438.37935929500162</v>
      </c>
      <c r="L120">
        <f>+[3]Sheet1!I120</f>
        <v>192.83322294967991</v>
      </c>
      <c r="M120">
        <f>+[3]Sheet1!J120</f>
        <v>192213.5686015703</v>
      </c>
      <c r="N120">
        <f>+[3]Sheet1!K120</f>
        <v>632353.25385660084</v>
      </c>
      <c r="O120">
        <f>+[3]Sheet1!L120</f>
        <v>509334.53930852562</v>
      </c>
      <c r="P120">
        <f>+[3]Sheet1!M120</f>
        <v>0.58595295122985469</v>
      </c>
      <c r="Q120">
        <f>+[3]Sheet1!N120</f>
        <v>2.5416992893721702</v>
      </c>
      <c r="R120">
        <f>+[3]Sheet1!O120</f>
        <v>2.1583385958785741</v>
      </c>
      <c r="S120">
        <f>+[3]Sheet1!P120</f>
        <v>129933.22927235749</v>
      </c>
      <c r="T120">
        <f>+[3]Sheet1!Q120</f>
        <v>138006.3324203052</v>
      </c>
      <c r="U120">
        <f>+[3]Sheet1!R120</f>
        <v>0.55547249327579129</v>
      </c>
      <c r="V120">
        <f>+[3]Sheet1!S120</f>
        <v>0.5559658835188831</v>
      </c>
      <c r="W120">
        <f>+[3]Sheet1!T120</f>
        <v>7162956.37602612</v>
      </c>
      <c r="X120">
        <f>+[3]Sheet1!U120</f>
        <v>23.10778054944937</v>
      </c>
      <c r="Y120">
        <f>+[3]Sheet1!V120</f>
        <v>8303552.9915836388</v>
      </c>
      <c r="Z120">
        <f>+[3]Sheet1!W120</f>
        <v>32.050617264895543</v>
      </c>
      <c r="AA120">
        <f>+[3]Sheet1!X120</f>
        <v>13626295.753394799</v>
      </c>
      <c r="AB120">
        <f>+[3]Sheet1!Y120</f>
        <v>56.261479241055767</v>
      </c>
      <c r="AC120">
        <f>+[3]Sheet1!Z120</f>
        <v>0.67776701761988944</v>
      </c>
      <c r="AD120">
        <f>+[3]Sheet1!AA120</f>
        <v>64788.577162809321</v>
      </c>
      <c r="AE120">
        <f>+[3]Sheet1!AB120</f>
        <v>132190.6225669717</v>
      </c>
      <c r="AF120">
        <f>+[3]Sheet1!AC120</f>
        <v>163.94513301384319</v>
      </c>
      <c r="AG120">
        <f>+[3]Sheet1!AD120</f>
        <v>130.42579598044449</v>
      </c>
      <c r="AH120" s="16">
        <f>+[3]Sheet1!AE120</f>
        <v>150.21612576256811</v>
      </c>
      <c r="AI120" s="16">
        <f>+[3]Sheet1!AF120</f>
        <v>370.63125107982751</v>
      </c>
      <c r="AJ120" s="16">
        <f>+[3]Sheet1!AG120</f>
        <v>183.19693920340799</v>
      </c>
      <c r="AK120" s="16">
        <f>+[3]Sheet1!AH120</f>
        <v>95.569737692396899</v>
      </c>
      <c r="AL120" s="16">
        <f>+[3]Sheet1!AI120</f>
        <v>86.071447519038927</v>
      </c>
      <c r="AM120" s="16">
        <f>+[3]Sheet1!AJ120</f>
        <v>149.10665711508</v>
      </c>
      <c r="AN120" s="16">
        <f>+[3]Sheet1!AK120</f>
        <v>100.5754366774439</v>
      </c>
      <c r="AO120" s="16">
        <f>+[3]Sheet1!AL120</f>
        <v>173.37263702613251</v>
      </c>
      <c r="AP120" s="16">
        <f>+[3]Sheet1!AM120</f>
        <v>223.14027214111459</v>
      </c>
      <c r="AQ120" s="16">
        <f>+[3]Sheet1!AN120</f>
        <v>193.00736505711711</v>
      </c>
      <c r="AR120" s="16">
        <f>+[3]Sheet1!AO120</f>
        <v>157.04177875896451</v>
      </c>
      <c r="AS120" s="16">
        <f>+[3]Sheet1!AP120</f>
        <v>168.46090966939181</v>
      </c>
      <c r="AT120" s="16">
        <f>+[3]Sheet1!AQ120</f>
        <v>33.138005123210291</v>
      </c>
      <c r="AU120" s="16">
        <f>+[3]Sheet1!AR120</f>
        <v>131.33070640984971</v>
      </c>
      <c r="AV120" s="16">
        <f>+[3]Sheet1!AS120</f>
        <v>97.07289273266116</v>
      </c>
      <c r="AW120" s="16">
        <f>+[3]Sheet1!AT120</f>
        <v>3605749.134272092</v>
      </c>
      <c r="AX120" s="16">
        <f>+base_mensual!AY120</f>
        <v>2401</v>
      </c>
      <c r="AY120">
        <f>+base_mensual!AZ120</f>
        <v>1.19</v>
      </c>
      <c r="AZ120">
        <f>+[3]Sheet1!AX120</f>
        <v>150.3358943073639</v>
      </c>
    </row>
    <row r="121" spans="1:52" x14ac:dyDescent="0.25">
      <c r="A121" s="2">
        <f>+base_mensual!A121</f>
        <v>44925</v>
      </c>
      <c r="B121" s="1">
        <f>+base_mensual!B121</f>
        <v>-1.939194740195993E-2</v>
      </c>
      <c r="C121">
        <f>+base_mensual!AE121</f>
        <v>155.40607353875623</v>
      </c>
      <c r="D121">
        <f>+base_mensual!H121</f>
        <v>182.008329705466</v>
      </c>
      <c r="E121">
        <f>+[3]Sheet1!B121</f>
        <v>47153.699407755223</v>
      </c>
      <c r="F121">
        <f>+[3]Sheet1!C121</f>
        <v>24686.348173641079</v>
      </c>
      <c r="G121">
        <f>+[3]Sheet1!D121</f>
        <v>29558.46216793155</v>
      </c>
      <c r="H121">
        <f>+[3]Sheet1!E121</f>
        <v>10440.01608440207</v>
      </c>
      <c r="I121">
        <f>+[3]Sheet1!F121</f>
        <v>1035010.617879675</v>
      </c>
      <c r="J121">
        <f>+[3]Sheet1!G121</f>
        <v>345.45570089368198</v>
      </c>
      <c r="K121">
        <f>+[3]Sheet1!H121</f>
        <v>464.63261799895332</v>
      </c>
      <c r="L121">
        <f>+[3]Sheet1!I121</f>
        <v>210.95421117317849</v>
      </c>
      <c r="M121">
        <f>+[3]Sheet1!J121</f>
        <v>282794.6907269666</v>
      </c>
      <c r="N121">
        <f>+[3]Sheet1!K121</f>
        <v>643730.56073996564</v>
      </c>
      <c r="O121">
        <f>+[3]Sheet1!L121</f>
        <v>571804.51499643095</v>
      </c>
      <c r="P121">
        <f>+[3]Sheet1!M121</f>
        <v>1.116455283112491</v>
      </c>
      <c r="Q121">
        <f>+[3]Sheet1!N121</f>
        <v>2.5748012199026209</v>
      </c>
      <c r="R121">
        <f>+[3]Sheet1!O121</f>
        <v>2.1119160288402572</v>
      </c>
      <c r="S121">
        <f>+[3]Sheet1!P121</f>
        <v>191461.64905276761</v>
      </c>
      <c r="T121">
        <f>+[3]Sheet1!Q121</f>
        <v>176097.5894475118</v>
      </c>
      <c r="U121">
        <f>+[3]Sheet1!R121</f>
        <v>0.73305226312380323</v>
      </c>
      <c r="V121">
        <f>+[3]Sheet1!S121</f>
        <v>0.58048744104012306</v>
      </c>
      <c r="W121">
        <f>+[3]Sheet1!T121</f>
        <v>8527424.7746509779</v>
      </c>
      <c r="X121">
        <f>+[3]Sheet1!U121</f>
        <v>30.42527067577349</v>
      </c>
      <c r="Y121">
        <f>+[3]Sheet1!V121</f>
        <v>8561411.0186214279</v>
      </c>
      <c r="Z121">
        <f>+[3]Sheet1!W121</f>
        <v>32.826779563367673</v>
      </c>
      <c r="AA121">
        <f>+[3]Sheet1!X121</f>
        <v>14070579.86257787</v>
      </c>
      <c r="AB121">
        <f>+[3]Sheet1!Y121</f>
        <v>58.005804957038087</v>
      </c>
      <c r="AC121">
        <f>+[3]Sheet1!Z121</f>
        <v>0.73619421505646221</v>
      </c>
      <c r="AD121">
        <f>+[3]Sheet1!AA121</f>
        <v>64028.942228549808</v>
      </c>
      <c r="AE121">
        <f>+[3]Sheet1!AB121</f>
        <v>123598.1686369614</v>
      </c>
      <c r="AF121">
        <f>+[3]Sheet1!AC121</f>
        <v>159.65552126711719</v>
      </c>
      <c r="AG121">
        <f>+[3]Sheet1!AD121</f>
        <v>125.6194344571318</v>
      </c>
      <c r="AH121" s="16">
        <f>+[3]Sheet1!AE121</f>
        <v>153.07618739238961</v>
      </c>
      <c r="AI121" s="16">
        <f>+[3]Sheet1!AF121</f>
        <v>374.36228119019682</v>
      </c>
      <c r="AJ121" s="16">
        <f>+[3]Sheet1!AG121</f>
        <v>178.2102532784194</v>
      </c>
      <c r="AK121" s="16">
        <f>+[3]Sheet1!AH121</f>
        <v>93.133355752886018</v>
      </c>
      <c r="AL121" s="16">
        <f>+[3]Sheet1!AI121</f>
        <v>87.350101298807417</v>
      </c>
      <c r="AM121" s="16">
        <f>+[3]Sheet1!AJ121</f>
        <v>150.22592760210239</v>
      </c>
      <c r="AN121" s="16">
        <f>+[3]Sheet1!AK121</f>
        <v>105.5965071392289</v>
      </c>
      <c r="AO121" s="16">
        <f>+[3]Sheet1!AL121</f>
        <v>176.52586600069981</v>
      </c>
      <c r="AP121" s="16">
        <f>+[3]Sheet1!AM121</f>
        <v>227.77680987161139</v>
      </c>
      <c r="AQ121" s="16">
        <f>+[3]Sheet1!AN121</f>
        <v>203.91077025261359</v>
      </c>
      <c r="AR121" s="16">
        <f>+[3]Sheet1!AO121</f>
        <v>153.32378063362319</v>
      </c>
      <c r="AS121" s="16">
        <f>+[3]Sheet1!AP121</f>
        <v>164.688600239039</v>
      </c>
      <c r="AT121" s="16">
        <f>+[3]Sheet1!AQ121</f>
        <v>36.034360378172188</v>
      </c>
      <c r="AU121" s="16">
        <f>+[3]Sheet1!AR121</f>
        <v>134.69354606889311</v>
      </c>
      <c r="AV121" s="16">
        <f>+[3]Sheet1!AS121</f>
        <v>97.088003191291733</v>
      </c>
      <c r="AW121" s="16">
        <f>+[3]Sheet1!AT121</f>
        <v>2821208.7242713911</v>
      </c>
      <c r="AX121" s="16">
        <f>+base_mensual!AY121</f>
        <v>2196</v>
      </c>
      <c r="AY121">
        <f>+base_mensual!AZ121</f>
        <v>1.25</v>
      </c>
      <c r="AZ121">
        <f>+[3]Sheet1!AX121</f>
        <v>148.76530624677139</v>
      </c>
    </row>
    <row r="122" spans="1:52" x14ac:dyDescent="0.25">
      <c r="A122" s="2">
        <f>+base_mensual!A122</f>
        <v>44957</v>
      </c>
      <c r="B122" s="1">
        <f>+base_mensual!B122</f>
        <v>1.520618574226118E-2</v>
      </c>
      <c r="C122">
        <f>+base_mensual!AE122</f>
        <v>158.16037524902072</v>
      </c>
      <c r="D122">
        <f>+base_mensual!H122</f>
        <v>187.69839744631099</v>
      </c>
      <c r="E122">
        <f>+[3]Sheet1!B122</f>
        <v>48259.608376552816</v>
      </c>
      <c r="F122">
        <f>+[3]Sheet1!C122</f>
        <v>23632.477025418961</v>
      </c>
      <c r="G122">
        <f>+[3]Sheet1!D122</f>
        <v>32739.10239194056</v>
      </c>
      <c r="H122">
        <f>+[3]Sheet1!E122</f>
        <v>10296.669596619329</v>
      </c>
      <c r="I122">
        <f>+[3]Sheet1!F122</f>
        <v>1068118.2280760331</v>
      </c>
      <c r="J122">
        <f>+[3]Sheet1!G122</f>
        <v>317.59513507990891</v>
      </c>
      <c r="K122">
        <f>+[3]Sheet1!H122</f>
        <v>445.21060078273422</v>
      </c>
      <c r="L122">
        <f>+[3]Sheet1!I122</f>
        <v>212.1508718694094</v>
      </c>
      <c r="M122">
        <f>+[3]Sheet1!J122</f>
        <v>125596.0857532809</v>
      </c>
      <c r="N122">
        <f>+[3]Sheet1!K122</f>
        <v>717403.98250491184</v>
      </c>
      <c r="O122">
        <f>+[3]Sheet1!L122</f>
        <v>474758.34172976261</v>
      </c>
      <c r="P122">
        <f>+[3]Sheet1!M122</f>
        <v>0.57660971204900557</v>
      </c>
      <c r="Q122">
        <f>+[3]Sheet1!N122</f>
        <v>2.407891599147308</v>
      </c>
      <c r="R122">
        <f>+[3]Sheet1!O122</f>
        <v>1.8138608711092059</v>
      </c>
      <c r="S122">
        <f>+[3]Sheet1!P122</f>
        <v>253002.23137068711</v>
      </c>
      <c r="T122">
        <f>+[3]Sheet1!Q122</f>
        <v>244541.54773338221</v>
      </c>
      <c r="U122">
        <f>+[3]Sheet1!R122</f>
        <v>0.7902461588020232</v>
      </c>
      <c r="V122">
        <f>+[3]Sheet1!S122</f>
        <v>0.75901043411183167</v>
      </c>
      <c r="W122">
        <f>+[3]Sheet1!T122</f>
        <v>11826102.53037475</v>
      </c>
      <c r="X122">
        <f>+[3]Sheet1!U122</f>
        <v>32.91743793192741</v>
      </c>
      <c r="Y122">
        <f>+[3]Sheet1!V122</f>
        <v>8834477.1942257788</v>
      </c>
      <c r="Z122">
        <f>+[3]Sheet1!W122</f>
        <v>33.024009053923407</v>
      </c>
      <c r="AA122">
        <f>+[3]Sheet1!X122</f>
        <v>14514701.73883027</v>
      </c>
      <c r="AB122">
        <f>+[3]Sheet1!Y122</f>
        <v>56.65713048786828</v>
      </c>
      <c r="AC122">
        <f>+[3]Sheet1!Z122</f>
        <v>0.74644092335672474</v>
      </c>
      <c r="AD122">
        <f>+[3]Sheet1!AA122</f>
        <v>62106.785900528281</v>
      </c>
      <c r="AE122">
        <f>+[3]Sheet1!AB122</f>
        <v>134984.98516787979</v>
      </c>
      <c r="AF122">
        <f>+[3]Sheet1!AC122</f>
        <v>161.68802108024721</v>
      </c>
      <c r="AG122">
        <f>+[3]Sheet1!AD122</f>
        <v>128.860309389554</v>
      </c>
      <c r="AH122" s="16">
        <f>+[3]Sheet1!AE122</f>
        <v>155.19777529038211</v>
      </c>
      <c r="AI122" s="16">
        <f>+[3]Sheet1!AF122</f>
        <v>384.80157785203443</v>
      </c>
      <c r="AJ122" s="16">
        <f>+[3]Sheet1!AG122</f>
        <v>182.03416720617309</v>
      </c>
      <c r="AK122" s="16">
        <f>+[3]Sheet1!AH122</f>
        <v>88.589795296029038</v>
      </c>
      <c r="AL122" s="16">
        <f>+[3]Sheet1!AI122</f>
        <v>86.14735438849975</v>
      </c>
      <c r="AM122" s="16">
        <f>+[3]Sheet1!AJ122</f>
        <v>155.39413110248361</v>
      </c>
      <c r="AN122" s="16">
        <f>+[3]Sheet1!AK122</f>
        <v>103.9263292055996</v>
      </c>
      <c r="AO122" s="16">
        <f>+[3]Sheet1!AL122</f>
        <v>173.34039151871701</v>
      </c>
      <c r="AP122" s="16">
        <f>+[3]Sheet1!AM122</f>
        <v>229.3805908564089</v>
      </c>
      <c r="AQ122" s="16">
        <f>+[3]Sheet1!AN122</f>
        <v>195.65975145218269</v>
      </c>
      <c r="AR122" s="16">
        <f>+[3]Sheet1!AO122</f>
        <v>156.93203656386311</v>
      </c>
      <c r="AS122" s="16">
        <f>+[3]Sheet1!AP122</f>
        <v>176.8008784487312</v>
      </c>
      <c r="AT122" s="16">
        <f>+[3]Sheet1!AQ122</f>
        <v>36.88744109762451</v>
      </c>
      <c r="AU122" s="16">
        <f>+[3]Sheet1!AR122</f>
        <v>135.30614214139001</v>
      </c>
      <c r="AV122" s="16">
        <f>+[3]Sheet1!AS122</f>
        <v>95.918574230688492</v>
      </c>
      <c r="AW122" s="16">
        <f>+[3]Sheet1!AT122</f>
        <v>2728551.772045841</v>
      </c>
      <c r="AX122" s="16">
        <f>+base_mensual!AY122</f>
        <v>1820</v>
      </c>
      <c r="AY122">
        <f>+base_mensual!AZ122</f>
        <v>1.8</v>
      </c>
      <c r="AZ122">
        <f>+[3]Sheet1!AX122</f>
        <v>149.7883952782222</v>
      </c>
    </row>
    <row r="123" spans="1:52" x14ac:dyDescent="0.25">
      <c r="A123" s="2">
        <f>+base_mensual!A123</f>
        <v>44985</v>
      </c>
      <c r="B123" s="1">
        <f>+base_mensual!B123</f>
        <v>1.520618574226118E-2</v>
      </c>
      <c r="C123">
        <f>+base_mensual!AE123</f>
        <v>159.51645108511531</v>
      </c>
      <c r="D123">
        <f>+base_mensual!H123</f>
        <v>184.40223934110199</v>
      </c>
      <c r="E123">
        <f>+[3]Sheet1!B123</f>
        <v>50198.540833567997</v>
      </c>
      <c r="F123">
        <f>+[3]Sheet1!C123</f>
        <v>33568.629516738729</v>
      </c>
      <c r="G123">
        <f>+[3]Sheet1!D123</f>
        <v>32945.767412656867</v>
      </c>
      <c r="H123">
        <f>+[3]Sheet1!E123</f>
        <v>11724.43266062898</v>
      </c>
      <c r="I123">
        <f>+[3]Sheet1!F123</f>
        <v>1048228.905082835</v>
      </c>
      <c r="J123">
        <f>+[3]Sheet1!G123</f>
        <v>312.39935138332851</v>
      </c>
      <c r="K123">
        <f>+[3]Sheet1!H123</f>
        <v>405.67840163008788</v>
      </c>
      <c r="L123">
        <f>+[3]Sheet1!I123</f>
        <v>194.74209011090201</v>
      </c>
      <c r="M123">
        <f>+[3]Sheet1!J123</f>
        <v>81244.89419955379</v>
      </c>
      <c r="N123">
        <f>+[3]Sheet1!K123</f>
        <v>708466.42629134038</v>
      </c>
      <c r="O123">
        <f>+[3]Sheet1!L123</f>
        <v>480552.29332582263</v>
      </c>
      <c r="P123">
        <f>+[3]Sheet1!M123</f>
        <v>0.39404486520337578</v>
      </c>
      <c r="Q123">
        <f>+[3]Sheet1!N123</f>
        <v>2.5058789357763911</v>
      </c>
      <c r="R123">
        <f>+[3]Sheet1!O123</f>
        <v>1.757358520066675</v>
      </c>
      <c r="S123">
        <f>+[3]Sheet1!P123</f>
        <v>241051.69709158511</v>
      </c>
      <c r="T123">
        <f>+[3]Sheet1!Q123</f>
        <v>257274.8765718088</v>
      </c>
      <c r="U123">
        <f>+[3]Sheet1!R123</f>
        <v>0.84195005271428869</v>
      </c>
      <c r="V123">
        <f>+[3]Sheet1!S123</f>
        <v>0.83401691660889365</v>
      </c>
      <c r="W123">
        <f>+[3]Sheet1!T123</f>
        <v>10040185.94257162</v>
      </c>
      <c r="X123">
        <f>+[3]Sheet1!U123</f>
        <v>35.287554732783299</v>
      </c>
      <c r="Y123">
        <f>+[3]Sheet1!V123</f>
        <v>9108638.0271301921</v>
      </c>
      <c r="Z123">
        <f>+[3]Sheet1!W123</f>
        <v>32.518578172071123</v>
      </c>
      <c r="AA123">
        <f>+[3]Sheet1!X123</f>
        <v>16793302.562807929</v>
      </c>
      <c r="AB123">
        <f>+[3]Sheet1!Y123</f>
        <v>57.380996033494753</v>
      </c>
      <c r="AC123">
        <f>+[3]Sheet1!Z123</f>
        <v>0.76322176263591035</v>
      </c>
      <c r="AD123">
        <f>+[3]Sheet1!AA123</f>
        <v>60616.693587693488</v>
      </c>
      <c r="AE123">
        <f>+[3]Sheet1!AB123</f>
        <v>130887.5511346221</v>
      </c>
      <c r="AF123">
        <f>+[3]Sheet1!AC123</f>
        <v>158.2885723463863</v>
      </c>
      <c r="AG123">
        <f>+[3]Sheet1!AD123</f>
        <v>131.69139244492979</v>
      </c>
      <c r="AH123" s="16">
        <f>+[3]Sheet1!AE123</f>
        <v>154.80519638528091</v>
      </c>
      <c r="AI123" s="16">
        <f>+[3]Sheet1!AF123</f>
        <v>385.08074312504169</v>
      </c>
      <c r="AJ123" s="16">
        <f>+[3]Sheet1!AG123</f>
        <v>175.90291078932449</v>
      </c>
      <c r="AK123" s="16">
        <f>+[3]Sheet1!AH123</f>
        <v>94.889068548195553</v>
      </c>
      <c r="AL123" s="16">
        <f>+[3]Sheet1!AI123</f>
        <v>87.326379255087318</v>
      </c>
      <c r="AM123" s="16">
        <f>+[3]Sheet1!AJ123</f>
        <v>152.65721149721671</v>
      </c>
      <c r="AN123" s="16">
        <f>+[3]Sheet1!AK123</f>
        <v>107.6243762780082</v>
      </c>
      <c r="AO123" s="16">
        <f>+[3]Sheet1!AL123</f>
        <v>157.33116529898521</v>
      </c>
      <c r="AP123" s="16">
        <f>+[3]Sheet1!AM123</f>
        <v>229.38512268785999</v>
      </c>
      <c r="AQ123" s="16">
        <f>+[3]Sheet1!AN123</f>
        <v>187.05563657171101</v>
      </c>
      <c r="AR123" s="16">
        <f>+[3]Sheet1!AO123</f>
        <v>152.83136880672819</v>
      </c>
      <c r="AS123" s="16">
        <f>+[3]Sheet1!AP123</f>
        <v>183.78887415291311</v>
      </c>
      <c r="AT123" s="16">
        <f>+[3]Sheet1!AQ123</f>
        <v>35.748010093746963</v>
      </c>
      <c r="AU123" s="16">
        <f>+[3]Sheet1!AR123</f>
        <v>135.12275290412879</v>
      </c>
      <c r="AV123" s="16">
        <f>+[3]Sheet1!AS123</f>
        <v>96.213439790002212</v>
      </c>
      <c r="AW123" s="16">
        <f>+[3]Sheet1!AT123</f>
        <v>2344749.5341574661</v>
      </c>
      <c r="AX123" s="16">
        <f>+base_mensual!AY123</f>
        <v>1995</v>
      </c>
      <c r="AY123">
        <f>+base_mensual!AZ123</f>
        <v>1.17</v>
      </c>
      <c r="AZ123">
        <f>+[3]Sheet1!AX123</f>
        <v>149.1478206902537</v>
      </c>
    </row>
    <row r="124" spans="1:52" x14ac:dyDescent="0.25">
      <c r="A124" s="2">
        <f>+base_mensual!A124</f>
        <v>45016</v>
      </c>
      <c r="B124" s="1">
        <f>+base_mensual!B124</f>
        <v>1.520618574226118E-2</v>
      </c>
      <c r="C124">
        <f>+base_mensual!AE124</f>
        <v>162.15894707501377</v>
      </c>
      <c r="D124">
        <f>+base_mensual!H124</f>
        <v>196.691268242532</v>
      </c>
      <c r="E124">
        <f>+[3]Sheet1!B124</f>
        <v>57814.007597713717</v>
      </c>
      <c r="F124">
        <f>+[3]Sheet1!C124</f>
        <v>31190.375660515641</v>
      </c>
      <c r="G124">
        <f>+[3]Sheet1!D124</f>
        <v>36782.484032309672</v>
      </c>
      <c r="H124">
        <f>+[3]Sheet1!E124</f>
        <v>11761.70481668938</v>
      </c>
      <c r="I124">
        <f>+[3]Sheet1!F124</f>
        <v>1145084.568483344</v>
      </c>
      <c r="J124">
        <f>+[3]Sheet1!G124</f>
        <v>295.00048845204202</v>
      </c>
      <c r="K124">
        <f>+[3]Sheet1!H124</f>
        <v>421.66433825530669</v>
      </c>
      <c r="L124">
        <f>+[3]Sheet1!I124</f>
        <v>202.29932389855091</v>
      </c>
      <c r="M124">
        <f>+[3]Sheet1!J124</f>
        <v>155741.67706484269</v>
      </c>
      <c r="N124">
        <f>+[3]Sheet1!K124</f>
        <v>853694.03907944821</v>
      </c>
      <c r="O124">
        <f>+[3]Sheet1!L124</f>
        <v>474002.23843378288</v>
      </c>
      <c r="P124">
        <f>+[3]Sheet1!M124</f>
        <v>0.50763821429790723</v>
      </c>
      <c r="Q124">
        <f>+[3]Sheet1!N124</f>
        <v>2.8170532627151981</v>
      </c>
      <c r="R124">
        <f>+[3]Sheet1!O124</f>
        <v>1.7886600317805039</v>
      </c>
      <c r="S124">
        <f>+[3]Sheet1!P124</f>
        <v>245780.6897107572</v>
      </c>
      <c r="T124">
        <f>+[3]Sheet1!Q124</f>
        <v>241123.6901132777</v>
      </c>
      <c r="U124">
        <f>+[3]Sheet1!R124</f>
        <v>0.82754073788557281</v>
      </c>
      <c r="V124">
        <f>+[3]Sheet1!S124</f>
        <v>0.8173310976874032</v>
      </c>
      <c r="W124">
        <f>+[3]Sheet1!T124</f>
        <v>9808428.8150755037</v>
      </c>
      <c r="X124">
        <f>+[3]Sheet1!U124</f>
        <v>34.8564991448185</v>
      </c>
      <c r="Y124">
        <f>+[3]Sheet1!V124</f>
        <v>9884867.6419284381</v>
      </c>
      <c r="Z124">
        <f>+[3]Sheet1!W124</f>
        <v>31.62423921983347</v>
      </c>
      <c r="AA124">
        <f>+[3]Sheet1!X124</f>
        <v>17112334.19070331</v>
      </c>
      <c r="AB124">
        <f>+[3]Sheet1!Y124</f>
        <v>55.34764130851341</v>
      </c>
      <c r="AC124">
        <f>+[3]Sheet1!Z124</f>
        <v>0.77103368842777475</v>
      </c>
      <c r="AD124">
        <f>+[3]Sheet1!AA124</f>
        <v>64088.253228120331</v>
      </c>
      <c r="AE124">
        <f>+[3]Sheet1!AB124</f>
        <v>145676.42387663701</v>
      </c>
      <c r="AF124">
        <f>+[3]Sheet1!AC124</f>
        <v>171.85741306150169</v>
      </c>
      <c r="AG124">
        <f>+[3]Sheet1!AD124</f>
        <v>135.53269897411161</v>
      </c>
      <c r="AH124" s="16">
        <f>+[3]Sheet1!AE124</f>
        <v>161.43261993100251</v>
      </c>
      <c r="AI124" s="16">
        <f>+[3]Sheet1!AF124</f>
        <v>437.85385659782452</v>
      </c>
      <c r="AJ124" s="16">
        <f>+[3]Sheet1!AG124</f>
        <v>184.5742011417228</v>
      </c>
      <c r="AK124" s="16">
        <f>+[3]Sheet1!AH124</f>
        <v>106.4759875381046</v>
      </c>
      <c r="AL124" s="16">
        <f>+[3]Sheet1!AI124</f>
        <v>86.091188618404345</v>
      </c>
      <c r="AM124" s="16">
        <f>+[3]Sheet1!AJ124</f>
        <v>154.39641126079911</v>
      </c>
      <c r="AN124" s="16">
        <f>+[3]Sheet1!AK124</f>
        <v>109.829259781768</v>
      </c>
      <c r="AO124" s="16">
        <f>+[3]Sheet1!AL124</f>
        <v>179.21326488787761</v>
      </c>
      <c r="AP124" s="16">
        <f>+[3]Sheet1!AM124</f>
        <v>253.3982360339935</v>
      </c>
      <c r="AQ124" s="16">
        <f>+[3]Sheet1!AN124</f>
        <v>189.12542338768921</v>
      </c>
      <c r="AR124" s="16">
        <f>+[3]Sheet1!AO124</f>
        <v>156.09500804417519</v>
      </c>
      <c r="AS124" s="16">
        <f>+[3]Sheet1!AP124</f>
        <v>210.684619412334</v>
      </c>
      <c r="AT124" s="16">
        <f>+[3]Sheet1!AQ124</f>
        <v>39.56403070192858</v>
      </c>
      <c r="AU124" s="16">
        <f>+[3]Sheet1!AR124</f>
        <v>136.2753077355253</v>
      </c>
      <c r="AV124" s="16">
        <f>+[3]Sheet1!AS124</f>
        <v>97.197676662945739</v>
      </c>
      <c r="AW124" s="16">
        <f>+[3]Sheet1!AT124</f>
        <v>2466879.2248808378</v>
      </c>
      <c r="AX124" s="16">
        <f>+base_mensual!AY124</f>
        <v>2302</v>
      </c>
      <c r="AY124">
        <f>+base_mensual!AZ124</f>
        <v>1.18</v>
      </c>
      <c r="AZ124">
        <f>+[3]Sheet1!AX124</f>
        <v>151.3705231333312</v>
      </c>
    </row>
    <row r="125" spans="1:52" x14ac:dyDescent="0.25">
      <c r="A125" s="2">
        <f>+base_mensual!A125</f>
        <v>45044</v>
      </c>
      <c r="B125" s="1">
        <f>+base_mensual!B125</f>
        <v>-2.8000000000000001E-2</v>
      </c>
      <c r="C125">
        <f>+base_mensual!AE125</f>
        <v>160.544945392637</v>
      </c>
      <c r="D125">
        <f>+base_mensual!H125</f>
        <v>198.439346228934</v>
      </c>
      <c r="E125">
        <f>+[3]Sheet1!B125</f>
        <v>53885.457124220971</v>
      </c>
      <c r="F125">
        <f>+[3]Sheet1!C125</f>
        <v>31061.5331449818</v>
      </c>
      <c r="G125">
        <f>+[3]Sheet1!D125</f>
        <v>32824.998002395652</v>
      </c>
      <c r="H125">
        <f>+[3]Sheet1!E125</f>
        <v>12074.35696580106</v>
      </c>
      <c r="I125">
        <f>+[3]Sheet1!F125</f>
        <v>1051385.3749367869</v>
      </c>
      <c r="J125">
        <f>+[3]Sheet1!G125</f>
        <v>297.01802371508211</v>
      </c>
      <c r="K125">
        <f>+[3]Sheet1!H125</f>
        <v>474.19247653684539</v>
      </c>
      <c r="L125">
        <f>+[3]Sheet1!I125</f>
        <v>186.40503839548799</v>
      </c>
      <c r="M125">
        <f>+[3]Sheet1!J125</f>
        <v>126783.4431997857</v>
      </c>
      <c r="N125">
        <f>+[3]Sheet1!K125</f>
        <v>899002.70365628542</v>
      </c>
      <c r="O125">
        <f>+[3]Sheet1!L125</f>
        <v>525776.5674177435</v>
      </c>
      <c r="P125">
        <f>+[3]Sheet1!M125</f>
        <v>0.4147572263392974</v>
      </c>
      <c r="Q125">
        <f>+[3]Sheet1!N125</f>
        <v>2.7244254414372699</v>
      </c>
      <c r="R125">
        <f>+[3]Sheet1!O125</f>
        <v>1.773707778578169</v>
      </c>
      <c r="S125">
        <f>+[3]Sheet1!P125</f>
        <v>296663.68809971079</v>
      </c>
      <c r="T125">
        <f>+[3]Sheet1!Q125</f>
        <v>281018.13622426352</v>
      </c>
      <c r="U125">
        <f>+[3]Sheet1!R125</f>
        <v>0.96004469305734685</v>
      </c>
      <c r="V125">
        <f>+[3]Sheet1!S125</f>
        <v>0.89865858195863701</v>
      </c>
      <c r="W125">
        <f>+[3]Sheet1!T125</f>
        <v>11415275.05280941</v>
      </c>
      <c r="X125">
        <f>+[3]Sheet1!U125</f>
        <v>40.189410743214523</v>
      </c>
      <c r="Y125">
        <f>+[3]Sheet1!V125</f>
        <v>9666915.3647317328</v>
      </c>
      <c r="Z125">
        <f>+[3]Sheet1!W125</f>
        <v>30.083190952783461</v>
      </c>
      <c r="AA125">
        <f>+[3]Sheet1!X125</f>
        <v>19374817.517919149</v>
      </c>
      <c r="AB125">
        <f>+[3]Sheet1!Y125</f>
        <v>55.610184720899312</v>
      </c>
      <c r="AC125">
        <f>+[3]Sheet1!Z125</f>
        <v>0.77067176310565777</v>
      </c>
      <c r="AD125">
        <f>+[3]Sheet1!AA125</f>
        <v>61091.30611097566</v>
      </c>
      <c r="AE125">
        <f>+[3]Sheet1!AB125</f>
        <v>137540.7663782638</v>
      </c>
      <c r="AF125">
        <f>+[3]Sheet1!AC125</f>
        <v>162.3147074839093</v>
      </c>
      <c r="AG125">
        <f>+[3]Sheet1!AD125</f>
        <v>132.73180770806499</v>
      </c>
      <c r="AH125" s="16">
        <f>+[3]Sheet1!AE125</f>
        <v>160.12479490364501</v>
      </c>
      <c r="AI125" s="16">
        <f>+[3]Sheet1!AF125</f>
        <v>399.70950423404099</v>
      </c>
      <c r="AJ125" s="16">
        <f>+[3]Sheet1!AG125</f>
        <v>178.54541036617559</v>
      </c>
      <c r="AK125" s="16">
        <f>+[3]Sheet1!AH125</f>
        <v>108.3249192169467</v>
      </c>
      <c r="AL125" s="16">
        <f>+[3]Sheet1!AI125</f>
        <v>86.291134431434884</v>
      </c>
      <c r="AM125" s="16">
        <f>+[3]Sheet1!AJ125</f>
        <v>153.63192810304429</v>
      </c>
      <c r="AN125" s="16">
        <f>+[3]Sheet1!AK125</f>
        <v>108.327383106883</v>
      </c>
      <c r="AO125" s="16">
        <f>+[3]Sheet1!AL125</f>
        <v>180.04054332941479</v>
      </c>
      <c r="AP125" s="16">
        <f>+[3]Sheet1!AM125</f>
        <v>227.69375986376099</v>
      </c>
      <c r="AQ125" s="16">
        <f>+[3]Sheet1!AN125</f>
        <v>199.07270370272229</v>
      </c>
      <c r="AR125" s="16">
        <f>+[3]Sheet1!AO125</f>
        <v>151.8021617151133</v>
      </c>
      <c r="AS125" s="16">
        <f>+[3]Sheet1!AP125</f>
        <v>196.84285844593859</v>
      </c>
      <c r="AT125" s="16">
        <f>+[3]Sheet1!AQ125</f>
        <v>39.518543831471931</v>
      </c>
      <c r="AU125" s="16">
        <f>+[3]Sheet1!AR125</f>
        <v>136.17997276144879</v>
      </c>
      <c r="AV125" s="16">
        <f>+[3]Sheet1!AS125</f>
        <v>96.320148949287059</v>
      </c>
      <c r="AW125" s="16">
        <f>+[3]Sheet1!AT125</f>
        <v>2588704.5699579609</v>
      </c>
      <c r="AX125" s="16">
        <f>+base_mensual!AY125</f>
        <v>2684</v>
      </c>
      <c r="AY125">
        <f>+base_mensual!AZ125</f>
        <v>1.07</v>
      </c>
      <c r="AZ125">
        <f>+[3]Sheet1!AX125</f>
        <v>142.35305206185129</v>
      </c>
    </row>
    <row r="126" spans="1:52" x14ac:dyDescent="0.25">
      <c r="A126" s="2">
        <f>+base_mensual!A126</f>
        <v>45077</v>
      </c>
      <c r="B126" s="1">
        <f>+base_mensual!B126</f>
        <v>-2.8000000000000001E-2</v>
      </c>
      <c r="C126">
        <f>+base_mensual!AE126</f>
        <v>159.60092713711276</v>
      </c>
      <c r="D126">
        <f>+base_mensual!H126</f>
        <v>193.01435724666101</v>
      </c>
      <c r="E126">
        <f>+[3]Sheet1!B126</f>
        <v>49579.281213858718</v>
      </c>
      <c r="F126">
        <f>+[3]Sheet1!C126</f>
        <v>29126.823735103539</v>
      </c>
      <c r="G126">
        <f>+[3]Sheet1!D126</f>
        <v>34516.327347194303</v>
      </c>
      <c r="H126">
        <f>+[3]Sheet1!E126</f>
        <v>12651.161439389451</v>
      </c>
      <c r="I126">
        <f>+[3]Sheet1!F126</f>
        <v>1113152.469839104</v>
      </c>
      <c r="J126">
        <f>+[3]Sheet1!G126</f>
        <v>283.71909809046008</v>
      </c>
      <c r="K126">
        <f>+[3]Sheet1!H126</f>
        <v>428.33279682589682</v>
      </c>
      <c r="L126">
        <f>+[3]Sheet1!I126</f>
        <v>228.10702485314059</v>
      </c>
      <c r="M126">
        <f>+[3]Sheet1!J126</f>
        <v>259981.52878102841</v>
      </c>
      <c r="N126">
        <f>+[3]Sheet1!K126</f>
        <v>1017861.948786146</v>
      </c>
      <c r="O126">
        <f>+[3]Sheet1!L126</f>
        <v>743319.60958689707</v>
      </c>
      <c r="P126">
        <f>+[3]Sheet1!M126</f>
        <v>0.5876666846715457</v>
      </c>
      <c r="Q126">
        <f>+[3]Sheet1!N126</f>
        <v>3.0093438200465128</v>
      </c>
      <c r="R126">
        <f>+[3]Sheet1!O126</f>
        <v>1.66293692730896</v>
      </c>
      <c r="S126">
        <f>+[3]Sheet1!P126</f>
        <v>326549.79544380162</v>
      </c>
      <c r="T126">
        <f>+[3]Sheet1!Q126</f>
        <v>301273.79928163579</v>
      </c>
      <c r="U126">
        <f>+[3]Sheet1!R126</f>
        <v>0.9497835962163238</v>
      </c>
      <c r="V126">
        <f>+[3]Sheet1!S126</f>
        <v>0.92304476353825049</v>
      </c>
      <c r="W126">
        <f>+[3]Sheet1!T126</f>
        <v>14536800.44974298</v>
      </c>
      <c r="X126">
        <f>+[3]Sheet1!U126</f>
        <v>40.054826769063631</v>
      </c>
      <c r="Y126">
        <f>+[3]Sheet1!V126</f>
        <v>9941578.5866986606</v>
      </c>
      <c r="Z126">
        <f>+[3]Sheet1!W126</f>
        <v>29.272247785666099</v>
      </c>
      <c r="AA126">
        <f>+[3]Sheet1!X126</f>
        <v>19850670.74257192</v>
      </c>
      <c r="AB126">
        <f>+[3]Sheet1!Y126</f>
        <v>54.978515503823367</v>
      </c>
      <c r="AC126">
        <f>+[3]Sheet1!Z126</f>
        <v>0.88922082557610294</v>
      </c>
      <c r="AD126">
        <f>+[3]Sheet1!AA126</f>
        <v>62578.399655748683</v>
      </c>
      <c r="AE126">
        <f>+[3]Sheet1!AB126</f>
        <v>139146.78738948031</v>
      </c>
      <c r="AF126">
        <f>+[3]Sheet1!AC126</f>
        <v>163.16984258684451</v>
      </c>
      <c r="AG126">
        <f>+[3]Sheet1!AD126</f>
        <v>133.5593997637838</v>
      </c>
      <c r="AH126" s="16">
        <f>+[3]Sheet1!AE126</f>
        <v>157.9182737979859</v>
      </c>
      <c r="AI126" s="16">
        <f>+[3]Sheet1!AF126</f>
        <v>374.12839178559233</v>
      </c>
      <c r="AJ126" s="16">
        <f>+[3]Sheet1!AG126</f>
        <v>181.79042777458639</v>
      </c>
      <c r="AK126" s="16">
        <f>+[3]Sheet1!AH126</f>
        <v>96.112095562034995</v>
      </c>
      <c r="AL126" s="16">
        <f>+[3]Sheet1!AI126</f>
        <v>86.329751440185731</v>
      </c>
      <c r="AM126" s="16">
        <f>+[3]Sheet1!AJ126</f>
        <v>168.75002765106231</v>
      </c>
      <c r="AN126" s="16">
        <f>+[3]Sheet1!AK126</f>
        <v>108.31074588316569</v>
      </c>
      <c r="AO126" s="16">
        <f>+[3]Sheet1!AL126</f>
        <v>174.39930949289129</v>
      </c>
      <c r="AP126" s="16">
        <f>+[3]Sheet1!AM126</f>
        <v>232.48507048672991</v>
      </c>
      <c r="AQ126" s="16">
        <f>+[3]Sheet1!AN126</f>
        <v>189.94944019363041</v>
      </c>
      <c r="AR126" s="16">
        <f>+[3]Sheet1!AO126</f>
        <v>151.5809889379868</v>
      </c>
      <c r="AS126" s="16">
        <f>+[3]Sheet1!AP126</f>
        <v>181.5213013813287</v>
      </c>
      <c r="AT126" s="16">
        <f>+[3]Sheet1!AQ126</f>
        <v>40.036546191738402</v>
      </c>
      <c r="AU126" s="16">
        <f>+[3]Sheet1!AR126</f>
        <v>137.0862490309602</v>
      </c>
      <c r="AV126" s="16">
        <f>+[3]Sheet1!AS126</f>
        <v>95.883201745644413</v>
      </c>
      <c r="AW126" s="16">
        <f>+[3]Sheet1!AT126</f>
        <v>2779079.2576899212</v>
      </c>
      <c r="AX126" s="16">
        <f>+base_mensual!AY126</f>
        <v>2584</v>
      </c>
      <c r="AY126">
        <f>+base_mensual!AZ126</f>
        <v>1.1299999999999999</v>
      </c>
      <c r="AZ126">
        <f>+[3]Sheet1!AX126</f>
        <v>142.937690618239</v>
      </c>
    </row>
    <row r="127" spans="1:52" x14ac:dyDescent="0.25">
      <c r="A127" s="2">
        <f>+base_mensual!A127</f>
        <v>45107</v>
      </c>
      <c r="B127" s="1">
        <f>+base_mensual!B127</f>
        <v>-2.8000000000000001E-2</v>
      </c>
      <c r="C127">
        <f>+base_mensual!AE127</f>
        <v>160.91575839224129</v>
      </c>
      <c r="D127">
        <f>+base_mensual!H127</f>
        <v>191.527821575117</v>
      </c>
      <c r="E127">
        <f>+[3]Sheet1!B127</f>
        <v>50158.298959592241</v>
      </c>
      <c r="F127">
        <f>+[3]Sheet1!C127</f>
        <v>23770.423193845349</v>
      </c>
      <c r="G127">
        <f>+[3]Sheet1!D127</f>
        <v>37575.914922604767</v>
      </c>
      <c r="H127">
        <f>+[3]Sheet1!E127</f>
        <v>12310.312668590819</v>
      </c>
      <c r="I127">
        <f>+[3]Sheet1!F127</f>
        <v>1075308.5420114079</v>
      </c>
      <c r="J127">
        <f>+[3]Sheet1!G127</f>
        <v>314.32740707861473</v>
      </c>
      <c r="K127">
        <f>+[3]Sheet1!H127</f>
        <v>418.5191176532656</v>
      </c>
      <c r="L127">
        <f>+[3]Sheet1!I127</f>
        <v>227.90989860119171</v>
      </c>
      <c r="M127">
        <f>+[3]Sheet1!J127</f>
        <v>260086.14060970681</v>
      </c>
      <c r="N127">
        <f>+[3]Sheet1!K127</f>
        <v>1124103.446209966</v>
      </c>
      <c r="O127">
        <f>+[3]Sheet1!L127</f>
        <v>777292.20635120466</v>
      </c>
      <c r="P127">
        <f>+[3]Sheet1!M127</f>
        <v>0.58616650945832793</v>
      </c>
      <c r="Q127">
        <f>+[3]Sheet1!N127</f>
        <v>2.9914154361102829</v>
      </c>
      <c r="R127">
        <f>+[3]Sheet1!O127</f>
        <v>1.7728358834058791</v>
      </c>
      <c r="S127">
        <f>+[3]Sheet1!P127</f>
        <v>523016.58434399072</v>
      </c>
      <c r="T127">
        <f>+[3]Sheet1!Q127</f>
        <v>386776.58705578308</v>
      </c>
      <c r="U127">
        <f>+[3]Sheet1!R127</f>
        <v>1.254032435671937</v>
      </c>
      <c r="V127">
        <f>+[3]Sheet1!S127</f>
        <v>1.0439231233033821</v>
      </c>
      <c r="W127">
        <f>+[3]Sheet1!T127</f>
        <v>18147447.381103739</v>
      </c>
      <c r="X127">
        <f>+[3]Sheet1!U127</f>
        <v>52.905116009424127</v>
      </c>
      <c r="Y127">
        <f>+[3]Sheet1!V127</f>
        <v>11299409.240200309</v>
      </c>
      <c r="Z127">
        <f>+[3]Sheet1!W127</f>
        <v>29.318721201912851</v>
      </c>
      <c r="AA127">
        <f>+[3]Sheet1!X127</f>
        <v>20870746.696138911</v>
      </c>
      <c r="AB127">
        <f>+[3]Sheet1!Y127</f>
        <v>53.454641236603521</v>
      </c>
      <c r="AC127">
        <f>+[3]Sheet1!Z127</f>
        <v>0.90999403748073793</v>
      </c>
      <c r="AD127">
        <f>+[3]Sheet1!AA127</f>
        <v>63890.309526240322</v>
      </c>
      <c r="AE127">
        <f>+[3]Sheet1!AB127</f>
        <v>143703.824272964</v>
      </c>
      <c r="AF127">
        <f>+[3]Sheet1!AC127</f>
        <v>161.70041302676549</v>
      </c>
      <c r="AG127">
        <f>+[3]Sheet1!AD127</f>
        <v>131.94744463637201</v>
      </c>
      <c r="AH127" s="16">
        <f>+[3]Sheet1!AE127</f>
        <v>160.21004715446949</v>
      </c>
      <c r="AI127" s="16">
        <f>+[3]Sheet1!AF127</f>
        <v>367.23082548456563</v>
      </c>
      <c r="AJ127" s="16">
        <f>+[3]Sheet1!AG127</f>
        <v>178.31530364383281</v>
      </c>
      <c r="AK127" s="16">
        <f>+[3]Sheet1!AH127</f>
        <v>106.1380652484869</v>
      </c>
      <c r="AL127" s="16">
        <f>+[3]Sheet1!AI127</f>
        <v>86.119275692933883</v>
      </c>
      <c r="AM127" s="16">
        <f>+[3]Sheet1!AJ127</f>
        <v>165.5992452283848</v>
      </c>
      <c r="AN127" s="16">
        <f>+[3]Sheet1!AK127</f>
        <v>105.526925463312</v>
      </c>
      <c r="AO127" s="16">
        <f>+[3]Sheet1!AL127</f>
        <v>183.64813137805029</v>
      </c>
      <c r="AP127" s="16">
        <f>+[3]Sheet1!AM127</f>
        <v>234.86874000813521</v>
      </c>
      <c r="AQ127" s="16">
        <f>+[3]Sheet1!AN127</f>
        <v>194.71990051105979</v>
      </c>
      <c r="AR127" s="16">
        <f>+[3]Sheet1!AO127</f>
        <v>149.25125459012509</v>
      </c>
      <c r="AS127" s="16">
        <f>+[3]Sheet1!AP127</f>
        <v>183.63978805889889</v>
      </c>
      <c r="AT127" s="16">
        <f>+[3]Sheet1!AQ127</f>
        <v>42.456773437432872</v>
      </c>
      <c r="AU127" s="16">
        <f>+[3]Sheet1!AR127</f>
        <v>143.21527377232351</v>
      </c>
      <c r="AV127" s="16">
        <f>+[3]Sheet1!AS127</f>
        <v>96.266478737036465</v>
      </c>
      <c r="AW127" s="16">
        <f>+[3]Sheet1!AT127</f>
        <v>2489079.587920181</v>
      </c>
      <c r="AX127" s="16">
        <f>+base_mensual!AY127</f>
        <v>2037</v>
      </c>
      <c r="AY127">
        <f>+base_mensual!AZ127</f>
        <v>1.1200000000000001</v>
      </c>
      <c r="AZ127">
        <f>+[3]Sheet1!AX127</f>
        <v>148.92761391768491</v>
      </c>
    </row>
    <row r="128" spans="1:52" x14ac:dyDescent="0.25">
      <c r="A128" s="2">
        <f>+base_mensual!A128</f>
        <v>45138</v>
      </c>
      <c r="B128" s="1">
        <f>+base_mensual!B128</f>
        <v>1.7779309563314749E-2</v>
      </c>
      <c r="C128">
        <f>+base_mensual!AE128</f>
        <v>156.53929847102577</v>
      </c>
      <c r="D128">
        <f>+base_mensual!H128</f>
        <v>190.194307956648</v>
      </c>
      <c r="E128">
        <f>+[3]Sheet1!B128</f>
        <v>50924.978048114281</v>
      </c>
      <c r="F128">
        <f>+[3]Sheet1!C128</f>
        <v>28848.15291336201</v>
      </c>
      <c r="G128">
        <f>+[3]Sheet1!D128</f>
        <v>34768.718549509031</v>
      </c>
      <c r="H128">
        <f>+[3]Sheet1!E128</f>
        <v>12102.342941353199</v>
      </c>
      <c r="I128">
        <f>+[3]Sheet1!F128</f>
        <v>1014434.801344906</v>
      </c>
      <c r="J128">
        <f>+[3]Sheet1!G128</f>
        <v>267.58027441900708</v>
      </c>
      <c r="K128">
        <f>+[3]Sheet1!H128</f>
        <v>341.31572531900838</v>
      </c>
      <c r="L128">
        <f>+[3]Sheet1!I128</f>
        <v>175.22269928470939</v>
      </c>
      <c r="M128">
        <f>+[3]Sheet1!J128</f>
        <v>174660.02705284109</v>
      </c>
      <c r="N128">
        <f>+[3]Sheet1!K128</f>
        <v>1142876.0112080961</v>
      </c>
      <c r="O128">
        <f>+[3]Sheet1!L128</f>
        <v>702774.93553633185</v>
      </c>
      <c r="P128">
        <f>+[3]Sheet1!M128</f>
        <v>0.35632622145714071</v>
      </c>
      <c r="Q128">
        <f>+[3]Sheet1!N128</f>
        <v>2.8993197002903779</v>
      </c>
      <c r="R128">
        <f>+[3]Sheet1!O128</f>
        <v>1.8192097105406519</v>
      </c>
      <c r="S128">
        <f>+[3]Sheet1!P128</f>
        <v>511000.42324985942</v>
      </c>
      <c r="T128">
        <f>+[3]Sheet1!Q128</f>
        <v>456599.71955524298</v>
      </c>
      <c r="U128">
        <f>+[3]Sheet1!R128</f>
        <v>1.1642374794834489</v>
      </c>
      <c r="V128">
        <f>+[3]Sheet1!S128</f>
        <v>1.178017445322044</v>
      </c>
      <c r="W128">
        <f>+[3]Sheet1!T128</f>
        <v>20262006.579844739</v>
      </c>
      <c r="X128">
        <f>+[3]Sheet1!U128</f>
        <v>49.562646812095238</v>
      </c>
      <c r="Y128">
        <f>+[3]Sheet1!V128</f>
        <v>11905237.94431754</v>
      </c>
      <c r="Z128">
        <f>+[3]Sheet1!W128</f>
        <v>28.909331519620029</v>
      </c>
      <c r="AA128">
        <f>+[3]Sheet1!X128</f>
        <v>22331493.54143374</v>
      </c>
      <c r="AB128">
        <f>+[3]Sheet1!Y128</f>
        <v>54.283022476994852</v>
      </c>
      <c r="AC128">
        <f>+[3]Sheet1!Z128</f>
        <v>0.89615650247345746</v>
      </c>
      <c r="AD128">
        <f>+[3]Sheet1!AA128</f>
        <v>58147.098305926389</v>
      </c>
      <c r="AE128">
        <f>+[3]Sheet1!AB128</f>
        <v>136731.02461756839</v>
      </c>
      <c r="AF128">
        <f>+[3]Sheet1!AC128</f>
        <v>151.0106870261956</v>
      </c>
      <c r="AG128">
        <f>+[3]Sheet1!AD128</f>
        <v>122.3727800888919</v>
      </c>
      <c r="AH128" s="16">
        <f>+[3]Sheet1!AE128</f>
        <v>157.11663486136629</v>
      </c>
      <c r="AI128" s="16">
        <f>+[3]Sheet1!AF128</f>
        <v>370.94954384790549</v>
      </c>
      <c r="AJ128" s="16">
        <f>+[3]Sheet1!AG128</f>
        <v>172.6651523534203</v>
      </c>
      <c r="AK128" s="16">
        <f>+[3]Sheet1!AH128</f>
        <v>87.427778719397892</v>
      </c>
      <c r="AL128" s="16">
        <f>+[3]Sheet1!AI128</f>
        <v>86.407305569652408</v>
      </c>
      <c r="AM128" s="16">
        <f>+[3]Sheet1!AJ128</f>
        <v>164.994629187919</v>
      </c>
      <c r="AN128" s="16">
        <f>+[3]Sheet1!AK128</f>
        <v>108.01469332596329</v>
      </c>
      <c r="AO128" s="16">
        <f>+[3]Sheet1!AL128</f>
        <v>177.78634570023959</v>
      </c>
      <c r="AP128" s="16">
        <f>+[3]Sheet1!AM128</f>
        <v>226.94613692823259</v>
      </c>
      <c r="AQ128" s="16">
        <f>+[3]Sheet1!AN128</f>
        <v>161.9132037820246</v>
      </c>
      <c r="AR128" s="16">
        <f>+[3]Sheet1!AO128</f>
        <v>134.81865548739771</v>
      </c>
      <c r="AS128" s="16">
        <f>+[3]Sheet1!AP128</f>
        <v>186.1133294304995</v>
      </c>
      <c r="AT128" s="16">
        <f>+[3]Sheet1!AQ128</f>
        <v>44.602096828190668</v>
      </c>
      <c r="AU128" s="16">
        <f>+[3]Sheet1!AR128</f>
        <v>138.88884022731989</v>
      </c>
      <c r="AV128" s="16">
        <f>+[3]Sheet1!AS128</f>
        <v>100.1431672817393</v>
      </c>
      <c r="AW128" s="16">
        <f>+[3]Sheet1!AT128</f>
        <v>2371005.792904722</v>
      </c>
      <c r="AX128" s="16">
        <f>+base_mensual!AY128</f>
        <v>1962</v>
      </c>
      <c r="AY128">
        <f>+base_mensual!AZ128</f>
        <v>1.2</v>
      </c>
      <c r="AZ128">
        <f>+[3]Sheet1!AX128</f>
        <v>148.79264147565999</v>
      </c>
    </row>
    <row r="129" spans="1:52" x14ac:dyDescent="0.25">
      <c r="A129" s="2">
        <f>+base_mensual!A129</f>
        <v>45169</v>
      </c>
      <c r="B129" s="1">
        <f>+base_mensual!B129</f>
        <v>1.7779309563314749E-2</v>
      </c>
      <c r="C129">
        <f>+base_mensual!AE129</f>
        <v>159.52465232523429</v>
      </c>
      <c r="D129">
        <f>+base_mensual!H129</f>
        <v>189.118644824245</v>
      </c>
      <c r="E129">
        <f>+[3]Sheet1!B129</f>
        <v>58437.146316422193</v>
      </c>
      <c r="F129">
        <f>+[3]Sheet1!C129</f>
        <v>24501.112100315419</v>
      </c>
      <c r="G129">
        <f>+[3]Sheet1!D129</f>
        <v>32852.747309009203</v>
      </c>
      <c r="H129">
        <f>+[3]Sheet1!E129</f>
        <v>12575.44585053899</v>
      </c>
      <c r="I129">
        <f>+[3]Sheet1!F129</f>
        <v>1129464.8346464729</v>
      </c>
      <c r="J129">
        <f>+[3]Sheet1!G129</f>
        <v>278.94429548608832</v>
      </c>
      <c r="K129">
        <f>+[3]Sheet1!H129</f>
        <v>403.92055417890492</v>
      </c>
      <c r="L129">
        <f>+[3]Sheet1!I129</f>
        <v>174.066192411809</v>
      </c>
      <c r="M129">
        <f>+[3]Sheet1!J129</f>
        <v>287602.32833435951</v>
      </c>
      <c r="N129">
        <f>+[3]Sheet1!K129</f>
        <v>1400385.563307194</v>
      </c>
      <c r="O129">
        <f>+[3]Sheet1!L129</f>
        <v>846688.85400014813</v>
      </c>
      <c r="P129">
        <f>+[3]Sheet1!M129</f>
        <v>0.58968346880532574</v>
      </c>
      <c r="Q129">
        <f>+[3]Sheet1!N129</f>
        <v>3.023793298185931</v>
      </c>
      <c r="R129">
        <f>+[3]Sheet1!O129</f>
        <v>1.800299193463639</v>
      </c>
      <c r="S129">
        <f>+[3]Sheet1!P129</f>
        <v>625012.19490633428</v>
      </c>
      <c r="T129">
        <f>+[3]Sheet1!Q129</f>
        <v>541800.73085716413</v>
      </c>
      <c r="U129">
        <f>+[3]Sheet1!R129</f>
        <v>1.5261975489738371</v>
      </c>
      <c r="V129">
        <f>+[3]Sheet1!S129</f>
        <v>1.268319332643175</v>
      </c>
      <c r="W129">
        <f>+[3]Sheet1!T129</f>
        <v>26256254.788612831</v>
      </c>
      <c r="X129">
        <f>+[3]Sheet1!U129</f>
        <v>64.596630412120817</v>
      </c>
      <c r="Y129">
        <f>+[3]Sheet1!V129</f>
        <v>13241008.34074836</v>
      </c>
      <c r="Z129">
        <f>+[3]Sheet1!W129</f>
        <v>28.21894271616415</v>
      </c>
      <c r="AA129">
        <f>+[3]Sheet1!X129</f>
        <v>24533585.19580584</v>
      </c>
      <c r="AB129">
        <f>+[3]Sheet1!Y129</f>
        <v>52.930362674272871</v>
      </c>
      <c r="AC129">
        <f>+[3]Sheet1!Z129</f>
        <v>0.94323797479381422</v>
      </c>
      <c r="AD129">
        <f>+[3]Sheet1!AA129</f>
        <v>63814.074751431668</v>
      </c>
      <c r="AE129">
        <f>+[3]Sheet1!AB129</f>
        <v>146435.43787620839</v>
      </c>
      <c r="AF129">
        <f>+[3]Sheet1!AC129</f>
        <v>161.88718928627199</v>
      </c>
      <c r="AG129">
        <f>+[3]Sheet1!AD129</f>
        <v>142.7702406051296</v>
      </c>
      <c r="AH129" s="16">
        <f>+[3]Sheet1!AE129</f>
        <v>158.8655838078615</v>
      </c>
      <c r="AI129" s="16">
        <f>+[3]Sheet1!AF129</f>
        <v>376.82520181902453</v>
      </c>
      <c r="AJ129" s="16">
        <f>+[3]Sheet1!AG129</f>
        <v>178.18318781824749</v>
      </c>
      <c r="AK129" s="16">
        <f>+[3]Sheet1!AH129</f>
        <v>106.4227385480385</v>
      </c>
      <c r="AL129" s="16">
        <f>+[3]Sheet1!AI129</f>
        <v>86.322541187974423</v>
      </c>
      <c r="AM129" s="16">
        <f>+[3]Sheet1!AJ129</f>
        <v>168.24235461451511</v>
      </c>
      <c r="AN129" s="16">
        <f>+[3]Sheet1!AK129</f>
        <v>92.423923498466962</v>
      </c>
      <c r="AO129" s="16">
        <f>+[3]Sheet1!AL129</f>
        <v>178.32129111867869</v>
      </c>
      <c r="AP129" s="16">
        <f>+[3]Sheet1!AM129</f>
        <v>239.54126557825381</v>
      </c>
      <c r="AQ129" s="16">
        <f>+[3]Sheet1!AN129</f>
        <v>183.6056104149028</v>
      </c>
      <c r="AR129" s="16">
        <f>+[3]Sheet1!AO129</f>
        <v>151.81750168769031</v>
      </c>
      <c r="AS129" s="16">
        <f>+[3]Sheet1!AP129</f>
        <v>210.2733583368327</v>
      </c>
      <c r="AT129" s="16">
        <f>+[3]Sheet1!AQ129</f>
        <v>42.767083171125229</v>
      </c>
      <c r="AU129" s="16">
        <f>+[3]Sheet1!AR129</f>
        <v>145.11059279774551</v>
      </c>
      <c r="AV129" s="16">
        <f>+[3]Sheet1!AS129</f>
        <v>95.82130181358356</v>
      </c>
      <c r="AW129" s="16">
        <f>+[3]Sheet1!AT129</f>
        <v>2035304.7842947999</v>
      </c>
      <c r="AX129" s="16">
        <f>+base_mensual!AY129</f>
        <v>2066</v>
      </c>
      <c r="AY129">
        <f>+base_mensual!AZ129</f>
        <v>1.27</v>
      </c>
      <c r="AZ129">
        <f>+[3]Sheet1!AX129</f>
        <v>152.07779626123721</v>
      </c>
    </row>
    <row r="130" spans="1:52" x14ac:dyDescent="0.25">
      <c r="A130" s="2">
        <f>+base_mensual!A130</f>
        <v>45198</v>
      </c>
      <c r="B130" s="1">
        <f>+base_mensual!B130</f>
        <v>1.7779309563314749E-2</v>
      </c>
      <c r="C130">
        <f>+base_mensual!AE130</f>
        <v>157.06024317862355</v>
      </c>
      <c r="D130">
        <f>+base_mensual!H130</f>
        <v>188.09488699820201</v>
      </c>
      <c r="E130">
        <f>+[3]Sheet1!B130</f>
        <v>50406.996480990063</v>
      </c>
      <c r="F130">
        <f>+[3]Sheet1!C130</f>
        <v>27722.473027720331</v>
      </c>
      <c r="G130">
        <f>+[3]Sheet1!D130</f>
        <v>39074.382757147192</v>
      </c>
      <c r="H130">
        <f>+[3]Sheet1!E130</f>
        <v>11917.01895061878</v>
      </c>
      <c r="I130">
        <f>+[3]Sheet1!F130</f>
        <v>1012821.51036232</v>
      </c>
      <c r="J130">
        <f>+[3]Sheet1!G130</f>
        <v>300.76332387054089</v>
      </c>
      <c r="K130">
        <f>+[3]Sheet1!H130</f>
        <v>416.42145227770737</v>
      </c>
      <c r="L130">
        <f>+[3]Sheet1!I130</f>
        <v>179.5026042753563</v>
      </c>
      <c r="M130">
        <f>+[3]Sheet1!J130</f>
        <v>248189.1427784487</v>
      </c>
      <c r="N130">
        <f>+[3]Sheet1!K130</f>
        <v>1629237.500303569</v>
      </c>
      <c r="O130">
        <f>+[3]Sheet1!L130</f>
        <v>881464.96114564454</v>
      </c>
      <c r="P130">
        <f>+[3]Sheet1!M130</f>
        <v>0.58417421009748938</v>
      </c>
      <c r="Q130">
        <f>+[3]Sheet1!N130</f>
        <v>3.057068091903457</v>
      </c>
      <c r="R130">
        <f>+[3]Sheet1!O130</f>
        <v>1.636277226497179</v>
      </c>
      <c r="S130">
        <f>+[3]Sheet1!P130</f>
        <v>531326.27047901764</v>
      </c>
      <c r="T130">
        <f>+[3]Sheet1!Q130</f>
        <v>549778.85751735047</v>
      </c>
      <c r="U130">
        <f>+[3]Sheet1!R130</f>
        <v>1.1189901652315379</v>
      </c>
      <c r="V130">
        <f>+[3]Sheet1!S130</f>
        <v>1.109486611869843</v>
      </c>
      <c r="W130">
        <f>+[3]Sheet1!T130</f>
        <v>25649957.53570028</v>
      </c>
      <c r="X130">
        <f>+[3]Sheet1!U130</f>
        <v>48.779663357806733</v>
      </c>
      <c r="Y130">
        <f>+[3]Sheet1!V130</f>
        <v>14016300.930362031</v>
      </c>
      <c r="Z130">
        <f>+[3]Sheet1!W130</f>
        <v>27.169005878377789</v>
      </c>
      <c r="AA130">
        <f>+[3]Sheet1!X130</f>
        <v>27091708.024897419</v>
      </c>
      <c r="AB130">
        <f>+[3]Sheet1!Y130</f>
        <v>52.479093117686517</v>
      </c>
      <c r="AC130">
        <f>+[3]Sheet1!Z130</f>
        <v>1.0468184353071159</v>
      </c>
      <c r="AD130">
        <f>+[3]Sheet1!AA130</f>
        <v>60706.139412797384</v>
      </c>
      <c r="AE130">
        <f>+[3]Sheet1!AB130</f>
        <v>136714.87615240389</v>
      </c>
      <c r="AF130">
        <f>+[3]Sheet1!AC130</f>
        <v>152.4479399972428</v>
      </c>
      <c r="AG130">
        <f>+[3]Sheet1!AD130</f>
        <v>129.27712510191529</v>
      </c>
      <c r="AH130" s="16">
        <f>+[3]Sheet1!AE130</f>
        <v>156.57819884720169</v>
      </c>
      <c r="AI130" s="16">
        <f>+[3]Sheet1!AF130</f>
        <v>362.50337440496179</v>
      </c>
      <c r="AJ130" s="16">
        <f>+[3]Sheet1!AG130</f>
        <v>171.54085524285421</v>
      </c>
      <c r="AK130" s="16">
        <f>+[3]Sheet1!AH130</f>
        <v>83.915354082674583</v>
      </c>
      <c r="AL130" s="16">
        <f>+[3]Sheet1!AI130</f>
        <v>86.549938489245193</v>
      </c>
      <c r="AM130" s="16">
        <f>+[3]Sheet1!AJ130</f>
        <v>153.20440966654201</v>
      </c>
      <c r="AN130" s="16">
        <f>+[3]Sheet1!AK130</f>
        <v>106.5367134654397</v>
      </c>
      <c r="AO130" s="16">
        <f>+[3]Sheet1!AL130</f>
        <v>180.1715785528863</v>
      </c>
      <c r="AP130" s="16">
        <f>+[3]Sheet1!AM130</f>
        <v>240.56572433975029</v>
      </c>
      <c r="AQ130" s="16">
        <f>+[3]Sheet1!AN130</f>
        <v>187.4220164835404</v>
      </c>
      <c r="AR130" s="16">
        <f>+[3]Sheet1!AO130</f>
        <v>145.75177005916271</v>
      </c>
      <c r="AS130" s="16">
        <f>+[3]Sheet1!AP130</f>
        <v>184.21411039611479</v>
      </c>
      <c r="AT130" s="16">
        <f>+[3]Sheet1!AQ130</f>
        <v>43.483509707264979</v>
      </c>
      <c r="AU130" s="16">
        <f>+[3]Sheet1!AR130</f>
        <v>138.4496890115559</v>
      </c>
      <c r="AV130" s="16">
        <f>+[3]Sheet1!AS130</f>
        <v>95.873611544800497</v>
      </c>
      <c r="AW130" s="16">
        <f>+[3]Sheet1!AT130</f>
        <v>1478562.8000884401</v>
      </c>
      <c r="AX130" s="16">
        <f>+base_mensual!AY130</f>
        <v>2539</v>
      </c>
      <c r="AY130">
        <f>+base_mensual!AZ130</f>
        <v>1.03</v>
      </c>
      <c r="AZ130">
        <f>+[3]Sheet1!AX130</f>
        <v>150.19687230811701</v>
      </c>
    </row>
    <row r="131" spans="1:52" x14ac:dyDescent="0.25">
      <c r="A131" s="2">
        <f>+base_mensual!A131</f>
        <v>45230</v>
      </c>
      <c r="B131" s="1">
        <f>+base_mensual!B131</f>
        <v>-1.9436463658509373E-2</v>
      </c>
      <c r="C131">
        <f>+base_mensual!AE131</f>
        <v>151.94497704240098</v>
      </c>
      <c r="D131">
        <f>+base_mensual!H131</f>
        <v>188.40435047744401</v>
      </c>
      <c r="E131">
        <f>+[3]Sheet1!B131</f>
        <v>46177.779834895671</v>
      </c>
      <c r="F131">
        <f>+[3]Sheet1!C131</f>
        <v>20347.376238645062</v>
      </c>
      <c r="G131">
        <f>+[3]Sheet1!D131</f>
        <v>38582.469812928903</v>
      </c>
      <c r="H131">
        <f>+[3]Sheet1!E131</f>
        <v>11166.141532991011</v>
      </c>
      <c r="I131">
        <f>+[3]Sheet1!F131</f>
        <v>1042781.593471176</v>
      </c>
      <c r="J131">
        <f>+[3]Sheet1!G131</f>
        <v>299.91725826717601</v>
      </c>
      <c r="K131">
        <f>+[3]Sheet1!H131</f>
        <v>412.08520144565648</v>
      </c>
      <c r="L131">
        <f>+[3]Sheet1!I131</f>
        <v>176.84184026272669</v>
      </c>
      <c r="M131">
        <f>+[3]Sheet1!J131</f>
        <v>256189.5356507781</v>
      </c>
      <c r="N131">
        <f>+[3]Sheet1!K131</f>
        <v>1560527.8203973919</v>
      </c>
      <c r="O131">
        <f>+[3]Sheet1!L131</f>
        <v>915825.80441897095</v>
      </c>
      <c r="P131">
        <f>+[3]Sheet1!M131</f>
        <v>0.47993117087860498</v>
      </c>
      <c r="Q131">
        <f>+[3]Sheet1!N131</f>
        <v>2.6195828584757859</v>
      </c>
      <c r="R131">
        <f>+[3]Sheet1!O131</f>
        <v>1.7242383423162291</v>
      </c>
      <c r="S131">
        <f>+[3]Sheet1!P131</f>
        <v>564071.15832265059</v>
      </c>
      <c r="T131">
        <f>+[3]Sheet1!Q131</f>
        <v>717576.36721800477</v>
      </c>
      <c r="U131">
        <f>+[3]Sheet1!R131</f>
        <v>1.037574971283767</v>
      </c>
      <c r="V131">
        <f>+[3]Sheet1!S131</f>
        <v>1.271094311310061</v>
      </c>
      <c r="W131">
        <f>+[3]Sheet1!T131</f>
        <v>24067156.5032968</v>
      </c>
      <c r="X131">
        <f>+[3]Sheet1!U131</f>
        <v>43.965944747362023</v>
      </c>
      <c r="Y131">
        <f>+[3]Sheet1!V131</f>
        <v>15878256.567252239</v>
      </c>
      <c r="Z131">
        <f>+[3]Sheet1!W131</f>
        <v>27.65072686169535</v>
      </c>
      <c r="AA131">
        <f>+[3]Sheet1!X131</f>
        <v>29791644.402950231</v>
      </c>
      <c r="AB131">
        <f>+[3]Sheet1!Y131</f>
        <v>51.692966608152929</v>
      </c>
      <c r="AC131">
        <f>+[3]Sheet1!Z131</f>
        <v>1.144536974701609</v>
      </c>
      <c r="AD131">
        <f>+[3]Sheet1!AA131</f>
        <v>61006.838751159383</v>
      </c>
      <c r="AE131">
        <f>+[3]Sheet1!AB131</f>
        <v>135569.36118920991</v>
      </c>
      <c r="AF131">
        <f>+[3]Sheet1!AC131</f>
        <v>156.67910280817321</v>
      </c>
      <c r="AG131">
        <f>+[3]Sheet1!AD131</f>
        <v>120.03731612405591</v>
      </c>
      <c r="AH131" s="16">
        <f>+[3]Sheet1!AE131</f>
        <v>149.95332549001029</v>
      </c>
      <c r="AI131" s="16">
        <f>+[3]Sheet1!AF131</f>
        <v>349.2540627504527</v>
      </c>
      <c r="AJ131" s="16">
        <f>+[3]Sheet1!AG131</f>
        <v>177.99387154104059</v>
      </c>
      <c r="AK131" s="16">
        <f>+[3]Sheet1!AH131</f>
        <v>90.210136690809676</v>
      </c>
      <c r="AL131" s="16">
        <f>+[3]Sheet1!AI131</f>
        <v>86.522520759039551</v>
      </c>
      <c r="AM131" s="16">
        <f>+[3]Sheet1!AJ131</f>
        <v>153.9987371599841</v>
      </c>
      <c r="AN131" s="16">
        <f>+[3]Sheet1!AK131</f>
        <v>107.3536206133858</v>
      </c>
      <c r="AO131" s="16">
        <f>+[3]Sheet1!AL131</f>
        <v>174.23019033372529</v>
      </c>
      <c r="AP131" s="16">
        <f>+[3]Sheet1!AM131</f>
        <v>231.6249495390586</v>
      </c>
      <c r="AQ131" s="16">
        <f>+[3]Sheet1!AN131</f>
        <v>185.47654675880719</v>
      </c>
      <c r="AR131" s="16">
        <f>+[3]Sheet1!AO131</f>
        <v>139.68265580470629</v>
      </c>
      <c r="AS131" s="16">
        <f>+[3]Sheet1!AP131</f>
        <v>168.56383088920231</v>
      </c>
      <c r="AT131" s="16">
        <f>+[3]Sheet1!AQ131</f>
        <v>44.070148742724072</v>
      </c>
      <c r="AU131" s="16">
        <f>+[3]Sheet1!AR131</f>
        <v>136.4458730449924</v>
      </c>
      <c r="AV131" s="16">
        <f>+[3]Sheet1!AS131</f>
        <v>95.659518530846015</v>
      </c>
      <c r="AW131" s="16">
        <f>+[3]Sheet1!AT131</f>
        <v>1501002.825602097</v>
      </c>
      <c r="AX131" s="16">
        <f>+base_mensual!AY131</f>
        <v>2560</v>
      </c>
      <c r="AY131">
        <f>+base_mensual!AZ131</f>
        <v>1.22</v>
      </c>
      <c r="AZ131">
        <f>+[3]Sheet1!AX131</f>
        <v>149.36642852567701</v>
      </c>
    </row>
    <row r="132" spans="1:52" x14ac:dyDescent="0.25">
      <c r="A132" s="2">
        <f>+base_mensual!A132</f>
        <v>45260</v>
      </c>
      <c r="B132" s="1">
        <f>+base_mensual!B132</f>
        <v>-1.9436463658509373E-2</v>
      </c>
      <c r="C132">
        <f>+base_mensual!AE132</f>
        <v>152.54179371111184</v>
      </c>
      <c r="D132">
        <f>+base_mensual!H132</f>
        <v>183.33541761330201</v>
      </c>
      <c r="E132">
        <f>+[3]Sheet1!B132</f>
        <v>48111.456293763098</v>
      </c>
      <c r="F132">
        <f>+[3]Sheet1!C132</f>
        <v>24547.393545541068</v>
      </c>
      <c r="G132">
        <f>+[3]Sheet1!D132</f>
        <v>32087.569140223721</v>
      </c>
      <c r="H132">
        <f>+[3]Sheet1!E132</f>
        <v>13178.29294419369</v>
      </c>
      <c r="I132">
        <f>+[3]Sheet1!F132</f>
        <v>963665.82475638366</v>
      </c>
      <c r="J132">
        <f>+[3]Sheet1!G132</f>
        <v>253.05163023544279</v>
      </c>
      <c r="K132">
        <f>+[3]Sheet1!H132</f>
        <v>395.19052480274718</v>
      </c>
      <c r="L132">
        <f>+[3]Sheet1!I132</f>
        <v>174.6233622925316</v>
      </c>
      <c r="M132">
        <f>+[3]Sheet1!J132</f>
        <v>318017.31100601749</v>
      </c>
      <c r="N132">
        <f>+[3]Sheet1!K132</f>
        <v>1691308.1550597241</v>
      </c>
      <c r="O132">
        <f>+[3]Sheet1!L132</f>
        <v>904621.92898920272</v>
      </c>
      <c r="P132">
        <f>+[3]Sheet1!M132</f>
        <v>0.47780160298070268</v>
      </c>
      <c r="Q132">
        <f>+[3]Sheet1!N132</f>
        <v>2.627534570016596</v>
      </c>
      <c r="R132">
        <f>+[3]Sheet1!O132</f>
        <v>1.427342326585197</v>
      </c>
      <c r="S132">
        <f>+[3]Sheet1!P132</f>
        <v>762819.53697677038</v>
      </c>
      <c r="T132">
        <f>+[3]Sheet1!Q132</f>
        <v>680032.78166749689</v>
      </c>
      <c r="U132">
        <f>+[3]Sheet1!R132</f>
        <v>1.103199843128567</v>
      </c>
      <c r="V132">
        <f>+[3]Sheet1!S132</f>
        <v>1.0209664031751919</v>
      </c>
      <c r="W132">
        <f>+[3]Sheet1!T132</f>
        <v>34814022.853986673</v>
      </c>
      <c r="X132">
        <f>+[3]Sheet1!U132</f>
        <v>46.712502085370012</v>
      </c>
      <c r="Y132">
        <f>+[3]Sheet1!V132</f>
        <v>17075627.557924811</v>
      </c>
      <c r="Z132">
        <f>+[3]Sheet1!W132</f>
        <v>25.86502548304021</v>
      </c>
      <c r="AA132">
        <f>+[3]Sheet1!X132</f>
        <v>28344308.298998021</v>
      </c>
      <c r="AB132">
        <f>+[3]Sheet1!Y132</f>
        <v>45.344530234388372</v>
      </c>
      <c r="AC132">
        <f>+[3]Sheet1!Z132</f>
        <v>1.2784304056244971</v>
      </c>
      <c r="AD132">
        <f>+[3]Sheet1!AA132</f>
        <v>62998.503372371197</v>
      </c>
      <c r="AE132">
        <f>+[3]Sheet1!AB132</f>
        <v>137960.61138545119</v>
      </c>
      <c r="AF132">
        <f>+[3]Sheet1!AC132</f>
        <v>157.4056553203219</v>
      </c>
      <c r="AG132">
        <f>+[3]Sheet1!AD132</f>
        <v>123.1868121933653</v>
      </c>
      <c r="AH132" s="16">
        <f>+[3]Sheet1!AE132</f>
        <v>150.69908658994811</v>
      </c>
      <c r="AI132" s="16">
        <f>+[3]Sheet1!AF132</f>
        <v>351.98413989977729</v>
      </c>
      <c r="AJ132" s="16">
        <f>+[3]Sheet1!AG132</f>
        <v>174.97594753404141</v>
      </c>
      <c r="AK132" s="16">
        <f>+[3]Sheet1!AH132</f>
        <v>92.585256040897136</v>
      </c>
      <c r="AL132" s="16">
        <f>+[3]Sheet1!AI132</f>
        <v>86.779197945647724</v>
      </c>
      <c r="AM132" s="16">
        <f>+[3]Sheet1!AJ132</f>
        <v>155.80111617739701</v>
      </c>
      <c r="AN132" s="16">
        <f>+[3]Sheet1!AK132</f>
        <v>107.4870009267437</v>
      </c>
      <c r="AO132" s="16">
        <f>+[3]Sheet1!AL132</f>
        <v>165.59188118720661</v>
      </c>
      <c r="AP132" s="16">
        <f>+[3]Sheet1!AM132</f>
        <v>229.79460398597729</v>
      </c>
      <c r="AQ132" s="16">
        <f>+[3]Sheet1!AN132</f>
        <v>178.26005908563459</v>
      </c>
      <c r="AR132" s="16">
        <f>+[3]Sheet1!AO132</f>
        <v>140.34889041848109</v>
      </c>
      <c r="AS132" s="16">
        <f>+[3]Sheet1!AP132</f>
        <v>175.71966910528451</v>
      </c>
      <c r="AT132" s="16">
        <f>+[3]Sheet1!AQ132</f>
        <v>45.167576424797062</v>
      </c>
      <c r="AU132" s="16">
        <f>+[3]Sheet1!AR132</f>
        <v>133.2883471044675</v>
      </c>
      <c r="AV132" s="16">
        <f>+[3]Sheet1!AS132</f>
        <v>93.000679591888343</v>
      </c>
      <c r="AW132" s="16">
        <f>+[3]Sheet1!AT132</f>
        <v>2100312.6757624759</v>
      </c>
      <c r="AX132" s="16">
        <f>+base_mensual!AY132</f>
        <v>1957</v>
      </c>
      <c r="AY132">
        <f>+base_mensual!AZ132</f>
        <v>1.41</v>
      </c>
      <c r="AZ132">
        <f>+[3]Sheet1!AX132</f>
        <v>148.05839129038881</v>
      </c>
    </row>
    <row r="133" spans="1:52" x14ac:dyDescent="0.25">
      <c r="A133" s="2">
        <f>+base_mensual!A133</f>
        <v>45289</v>
      </c>
      <c r="B133" s="1">
        <f>+base_mensual!B133</f>
        <v>-1.9436463658509373E-2</v>
      </c>
      <c r="C133">
        <f>+base_mensual!AE133</f>
        <v>147.85691316514138</v>
      </c>
      <c r="D133">
        <f>+base_mensual!H133</f>
        <v>166.12418465096101</v>
      </c>
      <c r="E133">
        <f>+[3]Sheet1!B133</f>
        <v>45817.290380270439</v>
      </c>
      <c r="F133">
        <f>+[3]Sheet1!C133</f>
        <v>23285.199276321109</v>
      </c>
      <c r="G133">
        <f>+[3]Sheet1!D133</f>
        <v>21505.801091883252</v>
      </c>
      <c r="H133">
        <f>+[3]Sheet1!E133</f>
        <v>8735.1891668058233</v>
      </c>
      <c r="I133">
        <f>+[3]Sheet1!F133</f>
        <v>912466.35385883891</v>
      </c>
      <c r="J133">
        <f>+[3]Sheet1!G133</f>
        <v>236.14331964669029</v>
      </c>
      <c r="K133">
        <f>+[3]Sheet1!H133</f>
        <v>378.36930009853393</v>
      </c>
      <c r="L133">
        <f>+[3]Sheet1!I133</f>
        <v>167.04859545358789</v>
      </c>
      <c r="M133">
        <f>+[3]Sheet1!J133</f>
        <v>593152.21167487442</v>
      </c>
      <c r="N133">
        <f>+[3]Sheet1!K133</f>
        <v>2051513.604320952</v>
      </c>
      <c r="O133">
        <f>+[3]Sheet1!L133</f>
        <v>1060085.3089612559</v>
      </c>
      <c r="P133">
        <f>+[3]Sheet1!M133</f>
        <v>0.71845256589795714</v>
      </c>
      <c r="Q133">
        <f>+[3]Sheet1!N133</f>
        <v>2.5810977406967059</v>
      </c>
      <c r="R133">
        <f>+[3]Sheet1!O133</f>
        <v>1.275326840786033</v>
      </c>
      <c r="S133">
        <f>+[3]Sheet1!P133</f>
        <v>918713.25457328768</v>
      </c>
      <c r="T133">
        <f>+[3]Sheet1!Q133</f>
        <v>929368.53327392845</v>
      </c>
      <c r="U133">
        <f>+[3]Sheet1!R133</f>
        <v>1.0894583270528011</v>
      </c>
      <c r="V133">
        <f>+[3]Sheet1!S133</f>
        <v>1.008371391606264</v>
      </c>
      <c r="W133">
        <f>+[3]Sheet1!T133</f>
        <v>40226600.992021888</v>
      </c>
      <c r="X133">
        <f>+[3]Sheet1!U133</f>
        <v>46.48124907373272</v>
      </c>
      <c r="Y133">
        <f>+[3]Sheet1!V133</f>
        <v>18513878.065498639</v>
      </c>
      <c r="Z133">
        <f>+[3]Sheet1!W133</f>
        <v>22.050615801961481</v>
      </c>
      <c r="AA133">
        <f>+[3]Sheet1!X133</f>
        <v>38543620.226614237</v>
      </c>
      <c r="AB133">
        <f>+[3]Sheet1!Y133</f>
        <v>48.166797012932847</v>
      </c>
      <c r="AC133">
        <f>+[3]Sheet1!Z133</f>
        <v>1.2949843166524111</v>
      </c>
      <c r="AD133">
        <f>+[3]Sheet1!AA133</f>
        <v>59945.007220597749</v>
      </c>
      <c r="AE133">
        <f>+[3]Sheet1!AB133</f>
        <v>130348.51126171921</v>
      </c>
      <c r="AF133">
        <f>+[3]Sheet1!AC133</f>
        <v>143.9457847172055</v>
      </c>
      <c r="AG133">
        <f>+[3]Sheet1!AD133</f>
        <v>110.58237198617761</v>
      </c>
      <c r="AH133" s="16">
        <f>+[3]Sheet1!AE133</f>
        <v>150.46769365995581</v>
      </c>
      <c r="AI133" s="16">
        <f>+[3]Sheet1!AF133</f>
        <v>355.1913002820823</v>
      </c>
      <c r="AJ133" s="16">
        <f>+[3]Sheet1!AG133</f>
        <v>164.43385264462631</v>
      </c>
      <c r="AK133" s="16">
        <f>+[3]Sheet1!AH133</f>
        <v>69.702388249295211</v>
      </c>
      <c r="AL133" s="16">
        <f>+[3]Sheet1!AI133</f>
        <v>86.659975330357184</v>
      </c>
      <c r="AM133" s="16">
        <f>+[3]Sheet1!AJ133</f>
        <v>158.6575071783061</v>
      </c>
      <c r="AN133" s="16">
        <f>+[3]Sheet1!AK133</f>
        <v>105.56908891514109</v>
      </c>
      <c r="AO133" s="16">
        <f>+[3]Sheet1!AL133</f>
        <v>169.47554833673979</v>
      </c>
      <c r="AP133" s="16">
        <f>+[3]Sheet1!AM133</f>
        <v>231.65621050239511</v>
      </c>
      <c r="AQ133" s="16">
        <f>+[3]Sheet1!AN133</f>
        <v>170.6227740180145</v>
      </c>
      <c r="AR133" s="16">
        <f>+[3]Sheet1!AO133</f>
        <v>130.69506734660979</v>
      </c>
      <c r="AS133" s="16">
        <f>+[3]Sheet1!AP133</f>
        <v>164.2373956821518</v>
      </c>
      <c r="AT133" s="16">
        <f>+[3]Sheet1!AQ133</f>
        <v>39.510311649950637</v>
      </c>
      <c r="AU133" s="16">
        <f>+[3]Sheet1!AR133</f>
        <v>126.7207311969722</v>
      </c>
      <c r="AV133" s="16">
        <f>+[3]Sheet1!AS133</f>
        <v>82.196396347223896</v>
      </c>
      <c r="AW133" s="16">
        <f>+[3]Sheet1!AT133</f>
        <v>1981509.6997842949</v>
      </c>
      <c r="AX133" s="16">
        <f>+base_mensual!AY133</f>
        <v>1907</v>
      </c>
      <c r="AY133">
        <f>+base_mensual!AZ133</f>
        <v>2.86</v>
      </c>
      <c r="AZ133">
        <f>+[3]Sheet1!AX133</f>
        <v>141.3337932643463</v>
      </c>
    </row>
    <row r="134" spans="1:52" x14ac:dyDescent="0.25">
      <c r="A134" s="2">
        <f>+base_mensual!A134</f>
        <v>45322</v>
      </c>
      <c r="B134" s="1">
        <f>+base_mensual!B134</f>
        <v>-2.1226422806742251E-2</v>
      </c>
      <c r="C134">
        <f>+base_mensual!AE134</f>
        <v>146.24938786295868</v>
      </c>
      <c r="D134">
        <f>+base_mensual!H134</f>
        <v>145.94879841660699</v>
      </c>
      <c r="E134">
        <f>+[3]Sheet1!B134</f>
        <v>41569.646615840596</v>
      </c>
      <c r="F134">
        <f>+[3]Sheet1!C134</f>
        <v>27873.225243583809</v>
      </c>
      <c r="G134">
        <f>+[3]Sheet1!D134</f>
        <v>28907.546156281951</v>
      </c>
      <c r="H134">
        <f>+[3]Sheet1!E134</f>
        <v>12201.43261445693</v>
      </c>
      <c r="I134">
        <f>+[3]Sheet1!F134</f>
        <v>855452.93398123141</v>
      </c>
      <c r="J134">
        <f>+[3]Sheet1!G134</f>
        <v>269.43456803943371</v>
      </c>
      <c r="K134">
        <f>+[3]Sheet1!H134</f>
        <v>411.6928093323113</v>
      </c>
      <c r="L134">
        <f>+[3]Sheet1!I134</f>
        <v>165.04670970497941</v>
      </c>
      <c r="M134">
        <f>+[3]Sheet1!J134</f>
        <v>950301.86965434533</v>
      </c>
      <c r="N134">
        <f>+[3]Sheet1!K134</f>
        <v>2842653.454090978</v>
      </c>
      <c r="O134">
        <f>+[3]Sheet1!L134</f>
        <v>1023679.9544064919</v>
      </c>
      <c r="P134">
        <f>+[3]Sheet1!M134</f>
        <v>1.0751007759738429</v>
      </c>
      <c r="Q134">
        <f>+[3]Sheet1!N134</f>
        <v>2.6054085954697328</v>
      </c>
      <c r="R134">
        <f>+[3]Sheet1!O134</f>
        <v>1.1327624787991679</v>
      </c>
      <c r="S134">
        <f>+[3]Sheet1!P134</f>
        <v>1262378.237699734</v>
      </c>
      <c r="T134">
        <f>+[3]Sheet1!Q134</f>
        <v>1133667.46652082</v>
      </c>
      <c r="U134">
        <f>+[3]Sheet1!R134</f>
        <v>1.0950842148166691</v>
      </c>
      <c r="V134">
        <f>+[3]Sheet1!S134</f>
        <v>0.98497453640195487</v>
      </c>
      <c r="W134">
        <f>+[3]Sheet1!T134</f>
        <v>56123737.76771751</v>
      </c>
      <c r="X134">
        <f>+[3]Sheet1!U134</f>
        <v>47.184277184386737</v>
      </c>
      <c r="Y134">
        <f>+[3]Sheet1!V134</f>
        <v>21787926.171941679</v>
      </c>
      <c r="Z134">
        <f>+[3]Sheet1!W134</f>
        <v>22.174080759591931</v>
      </c>
      <c r="AA134">
        <f>+[3]Sheet1!X134</f>
        <v>45025034.767616689</v>
      </c>
      <c r="AB134">
        <f>+[3]Sheet1!Y134</f>
        <v>46.645505281489257</v>
      </c>
      <c r="AC134">
        <f>+[3]Sheet1!Z134</f>
        <v>1.176845277322522</v>
      </c>
      <c r="AD134">
        <f>+[3]Sheet1!AA134</f>
        <v>62349.758387495967</v>
      </c>
      <c r="AE134">
        <f>+[3]Sheet1!AB134</f>
        <v>112095.4179772865</v>
      </c>
      <c r="AF134">
        <f>+[3]Sheet1!AC134</f>
        <v>156.44578001091861</v>
      </c>
      <c r="AG134">
        <f>+[3]Sheet1!AD134</f>
        <v>110.4017289673797</v>
      </c>
      <c r="AH134" s="16">
        <f>+[3]Sheet1!AE134</f>
        <v>147.9599042610362</v>
      </c>
      <c r="AI134" s="16">
        <f>+[3]Sheet1!AF134</f>
        <v>333.35048954598642</v>
      </c>
      <c r="AJ134" s="16">
        <f>+[3]Sheet1!AG134</f>
        <v>172.56019919397821</v>
      </c>
      <c r="AK134" s="16">
        <f>+[3]Sheet1!AH134</f>
        <v>97.392953156648588</v>
      </c>
      <c r="AL134" s="16">
        <f>+[3]Sheet1!AI134</f>
        <v>85.950983590681261</v>
      </c>
      <c r="AM134" s="16">
        <f>+[3]Sheet1!AJ134</f>
        <v>152.02652335312951</v>
      </c>
      <c r="AN134" s="16">
        <f>+[3]Sheet1!AK134</f>
        <v>103.8591377781992</v>
      </c>
      <c r="AO134" s="16">
        <f>+[3]Sheet1!AL134</f>
        <v>161.13806780075419</v>
      </c>
      <c r="AP134" s="16">
        <f>+[3]Sheet1!AM134</f>
        <v>201.7206634225185</v>
      </c>
      <c r="AQ134" s="16">
        <f>+[3]Sheet1!AN134</f>
        <v>179.19290487900491</v>
      </c>
      <c r="AR134" s="16">
        <f>+[3]Sheet1!AO134</f>
        <v>131.69890263484481</v>
      </c>
      <c r="AS134" s="16">
        <f>+[3]Sheet1!AP134</f>
        <v>151.8483201351433</v>
      </c>
      <c r="AT134" s="16">
        <f>+[3]Sheet1!AQ134</f>
        <v>33.315332602142711</v>
      </c>
      <c r="AU134" s="16">
        <f>+[3]Sheet1!AR134</f>
        <v>122.06452229953371</v>
      </c>
      <c r="AV134" s="16">
        <f>+[3]Sheet1!AS134</f>
        <v>82.136817915564649</v>
      </c>
      <c r="AW134" s="16">
        <f>+[3]Sheet1!AT134</f>
        <v>2939425.9069191781</v>
      </c>
      <c r="AX134" s="16">
        <f>+base_mensual!AY134</f>
        <v>1853</v>
      </c>
      <c r="AY134">
        <f>+base_mensual!AZ134</f>
        <v>2.61</v>
      </c>
      <c r="AZ134">
        <f>+[3]Sheet1!AX134</f>
        <v>143.63700047751951</v>
      </c>
    </row>
    <row r="135" spans="1:52" x14ac:dyDescent="0.25">
      <c r="A135" s="2">
        <f>+base_mensual!A135</f>
        <v>45351</v>
      </c>
      <c r="B135" s="1">
        <f>+base_mensual!B135</f>
        <v>-2.1226422806742251E-2</v>
      </c>
      <c r="C135">
        <f>+base_mensual!AE135</f>
        <v>141.70012971993975</v>
      </c>
      <c r="D135">
        <f>+base_mensual!H135</f>
        <v>140.47920412949799</v>
      </c>
      <c r="E135">
        <f>+[3]Sheet1!B135</f>
        <v>41254.672685623547</v>
      </c>
      <c r="F135">
        <f>+[3]Sheet1!C135</f>
        <v>38284.561202729252</v>
      </c>
      <c r="G135">
        <f>+[3]Sheet1!D135</f>
        <v>35817.105847794453</v>
      </c>
      <c r="H135">
        <f>+[3]Sheet1!E135</f>
        <v>9562.4372105777347</v>
      </c>
      <c r="I135">
        <f>+[3]Sheet1!F135</f>
        <v>828548.59834769764</v>
      </c>
      <c r="J135">
        <f>+[3]Sheet1!G135</f>
        <v>242.3926120720613</v>
      </c>
      <c r="K135">
        <f>+[3]Sheet1!H135</f>
        <v>363.33570345244522</v>
      </c>
      <c r="L135">
        <f>+[3]Sheet1!I135</f>
        <v>143.79958244900001</v>
      </c>
      <c r="M135">
        <f>+[3]Sheet1!J135</f>
        <v>470476.62298954319</v>
      </c>
      <c r="N135">
        <f>+[3]Sheet1!K135</f>
        <v>2692484.6697854111</v>
      </c>
      <c r="O135">
        <f>+[3]Sheet1!L135</f>
        <v>1107919.055768531</v>
      </c>
      <c r="P135">
        <f>+[3]Sheet1!M135</f>
        <v>0.5235991867257801</v>
      </c>
      <c r="Q135">
        <f>+[3]Sheet1!N135</f>
        <v>2.5140446969435342</v>
      </c>
      <c r="R135">
        <f>+[3]Sheet1!O135</f>
        <v>1.131134648033427</v>
      </c>
      <c r="S135">
        <f>+[3]Sheet1!P135</f>
        <v>1006881.091957529</v>
      </c>
      <c r="T135">
        <f>+[3]Sheet1!Q135</f>
        <v>1130091.4577436741</v>
      </c>
      <c r="U135">
        <f>+[3]Sheet1!R135</f>
        <v>0.89993758886724662</v>
      </c>
      <c r="V135">
        <f>+[3]Sheet1!S135</f>
        <v>0.97551855330487636</v>
      </c>
      <c r="W135">
        <f>+[3]Sheet1!T135</f>
        <v>43042680.427724421</v>
      </c>
      <c r="X135">
        <f>+[3]Sheet1!U135</f>
        <v>38.626354258242337</v>
      </c>
      <c r="Y135">
        <f>+[3]Sheet1!V135</f>
        <v>22931910.737191159</v>
      </c>
      <c r="Z135">
        <f>+[3]Sheet1!W135</f>
        <v>21.409729166873468</v>
      </c>
      <c r="AA135">
        <f>+[3]Sheet1!X135</f>
        <v>49194690.720534742</v>
      </c>
      <c r="AB135">
        <f>+[3]Sheet1!Y135</f>
        <v>45.488086885446428</v>
      </c>
      <c r="AC135">
        <f>+[3]Sheet1!Z135</f>
        <v>1.186604949924609</v>
      </c>
      <c r="AD135">
        <f>+[3]Sheet1!AA135</f>
        <v>62099.928618960912</v>
      </c>
      <c r="AE135">
        <f>+[3]Sheet1!AB135</f>
        <v>123826.090351616</v>
      </c>
      <c r="AF135">
        <f>+[3]Sheet1!AC135</f>
        <v>154.5329185172989</v>
      </c>
      <c r="AG135">
        <f>+[3]Sheet1!AD135</f>
        <v>109.9147136918797</v>
      </c>
      <c r="AH135" s="16">
        <f>+[3]Sheet1!AE135</f>
        <v>146.59061456841519</v>
      </c>
      <c r="AI135" s="16">
        <f>+[3]Sheet1!AF135</f>
        <v>321.55233296923763</v>
      </c>
      <c r="AJ135" s="16">
        <f>+[3]Sheet1!AG135</f>
        <v>173.74829959067009</v>
      </c>
      <c r="AK135" s="16">
        <f>+[3]Sheet1!AH135</f>
        <v>83.588950216857086</v>
      </c>
      <c r="AL135" s="16">
        <f>+[3]Sheet1!AI135</f>
        <v>86.569024707093305</v>
      </c>
      <c r="AM135" s="16">
        <f>+[3]Sheet1!AJ135</f>
        <v>154.33484209473161</v>
      </c>
      <c r="AN135" s="16">
        <f>+[3]Sheet1!AK135</f>
        <v>107.2446142752224</v>
      </c>
      <c r="AO135" s="16">
        <f>+[3]Sheet1!AL135</f>
        <v>164.81029222314709</v>
      </c>
      <c r="AP135" s="16">
        <f>+[3]Sheet1!AM135</f>
        <v>158.23121285127479</v>
      </c>
      <c r="AQ135" s="16">
        <f>+[3]Sheet1!AN135</f>
        <v>168.5949188172055</v>
      </c>
      <c r="AR135" s="16">
        <f>+[3]Sheet1!AO135</f>
        <v>129.89233034749731</v>
      </c>
      <c r="AS135" s="16">
        <f>+[3]Sheet1!AP135</f>
        <v>150.94325009099589</v>
      </c>
      <c r="AT135" s="16">
        <f>+[3]Sheet1!AQ135</f>
        <v>35.042910117151862</v>
      </c>
      <c r="AU135" s="16">
        <f>+[3]Sheet1!AR135</f>
        <v>111.7566006854543</v>
      </c>
      <c r="AV135" s="16">
        <f>+[3]Sheet1!AS135</f>
        <v>82.887153136390964</v>
      </c>
      <c r="AW135" s="16">
        <f>+[3]Sheet1!AT135</f>
        <v>3239681.7658399711</v>
      </c>
      <c r="AX135" s="16">
        <f>+base_mensual!AY135</f>
        <v>1683</v>
      </c>
      <c r="AY135">
        <f>+base_mensual!AZ135</f>
        <v>2.57</v>
      </c>
      <c r="AZ135">
        <f>+[3]Sheet1!AX135</f>
        <v>145.1808677584153</v>
      </c>
    </row>
    <row r="136" spans="1:52" x14ac:dyDescent="0.25">
      <c r="A136" s="2">
        <f>+base_mensual!A136</f>
        <v>45380</v>
      </c>
      <c r="B136" s="1">
        <f>+base_mensual!B136</f>
        <v>-2.1226422806742251E-2</v>
      </c>
      <c r="C136">
        <f>+base_mensual!AE136</f>
        <v>142.72094347654397</v>
      </c>
      <c r="D136">
        <f>+base_mensual!H136</f>
        <v>120.541856291711</v>
      </c>
      <c r="E136">
        <f>+[3]Sheet1!B136</f>
        <v>43415.260320153538</v>
      </c>
      <c r="F136">
        <f>+[3]Sheet1!C136</f>
        <v>22562.493318996581</v>
      </c>
      <c r="G136">
        <f>+[3]Sheet1!D136</f>
        <v>30327.74100355426</v>
      </c>
      <c r="H136">
        <f>+[3]Sheet1!E136</f>
        <v>7824.504468832225</v>
      </c>
      <c r="I136">
        <f>+[3]Sheet1!F136</f>
        <v>689724.32712319866</v>
      </c>
      <c r="J136">
        <f>+[3]Sheet1!G136</f>
        <v>168.7092618565672</v>
      </c>
      <c r="K136">
        <f>+[3]Sheet1!H136</f>
        <v>247.77581552498461</v>
      </c>
      <c r="L136">
        <f>+[3]Sheet1!I136</f>
        <v>87.232515870936936</v>
      </c>
      <c r="M136">
        <f>+[3]Sheet1!J136</f>
        <v>594880.36334409437</v>
      </c>
      <c r="N136">
        <f>+[3]Sheet1!K136</f>
        <v>2819364.4703559941</v>
      </c>
      <c r="O136">
        <f>+[3]Sheet1!L136</f>
        <v>1083706.4482981069</v>
      </c>
      <c r="P136">
        <f>+[3]Sheet1!M136</f>
        <v>0.55093724172968916</v>
      </c>
      <c r="Q136">
        <f>+[3]Sheet1!N136</f>
        <v>2.514142624750547</v>
      </c>
      <c r="R136">
        <f>+[3]Sheet1!O136</f>
        <v>1.2328188655958709</v>
      </c>
      <c r="S136">
        <f>+[3]Sheet1!P136</f>
        <v>1214077.936436689</v>
      </c>
      <c r="T136">
        <f>+[3]Sheet1!Q136</f>
        <v>1110932.849977935</v>
      </c>
      <c r="U136">
        <f>+[3]Sheet1!R136</f>
        <v>1.0171142415809209</v>
      </c>
      <c r="V136">
        <f>+[3]Sheet1!S136</f>
        <v>0.95840092939969268</v>
      </c>
      <c r="W136">
        <f>+[3]Sheet1!T136</f>
        <v>50584072.153229341</v>
      </c>
      <c r="X136">
        <f>+[3]Sheet1!U136</f>
        <v>43.273562681578817</v>
      </c>
      <c r="Y136">
        <f>+[3]Sheet1!V136</f>
        <v>25021984.892634209</v>
      </c>
      <c r="Z136">
        <f>+[3]Sheet1!W136</f>
        <v>20.977001256135111</v>
      </c>
      <c r="AA136">
        <f>+[3]Sheet1!X136</f>
        <v>51187103.213907301</v>
      </c>
      <c r="AB136">
        <f>+[3]Sheet1!Y136</f>
        <v>43.487081652674782</v>
      </c>
      <c r="AC136">
        <f>+[3]Sheet1!Z136</f>
        <v>0.93628754655230506</v>
      </c>
      <c r="AD136">
        <f>+[3]Sheet1!AA136</f>
        <v>61516.466744602469</v>
      </c>
      <c r="AE136">
        <f>+[3]Sheet1!AB136</f>
        <v>112078.74588831799</v>
      </c>
      <c r="AF136">
        <f>+[3]Sheet1!AC136</f>
        <v>154.14087742668519</v>
      </c>
      <c r="AG136">
        <f>+[3]Sheet1!AD136</f>
        <v>106.057229276214</v>
      </c>
      <c r="AH136" s="16">
        <f>+[3]Sheet1!AE136</f>
        <v>141.89858644020131</v>
      </c>
      <c r="AI136" s="16">
        <f>+[3]Sheet1!AF136</f>
        <v>334.9511527123654</v>
      </c>
      <c r="AJ136" s="16">
        <f>+[3]Sheet1!AG136</f>
        <v>171.23573380214489</v>
      </c>
      <c r="AK136" s="16">
        <f>+[3]Sheet1!AH136</f>
        <v>83.831044129420619</v>
      </c>
      <c r="AL136" s="16">
        <f>+[3]Sheet1!AI136</f>
        <v>86.476616341614914</v>
      </c>
      <c r="AM136" s="16">
        <f>+[3]Sheet1!AJ136</f>
        <v>150.10340261249769</v>
      </c>
      <c r="AN136" s="16">
        <f>+[3]Sheet1!AK136</f>
        <v>105.4908688899055</v>
      </c>
      <c r="AO136" s="16">
        <f>+[3]Sheet1!AL136</f>
        <v>165.73562384562169</v>
      </c>
      <c r="AP136" s="16">
        <f>+[3]Sheet1!AM136</f>
        <v>146.33926754325461</v>
      </c>
      <c r="AQ136" s="16">
        <f>+[3]Sheet1!AN136</f>
        <v>128.05142812513051</v>
      </c>
      <c r="AR136" s="16">
        <f>+[3]Sheet1!AO136</f>
        <v>125.18435447802661</v>
      </c>
      <c r="AS136" s="16">
        <f>+[3]Sheet1!AP136</f>
        <v>157.82449676539949</v>
      </c>
      <c r="AT136" s="16">
        <f>+[3]Sheet1!AQ136</f>
        <v>38.482359928289881</v>
      </c>
      <c r="AU136" s="16">
        <f>+[3]Sheet1!AR136</f>
        <v>109.74034026350139</v>
      </c>
      <c r="AV136" s="16">
        <f>+[3]Sheet1!AS136</f>
        <v>83.173833843332488</v>
      </c>
      <c r="AW136" s="16">
        <f>+[3]Sheet1!AT136</f>
        <v>3292589.6354169021</v>
      </c>
      <c r="AX136" s="16">
        <f>+base_mensual!AY136</f>
        <v>1452</v>
      </c>
      <c r="AY136">
        <f>+base_mensual!AZ136</f>
        <v>2.56</v>
      </c>
      <c r="AZ136">
        <f>+[3]Sheet1!AX136</f>
        <v>140.92230322329101</v>
      </c>
    </row>
    <row r="137" spans="1:52" x14ac:dyDescent="0.25">
      <c r="A137" s="2">
        <f>+base_mensual!A137</f>
        <v>45412</v>
      </c>
      <c r="B137" s="1">
        <f>+base_mensual!B137</f>
        <v>-1.7349283044115316E-2</v>
      </c>
      <c r="C137">
        <f>+base_mensual!AE137</f>
        <v>140.45109093657109</v>
      </c>
      <c r="D137">
        <f>+base_mensual!H137</f>
        <v>119.26099157977499</v>
      </c>
      <c r="E137">
        <f>+[3]Sheet1!B137</f>
        <v>42090.323347131853</v>
      </c>
      <c r="F137">
        <f>+[3]Sheet1!C137</f>
        <v>21222.169829789291</v>
      </c>
      <c r="G137">
        <f>+[3]Sheet1!D137</f>
        <v>20904.527768549291</v>
      </c>
      <c r="H137">
        <f>+[3]Sheet1!E137</f>
        <v>6180.3048615366761</v>
      </c>
      <c r="I137">
        <f>+[3]Sheet1!F137</f>
        <v>664944.89689857198</v>
      </c>
      <c r="J137">
        <f>+[3]Sheet1!G137</f>
        <v>246.12481669227631</v>
      </c>
      <c r="K137">
        <f>+[3]Sheet1!H137</f>
        <v>349.89541404009282</v>
      </c>
      <c r="L137">
        <f>+[3]Sheet1!I137</f>
        <v>110.0883249651677</v>
      </c>
      <c r="M137">
        <f>+[3]Sheet1!J137</f>
        <v>602330.88329652825</v>
      </c>
      <c r="N137">
        <f>+[3]Sheet1!K137</f>
        <v>3249892.9404748832</v>
      </c>
      <c r="O137">
        <f>+[3]Sheet1!L137</f>
        <v>1275908.0084086449</v>
      </c>
      <c r="P137">
        <f>+[3]Sheet1!M137</f>
        <v>0.51751594303875625</v>
      </c>
      <c r="Q137">
        <f>+[3]Sheet1!N137</f>
        <v>2.5440745190718919</v>
      </c>
      <c r="R137">
        <f>+[3]Sheet1!O137</f>
        <v>1.243893564204124</v>
      </c>
      <c r="S137">
        <f>+[3]Sheet1!P137</f>
        <v>1321508.210178633</v>
      </c>
      <c r="T137">
        <f>+[3]Sheet1!Q137</f>
        <v>1234922.907984369</v>
      </c>
      <c r="U137">
        <f>+[3]Sheet1!R137</f>
        <v>1.0896104790155341</v>
      </c>
      <c r="V137">
        <f>+[3]Sheet1!S137</f>
        <v>1.020283176059221</v>
      </c>
      <c r="W137">
        <f>+[3]Sheet1!T137</f>
        <v>54547794.907355107</v>
      </c>
      <c r="X137">
        <f>+[3]Sheet1!U137</f>
        <v>46.319660687653652</v>
      </c>
      <c r="Y137">
        <f>+[3]Sheet1!V137</f>
        <v>26061865.111334711</v>
      </c>
      <c r="Z137">
        <f>+[3]Sheet1!W137</f>
        <v>20.829440185362149</v>
      </c>
      <c r="AA137">
        <f>+[3]Sheet1!X137</f>
        <v>54345110.096061967</v>
      </c>
      <c r="AB137">
        <f>+[3]Sheet1!Y137</f>
        <v>41.802118269489448</v>
      </c>
      <c r="AC137">
        <f>+[3]Sheet1!Z137</f>
        <v>0.66298432298050514</v>
      </c>
      <c r="AD137">
        <f>+[3]Sheet1!AA137</f>
        <v>61259.753878990683</v>
      </c>
      <c r="AE137">
        <f>+[3]Sheet1!AB137</f>
        <v>141014.48935899459</v>
      </c>
      <c r="AF137">
        <f>+[3]Sheet1!AC137</f>
        <v>156.12485546245691</v>
      </c>
      <c r="AG137">
        <f>+[3]Sheet1!AD137</f>
        <v>107.9072970672981</v>
      </c>
      <c r="AH137" s="16">
        <f>+[3]Sheet1!AE137</f>
        <v>129.08532421588581</v>
      </c>
      <c r="AI137" s="16">
        <f>+[3]Sheet1!AF137</f>
        <v>344.15551046238488</v>
      </c>
      <c r="AJ137" s="16">
        <f>+[3]Sheet1!AG137</f>
        <v>174.83759017726879</v>
      </c>
      <c r="AK137" s="16">
        <f>+[3]Sheet1!AH137</f>
        <v>91.071074832807099</v>
      </c>
      <c r="AL137" s="16">
        <f>+[3]Sheet1!AI137</f>
        <v>86.344783801490976</v>
      </c>
      <c r="AM137" s="16">
        <f>+[3]Sheet1!AJ137</f>
        <v>149.89590274363229</v>
      </c>
      <c r="AN137" s="16">
        <f>+[3]Sheet1!AK137</f>
        <v>102.75673799696629</v>
      </c>
      <c r="AO137" s="16">
        <f>+[3]Sheet1!AL137</f>
        <v>124.675203808305</v>
      </c>
      <c r="AP137" s="16">
        <f>+[3]Sheet1!AM137</f>
        <v>141.73508748887599</v>
      </c>
      <c r="AQ137" s="16">
        <f>+[3]Sheet1!AN137</f>
        <v>159.24977341569601</v>
      </c>
      <c r="AR137" s="16">
        <f>+[3]Sheet1!AO137</f>
        <v>130.55454534130669</v>
      </c>
      <c r="AS137" s="16">
        <f>+[3]Sheet1!AP137</f>
        <v>153.21201191442881</v>
      </c>
      <c r="AT137" s="16">
        <f>+[3]Sheet1!AQ137</f>
        <v>39.612269004049502</v>
      </c>
      <c r="AU137" s="16">
        <f>+[3]Sheet1!AR137</f>
        <v>113.052796559996</v>
      </c>
      <c r="AV137" s="16">
        <f>+[3]Sheet1!AS137</f>
        <v>86.193396344458407</v>
      </c>
      <c r="AW137" s="16">
        <f>+[3]Sheet1!AT137</f>
        <v>3787645.7118058638</v>
      </c>
      <c r="AX137" s="16">
        <f>+base_mensual!AY137</f>
        <v>1211</v>
      </c>
      <c r="AY137">
        <f>+base_mensual!AZ137</f>
        <v>2.4500000000000002</v>
      </c>
      <c r="AZ137">
        <f>+[3]Sheet1!AX137</f>
        <v>139.9774320241485</v>
      </c>
    </row>
    <row r="138" spans="1:52" x14ac:dyDescent="0.25">
      <c r="A138" s="2">
        <f>+base_mensual!A138</f>
        <v>45443</v>
      </c>
      <c r="B138" s="1">
        <f>+base_mensual!B138</f>
        <v>-1.7349283044115316E-2</v>
      </c>
      <c r="C138">
        <f>+base_mensual!AE138</f>
        <v>141.47813867887197</v>
      </c>
      <c r="D138">
        <f>+base_mensual!H138</f>
        <v>129.537753411659</v>
      </c>
      <c r="E138">
        <f>+[3]Sheet1!B138</f>
        <v>34173.854447596001</v>
      </c>
      <c r="F138">
        <f>+[3]Sheet1!C138</f>
        <v>21325.778929816581</v>
      </c>
      <c r="G138">
        <f>+[3]Sheet1!D138</f>
        <v>21715.258470034609</v>
      </c>
      <c r="H138">
        <f>+[3]Sheet1!E138</f>
        <v>7879.0331643917016</v>
      </c>
      <c r="I138">
        <f>+[3]Sheet1!F138</f>
        <v>810924.45659162861</v>
      </c>
      <c r="J138">
        <f>+[3]Sheet1!G138</f>
        <v>248.23526050983119</v>
      </c>
      <c r="K138">
        <f>+[3]Sheet1!H138</f>
        <v>294.70770558916638</v>
      </c>
      <c r="L138">
        <f>+[3]Sheet1!I138</f>
        <v>109.3538026321684</v>
      </c>
      <c r="M138">
        <f>+[3]Sheet1!J138</f>
        <v>1020517.9762989969</v>
      </c>
      <c r="N138">
        <f>+[3]Sheet1!K138</f>
        <v>3088000.8644755082</v>
      </c>
      <c r="O138">
        <f>+[3]Sheet1!L138</f>
        <v>5440096.2768055946</v>
      </c>
      <c r="P138">
        <f>+[3]Sheet1!M138</f>
        <v>0.64167329277268459</v>
      </c>
      <c r="Q138">
        <f>+[3]Sheet1!N138</f>
        <v>2.5316961070148212</v>
      </c>
      <c r="R138">
        <f>+[3]Sheet1!O138</f>
        <v>3.3538284526320301</v>
      </c>
      <c r="S138">
        <f>+[3]Sheet1!P138</f>
        <v>1631848.379534269</v>
      </c>
      <c r="T138">
        <f>+[3]Sheet1!Q138</f>
        <v>1461023.013872294</v>
      </c>
      <c r="U138">
        <f>+[3]Sheet1!R138</f>
        <v>1.2174984533827871</v>
      </c>
      <c r="V138">
        <f>+[3]Sheet1!S138</f>
        <v>1.12554399210819</v>
      </c>
      <c r="W138">
        <f>+[3]Sheet1!T138</f>
        <v>70593653.037482604</v>
      </c>
      <c r="X138">
        <f>+[3]Sheet1!U138</f>
        <v>52.086711463507683</v>
      </c>
      <c r="Y138">
        <f>+[3]Sheet1!V138</f>
        <v>29337808.012724251</v>
      </c>
      <c r="Z138">
        <f>+[3]Sheet1!W138</f>
        <v>22.267758869271042</v>
      </c>
      <c r="AA138">
        <f>+[3]Sheet1!X138</f>
        <v>58786813.904246017</v>
      </c>
      <c r="AB138">
        <f>+[3]Sheet1!Y138</f>
        <v>44.017621812392207</v>
      </c>
      <c r="AC138">
        <f>+[3]Sheet1!Z138</f>
        <v>0.35206722499098803</v>
      </c>
      <c r="AD138">
        <f>+[3]Sheet1!AA138</f>
        <v>62307.858554276878</v>
      </c>
      <c r="AE138">
        <f>+[3]Sheet1!AB138</f>
        <v>150046.72719599039</v>
      </c>
      <c r="AF138">
        <f>+[3]Sheet1!AC138</f>
        <v>155.10047906297049</v>
      </c>
      <c r="AG138">
        <f>+[3]Sheet1!AD138</f>
        <v>98.438672978523812</v>
      </c>
      <c r="AH138" s="16">
        <f>+[3]Sheet1!AE138</f>
        <v>142.72109829605481</v>
      </c>
      <c r="AI138" s="16">
        <f>+[3]Sheet1!AF138</f>
        <v>325.72833427530549</v>
      </c>
      <c r="AJ138" s="16">
        <f>+[3]Sheet1!AG138</f>
        <v>175.13172391787441</v>
      </c>
      <c r="AK138" s="16">
        <f>+[3]Sheet1!AH138</f>
        <v>82.411031552473588</v>
      </c>
      <c r="AL138" s="16">
        <f>+[3]Sheet1!AI138</f>
        <v>86.296220040232853</v>
      </c>
      <c r="AM138" s="16">
        <f>+[3]Sheet1!AJ138</f>
        <v>148.5875137744388</v>
      </c>
      <c r="AN138" s="16">
        <f>+[3]Sheet1!AK138</f>
        <v>114.0085784492281</v>
      </c>
      <c r="AO138" s="16">
        <f>+[3]Sheet1!AL138</f>
        <v>156.21426460859311</v>
      </c>
      <c r="AP138" s="16">
        <f>+[3]Sheet1!AM138</f>
        <v>161.44225016106199</v>
      </c>
      <c r="AQ138" s="16">
        <f>+[3]Sheet1!AN138</f>
        <v>147.88855968213241</v>
      </c>
      <c r="AR138" s="16">
        <f>+[3]Sheet1!AO138</f>
        <v>125.4006040254626</v>
      </c>
      <c r="AS138" s="16">
        <f>+[3]Sheet1!AP138</f>
        <v>124.104541919724</v>
      </c>
      <c r="AT138" s="16">
        <f>+[3]Sheet1!AQ138</f>
        <v>39.887115451816697</v>
      </c>
      <c r="AU138" s="16">
        <f>+[3]Sheet1!AR138</f>
        <v>121.55339919719199</v>
      </c>
      <c r="AV138" s="16">
        <f>+[3]Sheet1!AS138</f>
        <v>88.584080447724034</v>
      </c>
      <c r="AW138" s="16">
        <f>+[3]Sheet1!AT138</f>
        <v>3423352.1367747001</v>
      </c>
      <c r="AX138" s="16">
        <f>+base_mensual!AY138</f>
        <v>1341</v>
      </c>
      <c r="AY138">
        <f>+base_mensual!AZ138</f>
        <v>2.5099999999999998</v>
      </c>
      <c r="AZ138">
        <f>+[3]Sheet1!AX138</f>
        <v>145.63577725179351</v>
      </c>
    </row>
    <row r="139" spans="1:52" x14ac:dyDescent="0.25">
      <c r="A139" s="2">
        <f>+base_mensual!A139</f>
        <v>45471</v>
      </c>
      <c r="B139" s="1">
        <f>+base_mensual!B139</f>
        <v>-1.7349283044115316E-2</v>
      </c>
      <c r="C139">
        <f>+base_mensual!AE139</f>
        <v>142.79947841579664</v>
      </c>
      <c r="D139">
        <f>+base_mensual!H139</f>
        <v>132.87614105057301</v>
      </c>
      <c r="E139">
        <f>+[3]Sheet1!B139</f>
        <v>30320.646105799759</v>
      </c>
      <c r="F139">
        <f>+[3]Sheet1!C139</f>
        <v>22299.20565041478</v>
      </c>
      <c r="G139">
        <f>+[3]Sheet1!D139</f>
        <v>24535.878264977691</v>
      </c>
      <c r="H139">
        <f>+[3]Sheet1!E139</f>
        <v>7327.7510231841188</v>
      </c>
      <c r="I139">
        <f>+[3]Sheet1!F139</f>
        <v>721460.75879122154</v>
      </c>
      <c r="J139">
        <f>+[3]Sheet1!G139</f>
        <v>260.67156043544338</v>
      </c>
      <c r="K139">
        <f>+[3]Sheet1!H139</f>
        <v>277.80389672298941</v>
      </c>
      <c r="L139">
        <f>+[3]Sheet1!I139</f>
        <v>128.14916196050811</v>
      </c>
      <c r="M139">
        <f>+[3]Sheet1!J139</f>
        <v>652269.39404292568</v>
      </c>
      <c r="N139">
        <f>+[3]Sheet1!K139</f>
        <v>3369284.502065239</v>
      </c>
      <c r="O139">
        <f>+[3]Sheet1!L139</f>
        <v>2481795.2282798002</v>
      </c>
      <c r="P139">
        <f>+[3]Sheet1!M139</f>
        <v>0.28734844794879272</v>
      </c>
      <c r="Q139">
        <f>+[3]Sheet1!N139</f>
        <v>2.3899296778161272</v>
      </c>
      <c r="R139">
        <f>+[3]Sheet1!O139</f>
        <v>1.4299256327159779</v>
      </c>
      <c r="S139">
        <f>+[3]Sheet1!P139</f>
        <v>1741460.8171612751</v>
      </c>
      <c r="T139">
        <f>+[3]Sheet1!Q139</f>
        <v>1564499.2108168169</v>
      </c>
      <c r="U139">
        <f>+[3]Sheet1!R139</f>
        <v>1.3114687438037671</v>
      </c>
      <c r="V139">
        <f>+[3]Sheet1!S139</f>
        <v>1.1593369376642959</v>
      </c>
      <c r="W139">
        <f>+[3]Sheet1!T139</f>
        <v>68969632.790780783</v>
      </c>
      <c r="X139">
        <f>+[3]Sheet1!U139</f>
        <v>55.976342345259347</v>
      </c>
      <c r="Y139">
        <f>+[3]Sheet1!V139</f>
        <v>33570413.943817772</v>
      </c>
      <c r="Z139">
        <f>+[3]Sheet1!W139</f>
        <v>23.898618246934131</v>
      </c>
      <c r="AA139">
        <f>+[3]Sheet1!X139</f>
        <v>66428603.109948747</v>
      </c>
      <c r="AB139">
        <f>+[3]Sheet1!Y139</f>
        <v>45.803112872845681</v>
      </c>
      <c r="AC139">
        <f>+[3]Sheet1!Z139</f>
        <v>0.31950223969930169</v>
      </c>
      <c r="AD139">
        <f>+[3]Sheet1!AA139</f>
        <v>56096.256666053901</v>
      </c>
      <c r="AE139">
        <f>+[3]Sheet1!AB139</f>
        <v>137622.40604339979</v>
      </c>
      <c r="AF139">
        <f>+[3]Sheet1!AC139</f>
        <v>152.82448587661199</v>
      </c>
      <c r="AG139">
        <f>+[3]Sheet1!AD139</f>
        <v>99.487614845953658</v>
      </c>
      <c r="AH139" s="16">
        <f>+[3]Sheet1!AE139</f>
        <v>143.668448947451</v>
      </c>
      <c r="AI139" s="16">
        <f>+[3]Sheet1!AF139</f>
        <v>243.6780787107746</v>
      </c>
      <c r="AJ139" s="16">
        <f>+[3]Sheet1!AG139</f>
        <v>174.34072012984009</v>
      </c>
      <c r="AK139" s="16">
        <f>+[3]Sheet1!AH139</f>
        <v>78.395994994415787</v>
      </c>
      <c r="AL139" s="16">
        <f>+[3]Sheet1!AI139</f>
        <v>86.392317775221869</v>
      </c>
      <c r="AM139" s="16">
        <f>+[3]Sheet1!AJ139</f>
        <v>146.86499175508271</v>
      </c>
      <c r="AN139" s="16">
        <f>+[3]Sheet1!AK139</f>
        <v>103.56354956230339</v>
      </c>
      <c r="AO139" s="16">
        <f>+[3]Sheet1!AL139</f>
        <v>164.0248872429575</v>
      </c>
      <c r="AP139" s="16">
        <f>+[3]Sheet1!AM139</f>
        <v>152.63726244021549</v>
      </c>
      <c r="AQ139" s="16">
        <f>+[3]Sheet1!AN139</f>
        <v>139.62441253249929</v>
      </c>
      <c r="AR139" s="16">
        <f>+[3]Sheet1!AO139</f>
        <v>120.07183935448469</v>
      </c>
      <c r="AS139" s="16">
        <f>+[3]Sheet1!AP139</f>
        <v>110.7498439795642</v>
      </c>
      <c r="AT139" s="16">
        <f>+[3]Sheet1!AQ139</f>
        <v>38.51501200622824</v>
      </c>
      <c r="AU139" s="16">
        <f>+[3]Sheet1!AR139</f>
        <v>119.5687006669495</v>
      </c>
      <c r="AV139" s="16">
        <f>+[3]Sheet1!AS139</f>
        <v>90.968552302953697</v>
      </c>
      <c r="AW139" s="16">
        <f>+[3]Sheet1!AT139</f>
        <v>3503170.2455622102</v>
      </c>
      <c r="AX139" s="16">
        <f>+base_mensual!AY139</f>
        <v>1455</v>
      </c>
      <c r="AY139">
        <f>+base_mensual!AZ139</f>
        <v>2.46</v>
      </c>
      <c r="AZ139">
        <f>+[3]Sheet1!AX139</f>
        <v>144.729703225446</v>
      </c>
    </row>
    <row r="140" spans="1:52" x14ac:dyDescent="0.25">
      <c r="A140" s="2">
        <f>+base_mensual!A140</f>
        <v>45504</v>
      </c>
      <c r="B140" s="1">
        <f>+base_mensual!B140</f>
        <v>3.8681129876147802E-2</v>
      </c>
      <c r="C140">
        <f>+base_mensual!AE140</f>
        <v>144.497887336242</v>
      </c>
      <c r="D140">
        <f>+base_mensual!H140</f>
        <v>142.01002303913199</v>
      </c>
      <c r="E140">
        <f>+[3]Sheet1!B140</f>
        <v>46772.134254311422</v>
      </c>
      <c r="F140">
        <f>+[3]Sheet1!C140</f>
        <v>28965.758827818048</v>
      </c>
      <c r="G140">
        <f>+[3]Sheet1!D140</f>
        <v>37093.317274696172</v>
      </c>
      <c r="H140">
        <f>+[3]Sheet1!E140</f>
        <v>13059.01255748189</v>
      </c>
      <c r="I140">
        <f>+[3]Sheet1!F140</f>
        <v>854556.49210641114</v>
      </c>
      <c r="J140">
        <f>+[3]Sheet1!G140</f>
        <v>242.59696409350769</v>
      </c>
      <c r="K140">
        <f>+[3]Sheet1!H140</f>
        <v>320.36938647222968</v>
      </c>
      <c r="L140">
        <f>+[3]Sheet1!I140</f>
        <v>126.32764050332089</v>
      </c>
      <c r="M140">
        <f>+[3]Sheet1!J140</f>
        <v>906541.0466041785</v>
      </c>
      <c r="N140">
        <f>+[3]Sheet1!K140</f>
        <v>3701099.5241645481</v>
      </c>
      <c r="O140">
        <f>+[3]Sheet1!L140</f>
        <v>1927318.3766478749</v>
      </c>
      <c r="P140">
        <f>+[3]Sheet1!M140</f>
        <v>0.50114196494120922</v>
      </c>
      <c r="Q140">
        <f>+[3]Sheet1!N140</f>
        <v>2.541064886881518</v>
      </c>
      <c r="R140">
        <f>+[3]Sheet1!O140</f>
        <v>1.39211387319504</v>
      </c>
      <c r="S140">
        <f>+[3]Sheet1!P140</f>
        <v>1562175.875103849</v>
      </c>
      <c r="T140">
        <f>+[3]Sheet1!Q140</f>
        <v>1596835.950439309</v>
      </c>
      <c r="U140">
        <f>+[3]Sheet1!R140</f>
        <v>1.0884481681766169</v>
      </c>
      <c r="V140">
        <f>+[3]Sheet1!S140</f>
        <v>1.186788273118911</v>
      </c>
      <c r="W140">
        <f>+[3]Sheet1!T140</f>
        <v>65510753.610894963</v>
      </c>
      <c r="X140">
        <f>+[3]Sheet1!U140</f>
        <v>46.577318941361249</v>
      </c>
      <c r="Y140">
        <f>+[3]Sheet1!V140</f>
        <v>35621307.550122738</v>
      </c>
      <c r="Z140">
        <f>+[3]Sheet1!W140</f>
        <v>23.970524166525809</v>
      </c>
      <c r="AA140">
        <f>+[3]Sheet1!X140</f>
        <v>68109424.41279164</v>
      </c>
      <c r="AB140">
        <f>+[3]Sheet1!Y140</f>
        <v>45.760888415072323</v>
      </c>
      <c r="AC140">
        <f>+[3]Sheet1!Z140</f>
        <v>0.33242202832625972</v>
      </c>
      <c r="AD140">
        <f>+[3]Sheet1!AA140</f>
        <v>62815.288899484469</v>
      </c>
      <c r="AE140">
        <f>+[3]Sheet1!AB140</f>
        <v>161853.28748824011</v>
      </c>
      <c r="AF140">
        <f>+[3]Sheet1!AC140</f>
        <v>162.12116758554649</v>
      </c>
      <c r="AG140">
        <f>+[3]Sheet1!AD140</f>
        <v>109.8423800741824</v>
      </c>
      <c r="AH140" s="16">
        <f>+[3]Sheet1!AE140</f>
        <v>147.58410278859211</v>
      </c>
      <c r="AI140" s="16">
        <f>+[3]Sheet1!AF140</f>
        <v>343.00761941078929</v>
      </c>
      <c r="AJ140" s="16">
        <f>+[3]Sheet1!AG140</f>
        <v>187.00183879757381</v>
      </c>
      <c r="AK140" s="16">
        <f>+[3]Sheet1!AH140</f>
        <v>87.460243921415568</v>
      </c>
      <c r="AL140" s="16">
        <f>+[3]Sheet1!AI140</f>
        <v>86.782342074717747</v>
      </c>
      <c r="AM140" s="16">
        <f>+[3]Sheet1!AJ140</f>
        <v>146.88235562764859</v>
      </c>
      <c r="AN140" s="16">
        <f>+[3]Sheet1!AK140</f>
        <v>99.729856193865132</v>
      </c>
      <c r="AO140" s="16">
        <f>+[3]Sheet1!AL140</f>
        <v>170.26458346748831</v>
      </c>
      <c r="AP140" s="16">
        <f>+[3]Sheet1!AM140</f>
        <v>208.02737832048589</v>
      </c>
      <c r="AQ140" s="16">
        <f>+[3]Sheet1!AN140</f>
        <v>154.0428855341373</v>
      </c>
      <c r="AR140" s="16">
        <f>+[3]Sheet1!AO140</f>
        <v>121.01720150877721</v>
      </c>
      <c r="AS140" s="16">
        <f>+[3]Sheet1!AP140</f>
        <v>170.5741145244053</v>
      </c>
      <c r="AT140" s="16">
        <f>+[3]Sheet1!AQ140</f>
        <v>40.300345286580473</v>
      </c>
      <c r="AU140" s="16">
        <f>+[3]Sheet1!AR140</f>
        <v>121.8655803925994</v>
      </c>
      <c r="AV140" s="16">
        <f>+[3]Sheet1!AS140</f>
        <v>92.548571643210607</v>
      </c>
      <c r="AW140" s="16">
        <f>+[3]Sheet1!AT140</f>
        <v>4305209.945360628</v>
      </c>
      <c r="AX140" s="16">
        <f>+base_mensual!AY140</f>
        <v>1562</v>
      </c>
      <c r="AY140">
        <f>+base_mensual!AZ140</f>
        <v>2.37</v>
      </c>
      <c r="AZ140">
        <f>+[3]Sheet1!AX140</f>
        <v>148.23591251821199</v>
      </c>
    </row>
    <row r="141" spans="1:52" x14ac:dyDescent="0.25">
      <c r="A141" s="2">
        <f>+base_mensual!A141</f>
        <v>45534</v>
      </c>
      <c r="B141" s="1">
        <f>+base_mensual!B141</f>
        <v>3.8681129876147802E-2</v>
      </c>
      <c r="C141">
        <f>+base_mensual!AE141</f>
        <v>145.41623288542493</v>
      </c>
      <c r="D141">
        <f>+base_mensual!H141</f>
        <v>139.664969526372</v>
      </c>
      <c r="E141">
        <f>+[3]Sheet1!B141</f>
        <v>47062.242040781879</v>
      </c>
      <c r="F141">
        <f>+[3]Sheet1!C141</f>
        <v>28120.94014602626</v>
      </c>
      <c r="G141">
        <f>+[3]Sheet1!D141</f>
        <v>41421.693925035557</v>
      </c>
      <c r="H141">
        <f>+[3]Sheet1!E141</f>
        <v>14459.094604055201</v>
      </c>
      <c r="I141">
        <f>+[3]Sheet1!F141</f>
        <v>824738.97934568336</v>
      </c>
      <c r="J141">
        <f>+[3]Sheet1!G141</f>
        <v>245.40843763952921</v>
      </c>
      <c r="K141">
        <f>+[3]Sheet1!H141</f>
        <v>325.20183612179198</v>
      </c>
      <c r="L141">
        <f>+[3]Sheet1!I141</f>
        <v>144.14343910551801</v>
      </c>
      <c r="M141">
        <f>+[3]Sheet1!J141</f>
        <v>798999.92801126454</v>
      </c>
      <c r="N141">
        <f>+[3]Sheet1!K141</f>
        <v>3910652.0441313349</v>
      </c>
      <c r="O141">
        <f>+[3]Sheet1!L141</f>
        <v>2115856.6675401041</v>
      </c>
      <c r="P141">
        <f>+[3]Sheet1!M141</f>
        <v>0.5778127092812817</v>
      </c>
      <c r="Q141">
        <f>+[3]Sheet1!N141</f>
        <v>2.5275233004473261</v>
      </c>
      <c r="R141">
        <f>+[3]Sheet1!O141</f>
        <v>1.3828990200573881</v>
      </c>
      <c r="S141">
        <f>+[3]Sheet1!P141</f>
        <v>1682794.5732400659</v>
      </c>
      <c r="T141">
        <f>+[3]Sheet1!Q141</f>
        <v>1575910.996639475</v>
      </c>
      <c r="U141">
        <f>+[3]Sheet1!R141</f>
        <v>1.2982429055092499</v>
      </c>
      <c r="V141">
        <f>+[3]Sheet1!S141</f>
        <v>1.146700769649768</v>
      </c>
      <c r="W141">
        <f>+[3]Sheet1!T141</f>
        <v>72268561.931930512</v>
      </c>
      <c r="X141">
        <f>+[3]Sheet1!U141</f>
        <v>55.89821552427609</v>
      </c>
      <c r="Y141">
        <f>+[3]Sheet1!V141</f>
        <v>37655912.206290588</v>
      </c>
      <c r="Z141">
        <f>+[3]Sheet1!W141</f>
        <v>24.225335672997989</v>
      </c>
      <c r="AA141">
        <f>+[3]Sheet1!X141</f>
        <v>71558409.756595254</v>
      </c>
      <c r="AB141">
        <f>+[3]Sheet1!Y141</f>
        <v>46.559873551047851</v>
      </c>
      <c r="AC141">
        <f>+[3]Sheet1!Z141</f>
        <v>0.23654261921702621</v>
      </c>
      <c r="AD141">
        <f>+[3]Sheet1!AA141</f>
        <v>62170.492131342929</v>
      </c>
      <c r="AE141">
        <f>+[3]Sheet1!AB141</f>
        <v>160123.1096346027</v>
      </c>
      <c r="AF141">
        <f>+[3]Sheet1!AC141</f>
        <v>157.52493339593309</v>
      </c>
      <c r="AG141">
        <f>+[3]Sheet1!AD141</f>
        <v>112.7639157662541</v>
      </c>
      <c r="AH141" s="16">
        <f>+[3]Sheet1!AE141</f>
        <v>140.88320986317919</v>
      </c>
      <c r="AI141" s="16">
        <f>+[3]Sheet1!AF141</f>
        <v>330.09010058951299</v>
      </c>
      <c r="AJ141" s="16">
        <f>+[3]Sheet1!AG141</f>
        <v>178.124825787242</v>
      </c>
      <c r="AK141" s="16">
        <f>+[3]Sheet1!AH141</f>
        <v>86.050690952641247</v>
      </c>
      <c r="AL141" s="16">
        <f>+[3]Sheet1!AI141</f>
        <v>86.019573612094817</v>
      </c>
      <c r="AM141" s="16">
        <f>+[3]Sheet1!AJ141</f>
        <v>148.19837520889581</v>
      </c>
      <c r="AN141" s="16">
        <f>+[3]Sheet1!AK141</f>
        <v>104.5418573992857</v>
      </c>
      <c r="AO141" s="16">
        <f>+[3]Sheet1!AL141</f>
        <v>131.3223815087874</v>
      </c>
      <c r="AP141" s="16">
        <f>+[3]Sheet1!AM141</f>
        <v>189.8044221834503</v>
      </c>
      <c r="AQ141" s="16">
        <f>+[3]Sheet1!AN141</f>
        <v>156.80293637694351</v>
      </c>
      <c r="AR141" s="16">
        <f>+[3]Sheet1!AO141</f>
        <v>124.0167978287101</v>
      </c>
      <c r="AS141" s="16">
        <f>+[3]Sheet1!AP141</f>
        <v>170.2765120810549</v>
      </c>
      <c r="AT141" s="16">
        <f>+[3]Sheet1!AQ141</f>
        <v>40.186331887905041</v>
      </c>
      <c r="AU141" s="16">
        <f>+[3]Sheet1!AR141</f>
        <v>126.48140567457411</v>
      </c>
      <c r="AV141" s="16">
        <f>+[3]Sheet1!AS141</f>
        <v>92.794291971251141</v>
      </c>
      <c r="AW141" s="16">
        <f>+[3]Sheet1!AT141</f>
        <v>3203797.0626107608</v>
      </c>
      <c r="AX141" s="16">
        <f>+base_mensual!AY141</f>
        <v>1433</v>
      </c>
      <c r="AY141">
        <f>+base_mensual!AZ141</f>
        <v>2.54</v>
      </c>
      <c r="AZ141">
        <f>+[3]Sheet1!AX141</f>
        <v>148.13238575269131</v>
      </c>
    </row>
    <row r="142" spans="1:52" x14ac:dyDescent="0.25">
      <c r="A142" s="2">
        <f>+base_mensual!A142</f>
        <v>45565</v>
      </c>
      <c r="B142" s="1">
        <f>+base_mensual!B142</f>
        <v>3.8681129876147802E-2</v>
      </c>
      <c r="C142">
        <f>+base_mensual!AE142</f>
        <v>148.87289495149139</v>
      </c>
      <c r="D142">
        <f>+base_mensual!H142</f>
        <v>141.67454432799499</v>
      </c>
      <c r="E142">
        <f>+[3]Sheet1!B142</f>
        <v>43384.973678191673</v>
      </c>
      <c r="F142">
        <f>+[3]Sheet1!C142</f>
        <v>22668.24264584704</v>
      </c>
      <c r="G142">
        <f>+[3]Sheet1!D142</f>
        <v>39151.859418763786</v>
      </c>
      <c r="H142">
        <f>+[3]Sheet1!E142</f>
        <v>14379.331852372839</v>
      </c>
      <c r="I142">
        <f>+[3]Sheet1!F142</f>
        <v>812275.27099635033</v>
      </c>
      <c r="J142">
        <f>+[3]Sheet1!G142</f>
        <v>228.67626298752961</v>
      </c>
      <c r="K142">
        <f>+[3]Sheet1!H142</f>
        <v>329.19776964633689</v>
      </c>
      <c r="L142">
        <f>+[3]Sheet1!I142</f>
        <v>131.96261962632749</v>
      </c>
      <c r="M142">
        <f>+[3]Sheet1!J142</f>
        <v>845092.13438324945</v>
      </c>
      <c r="N142">
        <f>+[3]Sheet1!K142</f>
        <v>4177957.8153215558</v>
      </c>
      <c r="O142">
        <f>+[3]Sheet1!L142</f>
        <v>2257023.7128126658</v>
      </c>
      <c r="P142">
        <f>+[3]Sheet1!M142</f>
        <v>0.5578857179947958</v>
      </c>
      <c r="Q142">
        <f>+[3]Sheet1!N142</f>
        <v>2.541909040911059</v>
      </c>
      <c r="R142">
        <f>+[3]Sheet1!O142</f>
        <v>1.441439215493886</v>
      </c>
      <c r="S142">
        <f>+[3]Sheet1!P142</f>
        <v>1656925.688824632</v>
      </c>
      <c r="T142">
        <f>+[3]Sheet1!Q142</f>
        <v>1747233.775888185</v>
      </c>
      <c r="U142">
        <f>+[3]Sheet1!R142</f>
        <v>1.1113511972794401</v>
      </c>
      <c r="V142">
        <f>+[3]Sheet1!S142</f>
        <v>1.1341709699993641</v>
      </c>
      <c r="W142">
        <f>+[3]Sheet1!T142</f>
        <v>74210631.8006109</v>
      </c>
      <c r="X142">
        <f>+[3]Sheet1!U142</f>
        <v>48.091964927362518</v>
      </c>
      <c r="Y142">
        <f>+[3]Sheet1!V142</f>
        <v>39039855.430640168</v>
      </c>
      <c r="Z142">
        <f>+[3]Sheet1!W142</f>
        <v>24.804906128569179</v>
      </c>
      <c r="AA142">
        <f>+[3]Sheet1!X142</f>
        <v>73978421.057635695</v>
      </c>
      <c r="AB142">
        <f>+[3]Sheet1!Y142</f>
        <v>46.200615853972018</v>
      </c>
      <c r="AC142">
        <f>+[3]Sheet1!Z142</f>
        <v>0.25973238799446552</v>
      </c>
      <c r="AD142">
        <f>+[3]Sheet1!AA142</f>
        <v>62467.873072767317</v>
      </c>
      <c r="AE142">
        <f>+[3]Sheet1!AB142</f>
        <v>157796.11045422449</v>
      </c>
      <c r="AF142">
        <f>+[3]Sheet1!AC142</f>
        <v>160.16744633911171</v>
      </c>
      <c r="AG142">
        <f>+[3]Sheet1!AD142</f>
        <v>102.7394171065302</v>
      </c>
      <c r="AH142" s="16">
        <f>+[3]Sheet1!AE142</f>
        <v>144.17988895818209</v>
      </c>
      <c r="AI142" s="16">
        <f>+[3]Sheet1!AF142</f>
        <v>338.73187405024407</v>
      </c>
      <c r="AJ142" s="16">
        <f>+[3]Sheet1!AG142</f>
        <v>179.67704170611049</v>
      </c>
      <c r="AK142" s="16">
        <f>+[3]Sheet1!AH142</f>
        <v>87.851638403972004</v>
      </c>
      <c r="AL142" s="16">
        <f>+[3]Sheet1!AI142</f>
        <v>86.171941438522126</v>
      </c>
      <c r="AM142" s="16">
        <f>+[3]Sheet1!AJ142</f>
        <v>145.0508110037286</v>
      </c>
      <c r="AN142" s="16">
        <f>+[3]Sheet1!AK142</f>
        <v>105.5454473833987</v>
      </c>
      <c r="AO142" s="16">
        <f>+[3]Sheet1!AL142</f>
        <v>161.06894538019409</v>
      </c>
      <c r="AP142" s="16">
        <f>+[3]Sheet1!AM142</f>
        <v>195.36051074265961</v>
      </c>
      <c r="AQ142" s="16">
        <f>+[3]Sheet1!AN142</f>
        <v>156.99731933944079</v>
      </c>
      <c r="AR142" s="16">
        <f>+[3]Sheet1!AO142</f>
        <v>121.02221963961409</v>
      </c>
      <c r="AS142" s="16">
        <f>+[3]Sheet1!AP142</f>
        <v>157.13224469077451</v>
      </c>
      <c r="AT142" s="16">
        <f>+[3]Sheet1!AQ142</f>
        <v>39.962945512983161</v>
      </c>
      <c r="AU142" s="16">
        <f>+[3]Sheet1!AR142</f>
        <v>123.6777212683473</v>
      </c>
      <c r="AV142" s="16">
        <f>+[3]Sheet1!AS142</f>
        <v>92.185546668755237</v>
      </c>
      <c r="AW142" s="16">
        <f>+[3]Sheet1!AT142</f>
        <v>3518140.87072653</v>
      </c>
      <c r="AX142" s="16">
        <f>+base_mensual!AY142</f>
        <v>1312</v>
      </c>
      <c r="AY142">
        <f>+base_mensual!AZ142</f>
        <v>2.16</v>
      </c>
      <c r="AZ142">
        <f>+[3]Sheet1!AX142</f>
        <v>146.4457183307382</v>
      </c>
    </row>
    <row r="143" spans="1:52" x14ac:dyDescent="0.25">
      <c r="A143" s="2">
        <f>+base_mensual!A143</f>
        <v>45596</v>
      </c>
      <c r="B143" s="1">
        <f>+base_mensual!B143</f>
        <v>3.7534007680953607E-2</v>
      </c>
      <c r="C143">
        <f>+base_mensual!AE143</f>
        <v>149.83379743404359</v>
      </c>
      <c r="D143">
        <f>+base_mensual!H143</f>
        <v>135.97852022462999</v>
      </c>
      <c r="E143">
        <f>+[3]Sheet1!B143</f>
        <v>45662.89003764253</v>
      </c>
      <c r="F143">
        <f>+[3]Sheet1!C143</f>
        <v>25471.18328114822</v>
      </c>
      <c r="G143">
        <f>+[3]Sheet1!D143</f>
        <v>40696.639251323963</v>
      </c>
      <c r="H143">
        <f>+[3]Sheet1!E143</f>
        <v>14914.956295286969</v>
      </c>
      <c r="I143">
        <f>+[3]Sheet1!F143</f>
        <v>826280.23745890928</v>
      </c>
      <c r="J143">
        <f>+[3]Sheet1!G143</f>
        <v>225.72727997021289</v>
      </c>
      <c r="K143">
        <f>+[3]Sheet1!H143</f>
        <v>308.49406720195333</v>
      </c>
      <c r="L143">
        <f>+[3]Sheet1!I143</f>
        <v>129.60909757112739</v>
      </c>
      <c r="M143">
        <f>+[3]Sheet1!J143</f>
        <v>979460.57502262993</v>
      </c>
      <c r="N143">
        <f>+[3]Sheet1!K143</f>
        <v>4440067.4143136283</v>
      </c>
      <c r="O143">
        <f>+[3]Sheet1!L143</f>
        <v>2164211.474110398</v>
      </c>
      <c r="P143">
        <f>+[3]Sheet1!M143</f>
        <v>0.60763640196012125</v>
      </c>
      <c r="Q143">
        <f>+[3]Sheet1!N143</f>
        <v>2.5286987262923168</v>
      </c>
      <c r="R143">
        <f>+[3]Sheet1!O143</f>
        <v>1.4060612797040211</v>
      </c>
      <c r="S143">
        <f>+[3]Sheet1!P143</f>
        <v>1830822.859885837</v>
      </c>
      <c r="T143">
        <f>+[3]Sheet1!Q143</f>
        <v>1837322.8140105649</v>
      </c>
      <c r="U143">
        <f>+[3]Sheet1!R143</f>
        <v>1.136427397611933</v>
      </c>
      <c r="V143">
        <f>+[3]Sheet1!S143</f>
        <v>1.170464237755801</v>
      </c>
      <c r="W143">
        <f>+[3]Sheet1!T143</f>
        <v>78141918.791163772</v>
      </c>
      <c r="X143">
        <f>+[3]Sheet1!U143</f>
        <v>48.628198603419577</v>
      </c>
      <c r="Y143">
        <f>+[3]Sheet1!V143</f>
        <v>41760106.588535458</v>
      </c>
      <c r="Z143">
        <f>+[3]Sheet1!W143</f>
        <v>24.762699528755451</v>
      </c>
      <c r="AA143">
        <f>+[3]Sheet1!X143</f>
        <v>77789554.843965352</v>
      </c>
      <c r="AB143">
        <f>+[3]Sheet1!Y143</f>
        <v>46.782724683826473</v>
      </c>
      <c r="AC143">
        <f>+[3]Sheet1!Z143</f>
        <v>0.29425617630674861</v>
      </c>
      <c r="AD143">
        <f>+[3]Sheet1!AA143</f>
        <v>63989.914699535533</v>
      </c>
      <c r="AE143">
        <f>+[3]Sheet1!AB143</f>
        <v>162918.25677920581</v>
      </c>
      <c r="AF143">
        <f>+[3]Sheet1!AC143</f>
        <v>165.18814662537909</v>
      </c>
      <c r="AG143">
        <f>+[3]Sheet1!AD143</f>
        <v>107.7991333306051</v>
      </c>
      <c r="AH143" s="16">
        <f>+[3]Sheet1!AE143</f>
        <v>147.39800497717749</v>
      </c>
      <c r="AI143" s="16">
        <f>+[3]Sheet1!AF143</f>
        <v>343.19230594784301</v>
      </c>
      <c r="AJ143" s="16">
        <f>+[3]Sheet1!AG143</f>
        <v>191.39698480198129</v>
      </c>
      <c r="AK143" s="16">
        <f>+[3]Sheet1!AH143</f>
        <v>85.451311154222481</v>
      </c>
      <c r="AL143" s="16">
        <f>+[3]Sheet1!AI143</f>
        <v>86.443047242855201</v>
      </c>
      <c r="AM143" s="16">
        <f>+[3]Sheet1!AJ143</f>
        <v>143.29021044497279</v>
      </c>
      <c r="AN143" s="16">
        <f>+[3]Sheet1!AK143</f>
        <v>124.7327604709993</v>
      </c>
      <c r="AO143" s="16">
        <f>+[3]Sheet1!AL143</f>
        <v>163.88964645219929</v>
      </c>
      <c r="AP143" s="16">
        <f>+[3]Sheet1!AM143</f>
        <v>195.06033920743889</v>
      </c>
      <c r="AQ143" s="16">
        <f>+[3]Sheet1!AN143</f>
        <v>151.7524944353562</v>
      </c>
      <c r="AR143" s="16">
        <f>+[3]Sheet1!AO143</f>
        <v>124.49713327850149</v>
      </c>
      <c r="AS143" s="16">
        <f>+[3]Sheet1!AP143</f>
        <v>165.79456314965469</v>
      </c>
      <c r="AT143" s="16">
        <f>+[3]Sheet1!AQ143</f>
        <v>41.356925167243077</v>
      </c>
      <c r="AU143" s="16">
        <f>+[3]Sheet1!AR143</f>
        <v>124.55161456779901</v>
      </c>
      <c r="AV143" s="16">
        <f>+[3]Sheet1!AS143</f>
        <v>92.742522115817891</v>
      </c>
      <c r="AW143" s="16">
        <f>+[3]Sheet1!AT143</f>
        <v>3550374.7370708948</v>
      </c>
      <c r="AX143" s="16">
        <f>+base_mensual!AY143</f>
        <v>967</v>
      </c>
      <c r="AY143">
        <f>+base_mensual!AZ143</f>
        <v>2.4300000000000002</v>
      </c>
      <c r="AZ143">
        <f>+[3]Sheet1!AX143</f>
        <v>148.4246260986173</v>
      </c>
    </row>
    <row r="144" spans="1:52" x14ac:dyDescent="0.25">
      <c r="A144" s="2">
        <f>+base_mensual!A144</f>
        <v>45625</v>
      </c>
      <c r="B144" s="1">
        <f>+base_mensual!B144</f>
        <v>3.7534007680953607E-2</v>
      </c>
      <c r="C144">
        <f>+base_mensual!AE144</f>
        <v>150.48319704918254</v>
      </c>
      <c r="D144">
        <f>+base_mensual!H144</f>
        <v>139.780473793602</v>
      </c>
      <c r="E144">
        <f>+[3]Sheet1!B144</f>
        <v>44312.745302365001</v>
      </c>
      <c r="F144">
        <f>+[3]Sheet1!C144</f>
        <v>24455.909076349391</v>
      </c>
      <c r="G144">
        <f>+[3]Sheet1!D144</f>
        <v>43849.497112649631</v>
      </c>
      <c r="H144">
        <f>+[3]Sheet1!E144</f>
        <v>13765.62489758445</v>
      </c>
      <c r="I144">
        <f>+[3]Sheet1!F144</f>
        <v>824518.76382646151</v>
      </c>
      <c r="J144">
        <f>+[3]Sheet1!G144</f>
        <v>242.14985541485279</v>
      </c>
      <c r="K144">
        <f>+[3]Sheet1!H144</f>
        <v>323.85433978798619</v>
      </c>
      <c r="L144">
        <f>+[3]Sheet1!I144</f>
        <v>126.02190885336159</v>
      </c>
      <c r="M144">
        <f>+[3]Sheet1!J144</f>
        <v>1039831.375446639</v>
      </c>
      <c r="N144">
        <f>+[3]Sheet1!K144</f>
        <v>4302802.5828391109</v>
      </c>
      <c r="O144">
        <f>+[3]Sheet1!L144</f>
        <v>2617913.6037857789</v>
      </c>
      <c r="P144">
        <f>+[3]Sheet1!M144</f>
        <v>0.65754332139129268</v>
      </c>
      <c r="Q144">
        <f>+[3]Sheet1!N144</f>
        <v>2.5174865978628511</v>
      </c>
      <c r="R144">
        <f>+[3]Sheet1!O144</f>
        <v>1.5117537855659</v>
      </c>
      <c r="S144">
        <f>+[3]Sheet1!P144</f>
        <v>2195741.7758214418</v>
      </c>
      <c r="T144">
        <f>+[3]Sheet1!Q144</f>
        <v>2053831.2130144979</v>
      </c>
      <c r="U144">
        <f>+[3]Sheet1!R144</f>
        <v>1.116198025467336</v>
      </c>
      <c r="V144">
        <f>+[3]Sheet1!S144</f>
        <v>1.1433655857508149</v>
      </c>
      <c r="W144">
        <f>+[3]Sheet1!T144</f>
        <v>97552389.640533045</v>
      </c>
      <c r="X144">
        <f>+[3]Sheet1!U144</f>
        <v>47.782790597538273</v>
      </c>
      <c r="Y144">
        <f>+[3]Sheet1!V144</f>
        <v>44435411.822680756</v>
      </c>
      <c r="Z144">
        <f>+[3]Sheet1!W144</f>
        <v>26.11709495750496</v>
      </c>
      <c r="AA144">
        <f>+[3]Sheet1!X144</f>
        <v>79946500.748776242</v>
      </c>
      <c r="AB144">
        <f>+[3]Sheet1!Y144</f>
        <v>47.8515462159816</v>
      </c>
      <c r="AC144">
        <f>+[3]Sheet1!Z144</f>
        <v>0.3431619516584245</v>
      </c>
      <c r="AD144">
        <f>+[3]Sheet1!AA144</f>
        <v>60699.209163191263</v>
      </c>
      <c r="AE144">
        <f>+[3]Sheet1!AB144</f>
        <v>157662.67048530409</v>
      </c>
      <c r="AF144">
        <f>+[3]Sheet1!AC144</f>
        <v>157.7780254418293</v>
      </c>
      <c r="AG144">
        <f>+[3]Sheet1!AD144</f>
        <v>105.3659099974095</v>
      </c>
      <c r="AH144" s="16">
        <f>+[3]Sheet1!AE144</f>
        <v>147.01455276479919</v>
      </c>
      <c r="AI144" s="16">
        <f>+[3]Sheet1!AF144</f>
        <v>344.97493833858709</v>
      </c>
      <c r="AJ144" s="16">
        <f>+[3]Sheet1!AG144</f>
        <v>177.96315219105509</v>
      </c>
      <c r="AK144" s="16">
        <f>+[3]Sheet1!AH144</f>
        <v>81.255701164609434</v>
      </c>
      <c r="AL144" s="16">
        <f>+[3]Sheet1!AI144</f>
        <v>86.267093920999784</v>
      </c>
      <c r="AM144" s="16">
        <f>+[3]Sheet1!AJ144</f>
        <v>142.48243599494609</v>
      </c>
      <c r="AN144" s="16">
        <f>+[3]Sheet1!AK144</f>
        <v>105.0627897421999</v>
      </c>
      <c r="AO144" s="16">
        <f>+[3]Sheet1!AL144</f>
        <v>166.73629968228491</v>
      </c>
      <c r="AP144" s="16">
        <f>+[3]Sheet1!AM144</f>
        <v>191.90852116424881</v>
      </c>
      <c r="AQ144" s="16">
        <f>+[3]Sheet1!AN144</f>
        <v>156.10517618744311</v>
      </c>
      <c r="AR144" s="16">
        <f>+[3]Sheet1!AO144</f>
        <v>123.74915026673879</v>
      </c>
      <c r="AS144" s="16">
        <f>+[3]Sheet1!AP144</f>
        <v>160.66924934172849</v>
      </c>
      <c r="AT144" s="16">
        <f>+[3]Sheet1!AQ144</f>
        <v>42.281690316206713</v>
      </c>
      <c r="AU144" s="16">
        <f>+[3]Sheet1!AR144</f>
        <v>125.71420360206319</v>
      </c>
      <c r="AV144" s="16">
        <f>+[3]Sheet1!AS144</f>
        <v>93.525000422888084</v>
      </c>
      <c r="AW144" s="16">
        <f>+[3]Sheet1!AT144</f>
        <v>3549927.4403322488</v>
      </c>
      <c r="AX144" s="16">
        <f>+base_mensual!AY144</f>
        <v>755</v>
      </c>
      <c r="AY144">
        <f>+base_mensual!AZ144</f>
        <v>2.66</v>
      </c>
      <c r="AZ144">
        <f>+[3]Sheet1!AX144</f>
        <v>149.12436306677901</v>
      </c>
    </row>
    <row r="145" spans="1:52" x14ac:dyDescent="0.25">
      <c r="A145" s="2">
        <f>+base_mensual!A145</f>
        <v>45657</v>
      </c>
      <c r="B145" s="1">
        <f>+base_mensual!B145</f>
        <v>3.7534007680953607E-2</v>
      </c>
      <c r="C145">
        <f>+base_mensual!AE145</f>
        <v>149.68294230252181</v>
      </c>
      <c r="D145">
        <f>+base_mensual!H145</f>
        <v>145.225412790614</v>
      </c>
      <c r="E145">
        <f>+[3]Sheet1!B145</f>
        <v>45364.457760800673</v>
      </c>
      <c r="F145">
        <f>+[3]Sheet1!C145</f>
        <v>27224.10560571681</v>
      </c>
      <c r="G145">
        <f>+[3]Sheet1!D145</f>
        <v>46179.951094895332</v>
      </c>
      <c r="H145">
        <f>+[3]Sheet1!E145</f>
        <v>14996.190761662871</v>
      </c>
      <c r="I145">
        <f>+[3]Sheet1!F145</f>
        <v>862451.49513899069</v>
      </c>
      <c r="J145">
        <f>+[3]Sheet1!G145</f>
        <v>234.06390095389219</v>
      </c>
      <c r="K145">
        <f>+[3]Sheet1!H145</f>
        <v>324.17052900233102</v>
      </c>
      <c r="L145">
        <f>+[3]Sheet1!I145</f>
        <v>120.6673448814615</v>
      </c>
      <c r="M145">
        <f>+[3]Sheet1!J145</f>
        <v>989842.45960629429</v>
      </c>
      <c r="N145">
        <f>+[3]Sheet1!K145</f>
        <v>4438298.4461395824</v>
      </c>
      <c r="O145">
        <f>+[3]Sheet1!L145</f>
        <v>2577487.6353975818</v>
      </c>
      <c r="P145">
        <f>+[3]Sheet1!M145</f>
        <v>0.5175498186120121</v>
      </c>
      <c r="Q145">
        <f>+[3]Sheet1!N145</f>
        <v>2.5392665149858451</v>
      </c>
      <c r="R145">
        <f>+[3]Sheet1!O145</f>
        <v>1.487474753090799</v>
      </c>
      <c r="S145">
        <f>+[3]Sheet1!P145</f>
        <v>2522276.532208154</v>
      </c>
      <c r="T145">
        <f>+[3]Sheet1!Q145</f>
        <v>2412511.992184652</v>
      </c>
      <c r="U145">
        <f>+[3]Sheet1!R145</f>
        <v>1.3580507193522</v>
      </c>
      <c r="V145">
        <f>+[3]Sheet1!S145</f>
        <v>1.184377276751557</v>
      </c>
      <c r="W145">
        <f>+[3]Sheet1!T145</f>
        <v>109584424.11998279</v>
      </c>
      <c r="X145">
        <f>+[3]Sheet1!U145</f>
        <v>57.799122445433547</v>
      </c>
      <c r="Y145">
        <f>+[3]Sheet1!V145</f>
        <v>46522174.529301763</v>
      </c>
      <c r="Z145">
        <f>+[3]Sheet1!W145</f>
        <v>25.762657384231559</v>
      </c>
      <c r="AA145">
        <f>+[3]Sheet1!X145</f>
        <v>85429952.958621606</v>
      </c>
      <c r="AB145">
        <f>+[3]Sheet1!Y145</f>
        <v>48.400016828090209</v>
      </c>
      <c r="AC145">
        <f>+[3]Sheet1!Z145</f>
        <v>0.45349097241441833</v>
      </c>
      <c r="AD145">
        <f>+[3]Sheet1!AA145</f>
        <v>62946.910409918208</v>
      </c>
      <c r="AE145">
        <f>+[3]Sheet1!AB145</f>
        <v>169599.09991130911</v>
      </c>
      <c r="AF145">
        <f>+[3]Sheet1!AC145</f>
        <v>159.64514251392191</v>
      </c>
      <c r="AG145">
        <f>+[3]Sheet1!AD145</f>
        <v>113.57981075795389</v>
      </c>
      <c r="AH145" s="16">
        <f>+[3]Sheet1!AE145</f>
        <v>146.66982087451379</v>
      </c>
      <c r="AI145" s="16">
        <f>+[3]Sheet1!AF145</f>
        <v>340.66913597958381</v>
      </c>
      <c r="AJ145" s="16">
        <f>+[3]Sheet1!AG145</f>
        <v>179.95096758915361</v>
      </c>
      <c r="AK145" s="16">
        <f>+[3]Sheet1!AH145</f>
        <v>84.951074240236579</v>
      </c>
      <c r="AL145" s="16">
        <f>+[3]Sheet1!AI145</f>
        <v>86.354759576483019</v>
      </c>
      <c r="AM145" s="16">
        <f>+[3]Sheet1!AJ145</f>
        <v>142.11807334489851</v>
      </c>
      <c r="AN145" s="16">
        <f>+[3]Sheet1!AK145</f>
        <v>105.4098403228078</v>
      </c>
      <c r="AO145" s="16">
        <f>+[3]Sheet1!AL145</f>
        <v>162.27335449051191</v>
      </c>
      <c r="AP145" s="16">
        <f>+[3]Sheet1!AM145</f>
        <v>184.9074792300006</v>
      </c>
      <c r="AQ145" s="16">
        <f>+[3]Sheet1!AN145</f>
        <v>156.97103996098721</v>
      </c>
      <c r="AR145" s="16">
        <f>+[3]Sheet1!AO145</f>
        <v>130.3238485864687</v>
      </c>
      <c r="AS145" s="16">
        <f>+[3]Sheet1!AP145</f>
        <v>168.20012789271061</v>
      </c>
      <c r="AT145" s="16">
        <f>+[3]Sheet1!AQ145</f>
        <v>45.209582590846267</v>
      </c>
      <c r="AU145" s="16">
        <f>+[3]Sheet1!AR145</f>
        <v>127.9061195277867</v>
      </c>
      <c r="AV145" s="16">
        <f>+[3]Sheet1!AS145</f>
        <v>93.017674315028088</v>
      </c>
      <c r="AW145" s="16">
        <f>+[3]Sheet1!AT145</f>
        <v>3554555.4890760938</v>
      </c>
      <c r="AX145" s="16">
        <f>+base_mensual!AY145</f>
        <v>626</v>
      </c>
      <c r="AY145">
        <f>+base_mensual!AZ145</f>
        <v>2.66</v>
      </c>
      <c r="AZ145">
        <f>+[3]Sheet1!AX145</f>
        <v>150.11411143331691</v>
      </c>
    </row>
    <row r="146" spans="1:52" x14ac:dyDescent="0.25">
      <c r="A146" s="2">
        <f>+base_mensual!A146</f>
        <v>45688</v>
      </c>
      <c r="B146" s="1">
        <f>+base_mensual!B146</f>
        <v>8.5972973421308829E-3</v>
      </c>
      <c r="C146">
        <f>+base_mensual!AE146</f>
        <v>150.39720811780688</v>
      </c>
      <c r="D146">
        <f>+base_mensual!H146</f>
        <v>143.77339143412399</v>
      </c>
      <c r="E146">
        <f>+[3]Sheet1!B146</f>
        <v>46759.607557742929</v>
      </c>
      <c r="F146">
        <f>+[3]Sheet1!C146</f>
        <v>23609.21645796506</v>
      </c>
      <c r="G146">
        <f>+[3]Sheet1!D146</f>
        <v>49324.421239339368</v>
      </c>
      <c r="H146">
        <f>+[3]Sheet1!E146</f>
        <v>15903.52805215111</v>
      </c>
      <c r="I146">
        <f>+[3]Sheet1!F146</f>
        <v>898525.81071716105</v>
      </c>
      <c r="J146">
        <f>+[3]Sheet1!G146</f>
        <v>203.46012938557931</v>
      </c>
      <c r="K146">
        <f>+[3]Sheet1!H146</f>
        <v>306.41048892589112</v>
      </c>
      <c r="L146">
        <f>+[3]Sheet1!I146</f>
        <v>121.57562126786991</v>
      </c>
      <c r="M146">
        <f>+[3]Sheet1!J146</f>
        <v>1007142.9517400221</v>
      </c>
      <c r="N146">
        <f>+[3]Sheet1!K146</f>
        <v>5333297.8750869278</v>
      </c>
      <c r="O146">
        <f>+[3]Sheet1!L146</f>
        <v>2570707.2486642962</v>
      </c>
      <c r="P146">
        <f>+[3]Sheet1!M146</f>
        <v>0.61704845714801482</v>
      </c>
      <c r="Q146">
        <f>+[3]Sheet1!N146</f>
        <v>2.561797375635483</v>
      </c>
      <c r="R146">
        <f>+[3]Sheet1!O146</f>
        <v>1.51437249859805</v>
      </c>
      <c r="S146">
        <f>+[3]Sheet1!P146</f>
        <v>2568835.2220015828</v>
      </c>
      <c r="T146">
        <f>+[3]Sheet1!Q146</f>
        <v>2665603.0768359159</v>
      </c>
      <c r="U146">
        <f>+[3]Sheet1!R146</f>
        <v>1.1554677955633901</v>
      </c>
      <c r="V146">
        <f>+[3]Sheet1!S146</f>
        <v>1.236171268245877</v>
      </c>
      <c r="W146">
        <f>+[3]Sheet1!T146</f>
        <v>112132531.0075824</v>
      </c>
      <c r="X146">
        <f>+[3]Sheet1!U146</f>
        <v>49.242252998160168</v>
      </c>
      <c r="Y146">
        <f>+[3]Sheet1!V146</f>
        <v>46764622.514304429</v>
      </c>
      <c r="Z146">
        <f>+[3]Sheet1!W146</f>
        <v>25.80566509083765</v>
      </c>
      <c r="AA146">
        <f>+[3]Sheet1!X146</f>
        <v>89237378.832609937</v>
      </c>
      <c r="AB146">
        <f>+[3]Sheet1!Y146</f>
        <v>49.075419083519151</v>
      </c>
      <c r="AC146">
        <f>+[3]Sheet1!Z146</f>
        <v>0.43415931711416178</v>
      </c>
      <c r="AD146">
        <f>+[3]Sheet1!AA146</f>
        <v>62184.557295663602</v>
      </c>
      <c r="AE146">
        <f>+[3]Sheet1!AB146</f>
        <v>159389.8464701226</v>
      </c>
      <c r="AF146">
        <f>+[3]Sheet1!AC146</f>
        <v>160.00011105312839</v>
      </c>
      <c r="AG146">
        <f>+[3]Sheet1!AD146</f>
        <v>112.7028905134558</v>
      </c>
      <c r="AH146" s="16">
        <f>+[3]Sheet1!AE146</f>
        <v>147.02489627437609</v>
      </c>
      <c r="AI146" s="16">
        <f>+[3]Sheet1!AF146</f>
        <v>350.7993941397923</v>
      </c>
      <c r="AJ146" s="16">
        <f>+[3]Sheet1!AG146</f>
        <v>180.7533606948422</v>
      </c>
      <c r="AK146" s="16">
        <f>+[3]Sheet1!AH146</f>
        <v>84.230110723537791</v>
      </c>
      <c r="AL146" s="16">
        <f>+[3]Sheet1!AI146</f>
        <v>87.018261109135096</v>
      </c>
      <c r="AM146" s="16">
        <f>+[3]Sheet1!AJ146</f>
        <v>140.62317443234841</v>
      </c>
      <c r="AN146" s="16">
        <f>+[3]Sheet1!AK146</f>
        <v>107.92838923879521</v>
      </c>
      <c r="AO146" s="16">
        <f>+[3]Sheet1!AL146</f>
        <v>164.79046840479199</v>
      </c>
      <c r="AP146" s="16">
        <f>+[3]Sheet1!AM146</f>
        <v>187.17217700105749</v>
      </c>
      <c r="AQ146" s="16">
        <f>+[3]Sheet1!AN146</f>
        <v>150.79581429943991</v>
      </c>
      <c r="AR146" s="16">
        <f>+[3]Sheet1!AO146</f>
        <v>125.3095808226881</v>
      </c>
      <c r="AS146" s="16">
        <f>+[3]Sheet1!AP146</f>
        <v>170.06591175908301</v>
      </c>
      <c r="AT146" s="16">
        <f>+[3]Sheet1!AQ146</f>
        <v>44.441326802242997</v>
      </c>
      <c r="AU146" s="16">
        <f>+[3]Sheet1!AR146</f>
        <v>126.6336476797707</v>
      </c>
      <c r="AV146" s="16">
        <f>+[3]Sheet1!AS146</f>
        <v>93.672347564708886</v>
      </c>
      <c r="AW146" s="16">
        <f>+[3]Sheet1!AT146</f>
        <v>3674053.530853231</v>
      </c>
      <c r="AX146" s="16">
        <f>+base_mensual!AY146</f>
        <v>625</v>
      </c>
      <c r="AY146">
        <f>+base_mensual!AZ146</f>
        <v>2.61</v>
      </c>
      <c r="AZ146">
        <f>+[3]Sheet1!AX146</f>
        <v>151.73798264792259</v>
      </c>
    </row>
    <row r="147" spans="1:52" x14ac:dyDescent="0.25">
      <c r="A147" s="2">
        <f>+base_mensual!A147</f>
        <v>45716</v>
      </c>
      <c r="B147" s="1">
        <f>+base_mensual!B147</f>
        <v>8.5972973421308829E-3</v>
      </c>
      <c r="C147">
        <f>+base_mensual!AE147</f>
        <v>150.75108568940334</v>
      </c>
      <c r="D147">
        <f>+base_mensual!H147</f>
        <v>146.59972837590601</v>
      </c>
      <c r="E147">
        <f>+[3]Sheet1!B147</f>
        <v>46046.392768023667</v>
      </c>
      <c r="F147">
        <f>+[3]Sheet1!C147</f>
        <v>22139.66405459998</v>
      </c>
      <c r="G147">
        <f>+[3]Sheet1!D147</f>
        <v>47855.92849644438</v>
      </c>
      <c r="H147">
        <f>+[3]Sheet1!E147</f>
        <v>15127.580850954861</v>
      </c>
      <c r="I147">
        <f>+[3]Sheet1!F147</f>
        <v>874671.33145500429</v>
      </c>
      <c r="J147">
        <f>+[3]Sheet1!G147</f>
        <v>226.03413172840939</v>
      </c>
      <c r="K147">
        <f>+[3]Sheet1!H147</f>
        <v>346.03795414744161</v>
      </c>
      <c r="L147">
        <f>+[3]Sheet1!I147</f>
        <v>135.70562674211939</v>
      </c>
      <c r="M147">
        <f>+[3]Sheet1!J147</f>
        <v>958833.88872853038</v>
      </c>
      <c r="N147">
        <f>+[3]Sheet1!K147</f>
        <v>4776813.5295231026</v>
      </c>
      <c r="O147">
        <f>+[3]Sheet1!L147</f>
        <v>2632146.2088061799</v>
      </c>
      <c r="P147">
        <f>+[3]Sheet1!M147</f>
        <v>0.63992835906497236</v>
      </c>
      <c r="Q147">
        <f>+[3]Sheet1!N147</f>
        <v>2.6170380658354389</v>
      </c>
      <c r="R147">
        <f>+[3]Sheet1!O147</f>
        <v>1.548421915256011</v>
      </c>
      <c r="S147">
        <f>+[3]Sheet1!P147</f>
        <v>2196546.2930366881</v>
      </c>
      <c r="T147">
        <f>+[3]Sheet1!Q147</f>
        <v>2376076.700654346</v>
      </c>
      <c r="U147">
        <f>+[3]Sheet1!R147</f>
        <v>1.165626567057106</v>
      </c>
      <c r="V147">
        <f>+[3]Sheet1!S147</f>
        <v>1.2249103396990471</v>
      </c>
      <c r="W147">
        <f>+[3]Sheet1!T147</f>
        <v>93899558.233068481</v>
      </c>
      <c r="X147">
        <f>+[3]Sheet1!U147</f>
        <v>49.949398897051402</v>
      </c>
      <c r="Y147">
        <f>+[3]Sheet1!V147</f>
        <v>46372748.678573787</v>
      </c>
      <c r="Z147">
        <f>+[3]Sheet1!W147</f>
        <v>25.961031127361441</v>
      </c>
      <c r="AA147">
        <f>+[3]Sheet1!X147</f>
        <v>87171689.189236253</v>
      </c>
      <c r="AB147">
        <f>+[3]Sheet1!Y147</f>
        <v>48.554484475472186</v>
      </c>
      <c r="AC147">
        <f>+[3]Sheet1!Z147</f>
        <v>0.4149336155886641</v>
      </c>
      <c r="AD147">
        <f>+[3]Sheet1!AA147</f>
        <v>62693.549978888303</v>
      </c>
      <c r="AE147">
        <f>+[3]Sheet1!AB147</f>
        <v>164852.48316479701</v>
      </c>
      <c r="AF147">
        <f>+[3]Sheet1!AC147</f>
        <v>162.50789290289569</v>
      </c>
      <c r="AG147">
        <f>+[3]Sheet1!AD147</f>
        <v>107.19084789339659</v>
      </c>
      <c r="AH147" s="16">
        <f>+[3]Sheet1!AE147</f>
        <v>146.53245419937369</v>
      </c>
      <c r="AI147" s="16">
        <f>+[3]Sheet1!AF147</f>
        <v>356.88103730051739</v>
      </c>
      <c r="AJ147" s="16">
        <f>+[3]Sheet1!AG147</f>
        <v>182.50912112145321</v>
      </c>
      <c r="AK147" s="16">
        <f>+[3]Sheet1!AH147</f>
        <v>86.961549210573068</v>
      </c>
      <c r="AL147" s="16">
        <f>+[3]Sheet1!AI147</f>
        <v>86.503377119265167</v>
      </c>
      <c r="AM147" s="16">
        <f>+[3]Sheet1!AJ147</f>
        <v>138.8731055745408</v>
      </c>
      <c r="AN147" s="16">
        <f>+[3]Sheet1!AK147</f>
        <v>103.1368021682202</v>
      </c>
      <c r="AO147" s="16">
        <f>+[3]Sheet1!AL147</f>
        <v>157.5604796555748</v>
      </c>
      <c r="AP147" s="16">
        <f>+[3]Sheet1!AM147</f>
        <v>186.02083358533491</v>
      </c>
      <c r="AQ147" s="16">
        <f>+[3]Sheet1!AN147</f>
        <v>162.09675709142749</v>
      </c>
      <c r="AR147" s="16">
        <f>+[3]Sheet1!AO147</f>
        <v>125.26366137262259</v>
      </c>
      <c r="AS147" s="16">
        <f>+[3]Sheet1!AP147</f>
        <v>167.66037551982589</v>
      </c>
      <c r="AT147" s="16">
        <f>+[3]Sheet1!AQ147</f>
        <v>45.672146841384077</v>
      </c>
      <c r="AU147" s="16">
        <f>+[3]Sheet1!AR147</f>
        <v>126.93699554632769</v>
      </c>
      <c r="AV147" s="16">
        <f>+[3]Sheet1!AS147</f>
        <v>93.844291789798177</v>
      </c>
      <c r="AW147" s="16">
        <f>+[3]Sheet1!AT147</f>
        <v>3602116.2397115189</v>
      </c>
      <c r="AX147" s="16">
        <f>+base_mensual!AY147</f>
        <v>784</v>
      </c>
      <c r="AY147">
        <f>+base_mensual!AZ147</f>
        <v>2.56</v>
      </c>
      <c r="AZ147">
        <f>+[3]Sheet1!AX147</f>
        <v>152.50050779930541</v>
      </c>
    </row>
    <row r="148" spans="1:52" x14ac:dyDescent="0.25">
      <c r="A148" s="2">
        <f>+base_mensual!A148</f>
        <v>45747</v>
      </c>
      <c r="B148" s="1">
        <f>+base_mensual!B148</f>
        <v>8.5972973421308829E-3</v>
      </c>
      <c r="C148">
        <f>+base_mensual!AE148</f>
        <v>149.152613545881</v>
      </c>
      <c r="D148">
        <f>+base_mensual!H148</f>
        <v>141.198026080105</v>
      </c>
      <c r="E148">
        <f>+[3]Sheet1!B148</f>
        <v>45329.914982577648</v>
      </c>
      <c r="F148">
        <f>+[3]Sheet1!C148</f>
        <v>23754.410856145671</v>
      </c>
      <c r="G148">
        <f>+[3]Sheet1!D148</f>
        <v>49752.065325525073</v>
      </c>
      <c r="H148">
        <f>+[3]Sheet1!E148</f>
        <v>15306.96614253945</v>
      </c>
      <c r="I148">
        <f>+[3]Sheet1!F148</f>
        <v>823005.35308557376</v>
      </c>
      <c r="J148">
        <f>+[3]Sheet1!G148</f>
        <v>213.60274202063329</v>
      </c>
      <c r="K148">
        <f>+[3]Sheet1!H148</f>
        <v>333.71388599758961</v>
      </c>
      <c r="L148">
        <f>+[3]Sheet1!I148</f>
        <v>122.09049600985909</v>
      </c>
      <c r="M148">
        <f>+[3]Sheet1!J148</f>
        <v>1086749.0306004011</v>
      </c>
      <c r="N148">
        <f>+[3]Sheet1!K148</f>
        <v>4364007.8106649742</v>
      </c>
      <c r="O148">
        <f>+[3]Sheet1!L148</f>
        <v>2255557.915779423</v>
      </c>
      <c r="P148">
        <f>+[3]Sheet1!M148</f>
        <v>0.63783020281556668</v>
      </c>
      <c r="Q148">
        <f>+[3]Sheet1!N148</f>
        <v>2.5862685194538679</v>
      </c>
      <c r="R148">
        <f>+[3]Sheet1!O148</f>
        <v>1.549158882106765</v>
      </c>
      <c r="S148">
        <f>+[3]Sheet1!P148</f>
        <v>2339881.9149098708</v>
      </c>
      <c r="T148">
        <f>+[3]Sheet1!Q148</f>
        <v>2325177.6166802612</v>
      </c>
      <c r="U148">
        <f>+[3]Sheet1!R148</f>
        <v>1.228658782160454</v>
      </c>
      <c r="V148">
        <f>+[3]Sheet1!S148</f>
        <v>1.258094029538612</v>
      </c>
      <c r="W148">
        <f>+[3]Sheet1!T148</f>
        <v>98583273.86636889</v>
      </c>
      <c r="X148">
        <f>+[3]Sheet1!U148</f>
        <v>52.619216955579489</v>
      </c>
      <c r="Y148">
        <f>+[3]Sheet1!V148</f>
        <v>49502137.342531294</v>
      </c>
      <c r="Z148">
        <f>+[3]Sheet1!W148</f>
        <v>26.51170277900389</v>
      </c>
      <c r="AA148">
        <f>+[3]Sheet1!X148</f>
        <v>91243463.733935982</v>
      </c>
      <c r="AB148">
        <f>+[3]Sheet1!Y148</f>
        <v>49.166558749448939</v>
      </c>
      <c r="AC148">
        <f>+[3]Sheet1!Z148</f>
        <v>0.39784720746891039</v>
      </c>
      <c r="AD148">
        <f>+[3]Sheet1!AA148</f>
        <v>61560.447165766418</v>
      </c>
      <c r="AE148">
        <f>+[3]Sheet1!AB148</f>
        <v>155907.2213133045</v>
      </c>
      <c r="AF148">
        <f>+[3]Sheet1!AC148</f>
        <v>160.9027617657066</v>
      </c>
      <c r="AG148">
        <f>+[3]Sheet1!AD148</f>
        <v>105.5244077486246</v>
      </c>
      <c r="AH148" s="16">
        <f>+[3]Sheet1!AE148</f>
        <v>145.8991998076971</v>
      </c>
      <c r="AI148" s="16">
        <f>+[3]Sheet1!AF148</f>
        <v>351.33534658339062</v>
      </c>
      <c r="AJ148" s="16">
        <f>+[3]Sheet1!AG148</f>
        <v>181.8433991783161</v>
      </c>
      <c r="AK148" s="16">
        <f>+[3]Sheet1!AH148</f>
        <v>85.73321730210057</v>
      </c>
      <c r="AL148" s="16">
        <f>+[3]Sheet1!AI148</f>
        <v>86.765205396510979</v>
      </c>
      <c r="AM148" s="16">
        <f>+[3]Sheet1!AJ148</f>
        <v>154.76220615599991</v>
      </c>
      <c r="AN148" s="16">
        <f>+[3]Sheet1!AK148</f>
        <v>104.34555763268339</v>
      </c>
      <c r="AO148" s="16">
        <f>+[3]Sheet1!AL148</f>
        <v>151.89657908280211</v>
      </c>
      <c r="AP148" s="16">
        <f>+[3]Sheet1!AM148</f>
        <v>185.08997612331231</v>
      </c>
      <c r="AQ148" s="16">
        <f>+[3]Sheet1!AN148</f>
        <v>159.4204256357672</v>
      </c>
      <c r="AR148" s="16">
        <f>+[3]Sheet1!AO148</f>
        <v>124.0811639844639</v>
      </c>
      <c r="AS148" s="16">
        <f>+[3]Sheet1!AP148</f>
        <v>164.34419833937559</v>
      </c>
      <c r="AT148" s="16">
        <f>+[3]Sheet1!AQ148</f>
        <v>46.372524760670331</v>
      </c>
      <c r="AU148" s="16">
        <f>+[3]Sheet1!AR148</f>
        <v>126.94452852555609</v>
      </c>
      <c r="AV148" s="16">
        <f>+[3]Sheet1!AS148</f>
        <v>93.720660440617976</v>
      </c>
      <c r="AW148" s="16">
        <f>+[3]Sheet1!AT148</f>
        <v>3638001.6699249968</v>
      </c>
      <c r="AX148" s="16">
        <f>+base_mensual!AY148</f>
        <v>801</v>
      </c>
      <c r="AY148">
        <f>+base_mensual!AZ148</f>
        <v>2.42</v>
      </c>
      <c r="AZ148">
        <f>+[3]Sheet1!AX148</f>
        <v>150.80913695414</v>
      </c>
    </row>
    <row r="149" spans="1:52" x14ac:dyDescent="0.25">
      <c r="A149" s="2">
        <f>+base_mensual!A149</f>
        <v>45777</v>
      </c>
      <c r="B149" s="1">
        <f>+base_mensual!B149</f>
        <v>-6.1022349444650459E-4</v>
      </c>
      <c r="C149">
        <f>+base_mensual!AE149</f>
        <v>147.59770777917677</v>
      </c>
      <c r="D149">
        <f>+base_mensual!H149</f>
        <v>148.341695396674</v>
      </c>
      <c r="E149">
        <f>+[3]Sheet1!B149</f>
        <v>44420.716522046801</v>
      </c>
      <c r="F149">
        <f>+[3]Sheet1!C149</f>
        <v>23764.54778381285</v>
      </c>
      <c r="G149">
        <f>+[3]Sheet1!D149</f>
        <v>50446.139999651037</v>
      </c>
      <c r="H149">
        <f>+[3]Sheet1!E149</f>
        <v>15244.164127779341</v>
      </c>
      <c r="I149">
        <f>+[3]Sheet1!F149</f>
        <v>835131.27832948731</v>
      </c>
      <c r="J149">
        <f>+[3]Sheet1!G149</f>
        <v>215.04041556492999</v>
      </c>
      <c r="K149">
        <f>+[3]Sheet1!H149</f>
        <v>338.03105884715973</v>
      </c>
      <c r="L149">
        <f>+[3]Sheet1!I149</f>
        <v>129.75432322014609</v>
      </c>
      <c r="M149">
        <f>+[3]Sheet1!J149</f>
        <v>1174772.431275412</v>
      </c>
      <c r="N149">
        <f>+[3]Sheet1!K149</f>
        <v>4675028.2011055956</v>
      </c>
      <c r="O149">
        <f>+[3]Sheet1!L149</f>
        <v>2477726.0782529432</v>
      </c>
      <c r="P149">
        <f>+[3]Sheet1!M149</f>
        <v>0.67769057623464335</v>
      </c>
      <c r="Q149">
        <f>+[3]Sheet1!N149</f>
        <v>2.542036164376738</v>
      </c>
      <c r="R149">
        <f>+[3]Sheet1!O149</f>
        <v>1.564401540297643</v>
      </c>
      <c r="S149">
        <f>+[3]Sheet1!P149</f>
        <v>2097984.2890516128</v>
      </c>
      <c r="T149">
        <f>+[3]Sheet1!Q149</f>
        <v>2194061.6015442521</v>
      </c>
      <c r="U149">
        <f>+[3]Sheet1!R149</f>
        <v>1.1765060960078919</v>
      </c>
      <c r="V149">
        <f>+[3]Sheet1!S149</f>
        <v>1.221256513250236</v>
      </c>
      <c r="W149">
        <f>+[3]Sheet1!T149</f>
        <v>87682190.214488491</v>
      </c>
      <c r="X149">
        <f>+[3]Sheet1!U149</f>
        <v>50.470497738049133</v>
      </c>
      <c r="Y149">
        <f>+[3]Sheet1!V149</f>
        <v>51516379.137425169</v>
      </c>
      <c r="Z149">
        <f>+[3]Sheet1!W149</f>
        <v>27.256181044875142</v>
      </c>
      <c r="AA149">
        <f>+[3]Sheet1!X149</f>
        <v>94863247.22305423</v>
      </c>
      <c r="AB149">
        <f>+[3]Sheet1!Y149</f>
        <v>49.214575617469713</v>
      </c>
      <c r="AC149">
        <f>+[3]Sheet1!Z149</f>
        <v>0.37420864160615358</v>
      </c>
      <c r="AD149">
        <f>+[3]Sheet1!AA149</f>
        <v>63218.471713385967</v>
      </c>
      <c r="AE149">
        <f>+[3]Sheet1!AB149</f>
        <v>161343.59788403061</v>
      </c>
      <c r="AF149">
        <f>+[3]Sheet1!AC149</f>
        <v>160.08196983006729</v>
      </c>
      <c r="AG149">
        <f>+[3]Sheet1!AD149</f>
        <v>104.6714920437889</v>
      </c>
      <c r="AH149" s="16">
        <f>+[3]Sheet1!AE149</f>
        <v>143.02201967542089</v>
      </c>
      <c r="AI149" s="16">
        <f>+[3]Sheet1!AF149</f>
        <v>339.62335154237422</v>
      </c>
      <c r="AJ149" s="16">
        <f>+[3]Sheet1!AG149</f>
        <v>181.8914938535805</v>
      </c>
      <c r="AK149" s="16">
        <f>+[3]Sheet1!AH149</f>
        <v>81.593785856528228</v>
      </c>
      <c r="AL149" s="16">
        <f>+[3]Sheet1!AI149</f>
        <v>86.841237943432063</v>
      </c>
      <c r="AM149" s="16">
        <f>+[3]Sheet1!AJ149</f>
        <v>138.08887736342669</v>
      </c>
      <c r="AN149" s="16">
        <f>+[3]Sheet1!AK149</f>
        <v>106.460793435439</v>
      </c>
      <c r="AO149" s="16">
        <f>+[3]Sheet1!AL149</f>
        <v>148.98645331139389</v>
      </c>
      <c r="AP149" s="16">
        <f>+[3]Sheet1!AM149</f>
        <v>184.4398645116992</v>
      </c>
      <c r="AQ149" s="16">
        <f>+[3]Sheet1!AN149</f>
        <v>159.87331232029649</v>
      </c>
      <c r="AR149" s="16">
        <f>+[3]Sheet1!AO149</f>
        <v>120.6805835335899</v>
      </c>
      <c r="AS149" s="16">
        <f>+[3]Sheet1!AP149</f>
        <v>161.34556484858541</v>
      </c>
      <c r="AT149" s="16">
        <f>+[3]Sheet1!AQ149</f>
        <v>46.573110270217583</v>
      </c>
      <c r="AU149" s="16">
        <f>+[3]Sheet1!AR149</f>
        <v>127.5369436679228</v>
      </c>
      <c r="AV149" s="16">
        <f>+[3]Sheet1!AS149</f>
        <v>94.23973693279531</v>
      </c>
      <c r="AW149" s="16">
        <f>+[3]Sheet1!AT149</f>
        <v>3622109.8431227119</v>
      </c>
      <c r="AX149" s="16">
        <f>+base_mensual!AY149</f>
        <v>686</v>
      </c>
      <c r="AY149">
        <f>+base_mensual!AZ149</f>
        <v>2.33</v>
      </c>
      <c r="AZ149">
        <f>+[3]Sheet1!AX149</f>
        <v>151.71227246049369</v>
      </c>
    </row>
    <row r="150" spans="1:52" x14ac:dyDescent="0.25">
      <c r="A150" s="2">
        <f>+base_mensual!A150</f>
        <v>45807</v>
      </c>
      <c r="B150" s="1">
        <f>+base_mensual!B150</f>
        <v>-6.1022349444650459E-4</v>
      </c>
      <c r="C150">
        <f>+base_mensual!AE150</f>
        <v>147.85561786533893</v>
      </c>
      <c r="D150">
        <f>+base_mensual!H150</f>
        <v>145.51028661036599</v>
      </c>
      <c r="E150">
        <f>+[3]Sheet1!B150</f>
        <v>43301.131757675474</v>
      </c>
      <c r="F150">
        <f>+[3]Sheet1!C150</f>
        <v>24261.942348440221</v>
      </c>
      <c r="G150">
        <f>+[3]Sheet1!D150</f>
        <v>50852.509368338302</v>
      </c>
      <c r="H150">
        <f>+[3]Sheet1!E150</f>
        <v>15302.21952802968</v>
      </c>
      <c r="I150">
        <f>+[3]Sheet1!F150</f>
        <v>841225.67458788259</v>
      </c>
      <c r="J150">
        <f>+[3]Sheet1!G150</f>
        <v>206.9167457822829</v>
      </c>
      <c r="K150">
        <f>+[3]Sheet1!H150</f>
        <v>329.43815547499997</v>
      </c>
      <c r="L150">
        <f>+[3]Sheet1!I150</f>
        <v>127.6635516456338</v>
      </c>
      <c r="M150">
        <f>+[3]Sheet1!J150</f>
        <v>1168716.9754036849</v>
      </c>
      <c r="N150">
        <f>+[3]Sheet1!K150</f>
        <v>4370198.9979149615</v>
      </c>
      <c r="O150">
        <f>+[3]Sheet1!L150</f>
        <v>4696408.3502505012</v>
      </c>
      <c r="P150">
        <f>+[3]Sheet1!M150</f>
        <v>0.54213065458556131</v>
      </c>
      <c r="Q150">
        <f>+[3]Sheet1!N150</f>
        <v>2.5671204476792489</v>
      </c>
      <c r="R150">
        <f>+[3]Sheet1!O150</f>
        <v>1.621641300888842</v>
      </c>
      <c r="S150">
        <f>+[3]Sheet1!P150</f>
        <v>2255383.0453499029</v>
      </c>
      <c r="T150">
        <f>+[3]Sheet1!Q150</f>
        <v>2207956.6698685768</v>
      </c>
      <c r="U150">
        <f>+[3]Sheet1!R150</f>
        <v>1.173545039102347</v>
      </c>
      <c r="V150">
        <f>+[3]Sheet1!S150</f>
        <v>1.1776919015390921</v>
      </c>
      <c r="W150">
        <f>+[3]Sheet1!T150</f>
        <v>97454993.443211988</v>
      </c>
      <c r="X150">
        <f>+[3]Sheet1!U150</f>
        <v>50.244578693737168</v>
      </c>
      <c r="Y150">
        <f>+[3]Sheet1!V150</f>
        <v>53535372.576716296</v>
      </c>
      <c r="Z150">
        <f>+[3]Sheet1!W150</f>
        <v>27.610837341008182</v>
      </c>
      <c r="AA150">
        <f>+[3]Sheet1!X150</f>
        <v>96362912.215534389</v>
      </c>
      <c r="AB150">
        <f>+[3]Sheet1!Y150</f>
        <v>49.982043232784932</v>
      </c>
      <c r="AC150">
        <f>+[3]Sheet1!Z150</f>
        <v>0.33244225826262191</v>
      </c>
      <c r="AD150">
        <f>+[3]Sheet1!AA150</f>
        <v>61771.227518998618</v>
      </c>
      <c r="AE150">
        <f>+[3]Sheet1!AB150</f>
        <v>156900.78693023109</v>
      </c>
      <c r="AF150">
        <f>+[3]Sheet1!AC150</f>
        <v>160.05968501838791</v>
      </c>
      <c r="AG150">
        <f>+[3]Sheet1!AD150</f>
        <v>104.69738853774069</v>
      </c>
      <c r="AH150" s="16">
        <f>+[3]Sheet1!AE150</f>
        <v>145.23274061010071</v>
      </c>
      <c r="AI150" s="16">
        <f>+[3]Sheet1!AF150</f>
        <v>359.76831497532982</v>
      </c>
      <c r="AJ150" s="16">
        <f>+[3]Sheet1!AG150</f>
        <v>180.84508936893499</v>
      </c>
      <c r="AK150" s="16">
        <f>+[3]Sheet1!AH150</f>
        <v>84.212180756753455</v>
      </c>
      <c r="AL150" s="16">
        <f>+[3]Sheet1!AI150</f>
        <v>86.906500927657731</v>
      </c>
      <c r="AM150" s="16">
        <f>+[3]Sheet1!AJ150</f>
        <v>137.26345408301319</v>
      </c>
      <c r="AN150" s="16">
        <f>+[3]Sheet1!AK150</f>
        <v>105.2321772805189</v>
      </c>
      <c r="AO150" s="16">
        <f>+[3]Sheet1!AL150</f>
        <v>154.27625084000911</v>
      </c>
      <c r="AP150" s="16">
        <f>+[3]Sheet1!AM150</f>
        <v>180.78297013845119</v>
      </c>
      <c r="AQ150" s="16">
        <f>+[3]Sheet1!AN150</f>
        <v>160.78887432648841</v>
      </c>
      <c r="AR150" s="16">
        <f>+[3]Sheet1!AO150</f>
        <v>122.4172948019329</v>
      </c>
      <c r="AS150" s="16">
        <f>+[3]Sheet1!AP150</f>
        <v>157.23091475432309</v>
      </c>
      <c r="AT150" s="16">
        <f>+[3]Sheet1!AQ150</f>
        <v>46.960620556529783</v>
      </c>
      <c r="AU150" s="16">
        <f>+[3]Sheet1!AR150</f>
        <v>128.8635486926099</v>
      </c>
      <c r="AV150" s="16">
        <f>+[3]Sheet1!AS150</f>
        <v>94.491802167158923</v>
      </c>
      <c r="AW150" s="16">
        <f>+[3]Sheet1!AT150</f>
        <v>3509337.3963704831</v>
      </c>
      <c r="AX150" s="16">
        <f>+base_mensual!AY150</f>
        <v>678</v>
      </c>
      <c r="AY150">
        <f>+base_mensual!AZ150</f>
        <v>2.4500000000000002</v>
      </c>
      <c r="AZ150">
        <f>+[3]Sheet1!AX150</f>
        <v>153.33731786954411</v>
      </c>
    </row>
    <row r="151" spans="1:52" x14ac:dyDescent="0.25">
      <c r="A151" s="2">
        <f>+base_mensual!A151</f>
        <v>45838</v>
      </c>
      <c r="B151" s="1">
        <f>+base_mensual!B151</f>
        <v>-6.1022349444650459E-4</v>
      </c>
      <c r="C151">
        <f>+base_mensual!AE151</f>
        <v>145.87769346978843</v>
      </c>
      <c r="D151">
        <f>+base_mensual!H151</f>
        <v>147.328958093408</v>
      </c>
      <c r="E151">
        <f>+[3]Sheet1!B151</f>
        <v>42824.267709934953</v>
      </c>
      <c r="F151">
        <f>+[3]Sheet1!C151</f>
        <v>25068.842321222812</v>
      </c>
      <c r="G151">
        <f>+[3]Sheet1!D151</f>
        <v>50975.129034318677</v>
      </c>
      <c r="H151">
        <f>+[3]Sheet1!E151</f>
        <v>15428.284293304599</v>
      </c>
      <c r="I151">
        <f>+[3]Sheet1!F151</f>
        <v>812723.02631274192</v>
      </c>
      <c r="J151">
        <f>+[3]Sheet1!G151</f>
        <v>179.90835078974681</v>
      </c>
      <c r="K151">
        <f>+[3]Sheet1!H151</f>
        <v>330.97200533529332</v>
      </c>
      <c r="L151">
        <f>+[3]Sheet1!I151</f>
        <v>132.05656025685559</v>
      </c>
      <c r="M151">
        <f>+[3]Sheet1!J151</f>
        <v>1678407.389341369</v>
      </c>
      <c r="N151">
        <f>+[3]Sheet1!K151</f>
        <v>5085062.8805878144</v>
      </c>
      <c r="O151">
        <f>+[3]Sheet1!L151</f>
        <v>2852357.796726658</v>
      </c>
      <c r="P151">
        <f>+[3]Sheet1!M151</f>
        <v>0.63128448589701147</v>
      </c>
      <c r="Q151">
        <f>+[3]Sheet1!N151</f>
        <v>2.5919989474932388</v>
      </c>
      <c r="R151">
        <f>+[3]Sheet1!O151</f>
        <v>1.126054049657095</v>
      </c>
      <c r="S151">
        <f>+[3]Sheet1!P151</f>
        <v>2158420.6265954892</v>
      </c>
      <c r="T151">
        <f>+[3]Sheet1!Q151</f>
        <v>2088147.115759352</v>
      </c>
      <c r="U151">
        <f>+[3]Sheet1!R151</f>
        <v>1.2220703272769959</v>
      </c>
      <c r="V151">
        <f>+[3]Sheet1!S151</f>
        <v>1.1577352002407679</v>
      </c>
      <c r="W151">
        <f>+[3]Sheet1!T151</f>
        <v>85470254.145469546</v>
      </c>
      <c r="X151">
        <f>+[3]Sheet1!U151</f>
        <v>52.277995910372731</v>
      </c>
      <c r="Y151">
        <f>+[3]Sheet1!V151</f>
        <v>55553212.645293847</v>
      </c>
      <c r="Z151">
        <f>+[3]Sheet1!W151</f>
        <v>28.197340033908219</v>
      </c>
      <c r="AA151">
        <f>+[3]Sheet1!X151</f>
        <v>102619488.8166537</v>
      </c>
      <c r="AB151">
        <f>+[3]Sheet1!Y151</f>
        <v>50.787732816189639</v>
      </c>
      <c r="AC151">
        <f>+[3]Sheet1!Z151</f>
        <v>0.30757789842526251</v>
      </c>
      <c r="AD151">
        <f>+[3]Sheet1!AA151</f>
        <v>61015.589988712141</v>
      </c>
      <c r="AE151">
        <f>+[3]Sheet1!AB151</f>
        <v>161783.21266858609</v>
      </c>
      <c r="AF151">
        <f>+[3]Sheet1!AC151</f>
        <v>162.13391943728081</v>
      </c>
      <c r="AG151">
        <f>+[3]Sheet1!AD151</f>
        <v>104.3950308688929</v>
      </c>
      <c r="AH151" s="16">
        <f>+[3]Sheet1!AE151</f>
        <v>143.40247313127659</v>
      </c>
      <c r="AI151" s="16">
        <f>+[3]Sheet1!AF151</f>
        <v>351.66236587935191</v>
      </c>
      <c r="AJ151" s="16">
        <f>+[3]Sheet1!AG151</f>
        <v>183.48621335633271</v>
      </c>
      <c r="AK151" s="16">
        <f>+[3]Sheet1!AH151</f>
        <v>86.669982194857354</v>
      </c>
      <c r="AL151" s="16">
        <f>+[3]Sheet1!AI151</f>
        <v>86.992281162067599</v>
      </c>
      <c r="AM151" s="16">
        <f>+[3]Sheet1!AJ151</f>
        <v>136.31273720447771</v>
      </c>
      <c r="AN151" s="16">
        <f>+[3]Sheet1!AK151</f>
        <v>107.3723931007469</v>
      </c>
      <c r="AO151" s="16">
        <f>+[3]Sheet1!AL151</f>
        <v>142.81217152100481</v>
      </c>
      <c r="AP151" s="16">
        <f>+[3]Sheet1!AM151</f>
        <v>177.99504095095389</v>
      </c>
      <c r="AQ151" s="16">
        <f>+[3]Sheet1!AN151</f>
        <v>155.99477640803741</v>
      </c>
      <c r="AR151" s="16">
        <f>+[3]Sheet1!AO151</f>
        <v>123.33701512369311</v>
      </c>
      <c r="AS151" s="16">
        <f>+[3]Sheet1!AP151</f>
        <v>155.44348704369989</v>
      </c>
      <c r="AT151" s="16">
        <f>+[3]Sheet1!AQ151</f>
        <v>47.593384349896063</v>
      </c>
      <c r="AU151" s="16">
        <f>+[3]Sheet1!AR151</f>
        <v>129.14938138498931</v>
      </c>
      <c r="AV151" s="16">
        <f>+[3]Sheet1!AS151</f>
        <v>95.213074609094377</v>
      </c>
      <c r="AW151" s="16">
        <f>+[3]Sheet1!AT151</f>
        <v>3663439.7946930979</v>
      </c>
      <c r="AX151" s="16">
        <f>+base_mensual!AY151</f>
        <v>677</v>
      </c>
      <c r="AY151">
        <f>+base_mensual!AZ151</f>
        <v>2.34</v>
      </c>
      <c r="AZ151">
        <f>+[3]Sheet1!AX151</f>
        <v>154.57716996647039</v>
      </c>
    </row>
    <row r="152" spans="1:52" x14ac:dyDescent="0.25">
      <c r="A152" s="2">
        <f>+base_mensual!A152</f>
        <v>45869</v>
      </c>
      <c r="B152" s="1"/>
      <c r="C152">
        <f>+base_mensual!AE152</f>
        <v>143.87986181402491</v>
      </c>
      <c r="D152">
        <f>+base_mensual!H152</f>
        <v>144.593371044517</v>
      </c>
      <c r="E152">
        <f>+[3]Sheet1!B152</f>
        <v>40286.059058639548</v>
      </c>
      <c r="F152">
        <f>+[3]Sheet1!C152</f>
        <v>19341.739824154251</v>
      </c>
      <c r="G152">
        <f>+[3]Sheet1!D152</f>
        <v>54539.802834746217</v>
      </c>
      <c r="H152">
        <f>+[3]Sheet1!E152</f>
        <v>16447.01723570055</v>
      </c>
      <c r="I152">
        <f>+[3]Sheet1!F152</f>
        <v>824715.40987977106</v>
      </c>
      <c r="J152">
        <f>+[3]Sheet1!G152</f>
        <v>202.9835839028469</v>
      </c>
      <c r="K152">
        <f>+[3]Sheet1!H152</f>
        <v>345.07803605935612</v>
      </c>
      <c r="L152">
        <f>+[3]Sheet1!I152</f>
        <v>136.6092237234993</v>
      </c>
      <c r="M152">
        <f>+[3]Sheet1!J152</f>
        <v>1767988.8273296561</v>
      </c>
      <c r="N152">
        <f>+[3]Sheet1!K152</f>
        <v>5104053.3144379985</v>
      </c>
      <c r="O152">
        <f>+[3]Sheet1!L152</f>
        <v>3096300.3700359608</v>
      </c>
      <c r="P152">
        <f>+[3]Sheet1!M152</f>
        <v>0.71456433289849719</v>
      </c>
      <c r="Q152">
        <f>+[3]Sheet1!N152</f>
        <v>2.5691006217858381</v>
      </c>
      <c r="R152">
        <f>+[3]Sheet1!O152</f>
        <v>1.6184585635235551</v>
      </c>
      <c r="S152">
        <f>+[3]Sheet1!P152</f>
        <v>2374429.758427063</v>
      </c>
      <c r="T152">
        <f>+[3]Sheet1!Q152</f>
        <v>2129317.5588124832</v>
      </c>
      <c r="U152">
        <f>+[3]Sheet1!R152</f>
        <v>1.243785739055252</v>
      </c>
      <c r="V152">
        <f>+[3]Sheet1!S152</f>
        <v>1.197088106991822</v>
      </c>
      <c r="W152">
        <f>+[3]Sheet1!T152</f>
        <v>100347842.1379786</v>
      </c>
      <c r="X152">
        <f>+[3]Sheet1!U152</f>
        <v>53.199023798591433</v>
      </c>
      <c r="Y152">
        <f>+[3]Sheet1!V152</f>
        <v>57575643.376544878</v>
      </c>
      <c r="Z152">
        <f>+[3]Sheet1!W152</f>
        <v>28.379433503826451</v>
      </c>
      <c r="AA152">
        <f>+[3]Sheet1!X152</f>
        <v>101950136.0396854</v>
      </c>
      <c r="AB152">
        <f>+[3]Sheet1!Y152</f>
        <v>50.495238567134663</v>
      </c>
      <c r="AC152">
        <f>+[3]Sheet1!Z152</f>
        <v>0.28286724622589648</v>
      </c>
      <c r="AD152">
        <f>+[3]Sheet1!AA152</f>
        <v>61887.612659601051</v>
      </c>
      <c r="AE152">
        <f>+[3]Sheet1!AB152</f>
        <v>153389.70012220569</v>
      </c>
      <c r="AF152">
        <f>+[3]Sheet1!AC152</f>
        <v>159.1850066625982</v>
      </c>
      <c r="AG152">
        <f>+[3]Sheet1!AD152</f>
        <v>102.34365992834719</v>
      </c>
      <c r="AH152" s="16">
        <f>+[3]Sheet1!AE152</f>
        <v>140.97377234177901</v>
      </c>
      <c r="AI152" s="16">
        <f>+[3]Sheet1!AF152</f>
        <v>343.37081116427782</v>
      </c>
      <c r="AJ152" s="16">
        <f>+[3]Sheet1!AG152</f>
        <v>184.67526234830149</v>
      </c>
      <c r="AK152" s="16">
        <f>+[3]Sheet1!AH152</f>
        <v>82.956790459669634</v>
      </c>
      <c r="AL152" s="16">
        <f>+[3]Sheet1!AI152</f>
        <v>86.695483879198747</v>
      </c>
      <c r="AM152" s="16">
        <f>+[3]Sheet1!AJ152</f>
        <v>134.89103256932691</v>
      </c>
      <c r="AN152" s="16">
        <f>+[3]Sheet1!AK152</f>
        <v>107.3193429747661</v>
      </c>
      <c r="AO152" s="16">
        <f>+[3]Sheet1!AL152</f>
        <v>137.5041091487191</v>
      </c>
      <c r="AP152" s="16">
        <f>+[3]Sheet1!AM152</f>
        <v>176.99510600072659</v>
      </c>
      <c r="AQ152" s="16">
        <f>+[3]Sheet1!AN152</f>
        <v>162.930125819366</v>
      </c>
      <c r="AR152" s="16">
        <f>+[3]Sheet1!AO152</f>
        <v>124.3279465531697</v>
      </c>
      <c r="AS152" s="16">
        <f>+[3]Sheet1!AP152</f>
        <v>146.09694656553671</v>
      </c>
      <c r="AT152" s="16">
        <f>+[3]Sheet1!AQ152</f>
        <v>47.778697559918037</v>
      </c>
      <c r="AU152" s="16">
        <f>+[3]Sheet1!AR152</f>
        <v>129.83031376263261</v>
      </c>
      <c r="AV152" s="16">
        <f>+[3]Sheet1!AS152</f>
        <v>95.098529446783132</v>
      </c>
      <c r="AW152" s="16">
        <f>+[3]Sheet1!AT152</f>
        <v>3777410.2572087101</v>
      </c>
      <c r="AX152" s="16">
        <f>+base_mensual!AY152</f>
        <v>734</v>
      </c>
      <c r="AY152">
        <f>+base_mensual!AZ152</f>
        <v>2.4500000000000002</v>
      </c>
      <c r="AZ152">
        <f>+[3]Sheet1!AX152</f>
        <v>152.81091730946309</v>
      </c>
    </row>
    <row r="153" spans="1:52" x14ac:dyDescent="0.25">
      <c r="A153" s="18">
        <f>+base_mensual!A153</f>
        <v>45900</v>
      </c>
      <c r="B153" s="1"/>
      <c r="C153">
        <f>+base_mensual!AE153</f>
        <v>145.81729192288111</v>
      </c>
      <c r="D153">
        <f>+base_mensual!H153</f>
        <v>145.30000000000001</v>
      </c>
      <c r="E153">
        <f>+[3]Sheet1!B153</f>
        <v>40559.810432062623</v>
      </c>
      <c r="F153">
        <f>+[3]Sheet1!C153</f>
        <v>20616.579828458271</v>
      </c>
      <c r="G153">
        <f>+[3]Sheet1!D153</f>
        <v>54584.332128806469</v>
      </c>
      <c r="H153">
        <f>+[3]Sheet1!E153</f>
        <v>15695.63691519028</v>
      </c>
      <c r="I153">
        <f>+[3]Sheet1!F153</f>
        <v>835241.2980652015</v>
      </c>
      <c r="J153">
        <f>+[3]Sheet1!G153</f>
        <v>190.592326320132</v>
      </c>
      <c r="K153">
        <f>+[3]Sheet1!H153</f>
        <v>344.29864891168143</v>
      </c>
      <c r="L153">
        <f>+[3]Sheet1!I153</f>
        <v>120.3138338560525</v>
      </c>
      <c r="M153">
        <f>+[3]Sheet1!J153</f>
        <v>1040164.354185936</v>
      </c>
      <c r="N153">
        <f>+[3]Sheet1!K153</f>
        <v>5346667.9786507888</v>
      </c>
      <c r="O153">
        <f>+[3]Sheet1!L153</f>
        <v>3166066.0649096449</v>
      </c>
      <c r="P153">
        <f>+[3]Sheet1!M153</f>
        <v>0.6182488332698628</v>
      </c>
      <c r="Q153">
        <f>+[3]Sheet1!N153</f>
        <v>2.5856920214179482</v>
      </c>
      <c r="R153">
        <f>+[3]Sheet1!O153</f>
        <v>1.6383228733749899</v>
      </c>
      <c r="S153">
        <f>+[3]Sheet1!P153</f>
        <v>1943894.507853342</v>
      </c>
      <c r="T153">
        <f>+[3]Sheet1!Q153</f>
        <v>2178321.5336364619</v>
      </c>
      <c r="U153">
        <f>+[3]Sheet1!R153</f>
        <v>1.234374509045</v>
      </c>
      <c r="V153">
        <f>+[3]Sheet1!S153</f>
        <v>1.2289153614726851</v>
      </c>
      <c r="W153">
        <f>+[3]Sheet1!T153</f>
        <v>82649587.294950485</v>
      </c>
      <c r="X153">
        <f>+[3]Sheet1!U153</f>
        <v>52.790085211498067</v>
      </c>
      <c r="Y153">
        <f>+[3]Sheet1!V153</f>
        <v>59575356.195814982</v>
      </c>
      <c r="Z153">
        <f>+[3]Sheet1!W153</f>
        <v>28.64089727228875</v>
      </c>
      <c r="AA153">
        <f>+[3]Sheet1!X153</f>
        <v>154629846.65574709</v>
      </c>
      <c r="AB153">
        <f>+[3]Sheet1!Y153</f>
        <v>74.948851919974175</v>
      </c>
      <c r="AC153">
        <f>+[3]Sheet1!Z153</f>
        <v>0.27283385326008641</v>
      </c>
      <c r="AD153">
        <f>+[3]Sheet1!AA153</f>
        <v>61139.157703060497</v>
      </c>
      <c r="AE153">
        <f>+[3]Sheet1!AB153</f>
        <v>151175.3868908252</v>
      </c>
      <c r="AF153">
        <f>+[3]Sheet1!AC153</f>
        <v>159.7175594210143</v>
      </c>
      <c r="AG153">
        <f>+[3]Sheet1!AD153</f>
        <v>96.830094397691667</v>
      </c>
      <c r="AH153" s="16">
        <f>+[3]Sheet1!AE153</f>
        <v>144.04365488922789</v>
      </c>
      <c r="AI153" s="16">
        <f>+[3]Sheet1!AF153</f>
        <v>351.01844821811329</v>
      </c>
      <c r="AJ153" s="16">
        <f>+[3]Sheet1!AG153</f>
        <v>181.76147901973269</v>
      </c>
      <c r="AK153" s="16">
        <f>+[3]Sheet1!AH153</f>
        <v>82.01305028425368</v>
      </c>
      <c r="AL153" s="16">
        <f>+[3]Sheet1!AI153</f>
        <v>87.268865686893605</v>
      </c>
      <c r="AM153" s="16">
        <f>+[3]Sheet1!AJ153</f>
        <v>132.2539277859884</v>
      </c>
      <c r="AN153" s="16">
        <f>+[3]Sheet1!AK153</f>
        <v>106.7377365189361</v>
      </c>
      <c r="AO153" s="16">
        <f>+[3]Sheet1!AL153</f>
        <v>140.4057625937956</v>
      </c>
      <c r="AP153" s="16">
        <f>+[3]Sheet1!AM153</f>
        <v>178.1291424347859</v>
      </c>
      <c r="AQ153" s="16">
        <f>+[3]Sheet1!AN153</f>
        <v>161.60764674742219</v>
      </c>
      <c r="AR153" s="16">
        <f>+[3]Sheet1!AO153</f>
        <v>119.33253277207599</v>
      </c>
      <c r="AS153" s="16">
        <f>+[3]Sheet1!AP153</f>
        <v>147.2351148896274</v>
      </c>
      <c r="AT153" s="16">
        <f>+[3]Sheet1!AQ153</f>
        <v>38.751890884393823</v>
      </c>
      <c r="AU153" s="16">
        <f>+[3]Sheet1!AR153</f>
        <v>128.36341974112921</v>
      </c>
      <c r="AV153" s="16">
        <f>+[3]Sheet1!AS153</f>
        <v>94.845002912593046</v>
      </c>
      <c r="AW153" s="16">
        <f>+[3]Sheet1!AT153</f>
        <v>3894329.0239300281</v>
      </c>
      <c r="AX153" s="16">
        <f>+base_mensual!AY153</f>
        <v>829</v>
      </c>
      <c r="AY153">
        <f>+base_mensual!AZ153</f>
        <v>2.12</v>
      </c>
      <c r="AZ153">
        <f>+[3]Sheet1!AX153</f>
        <v>152.4773503586236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1A18-B875-436A-80E0-72691B853FCC}">
  <dimension ref="K20"/>
  <sheetViews>
    <sheetView workbookViewId="0"/>
  </sheetViews>
  <sheetFormatPr defaultRowHeight="15" x14ac:dyDescent="0.25"/>
  <cols>
    <col min="11" max="11" width="19" bestFit="1" customWidth="1"/>
  </cols>
  <sheetData>
    <row r="20" spans="11:11" x14ac:dyDescent="0.25">
      <c r="K2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FCA5-A767-4BB3-A5B3-13F12C4DB694}">
  <dimension ref="B152:B153"/>
  <sheetViews>
    <sheetView workbookViewId="0">
      <selection activeCell="B1" sqref="B1:B151"/>
    </sheetView>
  </sheetViews>
  <sheetFormatPr defaultRowHeight="15" x14ac:dyDescent="0.25"/>
  <cols>
    <col min="2" max="2" width="12" bestFit="1" customWidth="1"/>
  </cols>
  <sheetData>
    <row r="152" spans="2:2" x14ac:dyDescent="0.25">
      <c r="B152" s="1"/>
    </row>
    <row r="153" spans="2:2" x14ac:dyDescent="0.25">
      <c r="B15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337A-2693-4242-8A16-E66C2FF73DB4}">
  <dimension ref="C1:G29"/>
  <sheetViews>
    <sheetView showGridLines="0" zoomScale="85" zoomScaleNormal="85" workbookViewId="0">
      <selection activeCell="I18" sqref="I18"/>
    </sheetView>
  </sheetViews>
  <sheetFormatPr defaultRowHeight="15" x14ac:dyDescent="0.25"/>
  <cols>
    <col min="3" max="3" width="49.28515625" bestFit="1" customWidth="1"/>
    <col min="4" max="4" width="25" customWidth="1"/>
    <col min="5" max="5" width="41.5703125" bestFit="1" customWidth="1"/>
    <col min="6" max="6" width="41.28515625" bestFit="1" customWidth="1"/>
  </cols>
  <sheetData>
    <row r="1" spans="3:7" x14ac:dyDescent="0.25">
      <c r="C1" s="21" t="s">
        <v>74</v>
      </c>
      <c r="D1" s="22"/>
    </row>
    <row r="2" spans="3:7" x14ac:dyDescent="0.25">
      <c r="C2" s="23" t="s">
        <v>75</v>
      </c>
      <c r="D2" s="24" t="s">
        <v>76</v>
      </c>
    </row>
    <row r="3" spans="3:7" x14ac:dyDescent="0.25">
      <c r="C3" s="23" t="s">
        <v>77</v>
      </c>
      <c r="D3" s="24">
        <v>0.39600000000000002</v>
      </c>
    </row>
    <row r="4" spans="3:7" x14ac:dyDescent="0.25">
      <c r="C4" s="23" t="s">
        <v>78</v>
      </c>
      <c r="D4" s="24">
        <v>0.38900000000000001</v>
      </c>
    </row>
    <row r="5" spans="3:7" x14ac:dyDescent="0.25">
      <c r="C5" s="23" t="s">
        <v>79</v>
      </c>
      <c r="D5" s="24">
        <v>0.38400000000000001</v>
      </c>
    </row>
    <row r="6" spans="3:7" x14ac:dyDescent="0.25">
      <c r="C6" s="23" t="s">
        <v>19</v>
      </c>
      <c r="D6" s="24">
        <v>0.35499999999999998</v>
      </c>
    </row>
    <row r="7" spans="3:7" x14ac:dyDescent="0.25">
      <c r="C7" s="23" t="s">
        <v>80</v>
      </c>
      <c r="D7" s="24">
        <v>0.32600000000000001</v>
      </c>
    </row>
    <row r="8" spans="3:7" x14ac:dyDescent="0.25">
      <c r="C8" s="25" t="s">
        <v>83</v>
      </c>
      <c r="D8" s="26"/>
    </row>
    <row r="10" spans="3:7" x14ac:dyDescent="0.25">
      <c r="C10" s="21" t="s">
        <v>81</v>
      </c>
      <c r="D10" s="22"/>
    </row>
    <row r="11" spans="3:7" x14ac:dyDescent="0.25">
      <c r="C11" s="23" t="s">
        <v>75</v>
      </c>
      <c r="D11" s="24" t="s">
        <v>76</v>
      </c>
    </row>
    <row r="12" spans="3:7" x14ac:dyDescent="0.25">
      <c r="C12" s="23" t="s">
        <v>82</v>
      </c>
      <c r="D12" s="24">
        <v>0.71599999999999997</v>
      </c>
    </row>
    <row r="13" spans="3:7" x14ac:dyDescent="0.25">
      <c r="C13" s="23" t="s">
        <v>66</v>
      </c>
      <c r="D13" s="24">
        <v>-0.35899999999999999</v>
      </c>
    </row>
    <row r="14" spans="3:7" x14ac:dyDescent="0.25">
      <c r="C14" s="23" t="s">
        <v>19</v>
      </c>
      <c r="D14" s="24">
        <v>0.34100000000000003</v>
      </c>
    </row>
    <row r="15" spans="3:7" x14ac:dyDescent="0.25">
      <c r="C15" s="23" t="s">
        <v>35</v>
      </c>
      <c r="D15" s="24">
        <v>-0.28999999999999998</v>
      </c>
    </row>
    <row r="16" spans="3:7" x14ac:dyDescent="0.25">
      <c r="C16" s="23" t="s">
        <v>25</v>
      </c>
      <c r="D16" s="24">
        <v>-0.25700000000000001</v>
      </c>
      <c r="G16">
        <f>12*3</f>
        <v>36</v>
      </c>
    </row>
    <row r="17" spans="3:7" x14ac:dyDescent="0.25">
      <c r="C17" s="27" t="s">
        <v>84</v>
      </c>
      <c r="D17" s="26"/>
      <c r="G17">
        <f>+G16/12</f>
        <v>3</v>
      </c>
    </row>
    <row r="19" spans="3:7" x14ac:dyDescent="0.25">
      <c r="C19" s="21" t="s">
        <v>85</v>
      </c>
      <c r="D19" s="22"/>
    </row>
    <row r="20" spans="3:7" x14ac:dyDescent="0.25">
      <c r="C20" s="23" t="s">
        <v>75</v>
      </c>
      <c r="D20" s="24" t="s">
        <v>76</v>
      </c>
    </row>
    <row r="21" spans="3:7" x14ac:dyDescent="0.25">
      <c r="C21" s="23" t="s">
        <v>86</v>
      </c>
      <c r="D21" s="24">
        <v>0.68</v>
      </c>
    </row>
    <row r="22" spans="3:7" x14ac:dyDescent="0.25">
      <c r="C22" s="23" t="s">
        <v>87</v>
      </c>
      <c r="D22" s="24">
        <v>-0.59799999999999998</v>
      </c>
    </row>
    <row r="23" spans="3:7" x14ac:dyDescent="0.25">
      <c r="C23" s="23" t="s">
        <v>35</v>
      </c>
      <c r="D23" s="24">
        <v>0.18</v>
      </c>
    </row>
    <row r="24" spans="3:7" x14ac:dyDescent="0.25">
      <c r="C24" s="27" t="s">
        <v>104</v>
      </c>
      <c r="D24" s="26"/>
    </row>
    <row r="26" spans="3:7" x14ac:dyDescent="0.25">
      <c r="C26" s="19" t="s">
        <v>88</v>
      </c>
      <c r="D26" s="19" t="s">
        <v>89</v>
      </c>
      <c r="E26" s="19" t="s">
        <v>90</v>
      </c>
      <c r="F26" s="19" t="s">
        <v>91</v>
      </c>
    </row>
    <row r="27" spans="3:7" x14ac:dyDescent="0.25">
      <c r="C27" s="20" t="s">
        <v>92</v>
      </c>
      <c r="D27" s="20" t="s">
        <v>93</v>
      </c>
      <c r="E27" s="20" t="s">
        <v>94</v>
      </c>
      <c r="F27" s="20" t="s">
        <v>95</v>
      </c>
    </row>
    <row r="28" spans="3:7" x14ac:dyDescent="0.25">
      <c r="C28" s="20" t="s">
        <v>96</v>
      </c>
      <c r="D28" s="20" t="s">
        <v>97</v>
      </c>
      <c r="E28" s="20" t="s">
        <v>98</v>
      </c>
      <c r="F28" s="20" t="s">
        <v>99</v>
      </c>
    </row>
    <row r="29" spans="3:7" x14ac:dyDescent="0.25">
      <c r="C29" s="20" t="s">
        <v>100</v>
      </c>
      <c r="D29" s="20" t="s">
        <v>101</v>
      </c>
      <c r="E29" s="20" t="s">
        <v>102</v>
      </c>
      <c r="F29" s="20" t="s">
        <v>103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6C2B-A112-4BA2-9EB6-9A1FAEACF30D}">
  <dimension ref="A1:M48"/>
  <sheetViews>
    <sheetView workbookViewId="0">
      <selection activeCell="B8" sqref="B8"/>
    </sheetView>
  </sheetViews>
  <sheetFormatPr defaultRowHeight="15" x14ac:dyDescent="0.25"/>
  <cols>
    <col min="1" max="1" width="17.7109375" bestFit="1" customWidth="1"/>
    <col min="2" max="2" width="97.85546875" bestFit="1" customWidth="1"/>
    <col min="13" max="13" width="23.5703125" bestFit="1" customWidth="1"/>
  </cols>
  <sheetData>
    <row r="1" spans="1:13" x14ac:dyDescent="0.25">
      <c r="A1" t="s">
        <v>28</v>
      </c>
    </row>
    <row r="2" spans="1:13" x14ac:dyDescent="0.25">
      <c r="M2" s="14"/>
    </row>
    <row r="3" spans="1:13" x14ac:dyDescent="0.25">
      <c r="A3" t="s">
        <v>30</v>
      </c>
      <c r="B3" s="28" t="s">
        <v>29</v>
      </c>
      <c r="M3" s="14"/>
    </row>
    <row r="4" spans="1:13" x14ac:dyDescent="0.25">
      <c r="M4" s="14"/>
    </row>
    <row r="5" spans="1:13" x14ac:dyDescent="0.25">
      <c r="A5" t="s">
        <v>39</v>
      </c>
      <c r="B5" t="s">
        <v>38</v>
      </c>
      <c r="M5" s="14"/>
    </row>
    <row r="6" spans="1:13" x14ac:dyDescent="0.25">
      <c r="A6" t="s">
        <v>44</v>
      </c>
      <c r="B6" s="28" t="s">
        <v>43</v>
      </c>
      <c r="M6" s="15"/>
    </row>
    <row r="7" spans="1:13" x14ac:dyDescent="0.25">
      <c r="A7" t="s">
        <v>48</v>
      </c>
      <c r="B7" s="28" t="s">
        <v>47</v>
      </c>
      <c r="M7" s="15"/>
    </row>
    <row r="8" spans="1:13" x14ac:dyDescent="0.25">
      <c r="A8" t="s">
        <v>52</v>
      </c>
      <c r="B8" s="28" t="s">
        <v>51</v>
      </c>
      <c r="M8" s="14"/>
    </row>
    <row r="9" spans="1:13" x14ac:dyDescent="0.25">
      <c r="A9" t="s">
        <v>53</v>
      </c>
      <c r="B9" s="28" t="s">
        <v>54</v>
      </c>
      <c r="M9" s="14"/>
    </row>
    <row r="10" spans="1:13" x14ac:dyDescent="0.25">
      <c r="A10" t="s">
        <v>55</v>
      </c>
      <c r="B10" t="s">
        <v>56</v>
      </c>
      <c r="M10" s="14"/>
    </row>
    <row r="11" spans="1:13" x14ac:dyDescent="0.25">
      <c r="A11" t="s">
        <v>57</v>
      </c>
      <c r="M11" s="14"/>
    </row>
    <row r="12" spans="1:13" x14ac:dyDescent="0.25">
      <c r="A12" t="s">
        <v>106</v>
      </c>
      <c r="B12" s="28" t="s">
        <v>105</v>
      </c>
      <c r="M12" s="14"/>
    </row>
    <row r="13" spans="1:13" x14ac:dyDescent="0.25">
      <c r="A13" t="s">
        <v>107</v>
      </c>
      <c r="B13" s="28" t="s">
        <v>105</v>
      </c>
      <c r="M13" s="14"/>
    </row>
    <row r="14" spans="1:13" x14ac:dyDescent="0.25">
      <c r="A14" t="s">
        <v>109</v>
      </c>
      <c r="B14" t="s">
        <v>108</v>
      </c>
      <c r="M14" s="14"/>
    </row>
    <row r="15" spans="1:13" x14ac:dyDescent="0.25">
      <c r="M15" s="14"/>
    </row>
    <row r="16" spans="1:13" x14ac:dyDescent="0.25">
      <c r="M16" s="14"/>
    </row>
    <row r="17" spans="13:13" x14ac:dyDescent="0.25">
      <c r="M17" s="14"/>
    </row>
    <row r="18" spans="13:13" x14ac:dyDescent="0.25">
      <c r="M18" s="14"/>
    </row>
    <row r="19" spans="13:13" x14ac:dyDescent="0.25">
      <c r="M19" s="14"/>
    </row>
    <row r="23" spans="13:13" x14ac:dyDescent="0.25">
      <c r="M23" s="14"/>
    </row>
    <row r="24" spans="13:13" x14ac:dyDescent="0.25">
      <c r="M24" s="14"/>
    </row>
    <row r="25" spans="13:13" x14ac:dyDescent="0.25">
      <c r="M25" s="14"/>
    </row>
    <row r="26" spans="13:13" x14ac:dyDescent="0.25">
      <c r="M26" s="14"/>
    </row>
    <row r="27" spans="13:13" x14ac:dyDescent="0.25">
      <c r="M27" s="14"/>
    </row>
    <row r="28" spans="13:13" x14ac:dyDescent="0.25">
      <c r="M28" s="14"/>
    </row>
    <row r="29" spans="13:13" x14ac:dyDescent="0.25">
      <c r="M29" s="14"/>
    </row>
    <row r="30" spans="13:13" x14ac:dyDescent="0.25">
      <c r="M30" s="14"/>
    </row>
    <row r="31" spans="13:13" x14ac:dyDescent="0.25">
      <c r="M31" s="14"/>
    </row>
    <row r="32" spans="13:13" x14ac:dyDescent="0.25">
      <c r="M32" s="14"/>
    </row>
    <row r="33" spans="13:13" x14ac:dyDescent="0.25">
      <c r="M33" s="14"/>
    </row>
    <row r="34" spans="13:13" x14ac:dyDescent="0.25">
      <c r="M34" s="14"/>
    </row>
    <row r="35" spans="13:13" x14ac:dyDescent="0.25">
      <c r="M35" s="14"/>
    </row>
    <row r="36" spans="13:13" x14ac:dyDescent="0.25">
      <c r="M36" s="14"/>
    </row>
    <row r="37" spans="13:13" x14ac:dyDescent="0.25">
      <c r="M37" s="14"/>
    </row>
    <row r="38" spans="13:13" x14ac:dyDescent="0.25">
      <c r="M38" s="14"/>
    </row>
    <row r="39" spans="13:13" x14ac:dyDescent="0.25">
      <c r="M39" s="14"/>
    </row>
    <row r="40" spans="13:13" x14ac:dyDescent="0.25">
      <c r="M40" s="14"/>
    </row>
    <row r="41" spans="13:13" x14ac:dyDescent="0.25">
      <c r="M41" s="14"/>
    </row>
    <row r="42" spans="13:13" x14ac:dyDescent="0.25">
      <c r="M42" s="14"/>
    </row>
    <row r="43" spans="13:13" x14ac:dyDescent="0.25">
      <c r="M43" s="14"/>
    </row>
    <row r="44" spans="13:13" x14ac:dyDescent="0.25">
      <c r="M44" s="14"/>
    </row>
    <row r="45" spans="13:13" x14ac:dyDescent="0.25">
      <c r="M45" s="14"/>
    </row>
    <row r="46" spans="13:13" x14ac:dyDescent="0.25">
      <c r="M46" s="14"/>
    </row>
    <row r="47" spans="13:13" x14ac:dyDescent="0.25">
      <c r="M47" s="14"/>
    </row>
    <row r="48" spans="13:13" x14ac:dyDescent="0.25">
      <c r="M48" s="14"/>
    </row>
  </sheetData>
  <hyperlinks>
    <hyperlink ref="B9" r:id="rId1" xr:uid="{C797C494-5399-470F-BD7A-BC6F03C00216}"/>
    <hyperlink ref="B12" r:id="rId2" xr:uid="{75732CCC-E8BE-4275-97E0-FD4861FEE1E2}"/>
    <hyperlink ref="B13" r:id="rId3" xr:uid="{95069C05-DE79-49A1-8BE4-C973DBF6040B}"/>
    <hyperlink ref="B3" r:id="rId4" xr:uid="{6B9D6375-D5B5-4FAB-9055-B7EB869DFBFF}"/>
    <hyperlink ref="B6" r:id="rId5" xr:uid="{D18C60AB-79D0-4A70-A078-52BCA41417B8}"/>
    <hyperlink ref="B7" r:id="rId6" xr:uid="{6B7517C9-A4F1-4820-8F13-FC280A96AD3E}"/>
    <hyperlink ref="B8" r:id="rId7" xr:uid="{8BA42941-EC2E-4E99-A814-7581C8862645}"/>
  </hyperlinks>
  <pageMargins left="0.7" right="0.7" top="0.75" bottom="0.75" header="0.3" footer="0.3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</vt:lpstr>
      <vt:lpstr>base_mensual</vt:lpstr>
      <vt:lpstr>base_desest</vt:lpstr>
      <vt:lpstr>Sheet1</vt:lpstr>
      <vt:lpstr>Sheet2</vt:lpstr>
      <vt:lpstr>NOTAS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2015-06-05T18:17:20Z</dcterms:created>
  <dcterms:modified xsi:type="dcterms:W3CDTF">2025-10-27T19:41:43Z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eyIwIjoiSGlzdG9yeSIsIjEiOjAsIjIiOjEsIjMiOjAsIjQiOjAsIjUiOjEsIjYiOjEsIjciOjEsIjgiOjAsIjkiOjEsIjEwIjowLCIxMSI6MCwiMTIiOjB9</vt:lpwstr>
  </property>
  <property fmtid="{D5CDD505-2E9C-101B-9397-08002B2CF9AE}" pid="5" name="SpreadsheetBuilder_4">
    <vt:lpwstr>eyIwIjoiSGlzdG9yeSIsIjEiOjAsIjIiOjEsIjMiOjAsIjQiOjAsIjUiOjEsIjYiOjEsIjciOjEsIjgiOjAsIjkiOjEsIjEwIjowLCIxMSI6MCwiMTIiOjB9</vt:lpwstr>
  </property>
  <property fmtid="{D5CDD505-2E9C-101B-9397-08002B2CF9AE}" pid="6" name="SpreadsheetBuilder_5">
    <vt:lpwstr>eyIwIjoiSGlzdG9yeSIsIjEiOjAsIjIiOjEsIjMiOjAsIjQiOjAsIjUiOjEsIjYiOjEsIjciOjEsIjgiOjAsIjkiOjEsIjEwIjowLCIxMSI6MCwiMTIiOjB9</vt:lpwstr>
  </property>
</Properties>
</file>