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atos" sheetId="2" state="visible" r:id="rId4"/>
    <sheet name="Modelo_Nuevo" sheetId="3" state="visible" r:id="rId5"/>
    <sheet name="Modelo_Base" sheetId="4" state="visible" r:id="rId6"/>
    <sheet name="Diagnostic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<sst xmlns="http://schemas.openxmlformats.org/spreadsheetml/2006/main" count="286" uniqueCount="212">
  <si>
    <t xml:space="preserve">COMPARACION DE MODELOS — PBI trimestral argentino</t>
  </si>
  <si>
    <t xml:space="preserve">Misma muestra 2006Q4-2026Q1 (n=78) en los cuatro modelos: sin eso, AIC y BIC no son comparables.</t>
  </si>
  <si>
    <t xml:space="preserve">Metrica</t>
  </si>
  <si>
    <t xml:space="preserve">BASE (niveles)</t>
  </si>
  <si>
    <t xml:space="preserve">NUEVO (i.a.)</t>
  </si>
  <si>
    <t xml:space="preserve">NUEVO + dummies COVID</t>
  </si>
  <si>
    <t xml:space="preserve">n</t>
  </si>
  <si>
    <t xml:space="preserve">k (parametros)</t>
  </si>
  <si>
    <t xml:space="preserve">R2</t>
  </si>
  <si>
    <t xml:space="preserve">R2 ajustado</t>
  </si>
  <si>
    <t xml:space="preserve">SSR</t>
  </si>
  <si>
    <t xml:space="preserve">AIC</t>
  </si>
  <si>
    <t xml:space="preserve">BIC</t>
  </si>
  <si>
    <t xml:space="preserve">Durbin-Watson</t>
  </si>
  <si>
    <t xml:space="preserve">Breusch-Pagan p</t>
  </si>
  <si>
    <t xml:space="preserve">Coeficientes del modelo nuevo (errores HAC, Newey-West L=4)</t>
  </si>
  <si>
    <t xml:space="preserve">Regresor</t>
  </si>
  <si>
    <t xml:space="preserve">Coef.</t>
  </si>
  <si>
    <t xml:space="preserve">se HAC</t>
  </si>
  <si>
    <t xml:space="preserve">t</t>
  </si>
  <si>
    <t xml:space="preserve">p</t>
  </si>
  <si>
    <t xml:space="preserve">Restriccion implicita del modelo base</t>
  </si>
  <si>
    <t xml:space="preserve">H0: beta_EMBI(t) + beta_EMBI(t-5) = 0</t>
  </si>
  <si>
    <t xml:space="preserve">F</t>
  </si>
  <si>
    <t xml:space="preserve">p-valor</t>
  </si>
  <si>
    <t xml:space="preserve">No rechazar implica que los dos terminos de EMBI en nivel son, de hecho, la diferencia EMBI(t)-EMBI(t-5).</t>
  </si>
  <si>
    <t xml:space="preserve">COMO USAR ESTE ARCHIVO</t>
  </si>
  <si>
    <t xml:space="preserve">1. Los unicos datos editables son las celdas azules de la hoja Datos (EMBI, ITCRM, M3R, GDP).</t>
  </si>
  <si>
    <t xml:space="preserve">2. Todo lo demas son formulas: al agregar un trimestre nuevo, extender las filas y recalcular.</t>
  </si>
  <si>
    <t xml:space="preserve">3. Las regresiones usan INDEX(LINEST(...)) para devolver escalares en vez de formulas matriciales.</t>
  </si>
  <si>
    <t xml:space="preserve">4. AIC y BIC replican la convencion de statsmodels: -2logL + 2k  y  -2logL + ln(n)k.</t>
  </si>
  <si>
    <t xml:space="preserve">5. Los errores HAC de la hoja Modelo_Nuevo son los que hay que citar: el filtro interanual</t>
  </si>
  <si>
    <t xml:space="preserve">   induce una MA(3) y los errores OLS estan subestimados.</t>
  </si>
  <si>
    <t xml:space="preserve">DATOS Y TRANSFORMACIONES</t>
  </si>
  <si>
    <t xml:space="preserve">Trimestral 2005Q1-2026Q1. Azul = dato original (editable). Negro = formula.</t>
  </si>
  <si>
    <t xml:space="preserve">GDP y M3R ya vienen como variacion interanual (I(0)). ITCRM y EMBI vienen en NIVEL (I(1)): se les aplica el mismo filtro D4log(.) para balancear la regresion.</t>
  </si>
  <si>
    <t xml:space="preserve">Periodo</t>
  </si>
  <si>
    <t xml:space="preserve">EMBI (pb)</t>
  </si>
  <si>
    <t xml:space="preserve">ITCRM</t>
  </si>
  <si>
    <t xml:space="preserve">M3R (i.a.)</t>
  </si>
  <si>
    <t xml:space="preserve">GDP (i.a.)</t>
  </si>
  <si>
    <t xml:space="preserve">ln(EMBI)</t>
  </si>
  <si>
    <t xml:space="preserve">ln(ITCRM)</t>
  </si>
  <si>
    <t xml:space="preserve">D4 ln EMBI</t>
  </si>
  <si>
    <t xml:space="preserve">D4 ln ITCRM</t>
  </si>
  <si>
    <t xml:space="preserve">2005Q1</t>
  </si>
  <si>
    <t xml:space="preserve">2005Q2</t>
  </si>
  <si>
    <t xml:space="preserve">2005Q3</t>
  </si>
  <si>
    <t xml:space="preserve">2005Q4</t>
  </si>
  <si>
    <t xml:space="preserve">2006Q1</t>
  </si>
  <si>
    <t xml:space="preserve">2006Q2</t>
  </si>
  <si>
    <t xml:space="preserve">2006Q3</t>
  </si>
  <si>
    <t xml:space="preserve">2006Q4</t>
  </si>
  <si>
    <t xml:space="preserve">2007Q1</t>
  </si>
  <si>
    <t xml:space="preserve">2007Q2</t>
  </si>
  <si>
    <t xml:space="preserve">2007Q3</t>
  </si>
  <si>
    <t xml:space="preserve">2007Q4</t>
  </si>
  <si>
    <t xml:space="preserve">2008Q1</t>
  </si>
  <si>
    <t xml:space="preserve">2008Q2</t>
  </si>
  <si>
    <t xml:space="preserve">2008Q3</t>
  </si>
  <si>
    <t xml:space="preserve">2008Q4</t>
  </si>
  <si>
    <t xml:space="preserve">2009Q1</t>
  </si>
  <si>
    <t xml:space="preserve">2009Q2</t>
  </si>
  <si>
    <t xml:space="preserve">2009Q3</t>
  </si>
  <si>
    <t xml:space="preserve">2009Q4</t>
  </si>
  <si>
    <t xml:space="preserve">2010Q1</t>
  </si>
  <si>
    <t xml:space="preserve">2010Q2</t>
  </si>
  <si>
    <t xml:space="preserve">2010Q3</t>
  </si>
  <si>
    <t xml:space="preserve">2010Q4</t>
  </si>
  <si>
    <t xml:space="preserve">2011Q1</t>
  </si>
  <si>
    <t xml:space="preserve">2011Q2</t>
  </si>
  <si>
    <t xml:space="preserve">2011Q3</t>
  </si>
  <si>
    <t xml:space="preserve">2011Q4</t>
  </si>
  <si>
    <t xml:space="preserve">2012Q1</t>
  </si>
  <si>
    <t xml:space="preserve">2012Q2</t>
  </si>
  <si>
    <t xml:space="preserve">2012Q3</t>
  </si>
  <si>
    <t xml:space="preserve">2012Q4</t>
  </si>
  <si>
    <t xml:space="preserve">2013Q1</t>
  </si>
  <si>
    <t xml:space="preserve">2013Q2</t>
  </si>
  <si>
    <t xml:space="preserve">2013Q3</t>
  </si>
  <si>
    <t xml:space="preserve">2013Q4</t>
  </si>
  <si>
    <t xml:space="preserve">2014Q1</t>
  </si>
  <si>
    <t xml:space="preserve">2014Q2</t>
  </si>
  <si>
    <t xml:space="preserve">2014Q3</t>
  </si>
  <si>
    <t xml:space="preserve">2014Q4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</si>
  <si>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</si>
  <si>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</si>
  <si>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</si>
  <si>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</si>
  <si>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</si>
  <si>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</si>
  <si>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</si>
  <si>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</si>
  <si>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</si>
  <si>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</si>
  <si>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</si>
  <si>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</si>
  <si>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</si>
  <si>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</si>
  <si>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</si>
  <si>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</si>
  <si>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</si>
  <si>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</si>
  <si>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</si>
  <si>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</si>
  <si>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</si>
  <si>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</si>
  <si>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</si>
  <si>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</si>
  <si>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</si>
  <si>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</si>
  <si>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</si>
  <si>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</si>
  <si>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</si>
  <si>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</si>
  <si>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</si>
  <si>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</si>
  <si>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</si>
  <si>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</si>
  <si>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</si>
  <si>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</si>
  <si>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</si>
  <si>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</si>
  <si>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</si>
  <si>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</si>
  <si>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</si>
  <si>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</si>
  <si>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</si>
  <si>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</si>
  <si>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</si>
  <si>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EMBI 2005Q1-Q2 estaba codificado como 0 en el origen: es un faltante, no un dato.</t>
  </si>
  <si>
    <t xml:space="preserve">MODELO PROPUESTO  —  GDP(t) ~ D4lnITCRM(t) + D4lnEMBI(t-1) + M3R(t-2)</t>
  </si>
  <si>
    <t xml:space="preserve">Todas las variables bajo el mismo filtro D4log(.) que la dependiente. Rezagos elegidos por minimizacion de BIC sobre una grilla 0-8.</t>
  </si>
  <si>
    <t xml:space="preserve">y = GDP</t>
  </si>
  <si>
    <t xml:space="preserve">x1 D4lnITCRM(t)</t>
  </si>
  <si>
    <t xml:space="preserve">x2 D4lnEMBI(t-1)</t>
  </si>
  <si>
    <t xml:space="preserve">x3 M3R(t-2)</t>
  </si>
  <si>
    <t xml:space="preserve">D_2020Q2</t>
  </si>
  <si>
    <t xml:space="preserve">D_2020Q3</t>
  </si>
  <si>
    <t xml:space="preserve">D_2020Q4</t>
  </si>
  <si>
    <t xml:space="preserve">D_2021Q1</t>
  </si>
  <si>
    <t xml:space="preserve">D_2021Q2</t>
  </si>
  <si>
    <t xml:space="preserve">const=1</t>
  </si>
  <si>
    <t xml:space="preserve">residuo e</t>
  </si>
  <si>
    <t xml:space="preserve">h_const</t>
  </si>
  <si>
    <t xml:space="preserve">h_x1</t>
  </si>
  <si>
    <t xml:space="preserve">h_x2</t>
  </si>
  <si>
    <t xml:space="preserve">h_x3</t>
  </si>
  <si>
    <t xml:space="preserve">e^2</t>
  </si>
  <si>
    <t xml:space="preserve">residuo e (dummies)</t>
  </si>
  <si>
    <t xml:space="preserve">e^2 (dummies)</t>
  </si>
  <si>
    <t xml:space="preserve">A. ESTIMACION OLS  (sin dummies)</t>
  </si>
  <si>
    <t xml:space="preserve">Error est.</t>
  </si>
  <si>
    <t xml:space="preserve">const</t>
  </si>
  <si>
    <t xml:space="preserve">x1  D4lnITCRM(t)</t>
  </si>
  <si>
    <t xml:space="preserve">x2  D4lnEMBI(t-1)</t>
  </si>
  <si>
    <t xml:space="preserve">x3  M3R(t-2)</t>
  </si>
  <si>
    <t xml:space="preserve">B. BONDAD DE AJUSTE</t>
  </si>
  <si>
    <t xml:space="preserve">n (observaciones)</t>
  </si>
  <si>
    <t xml:space="preserve">log-verosimilitud</t>
  </si>
  <si>
    <t xml:space="preserve">C. ERRORES ESTANDAR HAC (Newey-West, Bartlett, L=4)</t>
  </si>
  <si>
    <t xml:space="preserve">Obligatorio: el filtro interanual induce una MA(3) mecanica en los residuos. Sandwich  V = (X'X)^-1 S (X'X)^-1  con S = G0 + SUM w_l (G_l + G_l').</t>
  </si>
  <si>
    <t xml:space="preserve">X'X</t>
  </si>
  <si>
    <t xml:space="preserve">(X'X)^-1  = A</t>
  </si>
  <si>
    <t xml:space="preserve">Gamma_0</t>
  </si>
  <si>
    <t xml:space="preserve">Gamma_1   (w = 0.8)</t>
  </si>
  <si>
    <t xml:space="preserve">Gamma_2   (w = 0.6)</t>
  </si>
  <si>
    <t xml:space="preserve">Gamma_3   (w = 0.4)</t>
  </si>
  <si>
    <t xml:space="preserve">Gamma_4   (w = 0.2)</t>
  </si>
  <si>
    <t xml:space="preserve">S  (meat)</t>
  </si>
  <si>
    <t xml:space="preserve">V = A S A</t>
  </si>
  <si>
    <t xml:space="preserve">t HAC</t>
  </si>
  <si>
    <t xml:space="preserve">p HAC</t>
  </si>
  <si>
    <t xml:space="preserve">D. ESTIMACION CON DUMMIES IMPULSO COVID (2020Q2-2021Q2)</t>
  </si>
  <si>
    <t xml:space="preserve">gl residuales</t>
  </si>
  <si>
    <t xml:space="preserve">E. BONDAD DE AJUSTE — version con dummies</t>
  </si>
  <si>
    <t xml:space="preserve">MODELO BASE  —  GDP(t) ~ EMBI(t) + ITCRM(t-2) + EMBI(t-5) + M3R(t)</t>
  </si>
  <si>
    <t xml:space="preserve">EMBI e ITCRM entran en NIVEL: regresion no balanceada (I(1) contra I(0)).</t>
  </si>
  <si>
    <t xml:space="preserve">EMBI(t)</t>
  </si>
  <si>
    <t xml:space="preserve">ITCRM(t-2)</t>
  </si>
  <si>
    <t xml:space="preserve">EMBI(t-5)</t>
  </si>
  <si>
    <t xml:space="preserve">M3R(t)</t>
  </si>
  <si>
    <t xml:space="preserve">EMBI(t)-EMBI(t-5)</t>
  </si>
  <si>
    <t xml:space="preserve">R: EMBI(t)-EMBI(t-5)</t>
  </si>
  <si>
    <t xml:space="preserve">R: ITCRM(t-2)</t>
  </si>
  <si>
    <t xml:space="preserve">R: M3R(t)</t>
  </si>
  <si>
    <t xml:space="preserve">A. ESTIMACION OLS</t>
  </si>
  <si>
    <t xml:space="preserve">C. TEST F:  H0 = beta_EMBI(t) + beta_EMBI(t-5) = 0</t>
  </si>
  <si>
    <t xml:space="preserve">Si no se rechaza, los dos terminos en nivel son de hecho UNA diferencia (EMBI(t)-EMBI(t-5)): el modelo gasta un grado de libertad de mas.</t>
  </si>
  <si>
    <t xml:space="preserve">SSR modelo sin restringir</t>
  </si>
  <si>
    <t xml:space="preserve">SSR modelo restringido</t>
  </si>
  <si>
    <t xml:space="preserve">q (restricciones)</t>
  </si>
  <si>
    <t xml:space="preserve">DIAGNOSTICOS DE RESIDUOS</t>
  </si>
  <si>
    <t xml:space="preserve">Durbin-Watson, autocorrelacion muestral, Breusch-Pagan y Jarque-Bera.</t>
  </si>
  <si>
    <t xml:space="preserve">A. AUTOCORRELACION</t>
  </si>
  <si>
    <t xml:space="preserve">Modelo Base</t>
  </si>
  <si>
    <t xml:space="preserve">Modelo Nuevo</t>
  </si>
  <si>
    <t xml:space="preserve">Nuevo + dummies</t>
  </si>
  <si>
    <t xml:space="preserve">Autocorrelacion muestral de los residuos</t>
  </si>
  <si>
    <t xml:space="preserve">Rezago</t>
  </si>
  <si>
    <t xml:space="preserve">Base</t>
  </si>
  <si>
    <t xml:space="preserve">Nuevo</t>
  </si>
  <si>
    <t xml:space="preserve">Los rezagos 1-3 grandes y el 4 negativo son la firma de la MA(3) que induce el filtro interanual, no evidencia de mala especificacion. Por eso se reportan errores HAC y el n efectivo es ~n/4.</t>
  </si>
  <si>
    <t xml:space="preserve">B. HETEROCEDASTICIDAD — Breusch-Pagan (LM = n x R2 de e^2 sobre X)</t>
  </si>
  <si>
    <t xml:space="preserve">Modelo</t>
  </si>
  <si>
    <t xml:space="preserve">R2 auxiliar</t>
  </si>
  <si>
    <t xml:space="preserve">LM</t>
  </si>
  <si>
    <t xml:space="preserve">gl</t>
  </si>
  <si>
    <t xml:space="preserve">C. NORMALIDAD — Jarque-Bera</t>
  </si>
  <si>
    <t xml:space="preserve">Asimetria</t>
  </si>
  <si>
    <t xml:space="preserve">Curtosis exc.</t>
  </si>
  <si>
    <t xml:space="preserve">JB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</si>
</sst>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000"/>
    <numFmt numFmtId="167" formatCode="0.000000"/>
    <numFmt numFmtId="168" formatCode="0.00000"/>
    <numFmt numFmtId="169" formatCode="0.00E+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Modelo_Base!B99</f>
        <v>78</v>
      </c>
      <c r="C5" s="5" t="n">
        <f aca="false">Modelo_Nuevo!B98</f>
        <v>78</v>
      </c>
      <c r="D5" s="5" t="n">
        <f aca="false">Modelo_Nuevo!B173</f>
        <v>78</v>
      </c>
    </row>
    <row r="6" customFormat="false" ht="15" hidden="false" customHeight="false" outlineLevel="0" collapsed="false">
      <c r="A6" s="4" t="s">
        <v>7</v>
      </c>
      <c r="B6" s="5" t="n">
        <f aca="false">Modelo_Base!B100</f>
        <v>5</v>
      </c>
      <c r="C6" s="5" t="n">
        <f aca="false">Modelo_Nuevo!B99</f>
        <v>4</v>
      </c>
      <c r="D6" s="5" t="n">
        <f aca="false">Modelo_Nuevo!B174</f>
        <v>9</v>
      </c>
    </row>
    <row r="7" customFormat="false" ht="15" hidden="false" customHeight="false" outlineLevel="0" collapsed="false">
      <c r="A7" s="4" t="s">
        <v>8</v>
      </c>
      <c r="B7" s="6" t="n">
        <f aca="false">Modelo_Base!B101</f>
        <v>0.447523775275285</v>
      </c>
      <c r="C7" s="6" t="n">
        <f aca="false">Modelo_Nuevo!B100</f>
        <v>0.539290083050373</v>
      </c>
      <c r="D7" s="6" t="n">
        <f aca="false">Modelo_Nuevo!B175</f>
        <v>0.655493666319145</v>
      </c>
    </row>
    <row r="8" customFormat="false" ht="15" hidden="false" customHeight="false" outlineLevel="0" collapsed="false">
      <c r="A8" s="4" t="s">
        <v>9</v>
      </c>
      <c r="B8" s="7" t="n">
        <f aca="false">Modelo_Base!B102</f>
        <v>0.417251105427356</v>
      </c>
      <c r="C8" s="7" t="n">
        <f aca="false">Modelo_Nuevo!B101</f>
        <v>0.520612653984848</v>
      </c>
      <c r="D8" s="7" t="n">
        <f aca="false">Modelo_Nuevo!B176</f>
        <v>0.615550902993829</v>
      </c>
    </row>
    <row r="9" customFormat="false" ht="15" hidden="false" customHeight="false" outlineLevel="0" collapsed="false">
      <c r="A9" s="4" t="s">
        <v>10</v>
      </c>
      <c r="B9" s="8" t="n">
        <f aca="false">Modelo_Base!B103</f>
        <v>0.158708431158188</v>
      </c>
      <c r="C9" s="8" t="n">
        <f aca="false">Modelo_Nuevo!B102</f>
        <v>0.132346958775516</v>
      </c>
      <c r="D9" s="8" t="n">
        <f aca="false">Modelo_Nuevo!B177</f>
        <v>0.0989654528025913</v>
      </c>
    </row>
    <row r="10" customFormat="false" ht="15" hidden="false" customHeight="false" outlineLevel="0" collapsed="false">
      <c r="A10" s="4" t="s">
        <v>11</v>
      </c>
      <c r="B10" s="9" t="n">
        <f aca="false">Modelo_Base!B105</f>
        <v>-252.042426366545</v>
      </c>
      <c r="C10" s="9" t="n">
        <f aca="false">Modelo_Nuevo!B104</f>
        <v>-268.210486981349</v>
      </c>
      <c r="D10" s="9" t="n">
        <f aca="false">Modelo_Nuevo!B179</f>
        <v>-280.881664506286</v>
      </c>
    </row>
    <row r="11" customFormat="false" ht="15" hidden="false" customHeight="false" outlineLevel="0" collapsed="false">
      <c r="A11" s="4" t="s">
        <v>12</v>
      </c>
      <c r="B11" s="9" t="n">
        <f aca="false">Modelo_Base!B106</f>
        <v>-240.258882233097</v>
      </c>
      <c r="C11" s="9" t="n">
        <f aca="false">Modelo_Nuevo!B105</f>
        <v>-258.783651674591</v>
      </c>
      <c r="D11" s="9" t="n">
        <f aca="false">Modelo_Nuevo!B180</f>
        <v>-259.671285066079</v>
      </c>
    </row>
    <row r="12" customFormat="false" ht="15" hidden="false" customHeight="false" outlineLevel="0" collapsed="false">
      <c r="A12" s="4" t="s">
        <v>13</v>
      </c>
      <c r="B12" s="6" t="n">
        <f aca="false">Diagnosticos!B6</f>
        <v>0.8314073742867</v>
      </c>
      <c r="C12" s="6" t="n">
        <f aca="false">Diagnosticos!C6</f>
        <v>1.08014432246823</v>
      </c>
      <c r="D12" s="6" t="n">
        <f aca="false">Diagnosticos!D6</f>
        <v>0.904887172784069</v>
      </c>
    </row>
    <row r="13" customFormat="false" ht="15" hidden="false" customHeight="false" outlineLevel="0" collapsed="false">
      <c r="A13" s="4" t="s">
        <v>14</v>
      </c>
      <c r="B13" s="6" t="n">
        <f aca="false">Diagnosticos!E21</f>
        <v>7.28565008699004E-005</v>
      </c>
      <c r="C13" s="6" t="n">
        <f aca="false">Diagnosticos!E22</f>
        <v>0.290105675073836</v>
      </c>
      <c r="D13" s="6" t="n">
        <f aca="false">Diagnosticos!E23</f>
        <v>0.795513863459962</v>
      </c>
    </row>
    <row r="15" customFormat="false" ht="15" hidden="false" customHeight="false" outlineLevel="0" collapsed="false">
      <c r="A15" s="10" t="s">
        <v>15</v>
      </c>
    </row>
    <row r="16" customFormat="false" ht="15" hidden="false" customHeight="false" outlineLevel="0" collapsed="false">
      <c r="A16" s="11" t="s">
        <v>16</v>
      </c>
      <c r="B16" s="11" t="s">
        <v>17</v>
      </c>
      <c r="C16" s="11" t="s">
        <v>18</v>
      </c>
      <c r="D16" s="11" t="s">
        <v>19</v>
      </c>
      <c r="E16" s="11" t="s">
        <v>20</v>
      </c>
    </row>
    <row r="17" customFormat="false" ht="15" hidden="false" customHeight="false" outlineLevel="0" collapsed="false">
      <c r="A17" s="6" t="str">
        <f aca="false">Modelo_Nuevo!A157</f>
        <v>const</v>
      </c>
      <c r="B17" s="8" t="n">
        <f aca="false">Modelo_Nuevo!B157</f>
        <v>0.0140877059246794</v>
      </c>
      <c r="C17" s="8" t="n">
        <f aca="false">Modelo_Nuevo!C157</f>
        <v>0.00666258478356161</v>
      </c>
      <c r="D17" s="5" t="n">
        <f aca="false">Modelo_Nuevo!D157</f>
        <v>2.11445052968595</v>
      </c>
      <c r="E17" s="6" t="n">
        <f aca="false">Modelo_Nuevo!E157</f>
        <v>0.0378453981164376</v>
      </c>
    </row>
    <row r="18" customFormat="false" ht="15" hidden="false" customHeight="false" outlineLevel="0" collapsed="false">
      <c r="A18" s="6" t="str">
        <f aca="false">Modelo_Nuevo!A158</f>
        <v>x1  D4lnITCRM(t)</v>
      </c>
      <c r="B18" s="8" t="n">
        <f aca="false">Modelo_Nuevo!B158</f>
        <v>-0.147207678460372</v>
      </c>
      <c r="C18" s="8" t="n">
        <f aca="false">Modelo_Nuevo!C158</f>
        <v>0.0335267730178747</v>
      </c>
      <c r="D18" s="5" t="n">
        <f aca="false">Modelo_Nuevo!D158</f>
        <v>-4.39074999499321</v>
      </c>
      <c r="E18" s="6" t="n">
        <f aca="false">Modelo_Nuevo!E158</f>
        <v>3.69915394768358E-005</v>
      </c>
    </row>
    <row r="19" customFormat="false" ht="15" hidden="false" customHeight="false" outlineLevel="0" collapsed="false">
      <c r="A19" s="6" t="str">
        <f aca="false">Modelo_Nuevo!A159</f>
        <v>x2  D4lnEMBI(t-1)</v>
      </c>
      <c r="B19" s="8" t="n">
        <f aca="false">Modelo_Nuevo!B159</f>
        <v>-0.0573422814335309</v>
      </c>
      <c r="C19" s="8" t="n">
        <f aca="false">Modelo_Nuevo!C159</f>
        <v>0.0124478244287493</v>
      </c>
      <c r="D19" s="5" t="n">
        <f aca="false">Modelo_Nuevo!D159</f>
        <v>-4.6066107183432</v>
      </c>
      <c r="E19" s="6" t="n">
        <f aca="false">Modelo_Nuevo!E159</f>
        <v>1.66819630395509E-005</v>
      </c>
    </row>
    <row r="20" customFormat="false" ht="15" hidden="false" customHeight="false" outlineLevel="0" collapsed="false">
      <c r="A20" s="6" t="str">
        <f aca="false">Modelo_Nuevo!A160</f>
        <v>x3  M3R(t-2)</v>
      </c>
      <c r="B20" s="8" t="n">
        <f aca="false">Modelo_Nuevo!B160</f>
        <v>0.179649225389201</v>
      </c>
      <c r="C20" s="8" t="n">
        <f aca="false">Modelo_Nuevo!C160</f>
        <v>0.0389226975160121</v>
      </c>
      <c r="D20" s="5" t="n">
        <f aca="false">Modelo_Nuevo!D160</f>
        <v>4.61553892340829</v>
      </c>
      <c r="E20" s="6" t="n">
        <f aca="false">Modelo_Nuevo!E160</f>
        <v>1.61350044171227E-005</v>
      </c>
    </row>
    <row r="23" customFormat="false" ht="15" hidden="false" customHeight="false" outlineLevel="0" collapsed="false">
      <c r="A23" s="10" t="s">
        <v>21</v>
      </c>
    </row>
    <row r="24" customFormat="false" ht="15" hidden="false" customHeight="false" outlineLevel="0" collapsed="false">
      <c r="A24" s="12" t="s">
        <v>22</v>
      </c>
    </row>
    <row r="25" customFormat="false" ht="15" hidden="false" customHeight="false" outlineLevel="0" collapsed="false">
      <c r="A25" s="12" t="s">
        <v>23</v>
      </c>
      <c r="B25" s="13" t="n">
        <f aca="false">Modelo_Base!B114</f>
        <v>0.0449997390048873</v>
      </c>
    </row>
    <row r="26" customFormat="false" ht="15" hidden="false" customHeight="false" outlineLevel="0" collapsed="false">
      <c r="A26" s="12" t="s">
        <v>24</v>
      </c>
      <c r="B26" s="14" t="n">
        <f aca="false">Modelo_Base!B115</f>
        <v>0.832595696448995</v>
      </c>
    </row>
    <row r="27" customFormat="false" ht="15" hidden="false" customHeight="false" outlineLevel="0" collapsed="false">
      <c r="A27" s="2" t="s">
        <v>25</v>
      </c>
    </row>
    <row r="30" customFormat="false" ht="15" hidden="false" customHeight="false" outlineLevel="0" collapsed="false">
      <c r="A30" s="10" t="s">
        <v>26</v>
      </c>
    </row>
    <row r="31" customFormat="false" ht="15" hidden="false" customHeight="false" outlineLevel="0" collapsed="false">
      <c r="A31" s="2" t="s">
        <v>27</v>
      </c>
    </row>
    <row r="32" customFormat="false" ht="15" hidden="false" customHeight="false" outlineLevel="0" collapsed="false">
      <c r="A32" s="2" t="s">
        <v>28</v>
      </c>
    </row>
    <row r="33" customFormat="false" ht="15" hidden="false" customHeight="false" outlineLevel="0" collapsed="false">
      <c r="A33" s="2" t="s">
        <v>29</v>
      </c>
    </row>
    <row r="34" customFormat="false" ht="15" hidden="false" customHeight="false" outlineLevel="0" collapsed="false">
      <c r="A34" s="2" t="s">
        <v>30</v>
      </c>
    </row>
    <row r="35" customFormat="false" ht="15" hidden="false" customHeight="false" outlineLevel="0" collapsed="false">
      <c r="A35" s="2" t="s">
        <v>31</v>
      </c>
    </row>
    <row r="36" customFormat="false" ht="15" hidden="false" customHeight="false" outlineLevel="0" collapsed="false">
      <c r="A36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12"/>
    <col collapsed="false" customWidth="true" hidden="false" outlineLevel="0" max="10" min="7" style="0" width="12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3" customFormat="false" ht="15" hidden="false" customHeight="false" outlineLevel="0" collapsed="false">
      <c r="A3" s="2" t="s">
        <v>35</v>
      </c>
    </row>
    <row r="4" customFormat="false" ht="15" hidden="false" customHeight="false" outlineLevel="0" collapsed="false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12"/>
      <c r="G4" s="3" t="s">
        <v>41</v>
      </c>
      <c r="H4" s="3" t="s">
        <v>42</v>
      </c>
      <c r="I4" s="3" t="s">
        <v>43</v>
      </c>
      <c r="J4" s="3" t="s">
        <v>44</v>
      </c>
    </row>
    <row r="5" customFormat="false" ht="15" hidden="false" customHeight="false" outlineLevel="0" collapsed="false">
      <c r="A5" s="12" t="s">
        <v>45</v>
      </c>
      <c r="B5" s="15"/>
      <c r="C5" s="15" t="n">
        <v>162.256584964987</v>
      </c>
      <c r="D5" s="16" t="n">
        <v>0.126266098180599</v>
      </c>
      <c r="E5" s="16" t="n">
        <v>0.0721878676041452</v>
      </c>
      <c r="G5" s="17" t="str">
        <f aca="false">IF(ISNUMBER(B5),LN(B5),"")</f>
        <v/>
      </c>
      <c r="H5" s="17" t="n">
        <f aca="false">LN(C5)</f>
        <v>5.08917894006102</v>
      </c>
      <c r="I5" s="18"/>
      <c r="J5" s="18"/>
    </row>
    <row r="6" customFormat="false" ht="15" hidden="false" customHeight="false" outlineLevel="0" collapsed="false">
      <c r="A6" s="12" t="s">
        <v>46</v>
      </c>
      <c r="B6" s="15"/>
      <c r="C6" s="15" t="n">
        <v>159.966351593695</v>
      </c>
      <c r="D6" s="16" t="n">
        <v>0.165052590466378</v>
      </c>
      <c r="E6" s="16" t="n">
        <v>0.130779807239928</v>
      </c>
      <c r="G6" s="17" t="str">
        <f aca="false">IF(ISNUMBER(B6),LN(B6),"")</f>
        <v/>
      </c>
      <c r="H6" s="17" t="n">
        <f aca="false">LN(C6)</f>
        <v>5.07496349057774</v>
      </c>
      <c r="I6" s="18"/>
      <c r="J6" s="18"/>
    </row>
    <row r="7" customFormat="false" ht="15" hidden="false" customHeight="false" outlineLevel="0" collapsed="false">
      <c r="A7" s="12" t="s">
        <v>47</v>
      </c>
      <c r="B7" s="15" t="n">
        <v>413.72934375</v>
      </c>
      <c r="C7" s="15" t="n">
        <v>160.080021891112</v>
      </c>
      <c r="D7" s="16" t="n">
        <v>0.0831357686549594</v>
      </c>
      <c r="E7" s="16" t="n">
        <v>0.0697197786983204</v>
      </c>
      <c r="G7" s="17" t="n">
        <f aca="false">IF(ISNUMBER(B7),LN(B7),"")</f>
        <v>6.02521200097371</v>
      </c>
      <c r="H7" s="17" t="n">
        <f aca="false">LN(C7)</f>
        <v>5.07567382702654</v>
      </c>
      <c r="I7" s="18"/>
      <c r="J7" s="18"/>
    </row>
    <row r="8" customFormat="false" ht="15" hidden="false" customHeight="false" outlineLevel="0" collapsed="false">
      <c r="A8" s="12" t="s">
        <v>48</v>
      </c>
      <c r="B8" s="15" t="n">
        <v>423.416245901639</v>
      </c>
      <c r="C8" s="15" t="n">
        <v>163.869374755291</v>
      </c>
      <c r="D8" s="16" t="n">
        <v>0.0668307140193338</v>
      </c>
      <c r="E8" s="16" t="n">
        <v>0.0778289449927467</v>
      </c>
      <c r="G8" s="17" t="n">
        <f aca="false">IF(ISNUMBER(B8),LN(B8),"")</f>
        <v>6.04835572806772</v>
      </c>
      <c r="H8" s="17" t="n">
        <f aca="false">LN(C8)</f>
        <v>5.09906961505864</v>
      </c>
      <c r="I8" s="18"/>
      <c r="J8" s="18"/>
    </row>
    <row r="9" customFormat="false" ht="15" hidden="false" customHeight="false" outlineLevel="0" collapsed="false">
      <c r="A9" s="12" t="s">
        <v>49</v>
      </c>
      <c r="B9" s="15" t="n">
        <v>394.415177419355</v>
      </c>
      <c r="C9" s="15" t="n">
        <v>166.813116667429</v>
      </c>
      <c r="D9" s="16" t="n">
        <v>0.0249109045549891</v>
      </c>
      <c r="E9" s="16" t="n">
        <v>0.0784957106960194</v>
      </c>
      <c r="G9" s="17" t="n">
        <f aca="false">IF(ISNUMBER(B9),LN(B9),"")</f>
        <v>5.97740410428865</v>
      </c>
      <c r="H9" s="17" t="n">
        <f aca="false">LN(C9)</f>
        <v>5.11687412392781</v>
      </c>
      <c r="I9" s="17" t="str">
        <f aca="false">IF(AND(ISNUMBER(G9),ISNUMBER(G5)),G9-G5,"")</f>
        <v/>
      </c>
      <c r="J9" s="17" t="n">
        <f aca="false">H9-H5</f>
        <v>0.0276951838667854</v>
      </c>
    </row>
    <row r="10" customFormat="false" ht="15" hidden="false" customHeight="false" outlineLevel="0" collapsed="false">
      <c r="A10" s="12" t="s">
        <v>50</v>
      </c>
      <c r="B10" s="15" t="n">
        <v>353.71380952381</v>
      </c>
      <c r="C10" s="15" t="n">
        <v>166.019557869898</v>
      </c>
      <c r="D10" s="16" t="n">
        <v>0.0485206366195832</v>
      </c>
      <c r="E10" s="16" t="n">
        <v>0.0557158530410582</v>
      </c>
      <c r="G10" s="17" t="n">
        <f aca="false">IF(ISNUMBER(B10),LN(B10),"")</f>
        <v>5.86848813849086</v>
      </c>
      <c r="H10" s="17" t="n">
        <f aca="false">LN(C10)</f>
        <v>5.11210559990985</v>
      </c>
      <c r="I10" s="17" t="str">
        <f aca="false">IF(AND(ISNUMBER(G10),ISNUMBER(G6)),G10-G6,"")</f>
        <v/>
      </c>
      <c r="J10" s="17" t="n">
        <f aca="false">H10-H6</f>
        <v>0.0371421093321098</v>
      </c>
    </row>
    <row r="11" customFormat="false" ht="15" hidden="false" customHeight="false" outlineLevel="0" collapsed="false">
      <c r="A11" s="12" t="s">
        <v>51</v>
      </c>
      <c r="B11" s="15" t="n">
        <v>339.045285714286</v>
      </c>
      <c r="C11" s="15" t="n">
        <v>165.953385329609</v>
      </c>
      <c r="D11" s="16" t="n">
        <v>0.0647453101736395</v>
      </c>
      <c r="E11" s="16" t="n">
        <v>0.0938049028107186</v>
      </c>
      <c r="G11" s="17" t="n">
        <f aca="false">IF(ISNUMBER(B11),LN(B11),"")</f>
        <v>5.82613368463645</v>
      </c>
      <c r="H11" s="17" t="n">
        <f aca="false">LN(C11)</f>
        <v>5.11170693765426</v>
      </c>
      <c r="I11" s="17" t="n">
        <f aca="false">IF(AND(ISNUMBER(G11),ISNUMBER(G7)),G11-G7,"")</f>
        <v>-0.19907831633726</v>
      </c>
      <c r="J11" s="17" t="n">
        <f aca="false">H11-H7</f>
        <v>0.0360331106277156</v>
      </c>
    </row>
    <row r="12" customFormat="false" ht="15" hidden="false" customHeight="false" outlineLevel="0" collapsed="false">
      <c r="A12" s="12" t="s">
        <v>52</v>
      </c>
      <c r="B12" s="15" t="n">
        <v>281.705258064516</v>
      </c>
      <c r="C12" s="15" t="n">
        <v>163.556535799819</v>
      </c>
      <c r="D12" s="16" t="n">
        <v>0.0924472490479791</v>
      </c>
      <c r="E12" s="16" t="n">
        <v>0.0967704037698498</v>
      </c>
      <c r="G12" s="17" t="n">
        <f aca="false">IF(ISNUMBER(B12),LN(B12),"")</f>
        <v>5.64086134018387</v>
      </c>
      <c r="H12" s="17" t="n">
        <f aca="false">LN(C12)</f>
        <v>5.09715871527593</v>
      </c>
      <c r="I12" s="17" t="n">
        <f aca="false">IF(AND(ISNUMBER(G12),ISNUMBER(G8)),G12-G8,"")</f>
        <v>-0.40749438788385</v>
      </c>
      <c r="J12" s="17" t="n">
        <f aca="false">H12-H8</f>
        <v>-0.00191089978270753</v>
      </c>
    </row>
    <row r="13" customFormat="false" ht="15" hidden="false" customHeight="false" outlineLevel="0" collapsed="false">
      <c r="A13" s="12" t="s">
        <v>53</v>
      </c>
      <c r="B13" s="15" t="n">
        <v>210.279435483871</v>
      </c>
      <c r="C13" s="15" t="n">
        <v>163.258912971147</v>
      </c>
      <c r="D13" s="16" t="n">
        <v>0.126601797624711</v>
      </c>
      <c r="E13" s="16" t="n">
        <v>0.0835894113627564</v>
      </c>
      <c r="G13" s="17" t="n">
        <f aca="false">IF(ISNUMBER(B13),LN(B13),"")</f>
        <v>5.34843729135506</v>
      </c>
      <c r="H13" s="17" t="n">
        <f aca="false">LN(C13)</f>
        <v>5.09533736373292</v>
      </c>
      <c r="I13" s="17" t="n">
        <f aca="false">IF(AND(ISNUMBER(G13),ISNUMBER(G9)),G13-G9,"")</f>
        <v>-0.628966812933593</v>
      </c>
      <c r="J13" s="17" t="n">
        <f aca="false">H13-H9</f>
        <v>-0.0215367601948842</v>
      </c>
    </row>
    <row r="14" customFormat="false" ht="15" hidden="false" customHeight="false" outlineLevel="0" collapsed="false">
      <c r="A14" s="12" t="s">
        <v>54</v>
      </c>
      <c r="B14" s="15" t="n">
        <v>268.385666666667</v>
      </c>
      <c r="C14" s="15" t="n">
        <v>161.942756124479</v>
      </c>
      <c r="D14" s="16" t="n">
        <v>0.113965939523165</v>
      </c>
      <c r="E14" s="16" t="n">
        <v>0.0985938738676382</v>
      </c>
      <c r="G14" s="17" t="n">
        <f aca="false">IF(ISNUMBER(B14),LN(B14),"")</f>
        <v>5.59242500079027</v>
      </c>
      <c r="H14" s="17" t="n">
        <f aca="false">LN(C14)</f>
        <v>5.0872429155307</v>
      </c>
      <c r="I14" s="17" t="n">
        <f aca="false">IF(AND(ISNUMBER(G14),ISNUMBER(G10)),G14-G10,"")</f>
        <v>-0.276063137700592</v>
      </c>
      <c r="J14" s="17" t="n">
        <f aca="false">H14-H10</f>
        <v>-0.0248626843791548</v>
      </c>
    </row>
    <row r="15" customFormat="false" ht="15" hidden="false" customHeight="false" outlineLevel="0" collapsed="false">
      <c r="A15" s="12" t="s">
        <v>55</v>
      </c>
      <c r="B15" s="15" t="n">
        <v>415.128063492064</v>
      </c>
      <c r="C15" s="15" t="n">
        <v>157.561847944588</v>
      </c>
      <c r="D15" s="16" t="n">
        <v>0.0893433207444097</v>
      </c>
      <c r="E15" s="16" t="n">
        <v>0.0842779771268098</v>
      </c>
      <c r="G15" s="17" t="n">
        <f aca="false">IF(ISNUMBER(B15),LN(B15),"")</f>
        <v>6.02858705935547</v>
      </c>
      <c r="H15" s="17" t="n">
        <f aca="false">LN(C15)</f>
        <v>5.05981806654743</v>
      </c>
      <c r="I15" s="17" t="n">
        <f aca="false">IF(AND(ISNUMBER(G15),ISNUMBER(G11)),G15-G11,"")</f>
        <v>0.202453374719026</v>
      </c>
      <c r="J15" s="17" t="n">
        <f aca="false">H15-H11</f>
        <v>-0.0518888711068266</v>
      </c>
    </row>
    <row r="16" customFormat="false" ht="15" hidden="false" customHeight="false" outlineLevel="0" collapsed="false">
      <c r="A16" s="12" t="s">
        <v>56</v>
      </c>
      <c r="B16" s="15" t="n">
        <v>386.901387096774</v>
      </c>
      <c r="C16" s="15" t="n">
        <v>158.879120169336</v>
      </c>
      <c r="D16" s="16" t="n">
        <v>0.0379736872499228</v>
      </c>
      <c r="E16" s="16" t="n">
        <v>0.092673486299768</v>
      </c>
      <c r="G16" s="17" t="n">
        <f aca="false">IF(ISNUMBER(B16),LN(B16),"")</f>
        <v>5.95816984685583</v>
      </c>
      <c r="H16" s="17" t="n">
        <f aca="false">LN(C16)</f>
        <v>5.06814366257594</v>
      </c>
      <c r="I16" s="17" t="n">
        <f aca="false">IF(AND(ISNUMBER(G16),ISNUMBER(G12)),G16-G12,"")</f>
        <v>0.317308506671958</v>
      </c>
      <c r="J16" s="17" t="n">
        <f aca="false">H16-H12</f>
        <v>-0.0290150526999913</v>
      </c>
    </row>
    <row r="17" customFormat="false" ht="15" hidden="false" customHeight="false" outlineLevel="0" collapsed="false">
      <c r="A17" s="12" t="s">
        <v>57</v>
      </c>
      <c r="B17" s="15" t="n">
        <v>482.238426229508</v>
      </c>
      <c r="C17" s="15" t="n">
        <v>159.287761140975</v>
      </c>
      <c r="D17" s="16" t="n">
        <v>0.00576829173150295</v>
      </c>
      <c r="E17" s="16" t="n">
        <v>0.0691231457663233</v>
      </c>
      <c r="G17" s="17" t="n">
        <f aca="false">IF(ISNUMBER(B17),LN(B17),"")</f>
        <v>6.17843865197376</v>
      </c>
      <c r="H17" s="17" t="n">
        <f aca="false">LN(C17)</f>
        <v>5.07071238496874</v>
      </c>
      <c r="I17" s="17" t="n">
        <f aca="false">IF(AND(ISNUMBER(G17),ISNUMBER(G13)),G17-G13,"")</f>
        <v>0.830001360618699</v>
      </c>
      <c r="J17" s="17" t="n">
        <f aca="false">H17-H13</f>
        <v>-0.0246249787641784</v>
      </c>
    </row>
    <row r="18" customFormat="false" ht="15" hidden="false" customHeight="false" outlineLevel="0" collapsed="false">
      <c r="A18" s="12" t="s">
        <v>58</v>
      </c>
      <c r="B18" s="15" t="n">
        <v>556.653203125</v>
      </c>
      <c r="C18" s="15" t="n">
        <v>152.769890273791</v>
      </c>
      <c r="D18" s="16" t="n">
        <v>-0.0414443257073285</v>
      </c>
      <c r="E18" s="16" t="n">
        <v>0.0545268547475248</v>
      </c>
      <c r="G18" s="17" t="n">
        <f aca="false">IF(ISNUMBER(B18),LN(B18),"")</f>
        <v>6.32194243044721</v>
      </c>
      <c r="H18" s="17" t="n">
        <f aca="false">LN(C18)</f>
        <v>5.02893280413289</v>
      </c>
      <c r="I18" s="17" t="n">
        <f aca="false">IF(AND(ISNUMBER(G18),ISNUMBER(G14)),G18-G14,"")</f>
        <v>0.72951742965694</v>
      </c>
      <c r="J18" s="17" t="n">
        <f aca="false">H18-H14</f>
        <v>-0.0583101113978053</v>
      </c>
    </row>
    <row r="19" customFormat="false" ht="15" hidden="false" customHeight="false" outlineLevel="0" collapsed="false">
      <c r="A19" s="12" t="s">
        <v>59</v>
      </c>
      <c r="B19" s="15" t="n">
        <v>696.827171875</v>
      </c>
      <c r="C19" s="15" t="n">
        <v>142.652005697041</v>
      </c>
      <c r="D19" s="16" t="n">
        <v>-0.0310561338962782</v>
      </c>
      <c r="E19" s="16" t="n">
        <v>0.060060161436698</v>
      </c>
      <c r="G19" s="17" t="n">
        <f aca="false">IF(ISNUMBER(B19),LN(B19),"")</f>
        <v>6.54653742000618</v>
      </c>
      <c r="H19" s="17" t="n">
        <f aca="false">LN(C19)</f>
        <v>4.96040813782734</v>
      </c>
      <c r="I19" s="17" t="n">
        <f aca="false">IF(AND(ISNUMBER(G19),ISNUMBER(G15)),G19-G15,"")</f>
        <v>0.517950360650714</v>
      </c>
      <c r="J19" s="17" t="n">
        <f aca="false">H19-H15</f>
        <v>-0.0994099287200925</v>
      </c>
    </row>
    <row r="20" customFormat="false" ht="15" hidden="false" customHeight="false" outlineLevel="0" collapsed="false">
      <c r="A20" s="12" t="s">
        <v>60</v>
      </c>
      <c r="B20" s="15" t="n">
        <v>1696.59024193548</v>
      </c>
      <c r="C20" s="15" t="n">
        <v>128.298659952696</v>
      </c>
      <c r="D20" s="16" t="n">
        <v>-0.0433503245183842</v>
      </c>
      <c r="E20" s="16" t="n">
        <v>-0.019789908841391</v>
      </c>
      <c r="G20" s="17" t="n">
        <f aca="false">IF(ISNUMBER(B20),LN(B20),"")</f>
        <v>7.43637577581606</v>
      </c>
      <c r="H20" s="17" t="n">
        <f aca="false">LN(C20)</f>
        <v>4.85436082692711</v>
      </c>
      <c r="I20" s="17" t="n">
        <f aca="false">IF(AND(ISNUMBER(G20),ISNUMBER(G16)),G20-G16,"")</f>
        <v>1.47820592896023</v>
      </c>
      <c r="J20" s="17" t="n">
        <f aca="false">H20-H16</f>
        <v>-0.213782835648829</v>
      </c>
    </row>
    <row r="21" customFormat="false" ht="15" hidden="false" customHeight="false" outlineLevel="0" collapsed="false">
      <c r="A21" s="12" t="s">
        <v>61</v>
      </c>
      <c r="B21" s="15" t="n">
        <v>1700.06040983607</v>
      </c>
      <c r="C21" s="15" t="n">
        <v>132.795975748865</v>
      </c>
      <c r="D21" s="16" t="n">
        <v>-0.0939912544057393</v>
      </c>
      <c r="E21" s="16" t="n">
        <v>-0.0618875514402444</v>
      </c>
      <c r="G21" s="17" t="n">
        <f aca="false">IF(ISNUMBER(B21),LN(B21),"")</f>
        <v>7.43841906461063</v>
      </c>
      <c r="H21" s="17" t="n">
        <f aca="false">LN(C21)</f>
        <v>4.88881393348729</v>
      </c>
      <c r="I21" s="17" t="n">
        <f aca="false">IF(AND(ISNUMBER(G21),ISNUMBER(G17)),G21-G17,"")</f>
        <v>1.25998041263688</v>
      </c>
      <c r="J21" s="17" t="n">
        <f aca="false">H21-H17</f>
        <v>-0.181898451481454</v>
      </c>
    </row>
    <row r="22" customFormat="false" ht="15" hidden="false" customHeight="false" outlineLevel="0" collapsed="false">
      <c r="A22" s="12" t="s">
        <v>62</v>
      </c>
      <c r="B22" s="15" t="n">
        <v>1455.65919047619</v>
      </c>
      <c r="C22" s="15" t="n">
        <v>142.660924011949</v>
      </c>
      <c r="D22" s="16" t="n">
        <v>-0.121024937224579</v>
      </c>
      <c r="E22" s="16" t="n">
        <v>-0.112745471526209</v>
      </c>
      <c r="G22" s="17" t="n">
        <f aca="false">IF(ISNUMBER(B22),LN(B22),"")</f>
        <v>7.28321412888225</v>
      </c>
      <c r="H22" s="17" t="n">
        <f aca="false">LN(C22)</f>
        <v>4.96047065385085</v>
      </c>
      <c r="I22" s="17" t="n">
        <f aca="false">IF(AND(ISNUMBER(G22),ISNUMBER(G18)),G22-G18,"")</f>
        <v>0.96127169843504</v>
      </c>
      <c r="J22" s="17" t="n">
        <f aca="false">H22-H18</f>
        <v>-0.0684621502820431</v>
      </c>
    </row>
    <row r="23" customFormat="false" ht="15" hidden="false" customHeight="false" outlineLevel="0" collapsed="false">
      <c r="A23" s="12" t="s">
        <v>63</v>
      </c>
      <c r="B23" s="15" t="n">
        <v>921.669609375</v>
      </c>
      <c r="C23" s="15" t="n">
        <v>150.669558098224</v>
      </c>
      <c r="D23" s="16" t="n">
        <v>-0.102129686835791</v>
      </c>
      <c r="E23" s="16" t="n">
        <v>-0.0565117996405296</v>
      </c>
      <c r="G23" s="17" t="n">
        <f aca="false">IF(ISNUMBER(B23),LN(B23),"")</f>
        <v>6.82618681809516</v>
      </c>
      <c r="H23" s="17" t="n">
        <f aca="false">LN(C23)</f>
        <v>5.01508908189739</v>
      </c>
      <c r="I23" s="17" t="n">
        <f aca="false">IF(AND(ISNUMBER(G23),ISNUMBER(G19)),G23-G19,"")</f>
        <v>0.27964939808898</v>
      </c>
      <c r="J23" s="17" t="n">
        <f aca="false">H23-H19</f>
        <v>0.0546809440700518</v>
      </c>
    </row>
    <row r="24" customFormat="false" ht="15" hidden="false" customHeight="false" outlineLevel="0" collapsed="false">
      <c r="A24" s="12" t="s">
        <v>64</v>
      </c>
      <c r="B24" s="15" t="n">
        <v>717.923774193549</v>
      </c>
      <c r="C24" s="15" t="n">
        <v>149.429776300963</v>
      </c>
      <c r="D24" s="16" t="n">
        <v>-0.0818636052035965</v>
      </c>
      <c r="E24" s="16" t="n">
        <v>0.00281998226127467</v>
      </c>
      <c r="G24" s="17" t="n">
        <f aca="false">IF(ISNUMBER(B24),LN(B24),"")</f>
        <v>6.57636339933658</v>
      </c>
      <c r="H24" s="17" t="n">
        <f aca="false">LN(C24)</f>
        <v>5.00682655873661</v>
      </c>
      <c r="I24" s="17" t="n">
        <f aca="false">IF(AND(ISNUMBER(G24),ISNUMBER(G20)),G24-G20,"")</f>
        <v>-0.86001237647948</v>
      </c>
      <c r="J24" s="17" t="n">
        <f aca="false">H24-H20</f>
        <v>0.1524657318095</v>
      </c>
    </row>
    <row r="25" customFormat="false" ht="15" hidden="false" customHeight="false" outlineLevel="0" collapsed="false">
      <c r="A25" s="12" t="s">
        <v>65</v>
      </c>
      <c r="B25" s="15" t="n">
        <v>733.365409836066</v>
      </c>
      <c r="C25" s="15" t="n">
        <v>136.973218125647</v>
      </c>
      <c r="D25" s="16" t="n">
        <v>-0.0453784606172778</v>
      </c>
      <c r="E25" s="16" t="n">
        <v>0.0571326910752132</v>
      </c>
      <c r="G25" s="17" t="n">
        <f aca="false">IF(ISNUMBER(B25),LN(B25),"")</f>
        <v>6.59764409040725</v>
      </c>
      <c r="H25" s="17" t="n">
        <f aca="false">LN(C25)</f>
        <v>4.91978541858387</v>
      </c>
      <c r="I25" s="17" t="n">
        <f aca="false">IF(AND(ISNUMBER(G25),ISNUMBER(G21)),G25-G21,"")</f>
        <v>-0.840774974203388</v>
      </c>
      <c r="J25" s="17" t="n">
        <f aca="false">H25-H21</f>
        <v>0.0309714850965781</v>
      </c>
    </row>
    <row r="26" customFormat="false" ht="15" hidden="false" customHeight="false" outlineLevel="0" collapsed="false">
      <c r="A26" s="12" t="s">
        <v>66</v>
      </c>
      <c r="B26" s="15" t="n">
        <v>733.829920634921</v>
      </c>
      <c r="C26" s="15" t="n">
        <v>129.142884486892</v>
      </c>
      <c r="D26" s="16" t="n">
        <v>0.0701206886265153</v>
      </c>
      <c r="E26" s="16" t="n">
        <v>0.162441995090574</v>
      </c>
      <c r="G26" s="17" t="n">
        <f aca="false">IF(ISNUMBER(B26),LN(B26),"")</f>
        <v>6.59827728600803</v>
      </c>
      <c r="H26" s="17" t="n">
        <f aca="false">LN(C26)</f>
        <v>4.86091942307162</v>
      </c>
      <c r="I26" s="17" t="n">
        <f aca="false">IF(AND(ISNUMBER(G26),ISNUMBER(G22)),G26-G22,"")</f>
        <v>-0.684936842874217</v>
      </c>
      <c r="J26" s="17" t="n">
        <f aca="false">H26-H22</f>
        <v>-0.0995512307792286</v>
      </c>
    </row>
    <row r="27" customFormat="false" ht="15" hidden="false" customHeight="false" outlineLevel="0" collapsed="false">
      <c r="A27" s="12" t="s">
        <v>67</v>
      </c>
      <c r="B27" s="15" t="n">
        <v>711.107390625</v>
      </c>
      <c r="C27" s="15" t="n">
        <v>128.130842918952</v>
      </c>
      <c r="D27" s="16" t="n">
        <v>0.0832314622130852</v>
      </c>
      <c r="E27" s="16" t="n">
        <v>0.0950774236722809</v>
      </c>
      <c r="G27" s="17" t="n">
        <f aca="false">IF(ISNUMBER(B27),LN(B27),"")</f>
        <v>6.56682346006426</v>
      </c>
      <c r="H27" s="17" t="n">
        <f aca="false">LN(C27)</f>
        <v>4.85305195212274</v>
      </c>
      <c r="I27" s="17" t="n">
        <f aca="false">IF(AND(ISNUMBER(G27),ISNUMBER(G23)),G27-G23,"")</f>
        <v>-0.259363358030901</v>
      </c>
      <c r="J27" s="17" t="n">
        <f aca="false">H27-H23</f>
        <v>-0.16203712977465</v>
      </c>
    </row>
    <row r="28" customFormat="false" ht="15" hidden="false" customHeight="false" outlineLevel="0" collapsed="false">
      <c r="A28" s="12" t="s">
        <v>68</v>
      </c>
      <c r="B28" s="15" t="n">
        <v>545.358806451613</v>
      </c>
      <c r="C28" s="15" t="n">
        <v>126.669508132708</v>
      </c>
      <c r="D28" s="16" t="n">
        <v>0.114478472935433</v>
      </c>
      <c r="E28" s="16" t="n">
        <v>0.0860979311042298</v>
      </c>
      <c r="G28" s="17" t="n">
        <f aca="false">IF(ISNUMBER(B28),LN(B28),"")</f>
        <v>6.30144393850074</v>
      </c>
      <c r="H28" s="17" t="n">
        <f aca="false">LN(C28)</f>
        <v>4.84158139642736</v>
      </c>
      <c r="I28" s="17" t="n">
        <f aca="false">IF(AND(ISNUMBER(G28),ISNUMBER(G24)),G28-G24,"")</f>
        <v>-0.274919460835839</v>
      </c>
      <c r="J28" s="17" t="n">
        <f aca="false">H28-H24</f>
        <v>-0.16524516230925</v>
      </c>
    </row>
    <row r="29" customFormat="false" ht="15" hidden="false" customHeight="false" outlineLevel="0" collapsed="false">
      <c r="A29" s="12" t="s">
        <v>69</v>
      </c>
      <c r="B29" s="15" t="n">
        <v>532.410096774194</v>
      </c>
      <c r="C29" s="15" t="n">
        <v>125.864511483242</v>
      </c>
      <c r="D29" s="16" t="n">
        <v>0.156755092089227</v>
      </c>
      <c r="E29" s="16" t="n">
        <v>0.0829261625044686</v>
      </c>
      <c r="G29" s="17" t="n">
        <f aca="false">IF(ISNUMBER(B29),LN(B29),"")</f>
        <v>6.27741405098086</v>
      </c>
      <c r="H29" s="17" t="n">
        <f aca="false">LN(C29)</f>
        <v>4.83520602270698</v>
      </c>
      <c r="I29" s="17" t="n">
        <f aca="false">IF(AND(ISNUMBER(G29),ISNUMBER(G25)),G29-G25,"")</f>
        <v>-0.320230039426383</v>
      </c>
      <c r="J29" s="17" t="n">
        <f aca="false">H29-H25</f>
        <v>-0.0845793958768919</v>
      </c>
    </row>
    <row r="30" customFormat="false" ht="15" hidden="false" customHeight="false" outlineLevel="0" collapsed="false">
      <c r="A30" s="12" t="s">
        <v>70</v>
      </c>
      <c r="B30" s="15" t="n">
        <v>573.933</v>
      </c>
      <c r="C30" s="15" t="n">
        <v>126.456357456008</v>
      </c>
      <c r="D30" s="16" t="n">
        <v>0.118095794149657</v>
      </c>
      <c r="E30" s="16" t="n">
        <v>0.0444334376577356</v>
      </c>
      <c r="G30" s="17" t="n">
        <f aca="false">IF(ISNUMBER(B30),LN(B30),"")</f>
        <v>6.35251266476803</v>
      </c>
      <c r="H30" s="17" t="n">
        <f aca="false">LN(C30)</f>
        <v>4.8398972482935</v>
      </c>
      <c r="I30" s="17" t="n">
        <f aca="false">IF(AND(ISNUMBER(G30),ISNUMBER(G26)),G30-G26,"")</f>
        <v>-0.245764621240005</v>
      </c>
      <c r="J30" s="17" t="n">
        <f aca="false">H30-H26</f>
        <v>-0.0210221747781203</v>
      </c>
    </row>
    <row r="31" customFormat="false" ht="15" hidden="false" customHeight="false" outlineLevel="0" collapsed="false">
      <c r="A31" s="12" t="s">
        <v>71</v>
      </c>
      <c r="B31" s="15" t="n">
        <v>732.377625</v>
      </c>
      <c r="C31" s="15" t="n">
        <v>121.91637996123</v>
      </c>
      <c r="D31" s="16" t="n">
        <v>0.124916134258139</v>
      </c>
      <c r="E31" s="16" t="n">
        <v>0.0640936718081673</v>
      </c>
      <c r="G31" s="17" t="n">
        <f aca="false">IF(ISNUMBER(B31),LN(B31),"")</f>
        <v>6.59629626208792</v>
      </c>
      <c r="H31" s="17" t="n">
        <f aca="false">LN(C31)</f>
        <v>4.80333539957848</v>
      </c>
      <c r="I31" s="17" t="n">
        <f aca="false">IF(AND(ISNUMBER(G31),ISNUMBER(G27)),G31-G27,"")</f>
        <v>0.0294728020236565</v>
      </c>
      <c r="J31" s="17" t="n">
        <f aca="false">H31-H27</f>
        <v>-0.0497165525442647</v>
      </c>
    </row>
    <row r="32" customFormat="false" ht="15" hidden="false" customHeight="false" outlineLevel="0" collapsed="false">
      <c r="A32" s="12" t="s">
        <v>72</v>
      </c>
      <c r="B32" s="15" t="n">
        <v>906.962666666667</v>
      </c>
      <c r="C32" s="15" t="n">
        <v>112.530413127183</v>
      </c>
      <c r="D32" s="16" t="n">
        <v>0.0978916859729002</v>
      </c>
      <c r="E32" s="16" t="n">
        <v>0.0521713189216535</v>
      </c>
      <c r="G32" s="17" t="n">
        <f aca="false">IF(ISNUMBER(B32),LN(B32),"")</f>
        <v>6.81010128793024</v>
      </c>
      <c r="H32" s="17" t="n">
        <f aca="false">LN(C32)</f>
        <v>4.72322352401779</v>
      </c>
      <c r="I32" s="17" t="n">
        <f aca="false">IF(AND(ISNUMBER(G32),ISNUMBER(G28)),G32-G28,"")</f>
        <v>0.508657349429499</v>
      </c>
      <c r="J32" s="17" t="n">
        <f aca="false">H32-H28</f>
        <v>-0.118357872409572</v>
      </c>
    </row>
    <row r="33" customFormat="false" ht="15" hidden="false" customHeight="false" outlineLevel="0" collapsed="false">
      <c r="A33" s="12" t="s">
        <v>73</v>
      </c>
      <c r="B33" s="15" t="n">
        <v>831.861633870968</v>
      </c>
      <c r="C33" s="15" t="n">
        <v>111.571646585942</v>
      </c>
      <c r="D33" s="16" t="n">
        <v>0.068851867103453</v>
      </c>
      <c r="E33" s="16" t="n">
        <v>0.0156424693190642</v>
      </c>
      <c r="G33" s="17" t="n">
        <f aca="false">IF(ISNUMBER(B33),LN(B33),"")</f>
        <v>6.72366612154738</v>
      </c>
      <c r="H33" s="17" t="n">
        <f aca="false">LN(C33)</f>
        <v>4.71466695481779</v>
      </c>
      <c r="I33" s="17" t="n">
        <f aca="false">IF(AND(ISNUMBER(G33),ISNUMBER(G29)),G33-G29,"")</f>
        <v>0.446252070566514</v>
      </c>
      <c r="J33" s="17" t="n">
        <f aca="false">H33-H29</f>
        <v>-0.120539067889182</v>
      </c>
    </row>
    <row r="34" customFormat="false" ht="15" hidden="false" customHeight="false" outlineLevel="0" collapsed="false">
      <c r="A34" s="12" t="s">
        <v>74</v>
      </c>
      <c r="B34" s="15" t="n">
        <v>1063.70031904762</v>
      </c>
      <c r="C34" s="15" t="n">
        <v>103.264499439813</v>
      </c>
      <c r="D34" s="16" t="n">
        <v>0.042741373530764</v>
      </c>
      <c r="E34" s="16" t="n">
        <v>-0.0463175722342237</v>
      </c>
      <c r="G34" s="17" t="n">
        <f aca="false">IF(ISNUMBER(B34),LN(B34),"")</f>
        <v>6.96950897519893</v>
      </c>
      <c r="H34" s="17" t="n">
        <f aca="false">LN(C34)</f>
        <v>4.63729365239153</v>
      </c>
      <c r="I34" s="17" t="n">
        <f aca="false">IF(AND(ISNUMBER(G34),ISNUMBER(G30)),G34-G30,"")</f>
        <v>0.616996310430901</v>
      </c>
      <c r="J34" s="17" t="n">
        <f aca="false">H34-H30</f>
        <v>-0.202603595901971</v>
      </c>
    </row>
    <row r="35" customFormat="false" ht="15" hidden="false" customHeight="false" outlineLevel="0" collapsed="false">
      <c r="A35" s="12" t="s">
        <v>75</v>
      </c>
      <c r="B35" s="15" t="n">
        <v>1019.98701587302</v>
      </c>
      <c r="C35" s="15" t="n">
        <v>100.695376904438</v>
      </c>
      <c r="D35" s="16" t="n">
        <v>0.0813586595172222</v>
      </c>
      <c r="E35" s="16" t="n">
        <v>-0.0111829419552486</v>
      </c>
      <c r="G35" s="17" t="n">
        <f aca="false">IF(ISNUMBER(B35),LN(B35),"")</f>
        <v>6.92754517666104</v>
      </c>
      <c r="H35" s="17" t="n">
        <f aca="false">LN(C35)</f>
        <v>4.61209988908214</v>
      </c>
      <c r="I35" s="17" t="n">
        <f aca="false">IF(AND(ISNUMBER(G35),ISNUMBER(G31)),G35-G31,"")</f>
        <v>0.331248914573117</v>
      </c>
      <c r="J35" s="17" t="n">
        <f aca="false">H35-H31</f>
        <v>-0.19123551049634</v>
      </c>
    </row>
    <row r="36" customFormat="false" ht="15" hidden="false" customHeight="false" outlineLevel="0" collapsed="false">
      <c r="A36" s="12" t="s">
        <v>76</v>
      </c>
      <c r="B36" s="15" t="n">
        <v>1036.44275</v>
      </c>
      <c r="C36" s="15" t="n">
        <v>101.279533905137</v>
      </c>
      <c r="D36" s="16" t="n">
        <v>0.120861080407254</v>
      </c>
      <c r="E36" s="16" t="n">
        <v>0.00555804016441552</v>
      </c>
      <c r="G36" s="17" t="n">
        <f aca="false">IF(ISNUMBER(B36),LN(B36),"")</f>
        <v>6.94354969638994</v>
      </c>
      <c r="H36" s="17" t="n">
        <f aca="false">LN(C36)</f>
        <v>4.61788435634279</v>
      </c>
      <c r="I36" s="17" t="n">
        <f aca="false">IF(AND(ISNUMBER(G36),ISNUMBER(G32)),G36-G32,"")</f>
        <v>0.133448408459698</v>
      </c>
      <c r="J36" s="17" t="n">
        <f aca="false">H36-H32</f>
        <v>-0.105339167674998</v>
      </c>
    </row>
    <row r="37" customFormat="false" ht="15" hidden="false" customHeight="false" outlineLevel="0" collapsed="false">
      <c r="A37" s="12" t="s">
        <v>77</v>
      </c>
      <c r="B37" s="15" t="n">
        <v>1125.36748333333</v>
      </c>
      <c r="C37" s="15" t="n">
        <v>102.891519376037</v>
      </c>
      <c r="D37" s="16" t="n">
        <v>0.107248415474464</v>
      </c>
      <c r="E37" s="16" t="n">
        <v>0.00654025144614989</v>
      </c>
      <c r="G37" s="17" t="n">
        <f aca="false">IF(ISNUMBER(B37),LN(B37),"")</f>
        <v>7.02586491315127</v>
      </c>
      <c r="H37" s="17" t="n">
        <f aca="false">LN(C37)</f>
        <v>4.63367522327292</v>
      </c>
      <c r="I37" s="17" t="n">
        <f aca="false">IF(AND(ISNUMBER(G37),ISNUMBER(G33)),G37-G33,"")</f>
        <v>0.302198791603895</v>
      </c>
      <c r="J37" s="17" t="n">
        <f aca="false">H37-H33</f>
        <v>-0.0809917315448727</v>
      </c>
    </row>
    <row r="38" customFormat="false" ht="15" hidden="false" customHeight="false" outlineLevel="0" collapsed="false">
      <c r="A38" s="12" t="s">
        <v>78</v>
      </c>
      <c r="B38" s="15" t="n">
        <v>1200.253</v>
      </c>
      <c r="C38" s="15" t="n">
        <v>100.85594519619</v>
      </c>
      <c r="D38" s="16" t="n">
        <v>0.108154333714891</v>
      </c>
      <c r="E38" s="16" t="n">
        <v>0.0624602349363816</v>
      </c>
      <c r="G38" s="17" t="n">
        <f aca="false">IF(ISNUMBER(B38),LN(B38),"")</f>
        <v>7.0902876468872</v>
      </c>
      <c r="H38" s="17" t="n">
        <f aca="false">LN(C38)</f>
        <v>4.61369321354211</v>
      </c>
      <c r="I38" s="17" t="n">
        <f aca="false">IF(AND(ISNUMBER(G38),ISNUMBER(G34)),G38-G34,"")</f>
        <v>0.120778671688272</v>
      </c>
      <c r="J38" s="17" t="n">
        <f aca="false">H38-H34</f>
        <v>-0.0236004388494147</v>
      </c>
    </row>
    <row r="39" customFormat="false" ht="15" hidden="false" customHeight="false" outlineLevel="0" collapsed="false">
      <c r="A39" s="12" t="s">
        <v>79</v>
      </c>
      <c r="B39" s="15" t="n">
        <v>1090.527046875</v>
      </c>
      <c r="C39" s="15" t="n">
        <v>97.6891437142931</v>
      </c>
      <c r="D39" s="16" t="n">
        <v>0.0412334785190116</v>
      </c>
      <c r="E39" s="16" t="n">
        <v>0.0255838987402566</v>
      </c>
      <c r="G39" s="17" t="n">
        <f aca="false">IF(ISNUMBER(B39),LN(B39),"")</f>
        <v>6.99441638760371</v>
      </c>
      <c r="H39" s="17" t="n">
        <f aca="false">LN(C39)</f>
        <v>4.5817904342901</v>
      </c>
      <c r="I39" s="17" t="n">
        <f aca="false">IF(AND(ISNUMBER(G39),ISNUMBER(G35)),G39-G35,"")</f>
        <v>0.0668712109426766</v>
      </c>
      <c r="J39" s="17" t="n">
        <f aca="false">H39-H35</f>
        <v>-0.0303094547920404</v>
      </c>
    </row>
    <row r="40" customFormat="false" ht="15" hidden="false" customHeight="false" outlineLevel="0" collapsed="false">
      <c r="A40" s="12" t="s">
        <v>80</v>
      </c>
      <c r="B40" s="15" t="n">
        <v>854.052754098361</v>
      </c>
      <c r="C40" s="15" t="n">
        <v>100.040825997969</v>
      </c>
      <c r="D40" s="16" t="n">
        <v>-0.0160774079518586</v>
      </c>
      <c r="E40" s="16" t="n">
        <v>-0.000510205754616022</v>
      </c>
      <c r="G40" s="17" t="n">
        <f aca="false">IF(ISNUMBER(B40),LN(B40),"")</f>
        <v>6.7499929648296</v>
      </c>
      <c r="H40" s="17" t="n">
        <f aca="false">LN(C40)</f>
        <v>4.60557836265235</v>
      </c>
      <c r="I40" s="17" t="n">
        <f aca="false">IF(AND(ISNUMBER(G40),ISNUMBER(G36)),G40-G36,"")</f>
        <v>-0.193556731560339</v>
      </c>
      <c r="J40" s="17" t="n">
        <f aca="false">H40-H36</f>
        <v>-0.0123059936904433</v>
      </c>
    </row>
    <row r="41" customFormat="false" ht="15" hidden="false" customHeight="false" outlineLevel="0" collapsed="false">
      <c r="A41" s="12" t="s">
        <v>81</v>
      </c>
      <c r="B41" s="15" t="n">
        <v>926.047377049181</v>
      </c>
      <c r="C41" s="15" t="n">
        <v>111.7125453228</v>
      </c>
      <c r="D41" s="16" t="n">
        <v>-0.111957420383261</v>
      </c>
      <c r="E41" s="16" t="n">
        <v>-0.00889028383967849</v>
      </c>
      <c r="G41" s="17" t="n">
        <f aca="false">IF(ISNUMBER(B41),LN(B41),"")</f>
        <v>6.83092539645746</v>
      </c>
      <c r="H41" s="17" t="n">
        <f aca="false">LN(C41)</f>
        <v>4.71592901241672</v>
      </c>
      <c r="I41" s="17" t="n">
        <f aca="false">IF(AND(ISNUMBER(G41),ISNUMBER(G37)),G41-G37,"")</f>
        <v>-0.194939516693815</v>
      </c>
      <c r="J41" s="17" t="n">
        <f aca="false">H41-H37</f>
        <v>0.0822537891438024</v>
      </c>
    </row>
    <row r="42" customFormat="false" ht="15" hidden="false" customHeight="false" outlineLevel="0" collapsed="false">
      <c r="A42" s="12" t="s">
        <v>82</v>
      </c>
      <c r="B42" s="15" t="n">
        <v>782.844825396825</v>
      </c>
      <c r="C42" s="15" t="n">
        <v>109.953473352436</v>
      </c>
      <c r="D42" s="16" t="n">
        <v>-0.14532455085246</v>
      </c>
      <c r="E42" s="16" t="n">
        <v>-0.0204893869308982</v>
      </c>
      <c r="G42" s="17" t="n">
        <f aca="false">IF(ISNUMBER(B42),LN(B42),"")</f>
        <v>6.66293449678081</v>
      </c>
      <c r="H42" s="17" t="n">
        <f aca="false">LN(C42)</f>
        <v>4.70005730679227</v>
      </c>
      <c r="I42" s="17" t="n">
        <f aca="false">IF(AND(ISNUMBER(G42),ISNUMBER(G38)),G42-G38,"")</f>
        <v>-0.427353150106391</v>
      </c>
      <c r="J42" s="17" t="n">
        <f aca="false">H42-H38</f>
        <v>0.0863640932501504</v>
      </c>
    </row>
    <row r="43" customFormat="false" ht="15" hidden="false" customHeight="false" outlineLevel="0" collapsed="false">
      <c r="A43" s="12" t="s">
        <v>83</v>
      </c>
      <c r="B43" s="15" t="n">
        <v>709.32415625</v>
      </c>
      <c r="C43" s="15" t="n">
        <v>105.0879780634</v>
      </c>
      <c r="D43" s="16" t="n">
        <v>-0.14803025350379</v>
      </c>
      <c r="E43" s="16" t="n">
        <v>-0.0423851505475772</v>
      </c>
      <c r="G43" s="17" t="n">
        <f aca="false">IF(ISNUMBER(B43),LN(B43),"")</f>
        <v>6.56431262409225</v>
      </c>
      <c r="H43" s="17" t="n">
        <f aca="false">LN(C43)</f>
        <v>4.65479788564484</v>
      </c>
      <c r="I43" s="17" t="n">
        <f aca="false">IF(AND(ISNUMBER(G43),ISNUMBER(G39)),G43-G39,"")</f>
        <v>-0.430103763511462</v>
      </c>
      <c r="J43" s="17" t="n">
        <f aca="false">H43-H39</f>
        <v>0.0730074513547399</v>
      </c>
    </row>
    <row r="44" customFormat="false" ht="15" hidden="false" customHeight="false" outlineLevel="0" collapsed="false">
      <c r="A44" s="12" t="s">
        <v>84</v>
      </c>
      <c r="B44" s="15" t="n">
        <v>730.34393442623</v>
      </c>
      <c r="C44" s="15" t="n">
        <v>96.0026251653345</v>
      </c>
      <c r="D44" s="16" t="n">
        <v>-0.127371025772678</v>
      </c>
      <c r="E44" s="16" t="n">
        <v>-0.0281573013880524</v>
      </c>
      <c r="G44" s="17" t="n">
        <f aca="false">IF(ISNUMBER(B44),LN(B44),"")</f>
        <v>6.59351556623903</v>
      </c>
      <c r="H44" s="17" t="n">
        <f aca="false">LN(C44)</f>
        <v>4.56437553656619</v>
      </c>
      <c r="I44" s="17" t="n">
        <f aca="false">IF(AND(ISNUMBER(G44),ISNUMBER(G40)),G44-G40,"")</f>
        <v>-0.156477398590572</v>
      </c>
      <c r="J44" s="17" t="n">
        <f aca="false">H44-H40</f>
        <v>-0.0412028260861561</v>
      </c>
    </row>
    <row r="45" customFormat="false" ht="15" hidden="false" customHeight="false" outlineLevel="0" collapsed="false">
      <c r="A45" s="12" t="s">
        <v>85</v>
      </c>
      <c r="B45" s="15" t="n">
        <v>667.094442622951</v>
      </c>
      <c r="C45" s="15" t="n">
        <v>88.1674056048818</v>
      </c>
      <c r="D45" s="16" t="n">
        <v>1.31761638200167E-006</v>
      </c>
      <c r="E45" s="16" t="n">
        <v>0.00250908947797246</v>
      </c>
      <c r="G45" s="17" t="n">
        <f aca="false">IF(ISNUMBER(B45),LN(B45),"")</f>
        <v>6.50293162903012</v>
      </c>
      <c r="H45" s="17" t="n">
        <f aca="false">LN(C45)</f>
        <v>4.4792373437469</v>
      </c>
      <c r="I45" s="17" t="n">
        <f aca="false">IF(AND(ISNUMBER(G45),ISNUMBER(G41)),G45-G41,"")</f>
        <v>-0.327993767427338</v>
      </c>
      <c r="J45" s="17" t="n">
        <f aca="false">H45-H41</f>
        <v>-0.236691668669822</v>
      </c>
    </row>
    <row r="46" customFormat="false" ht="15" hidden="false" customHeight="false" outlineLevel="0" collapsed="false">
      <c r="A46" s="12" t="s">
        <v>86</v>
      </c>
      <c r="B46" s="15" t="n">
        <v>597.646153846154</v>
      </c>
      <c r="C46" s="15" t="n">
        <v>84.588561429833</v>
      </c>
      <c r="D46" s="16" t="n">
        <v>0.079306676131361</v>
      </c>
      <c r="E46" s="16" t="n">
        <v>0.0403103203233863</v>
      </c>
      <c r="G46" s="17" t="n">
        <f aca="false">IF(ISNUMBER(B46),LN(B46),"")</f>
        <v>6.39299886284131</v>
      </c>
      <c r="H46" s="17" t="n">
        <f aca="false">LN(C46)</f>
        <v>4.43779904978561</v>
      </c>
      <c r="I46" s="17" t="n">
        <f aca="false">IF(AND(ISNUMBER(G46),ISNUMBER(G42)),G46-G42,"")</f>
        <v>-0.269935633939498</v>
      </c>
      <c r="J46" s="17" t="n">
        <f aca="false">H46-H42</f>
        <v>-0.26225825700666</v>
      </c>
    </row>
    <row r="47" customFormat="false" ht="15" hidden="false" customHeight="false" outlineLevel="0" collapsed="false">
      <c r="A47" s="12" t="s">
        <v>87</v>
      </c>
      <c r="B47" s="15" t="n">
        <v>585.257575757576</v>
      </c>
      <c r="C47" s="15" t="n">
        <v>79.2639970068459</v>
      </c>
      <c r="D47" s="16" t="n">
        <v>0.0573749097069822</v>
      </c>
      <c r="E47" s="16" t="n">
        <v>0.0396616998607275</v>
      </c>
      <c r="G47" s="17" t="n">
        <f aca="false">IF(ISNUMBER(B47),LN(B47),"")</f>
        <v>6.37205205076836</v>
      </c>
      <c r="H47" s="17" t="n">
        <f aca="false">LN(C47)</f>
        <v>4.37278401554511</v>
      </c>
      <c r="I47" s="17" t="n">
        <f aca="false">IF(AND(ISNUMBER(G47),ISNUMBER(G43)),G47-G43,"")</f>
        <v>-0.192260573323891</v>
      </c>
      <c r="J47" s="17" t="n">
        <f aca="false">H47-H43</f>
        <v>-0.282013870099723</v>
      </c>
    </row>
    <row r="48" customFormat="false" ht="15" hidden="false" customHeight="false" outlineLevel="0" collapsed="false">
      <c r="A48" s="12" t="s">
        <v>88</v>
      </c>
      <c r="B48" s="15" t="n">
        <v>506.984615384615</v>
      </c>
      <c r="C48" s="15" t="n">
        <v>78.8773372173279</v>
      </c>
      <c r="D48" s="16" t="n">
        <v>0.0602218094670735</v>
      </c>
      <c r="E48" s="16" t="n">
        <v>0.0247270091543546</v>
      </c>
      <c r="G48" s="17" t="n">
        <f aca="false">IF(ISNUMBER(B48),LN(B48),"")</f>
        <v>6.22848065872174</v>
      </c>
      <c r="H48" s="17" t="n">
        <f aca="false">LN(C48)</f>
        <v>4.36789395233777</v>
      </c>
      <c r="I48" s="17" t="n">
        <f aca="false">IF(AND(ISNUMBER(G48),ISNUMBER(G44)),G48-G44,"")</f>
        <v>-0.365034907517289</v>
      </c>
      <c r="J48" s="17" t="n">
        <f aca="false">H48-H44</f>
        <v>-0.19648158422842</v>
      </c>
    </row>
    <row r="49" customFormat="false" ht="15" hidden="false" customHeight="false" outlineLevel="0" collapsed="false">
      <c r="A49" s="12" t="s">
        <v>89</v>
      </c>
      <c r="B49" s="15" t="n">
        <v>468.698412698413</v>
      </c>
      <c r="C49" s="15" t="n">
        <v>100.506024674356</v>
      </c>
      <c r="D49" s="16" t="n">
        <v>-0.0545739774105225</v>
      </c>
      <c r="E49" s="16" t="n">
        <v>0.00728692545281007</v>
      </c>
      <c r="G49" s="17" t="n">
        <f aca="false">IF(ISNUMBER(B49),LN(B49),"")</f>
        <v>6.1499595183183</v>
      </c>
      <c r="H49" s="17" t="n">
        <f aca="false">LN(C49)</f>
        <v>4.61021767271089</v>
      </c>
      <c r="I49" s="17" t="n">
        <f aca="false">IF(AND(ISNUMBER(G49),ISNUMBER(G45)),G49-G45,"")</f>
        <v>-0.352972110711817</v>
      </c>
      <c r="J49" s="17" t="n">
        <f aca="false">H49-H45</f>
        <v>0.130980328963991</v>
      </c>
    </row>
    <row r="50" customFormat="false" ht="15" hidden="false" customHeight="false" outlineLevel="0" collapsed="false">
      <c r="A50" s="12" t="s">
        <v>90</v>
      </c>
      <c r="B50" s="15" t="n">
        <v>448.541666666667</v>
      </c>
      <c r="C50" s="15" t="n">
        <v>92.4523987491672</v>
      </c>
      <c r="D50" s="16" t="n">
        <v>-0.150938894023428</v>
      </c>
      <c r="E50" s="16" t="n">
        <v>-0.0385885964740134</v>
      </c>
      <c r="G50" s="17" t="n">
        <f aca="false">IF(ISNUMBER(B50),LN(B50),"")</f>
        <v>6.10600157945052</v>
      </c>
      <c r="H50" s="17" t="n">
        <f aca="false">LN(C50)</f>
        <v>4.52669390394507</v>
      </c>
      <c r="I50" s="17" t="n">
        <f aca="false">IF(AND(ISNUMBER(G50),ISNUMBER(G46)),G50-G46,"")</f>
        <v>-0.286997283390795</v>
      </c>
      <c r="J50" s="17" t="n">
        <f aca="false">H50-H46</f>
        <v>0.0888948541594621</v>
      </c>
    </row>
    <row r="51" customFormat="false" ht="15" hidden="false" customHeight="false" outlineLevel="0" collapsed="false">
      <c r="A51" s="12" t="s">
        <v>91</v>
      </c>
      <c r="B51" s="15" t="n">
        <v>500.06976744186</v>
      </c>
      <c r="C51" s="15" t="n">
        <v>92.6685122505823</v>
      </c>
      <c r="D51" s="16" t="n">
        <v>-0.138350590990196</v>
      </c>
      <c r="E51" s="16" t="n">
        <v>-0.0332721885187776</v>
      </c>
      <c r="G51" s="17" t="n">
        <f aca="false">IF(ISNUMBER(B51),LN(B51),"")</f>
        <v>6.21474762357183</v>
      </c>
      <c r="H51" s="17" t="n">
        <f aca="false">LN(C51)</f>
        <v>4.52902874119739</v>
      </c>
      <c r="I51" s="17" t="n">
        <f aca="false">IF(AND(ISNUMBER(G51),ISNUMBER(G47)),G51-G47,"")</f>
        <v>-0.157304427196535</v>
      </c>
      <c r="J51" s="17" t="n">
        <f aca="false">H51-H47</f>
        <v>0.156244725652276</v>
      </c>
    </row>
    <row r="52" customFormat="false" ht="15" hidden="false" customHeight="false" outlineLevel="0" collapsed="false">
      <c r="A52" s="12" t="s">
        <v>92</v>
      </c>
      <c r="B52" s="15" t="n">
        <v>473.569230769231</v>
      </c>
      <c r="C52" s="15" t="n">
        <v>90.0354962055926</v>
      </c>
      <c r="D52" s="16" t="n">
        <v>-0.116842476166157</v>
      </c>
      <c r="E52" s="16" t="n">
        <v>-0.0149328839288507</v>
      </c>
      <c r="G52" s="17" t="n">
        <f aca="false">IF(ISNUMBER(B52),LN(B52),"")</f>
        <v>6.16029811264426</v>
      </c>
      <c r="H52" s="17" t="n">
        <f aca="false">LN(C52)</f>
        <v>4.50020399485849</v>
      </c>
      <c r="I52" s="17" t="n">
        <f aca="false">IF(AND(ISNUMBER(G52),ISNUMBER(G48)),G52-G48,"")</f>
        <v>-0.0681825460774777</v>
      </c>
      <c r="J52" s="17" t="n">
        <f aca="false">H52-H48</f>
        <v>0.13231004252072</v>
      </c>
    </row>
    <row r="53" customFormat="false" ht="15" hidden="false" customHeight="false" outlineLevel="0" collapsed="false">
      <c r="A53" s="12" t="s">
        <v>93</v>
      </c>
      <c r="B53" s="15" t="n">
        <v>457.661538461538</v>
      </c>
      <c r="C53" s="15" t="n">
        <v>88.5045145107911</v>
      </c>
      <c r="D53" s="16" t="n">
        <v>-0.0239177917893462</v>
      </c>
      <c r="E53" s="16" t="n">
        <v>0.00559679082443165</v>
      </c>
      <c r="G53" s="17" t="n">
        <f aca="false">IF(ISNUMBER(B53),LN(B53),"")</f>
        <v>6.12612991192755</v>
      </c>
      <c r="H53" s="17" t="n">
        <f aca="false">LN(C53)</f>
        <v>4.48305356213421</v>
      </c>
      <c r="I53" s="17" t="n">
        <f aca="false">IF(AND(ISNUMBER(G53),ISNUMBER(G49)),G53-G49,"")</f>
        <v>-0.0238296063907484</v>
      </c>
      <c r="J53" s="17" t="n">
        <f aca="false">H53-H49</f>
        <v>-0.127164110576679</v>
      </c>
    </row>
    <row r="54" customFormat="false" ht="15" hidden="false" customHeight="false" outlineLevel="0" collapsed="false">
      <c r="A54" s="12" t="s">
        <v>94</v>
      </c>
      <c r="B54" s="15" t="n">
        <v>417.265625</v>
      </c>
      <c r="C54" s="15" t="n">
        <v>84.0210717427534</v>
      </c>
      <c r="D54" s="16" t="n">
        <v>0.0524572469807845</v>
      </c>
      <c r="E54" s="16" t="n">
        <v>0.0232658340767662</v>
      </c>
      <c r="G54" s="17" t="n">
        <f aca="false">IF(ISNUMBER(B54),LN(B54),"")</f>
        <v>6.0337230094142</v>
      </c>
      <c r="H54" s="17" t="n">
        <f aca="false">LN(C54)</f>
        <v>4.43106762146509</v>
      </c>
      <c r="I54" s="17" t="n">
        <f aca="false">IF(AND(ISNUMBER(G54),ISNUMBER(G50)),G54-G50,"")</f>
        <v>-0.0722785700363193</v>
      </c>
      <c r="J54" s="17" t="n">
        <f aca="false">H54-H50</f>
        <v>-0.0956262824799801</v>
      </c>
    </row>
    <row r="55" customFormat="false" ht="15" hidden="false" customHeight="false" outlineLevel="0" collapsed="false">
      <c r="A55" s="12" t="s">
        <v>95</v>
      </c>
      <c r="B55" s="15" t="n">
        <v>417.764390625</v>
      </c>
      <c r="C55" s="15" t="n">
        <v>91.1712476167225</v>
      </c>
      <c r="D55" s="16" t="n">
        <v>0.0143092701681657</v>
      </c>
      <c r="E55" s="16" t="n">
        <v>0.0385060856362685</v>
      </c>
      <c r="G55" s="17" t="n">
        <f aca="false">IF(ISNUMBER(B55),LN(B55),"")</f>
        <v>6.03491761481755</v>
      </c>
      <c r="H55" s="17" t="n">
        <f aca="false">LN(C55)</f>
        <v>4.51273958001258</v>
      </c>
      <c r="I55" s="17" t="n">
        <f aca="false">IF(AND(ISNUMBER(G55),ISNUMBER(G51)),G55-G51,"")</f>
        <v>-0.179830008754272</v>
      </c>
      <c r="J55" s="17" t="n">
        <f aca="false">H55-H51</f>
        <v>-0.0162891611848046</v>
      </c>
    </row>
    <row r="56" customFormat="false" ht="15" hidden="false" customHeight="false" outlineLevel="0" collapsed="false">
      <c r="A56" s="12" t="s">
        <v>96</v>
      </c>
      <c r="B56" s="15" t="n">
        <v>363.1925625</v>
      </c>
      <c r="C56" s="15" t="n">
        <v>87.4808231023892</v>
      </c>
      <c r="D56" s="16" t="n">
        <v>0.00583013263178356</v>
      </c>
      <c r="E56" s="16" t="n">
        <v>0.0453268482640472</v>
      </c>
      <c r="G56" s="17" t="n">
        <f aca="false">IF(ISNUMBER(B56),LN(B56),"")</f>
        <v>5.89493316881923</v>
      </c>
      <c r="H56" s="17" t="n">
        <f aca="false">LN(C56)</f>
        <v>4.47141960479939</v>
      </c>
      <c r="I56" s="17" t="n">
        <f aca="false">IF(AND(ISNUMBER(G56),ISNUMBER(G52)),G56-G52,"")</f>
        <v>-0.265364943825032</v>
      </c>
      <c r="J56" s="17" t="n">
        <f aca="false">H56-H52</f>
        <v>-0.0287843900591032</v>
      </c>
    </row>
    <row r="57" customFormat="false" ht="15" hidden="false" customHeight="false" outlineLevel="0" collapsed="false">
      <c r="A57" s="12" t="s">
        <v>97</v>
      </c>
      <c r="B57" s="15" t="n">
        <v>391.724661290322</v>
      </c>
      <c r="C57" s="15" t="n">
        <v>94.9900339014635</v>
      </c>
      <c r="D57" s="16" t="n">
        <v>0.0215080939713706</v>
      </c>
      <c r="E57" s="16" t="n">
        <v>0.0379774021814201</v>
      </c>
      <c r="G57" s="17" t="n">
        <f aca="false">IF(ISNUMBER(B57),LN(B57),"")</f>
        <v>5.97055919832821</v>
      </c>
      <c r="H57" s="17" t="n">
        <f aca="false">LN(C57)</f>
        <v>4.55377197979711</v>
      </c>
      <c r="I57" s="17" t="n">
        <f aca="false">IF(AND(ISNUMBER(G57),ISNUMBER(G53)),G57-G53,"")</f>
        <v>-0.155570713599342</v>
      </c>
      <c r="J57" s="17" t="n">
        <f aca="false">H57-H53</f>
        <v>0.0707184176628921</v>
      </c>
    </row>
    <row r="58" customFormat="false" ht="15" hidden="false" customHeight="false" outlineLevel="0" collapsed="false">
      <c r="A58" s="12" t="s">
        <v>98</v>
      </c>
      <c r="B58" s="15" t="n">
        <v>468.946476923077</v>
      </c>
      <c r="C58" s="15" t="n">
        <v>100.964294349466</v>
      </c>
      <c r="D58" s="16" t="n">
        <v>-0.0527729109335391</v>
      </c>
      <c r="E58" s="16" t="n">
        <v>-0.039790994073943</v>
      </c>
      <c r="G58" s="17" t="n">
        <f aca="false">IF(ISNUMBER(B58),LN(B58),"")</f>
        <v>6.15048864023471</v>
      </c>
      <c r="H58" s="17" t="n">
        <f aca="false">LN(C58)</f>
        <v>4.61476693304546</v>
      </c>
      <c r="I58" s="17" t="n">
        <f aca="false">IF(AND(ISNUMBER(G58),ISNUMBER(G54)),G58-G54,"")</f>
        <v>0.116765630820508</v>
      </c>
      <c r="J58" s="17" t="n">
        <f aca="false">H58-H54</f>
        <v>0.183699311580374</v>
      </c>
    </row>
    <row r="59" customFormat="false" ht="15" hidden="false" customHeight="false" outlineLevel="0" collapsed="false">
      <c r="A59" s="12" t="s">
        <v>99</v>
      </c>
      <c r="B59" s="15" t="n">
        <v>635.11576119403</v>
      </c>
      <c r="C59" s="15" t="n">
        <v>119.887100465652</v>
      </c>
      <c r="D59" s="16" t="n">
        <v>-0.0230142843222727</v>
      </c>
      <c r="E59" s="16" t="n">
        <v>-0.0346944038739507</v>
      </c>
      <c r="G59" s="17" t="n">
        <f aca="false">IF(ISNUMBER(B59),LN(B59),"")</f>
        <v>6.45380728337083</v>
      </c>
      <c r="H59" s="17" t="n">
        <f aca="false">LN(C59)</f>
        <v>4.78655047047132</v>
      </c>
      <c r="I59" s="17" t="n">
        <f aca="false">IF(AND(ISNUMBER(G59),ISNUMBER(G55)),G59-G55,"")</f>
        <v>0.418889668553273</v>
      </c>
      <c r="J59" s="17" t="n">
        <f aca="false">H59-H55</f>
        <v>0.27381089045874</v>
      </c>
    </row>
    <row r="60" customFormat="false" ht="15" hidden="false" customHeight="false" outlineLevel="0" collapsed="false">
      <c r="A60" s="12" t="s">
        <v>100</v>
      </c>
      <c r="B60" s="15" t="n">
        <v>691.6339375</v>
      </c>
      <c r="C60" s="15" t="n">
        <v>121.668263035409</v>
      </c>
      <c r="D60" s="16" t="n">
        <v>-0.0731605453380152</v>
      </c>
      <c r="E60" s="16" t="n">
        <v>-0.0633973916700751</v>
      </c>
      <c r="G60" s="17" t="n">
        <f aca="false">IF(ISNUMBER(B60),LN(B60),"")</f>
        <v>6.53905682359999</v>
      </c>
      <c r="H60" s="17" t="n">
        <f aca="false">LN(C60)</f>
        <v>4.80129818566728</v>
      </c>
      <c r="I60" s="17" t="n">
        <f aca="false">IF(AND(ISNUMBER(G60),ISNUMBER(G56)),G60-G56,"")</f>
        <v>0.644123654780759</v>
      </c>
      <c r="J60" s="17" t="n">
        <f aca="false">H60-H56</f>
        <v>0.329878580867895</v>
      </c>
    </row>
    <row r="61" customFormat="false" ht="15" hidden="false" customHeight="false" outlineLevel="0" collapsed="false">
      <c r="A61" s="12" t="s">
        <v>101</v>
      </c>
      <c r="B61" s="15" t="n">
        <v>710.835638888889</v>
      </c>
      <c r="C61" s="15" t="n">
        <v>117.650616088345</v>
      </c>
      <c r="D61" s="16" t="n">
        <v>-0.123187672025664</v>
      </c>
      <c r="E61" s="16" t="n">
        <v>-0.0586372539873753</v>
      </c>
      <c r="G61" s="17" t="n">
        <f aca="false">IF(ISNUMBER(B61),LN(B61),"")</f>
        <v>6.56644123414694</v>
      </c>
      <c r="H61" s="17" t="n">
        <f aca="false">LN(C61)</f>
        <v>4.76771935177968</v>
      </c>
      <c r="I61" s="17" t="n">
        <f aca="false">IF(AND(ISNUMBER(G61),ISNUMBER(G57)),G61-G57,"")</f>
        <v>0.595882035818727</v>
      </c>
      <c r="J61" s="17" t="n">
        <f aca="false">H61-H57</f>
        <v>0.213947371982574</v>
      </c>
    </row>
    <row r="62" customFormat="false" ht="15" hidden="false" customHeight="false" outlineLevel="0" collapsed="false">
      <c r="A62" s="12" t="s">
        <v>102</v>
      </c>
      <c r="B62" s="15" t="n">
        <v>873.625898550725</v>
      </c>
      <c r="C62" s="15" t="n">
        <v>118.174258658743</v>
      </c>
      <c r="D62" s="16" t="n">
        <v>-0.123073375139329</v>
      </c>
      <c r="E62" s="16" t="n">
        <v>0.00582819893603537</v>
      </c>
      <c r="G62" s="17" t="n">
        <f aca="false">IF(ISNUMBER(B62),LN(B62),"")</f>
        <v>6.77265225032814</v>
      </c>
      <c r="H62" s="17" t="n">
        <f aca="false">LN(C62)</f>
        <v>4.77216030341015</v>
      </c>
      <c r="I62" s="17" t="n">
        <f aca="false">IF(AND(ISNUMBER(G62),ISNUMBER(G58)),G62-G58,"")</f>
        <v>0.622163610093435</v>
      </c>
      <c r="J62" s="17" t="n">
        <f aca="false">H62-H58</f>
        <v>0.157393370364686</v>
      </c>
    </row>
    <row r="63" customFormat="false" ht="15" hidden="false" customHeight="false" outlineLevel="0" collapsed="false">
      <c r="A63" s="12" t="s">
        <v>103</v>
      </c>
      <c r="B63" s="15" t="n">
        <v>1553.24458536585</v>
      </c>
      <c r="C63" s="15" t="n">
        <v>122.774769478885</v>
      </c>
      <c r="D63" s="16" t="n">
        <v>-0.146986580926159</v>
      </c>
      <c r="E63" s="16" t="n">
        <v>-0.0175271616356651</v>
      </c>
      <c r="G63" s="17" t="n">
        <f aca="false">IF(ISNUMBER(B63),LN(B63),"")</f>
        <v>7.34810130293474</v>
      </c>
      <c r="H63" s="17" t="n">
        <f aca="false">LN(C63)</f>
        <v>4.81035153433353</v>
      </c>
      <c r="I63" s="17" t="n">
        <f aca="false">IF(AND(ISNUMBER(G63),ISNUMBER(G59)),G63-G59,"")</f>
        <v>0.894294019563908</v>
      </c>
      <c r="J63" s="17" t="n">
        <f aca="false">H63-H59</f>
        <v>0.0238010638622024</v>
      </c>
    </row>
    <row r="64" customFormat="false" ht="15" hidden="false" customHeight="false" outlineLevel="0" collapsed="false">
      <c r="A64" s="12" t="s">
        <v>104</v>
      </c>
      <c r="B64" s="15" t="n">
        <v>2152.12583695652</v>
      </c>
      <c r="C64" s="15" t="n">
        <v>126.773876078114</v>
      </c>
      <c r="D64" s="16" t="n">
        <v>-0.191423635260996</v>
      </c>
      <c r="E64" s="16" t="n">
        <v>-0.0107484273951806</v>
      </c>
      <c r="G64" s="17" t="n">
        <f aca="false">IF(ISNUMBER(B64),LN(B64),"")</f>
        <v>7.67421139399429</v>
      </c>
      <c r="H64" s="17" t="n">
        <f aca="false">LN(C64)</f>
        <v>4.84240499615658</v>
      </c>
      <c r="I64" s="17" t="n">
        <f aca="false">IF(AND(ISNUMBER(G64),ISNUMBER(G60)),G64-G60,"")</f>
        <v>1.1351545703943</v>
      </c>
      <c r="J64" s="17" t="n">
        <f aca="false">H64-H60</f>
        <v>0.0411068104893024</v>
      </c>
    </row>
    <row r="65" customFormat="false" ht="15" hidden="false" customHeight="false" outlineLevel="0" collapsed="false">
      <c r="A65" s="12" t="s">
        <v>105</v>
      </c>
      <c r="B65" s="15" t="n">
        <v>2339.24403614458</v>
      </c>
      <c r="C65" s="15" t="n">
        <v>118.087981936147</v>
      </c>
      <c r="D65" s="16" t="n">
        <v>-0.0764776255884909</v>
      </c>
      <c r="E65" s="16" t="n">
        <v>-0.0502506965865937</v>
      </c>
      <c r="G65" s="17" t="n">
        <f aca="false">IF(ISNUMBER(B65),LN(B65),"")</f>
        <v>7.75758309467947</v>
      </c>
      <c r="H65" s="17" t="n">
        <f aca="false">LN(C65)</f>
        <v>4.77142995626526</v>
      </c>
      <c r="I65" s="17" t="n">
        <f aca="false">IF(AND(ISNUMBER(G65),ISNUMBER(G61)),G65-G61,"")</f>
        <v>1.19114186053253</v>
      </c>
      <c r="J65" s="17" t="n">
        <f aca="false">H65-H61</f>
        <v>0.00371060448558058</v>
      </c>
    </row>
    <row r="66" customFormat="false" ht="15" hidden="false" customHeight="false" outlineLevel="0" collapsed="false">
      <c r="A66" s="12" t="s">
        <v>106</v>
      </c>
      <c r="B66" s="15" t="n">
        <v>3096.11088888889</v>
      </c>
      <c r="C66" s="15" t="n">
        <v>113.326722543846</v>
      </c>
      <c r="D66" s="16" t="n">
        <v>0.185703438057814</v>
      </c>
      <c r="E66" s="16" t="n">
        <v>-0.189421940385846</v>
      </c>
      <c r="G66" s="17" t="n">
        <f aca="false">IF(ISNUMBER(B66),LN(B66),"")</f>
        <v>8.03790205089279</v>
      </c>
      <c r="H66" s="17" t="n">
        <f aca="false">LN(C66)</f>
        <v>4.73027499674533</v>
      </c>
      <c r="I66" s="17" t="n">
        <f aca="false">IF(AND(ISNUMBER(G66),ISNUMBER(G62)),G66-G62,"")</f>
        <v>1.26524980056465</v>
      </c>
      <c r="J66" s="17" t="n">
        <f aca="false">H66-H62</f>
        <v>-0.0418853066648204</v>
      </c>
    </row>
    <row r="67" customFormat="false" ht="15" hidden="false" customHeight="false" outlineLevel="0" collapsed="false">
      <c r="A67" s="12" t="s">
        <v>107</v>
      </c>
      <c r="B67" s="15" t="n">
        <v>1998.70695454545</v>
      </c>
      <c r="C67" s="15" t="n">
        <v>118.861573582727</v>
      </c>
      <c r="D67" s="16" t="n">
        <v>0.305364489239062</v>
      </c>
      <c r="E67" s="16" t="n">
        <v>-0.101927662759163</v>
      </c>
      <c r="G67" s="17" t="n">
        <f aca="false">IF(ISNUMBER(B67),LN(B67),"")</f>
        <v>7.60025572772887</v>
      </c>
      <c r="H67" s="17" t="n">
        <f aca="false">LN(C67)</f>
        <v>4.77795956881039</v>
      </c>
      <c r="I67" s="17" t="n">
        <f aca="false">IF(AND(ISNUMBER(G67),ISNUMBER(G63)),G67-G63,"")</f>
        <v>0.252154424794131</v>
      </c>
      <c r="J67" s="17" t="n">
        <f aca="false">H67-H63</f>
        <v>-0.0323919655231375</v>
      </c>
    </row>
    <row r="68" customFormat="false" ht="15" hidden="false" customHeight="false" outlineLevel="0" collapsed="false">
      <c r="A68" s="12" t="s">
        <v>108</v>
      </c>
      <c r="B68" s="15" t="n">
        <v>1391.81681538462</v>
      </c>
      <c r="C68" s="15" t="n">
        <v>120.343166043481</v>
      </c>
      <c r="D68" s="16" t="n">
        <v>0.369601994334412</v>
      </c>
      <c r="E68" s="16" t="n">
        <v>-0.0431329947641036</v>
      </c>
      <c r="G68" s="17" t="n">
        <f aca="false">IF(ISNUMBER(B68),LN(B68),"")</f>
        <v>7.23836523409133</v>
      </c>
      <c r="H68" s="17" t="n">
        <f aca="false">LN(C68)</f>
        <v>4.7903473785992</v>
      </c>
      <c r="I68" s="17" t="n">
        <f aca="false">IF(AND(ISNUMBER(G68),ISNUMBER(G64)),G68-G64,"")</f>
        <v>-0.435846159902956</v>
      </c>
      <c r="J68" s="17" t="n">
        <f aca="false">H68-H64</f>
        <v>-0.0520576175573853</v>
      </c>
    </row>
    <row r="69" customFormat="false" ht="15" hidden="false" customHeight="false" outlineLevel="0" collapsed="false">
      <c r="A69" s="12" t="s">
        <v>109</v>
      </c>
      <c r="B69" s="15" t="n">
        <v>1492.04128571429</v>
      </c>
      <c r="C69" s="15" t="n">
        <v>121.421515619511</v>
      </c>
      <c r="D69" s="16" t="n">
        <v>0.175963133598871</v>
      </c>
      <c r="E69" s="16" t="n">
        <v>0.0323260077948051</v>
      </c>
      <c r="G69" s="17" t="n">
        <f aca="false">IF(ISNUMBER(B69),LN(B69),"")</f>
        <v>7.30790045177113</v>
      </c>
      <c r="H69" s="17" t="n">
        <f aca="false">LN(C69)</f>
        <v>4.79926809207794</v>
      </c>
      <c r="I69" s="17" t="n">
        <f aca="false">IF(AND(ISNUMBER(G69),ISNUMBER(G65)),G69-G65,"")</f>
        <v>-0.449682642908338</v>
      </c>
      <c r="J69" s="17" t="n">
        <f aca="false">H69-H65</f>
        <v>0.0278381358126794</v>
      </c>
    </row>
    <row r="70" customFormat="false" ht="15" hidden="false" customHeight="false" outlineLevel="0" collapsed="false">
      <c r="A70" s="12" t="s">
        <v>110</v>
      </c>
      <c r="B70" s="15" t="n">
        <v>1543.4644</v>
      </c>
      <c r="C70" s="15" t="n">
        <v>117.00396201731</v>
      </c>
      <c r="D70" s="16" t="n">
        <v>-0.0687862848682503</v>
      </c>
      <c r="E70" s="16" t="n">
        <v>0.187299607796633</v>
      </c>
      <c r="G70" s="17" t="n">
        <f aca="false">IF(ISNUMBER(B70),LN(B70),"")</f>
        <v>7.34178477921234</v>
      </c>
      <c r="H70" s="17" t="n">
        <f aca="false">LN(C70)</f>
        <v>4.76220779762022</v>
      </c>
      <c r="I70" s="17" t="n">
        <f aca="false">IF(AND(ISNUMBER(G70),ISNUMBER(G66)),G70-G66,"")</f>
        <v>-0.696117271680444</v>
      </c>
      <c r="J70" s="17" t="n">
        <f aca="false">H70-H66</f>
        <v>0.0319328008748903</v>
      </c>
    </row>
    <row r="71" customFormat="false" ht="15" hidden="false" customHeight="false" outlineLevel="0" collapsed="false">
      <c r="A71" s="12" t="s">
        <v>111</v>
      </c>
      <c r="B71" s="15" t="n">
        <v>1568.15139130435</v>
      </c>
      <c r="C71" s="15" t="n">
        <v>111.944179454899</v>
      </c>
      <c r="D71" s="16" t="n">
        <v>-0.0532486979446212</v>
      </c>
      <c r="E71" s="16" t="n">
        <v>0.118145356665691</v>
      </c>
      <c r="G71" s="17" t="n">
        <f aca="false">IF(ISNUMBER(B71),LN(B71),"")</f>
        <v>7.3576527468264</v>
      </c>
      <c r="H71" s="17" t="n">
        <f aca="false">LN(C71)</f>
        <v>4.71800034932955</v>
      </c>
      <c r="I71" s="17" t="n">
        <f aca="false">IF(AND(ISNUMBER(G71),ISNUMBER(G67)),G71-G67,"")</f>
        <v>-0.242602980902468</v>
      </c>
      <c r="J71" s="17" t="n">
        <f aca="false">H71-H67</f>
        <v>-0.0599592194808389</v>
      </c>
    </row>
    <row r="72" customFormat="false" ht="15" hidden="false" customHeight="false" outlineLevel="0" collapsed="false">
      <c r="A72" s="12" t="s">
        <v>112</v>
      </c>
      <c r="B72" s="15" t="n">
        <v>1712.31386956522</v>
      </c>
      <c r="C72" s="15" t="n">
        <v>103.776206630475</v>
      </c>
      <c r="D72" s="16" t="n">
        <v>-0.0159975558547977</v>
      </c>
      <c r="E72" s="16" t="n">
        <v>0.08364113941174</v>
      </c>
      <c r="G72" s="17" t="n">
        <f aca="false">IF(ISNUMBER(B72),LN(B72),"")</f>
        <v>7.44560087492429</v>
      </c>
      <c r="H72" s="17" t="n">
        <f aca="false">LN(C72)</f>
        <v>4.64223672124298</v>
      </c>
      <c r="I72" s="17" t="n">
        <f aca="false">IF(AND(ISNUMBER(G72),ISNUMBER(G68)),G72-G68,"")</f>
        <v>0.207235640832954</v>
      </c>
      <c r="J72" s="17" t="n">
        <f aca="false">H72-H68</f>
        <v>-0.148110657356217</v>
      </c>
    </row>
    <row r="73" customFormat="false" ht="15" hidden="false" customHeight="false" outlineLevel="0" collapsed="false">
      <c r="A73" s="12" t="s">
        <v>113</v>
      </c>
      <c r="B73" s="15" t="n">
        <v>1807.04372222222</v>
      </c>
      <c r="C73" s="15" t="n">
        <v>101.90597985365</v>
      </c>
      <c r="D73" s="16" t="n">
        <v>0.0195040598594907</v>
      </c>
      <c r="E73" s="16" t="n">
        <v>0.0686138387185451</v>
      </c>
      <c r="G73" s="17" t="n">
        <f aca="false">IF(ISNUMBER(B73),LN(B73),"")</f>
        <v>7.4994474863273</v>
      </c>
      <c r="H73" s="17" t="n">
        <f aca="false">LN(C73)</f>
        <v>4.62405062205593</v>
      </c>
      <c r="I73" s="17" t="n">
        <f aca="false">IF(AND(ISNUMBER(G73),ISNUMBER(G69)),G73-G69,"")</f>
        <v>0.191547034556169</v>
      </c>
      <c r="J73" s="17" t="n">
        <f aca="false">H73-H69</f>
        <v>-0.17521747002201</v>
      </c>
    </row>
    <row r="74" customFormat="false" ht="15" hidden="false" customHeight="false" outlineLevel="0" collapsed="false">
      <c r="A74" s="12" t="s">
        <v>114</v>
      </c>
      <c r="B74" s="15" t="n">
        <v>1918.61072527473</v>
      </c>
      <c r="C74" s="15" t="n">
        <v>97.5439817372457</v>
      </c>
      <c r="D74" s="16" t="n">
        <v>0.0127622795944336</v>
      </c>
      <c r="E74" s="16" t="n">
        <v>0.0813001446194395</v>
      </c>
      <c r="G74" s="17" t="n">
        <f aca="false">IF(ISNUMBER(B74),LN(B74),"")</f>
        <v>7.55935662252496</v>
      </c>
      <c r="H74" s="17" t="n">
        <f aca="false">LN(C74)</f>
        <v>4.58030337103214</v>
      </c>
      <c r="I74" s="17" t="n">
        <f aca="false">IF(AND(ISNUMBER(G74),ISNUMBER(G70)),G74-G70,"")</f>
        <v>0.21757184331262</v>
      </c>
      <c r="J74" s="17" t="n">
        <f aca="false">H74-H70</f>
        <v>-0.18190442658808</v>
      </c>
    </row>
    <row r="75" customFormat="false" ht="15" hidden="false" customHeight="false" outlineLevel="0" collapsed="false">
      <c r="A75" s="12" t="s">
        <v>115</v>
      </c>
      <c r="B75" s="15" t="n">
        <v>2532.03854666667</v>
      </c>
      <c r="C75" s="15" t="n">
        <v>90.9361797327367</v>
      </c>
      <c r="D75" s="16" t="n">
        <v>-0.0244173185065185</v>
      </c>
      <c r="E75" s="16" t="n">
        <v>0.066844213632383</v>
      </c>
      <c r="G75" s="17" t="n">
        <f aca="false">IF(ISNUMBER(B75),LN(B75),"")</f>
        <v>7.83678000695019</v>
      </c>
      <c r="H75" s="17" t="n">
        <f aca="false">LN(C75)</f>
        <v>4.51015793885752</v>
      </c>
      <c r="I75" s="17" t="n">
        <f aca="false">IF(AND(ISNUMBER(G75),ISNUMBER(G71)),G75-G71,"")</f>
        <v>0.479127260123788</v>
      </c>
      <c r="J75" s="17" t="n">
        <f aca="false">H75-H71</f>
        <v>-0.207842410472027</v>
      </c>
    </row>
    <row r="76" customFormat="false" ht="15" hidden="false" customHeight="false" outlineLevel="0" collapsed="false">
      <c r="A76" s="12" t="s">
        <v>116</v>
      </c>
      <c r="B76" s="15" t="n">
        <v>2462.75393478261</v>
      </c>
      <c r="C76" s="15" t="n">
        <v>90.5516315364442</v>
      </c>
      <c r="D76" s="16" t="n">
        <v>-0.0496809971557082</v>
      </c>
      <c r="E76" s="16" t="n">
        <v>0.023854276267842</v>
      </c>
      <c r="G76" s="17" t="n">
        <f aca="false">IF(ISNUMBER(B76),LN(B76),"")</f>
        <v>7.80903548845357</v>
      </c>
      <c r="H76" s="17" t="n">
        <f aca="false">LN(C76)</f>
        <v>4.50592020223937</v>
      </c>
      <c r="I76" s="17" t="n">
        <f aca="false">IF(AND(ISNUMBER(G76),ISNUMBER(G72)),G76-G72,"")</f>
        <v>0.363434613529283</v>
      </c>
      <c r="J76" s="17" t="n">
        <f aca="false">H76-H72</f>
        <v>-0.136316519003612</v>
      </c>
    </row>
    <row r="77" customFormat="false" ht="15" hidden="false" customHeight="false" outlineLevel="0" collapsed="false">
      <c r="A77" s="12" t="s">
        <v>117</v>
      </c>
      <c r="B77" s="15" t="n">
        <v>2085.99497777778</v>
      </c>
      <c r="C77" s="15" t="n">
        <v>94.4950811377072</v>
      </c>
      <c r="D77" s="16" t="n">
        <v>-0.0548662138193043</v>
      </c>
      <c r="E77" s="16" t="n">
        <v>0.00911982377224452</v>
      </c>
      <c r="G77" s="17" t="n">
        <f aca="false">IF(ISNUMBER(B77),LN(B77),"")</f>
        <v>7.64300122797286</v>
      </c>
      <c r="H77" s="17" t="n">
        <f aca="false">LN(C77)</f>
        <v>4.54854778169214</v>
      </c>
      <c r="I77" s="17" t="n">
        <f aca="false">IF(AND(ISNUMBER(G77),ISNUMBER(G73)),G77-G73,"")</f>
        <v>0.14355374164556</v>
      </c>
      <c r="J77" s="17" t="n">
        <f aca="false">H77-H73</f>
        <v>-0.0755028403637903</v>
      </c>
    </row>
    <row r="78" customFormat="false" ht="15" hidden="false" customHeight="false" outlineLevel="0" collapsed="false">
      <c r="A78" s="12" t="s">
        <v>118</v>
      </c>
      <c r="B78" s="15" t="n">
        <v>2482.34095061728</v>
      </c>
      <c r="C78" s="15" t="n">
        <v>93.6052502637671</v>
      </c>
      <c r="D78" s="16" t="n">
        <v>-0.07604765516223</v>
      </c>
      <c r="E78" s="16" t="n">
        <v>-0.0567487243252599</v>
      </c>
      <c r="G78" s="17" t="n">
        <f aca="false">IF(ISNUMBER(B78),LN(B78),"")</f>
        <v>7.81695732563617</v>
      </c>
      <c r="H78" s="17" t="n">
        <f aca="false">LN(C78)</f>
        <v>4.53908647447203</v>
      </c>
      <c r="I78" s="17" t="n">
        <f aca="false">IF(AND(ISNUMBER(G78),ISNUMBER(G74)),G78-G74,"")</f>
        <v>0.257600703111206</v>
      </c>
      <c r="J78" s="17" t="n">
        <f aca="false">H78-H74</f>
        <v>-0.0412168965601056</v>
      </c>
    </row>
    <row r="79" customFormat="false" ht="15" hidden="false" customHeight="false" outlineLevel="0" collapsed="false">
      <c r="A79" s="12" t="s">
        <v>119</v>
      </c>
      <c r="B79" s="15" t="n">
        <v>2088.37973417722</v>
      </c>
      <c r="C79" s="15" t="n">
        <v>100.44541486408</v>
      </c>
      <c r="D79" s="16" t="n">
        <v>-0.131285711761803</v>
      </c>
      <c r="E79" s="16" t="n">
        <v>-0.00549172525238073</v>
      </c>
      <c r="G79" s="17" t="n">
        <f aca="false">IF(ISNUMBER(B79),LN(B79),"")</f>
        <v>7.64414379749449</v>
      </c>
      <c r="H79" s="17" t="n">
        <f aca="false">LN(C79)</f>
        <v>4.60961444426672</v>
      </c>
      <c r="I79" s="17" t="n">
        <f aca="false">IF(AND(ISNUMBER(G79),ISNUMBER(G75)),G79-G75,"")</f>
        <v>-0.192636209455695</v>
      </c>
      <c r="J79" s="17" t="n">
        <f aca="false">H79-H75</f>
        <v>0.0994565054091972</v>
      </c>
    </row>
    <row r="80" customFormat="false" ht="15" hidden="false" customHeight="false" outlineLevel="0" collapsed="false">
      <c r="A80" s="12" t="s">
        <v>120</v>
      </c>
      <c r="B80" s="15" t="n">
        <v>2210.46063380282</v>
      </c>
      <c r="C80" s="15" t="n">
        <v>99.2285100573296</v>
      </c>
      <c r="D80" s="16" t="n">
        <v>-0.236116080959184</v>
      </c>
      <c r="E80" s="16" t="n">
        <v>-0.0171598554874708</v>
      </c>
      <c r="G80" s="17" t="n">
        <f aca="false">IF(ISNUMBER(B80),LN(B80),"")</f>
        <v>7.70095620437794</v>
      </c>
      <c r="H80" s="17" t="n">
        <f aca="false">LN(C80)</f>
        <v>4.59742537277089</v>
      </c>
      <c r="I80" s="17" t="n">
        <f aca="false">IF(AND(ISNUMBER(G80),ISNUMBER(G76)),G80-G76,"")</f>
        <v>-0.108079284075631</v>
      </c>
      <c r="J80" s="17" t="n">
        <f aca="false">H80-H76</f>
        <v>0.0915051705315211</v>
      </c>
    </row>
    <row r="81" customFormat="false" ht="15" hidden="false" customHeight="false" outlineLevel="0" collapsed="false">
      <c r="A81" s="12" t="s">
        <v>121</v>
      </c>
      <c r="B81" s="15" t="n">
        <v>1755.52208</v>
      </c>
      <c r="C81" s="15" t="n">
        <v>118.126806046344</v>
      </c>
      <c r="D81" s="16" t="n">
        <v>-0.335645872225436</v>
      </c>
      <c r="E81" s="16" t="n">
        <v>-0.0496170325779741</v>
      </c>
      <c r="G81" s="17" t="n">
        <f aca="false">IF(ISNUMBER(B81),LN(B81),"")</f>
        <v>7.47052157314261</v>
      </c>
      <c r="H81" s="17" t="n">
        <f aca="false">LN(C81)</f>
        <v>4.77175867497825</v>
      </c>
      <c r="I81" s="17" t="n">
        <f aca="false">IF(AND(ISNUMBER(G81),ISNUMBER(G77)),G81-G77,"")</f>
        <v>-0.172479654830256</v>
      </c>
      <c r="J81" s="17" t="n">
        <f aca="false">H81-H77</f>
        <v>0.22321089328611</v>
      </c>
    </row>
    <row r="82" customFormat="false" ht="15" hidden="false" customHeight="false" outlineLevel="0" collapsed="false">
      <c r="A82" s="12" t="s">
        <v>122</v>
      </c>
      <c r="B82" s="15" t="n">
        <v>1343.77188059702</v>
      </c>
      <c r="C82" s="15" t="n">
        <v>93.4450993912456</v>
      </c>
      <c r="D82" s="16" t="n">
        <v>-0.251664772237069</v>
      </c>
      <c r="E82" s="16" t="n">
        <v>-0.0108329991805178</v>
      </c>
      <c r="G82" s="17" t="n">
        <f aca="false">IF(ISNUMBER(B82),LN(B82),"")</f>
        <v>7.20323577497839</v>
      </c>
      <c r="H82" s="17" t="n">
        <f aca="false">LN(C82)</f>
        <v>4.53737409155534</v>
      </c>
      <c r="I82" s="17" t="n">
        <f aca="false">IF(AND(ISNUMBER(G82),ISNUMBER(G78)),G82-G78,"")</f>
        <v>-0.61372155065778</v>
      </c>
      <c r="J82" s="17" t="n">
        <f aca="false">H82-H78</f>
        <v>-0.00171238291669074</v>
      </c>
    </row>
    <row r="83" customFormat="false" ht="15" hidden="false" customHeight="false" outlineLevel="0" collapsed="false">
      <c r="A83" s="12" t="s">
        <v>123</v>
      </c>
      <c r="B83" s="15" t="n">
        <v>1484.54545454546</v>
      </c>
      <c r="C83" s="15" t="n">
        <v>87.0209900076756</v>
      </c>
      <c r="D83" s="16" t="n">
        <v>-0.193270893828479</v>
      </c>
      <c r="E83" s="16" t="n">
        <v>-0.0193706719869603</v>
      </c>
      <c r="G83" s="17" t="n">
        <f aca="false">IF(ISNUMBER(B83),LN(B83),"")</f>
        <v>7.30286391316614</v>
      </c>
      <c r="H83" s="17" t="n">
        <f aca="false">LN(C83)</f>
        <v>4.46614935401104</v>
      </c>
      <c r="I83" s="17" t="n">
        <f aca="false">IF(AND(ISNUMBER(G83),ISNUMBER(G79)),G83-G79,"")</f>
        <v>-0.341279884328352</v>
      </c>
      <c r="J83" s="17" t="n">
        <f aca="false">H83-H79</f>
        <v>-0.143465090255684</v>
      </c>
    </row>
    <row r="84" customFormat="false" ht="15" hidden="false" customHeight="false" outlineLevel="0" collapsed="false">
      <c r="A84" s="12" t="s">
        <v>124</v>
      </c>
      <c r="B84" s="15" t="n">
        <v>920.4</v>
      </c>
      <c r="C84" s="15" t="n">
        <v>81.8555760451323</v>
      </c>
      <c r="D84" s="16" t="n">
        <v>0.0165797586683372</v>
      </c>
      <c r="E84" s="16" t="n">
        <v>0.0263829611146622</v>
      </c>
      <c r="G84" s="17" t="n">
        <f aca="false">IF(ISNUMBER(B84),LN(B84),"")</f>
        <v>6.82480835816121</v>
      </c>
      <c r="H84" s="17" t="n">
        <f aca="false">LN(C84)</f>
        <v>4.40495642666634</v>
      </c>
      <c r="I84" s="17" t="n">
        <f aca="false">IF(AND(ISNUMBER(G84),ISNUMBER(G80)),G84-G80,"")</f>
        <v>-0.876147846216728</v>
      </c>
      <c r="J84" s="17" t="n">
        <f aca="false">H84-H80</f>
        <v>-0.192468946104555</v>
      </c>
    </row>
    <row r="85" customFormat="false" ht="15" hidden="false" customHeight="false" outlineLevel="0" collapsed="false">
      <c r="A85" s="12" t="s">
        <v>125</v>
      </c>
      <c r="B85" s="15" t="n">
        <v>684.538461538462</v>
      </c>
      <c r="C85" s="15" t="n">
        <v>80.4133372039356</v>
      </c>
      <c r="D85" s="16" t="n">
        <v>0.265562805722639</v>
      </c>
      <c r="E85" s="16" t="n">
        <v>0.0583747415748432</v>
      </c>
      <c r="G85" s="17" t="n">
        <f aca="false">IF(ISNUMBER(B85),LN(B85),"")</f>
        <v>6.52874483239533</v>
      </c>
      <c r="H85" s="17" t="n">
        <f aca="false">LN(C85)</f>
        <v>4.38718004804851</v>
      </c>
      <c r="I85" s="17" t="n">
        <f aca="false">IF(AND(ISNUMBER(G85),ISNUMBER(G81)),G85-G81,"")</f>
        <v>-0.94177674074728</v>
      </c>
      <c r="J85" s="17" t="n">
        <f aca="false">H85-H81</f>
        <v>-0.384578626929738</v>
      </c>
    </row>
    <row r="86" customFormat="false" ht="15" hidden="false" customHeight="false" outlineLevel="0" collapsed="false">
      <c r="A86" s="12" t="s">
        <v>126</v>
      </c>
      <c r="B86" s="15" t="n">
        <v>723.846153846154</v>
      </c>
      <c r="C86" s="15" t="n">
        <v>84.1091031792138</v>
      </c>
      <c r="D86" s="16" t="n">
        <v>0.240817001757097</v>
      </c>
      <c r="E86" s="16" t="n">
        <v>0.0638141408959982</v>
      </c>
      <c r="G86" s="17" t="n">
        <f aca="false">IF(ISNUMBER(B86),LN(B86),"")</f>
        <v>6.58457887511789</v>
      </c>
      <c r="H86" s="17" t="n">
        <f aca="false">LN(C86)</f>
        <v>4.43211480344234</v>
      </c>
      <c r="I86" s="17" t="n">
        <f aca="false">IF(AND(ISNUMBER(G86),ISNUMBER(G82)),G86-G82,"")</f>
        <v>-0.618656899860501</v>
      </c>
      <c r="J86" s="17" t="n">
        <f aca="false">H86-H82</f>
        <v>-0.105259288113006</v>
      </c>
    </row>
    <row r="87" customFormat="false" ht="15" hidden="false" customHeight="false" outlineLevel="0" collapsed="false">
      <c r="A87" s="12" t="s">
        <v>127</v>
      </c>
      <c r="B87" s="15" t="n">
        <v>866.153846153846</v>
      </c>
      <c r="C87" s="15" t="n">
        <v>95.3861995055744</v>
      </c>
      <c r="D87" s="16" t="n">
        <v>0.180053312281566</v>
      </c>
      <c r="E87" s="16" t="n">
        <v>0.0325690447876617</v>
      </c>
      <c r="G87" s="17" t="n">
        <f aca="false">IF(ISNUMBER(B87),LN(B87),"")</f>
        <v>6.76406254423215</v>
      </c>
      <c r="H87" s="17" t="n">
        <f aca="false">LN(C87)</f>
        <v>4.55793390871937</v>
      </c>
      <c r="I87" s="17" t="n">
        <f aca="false">IF(AND(ISNUMBER(G87),ISNUMBER(G83)),G87-G83,"")</f>
        <v>-0.538801368933996</v>
      </c>
      <c r="J87" s="17" t="n">
        <f aca="false">H87-H83</f>
        <v>0.091784554708334</v>
      </c>
    </row>
    <row r="88" customFormat="false" ht="15" hidden="false" customHeight="false" outlineLevel="0" collapsed="false">
      <c r="A88" s="12" t="s">
        <v>128</v>
      </c>
      <c r="B88" s="15" t="n">
        <v>753</v>
      </c>
      <c r="C88" s="15" t="n">
        <v>99.9115125641174</v>
      </c>
      <c r="D88" s="16" t="n">
        <v>0.105017787438131</v>
      </c>
      <c r="E88" s="16" t="n">
        <v>0.0205805070747371</v>
      </c>
      <c r="G88" s="17" t="n">
        <f aca="false">IF(ISNUMBER(B88),LN(B88),"")</f>
        <v>6.62406522779989</v>
      </c>
      <c r="H88" s="17" t="n">
        <f aca="false">LN(C88)</f>
        <v>4.60428491989684</v>
      </c>
      <c r="I88" s="17" t="n">
        <f aca="false">IF(AND(ISNUMBER(G88),ISNUMBER(G84)),G88-G84,"")</f>
        <v>-0.200743130361317</v>
      </c>
      <c r="J88" s="17" t="n">
        <f aca="false">H88-H84</f>
        <v>0.199328493230507</v>
      </c>
    </row>
    <row r="89" customFormat="false" ht="15" hidden="false" customHeight="false" outlineLevel="0" collapsed="false">
      <c r="A89" s="12" t="s">
        <v>129</v>
      </c>
      <c r="B89" s="15" t="n">
        <v>536.222222222222</v>
      </c>
      <c r="C89" s="15" t="n">
        <v>92.6886168265515</v>
      </c>
      <c r="D89" s="16" t="n">
        <v>0.00536818485745405</v>
      </c>
      <c r="E89" s="16" t="n">
        <v>0.024694045208276</v>
      </c>
      <c r="G89" s="17" t="n">
        <f aca="false">IF(ISNUMBER(B89),LN(B89),"")</f>
        <v>6.28454866884876</v>
      </c>
      <c r="H89" s="17" t="n">
        <f aca="false">LN(C89)</f>
        <v>4.5292456692017</v>
      </c>
      <c r="I89" s="17" t="n">
        <f aca="false">IF(AND(ISNUMBER(G89),ISNUMBER(G85)),G89-G85,"")</f>
        <v>-0.244196163546568</v>
      </c>
      <c r="J89" s="17" t="n">
        <f aca="false">H89-H85</f>
        <v>0.142065621153192</v>
      </c>
    </row>
    <row r="90" customFormat="false" ht="15" hidden="false" customHeight="false" outlineLevel="0" collapsed="false">
      <c r="B90" s="2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7" min="2" style="0" width="13"/>
  </cols>
  <sheetData>
    <row r="1" customFormat="false" ht="17.3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2" t="s">
        <v>132</v>
      </c>
    </row>
    <row r="5" customFormat="false" ht="15" hidden="false" customHeight="false" outlineLevel="0" collapsed="false">
      <c r="A5" s="3" t="s">
        <v>36</v>
      </c>
      <c r="B5" s="3" t="s">
        <v>133</v>
      </c>
      <c r="C5" s="3" t="s">
        <v>134</v>
      </c>
      <c r="D5" s="3" t="s">
        <v>135</v>
      </c>
      <c r="E5" s="3" t="s">
        <v>136</v>
      </c>
      <c r="F5" s="3" t="s">
        <v>137</v>
      </c>
      <c r="G5" s="3" t="s">
        <v>138</v>
      </c>
      <c r="H5" s="3" t="s">
        <v>139</v>
      </c>
      <c r="I5" s="3" t="s">
        <v>140</v>
      </c>
      <c r="J5" s="3" t="s">
        <v>141</v>
      </c>
      <c r="K5" s="3" t="s">
        <v>142</v>
      </c>
      <c r="L5" s="3" t="s">
        <v>143</v>
      </c>
      <c r="M5" s="3" t="s">
        <v>144</v>
      </c>
      <c r="N5" s="3" t="s">
        <v>145</v>
      </c>
      <c r="O5" s="3" t="s">
        <v>146</v>
      </c>
      <c r="P5" s="3" t="s">
        <v>147</v>
      </c>
      <c r="Q5" s="3" t="s">
        <v>148</v>
      </c>
      <c r="R5" s="3" t="s">
        <v>149</v>
      </c>
      <c r="S5" s="3" t="s">
        <v>150</v>
      </c>
    </row>
    <row r="6" customFormat="false" ht="15" hidden="false" customHeight="false" outlineLevel="0" collapsed="false">
      <c r="A6" s="19" t="str">
        <f aca="false">Datos!A12</f>
        <v>2006Q4</v>
      </c>
      <c r="B6" s="20" t="n">
        <f aca="false">Datos!E12</f>
        <v>0.0967704037698498</v>
      </c>
      <c r="C6" s="20" t="n">
        <f aca="false">Datos!J12</f>
        <v>-0.00191089978270753</v>
      </c>
      <c r="D6" s="20" t="n">
        <f aca="false">Datos!I11</f>
        <v>-0.19907831633726</v>
      </c>
      <c r="E6" s="20" t="n">
        <f aca="false">Datos!D10</f>
        <v>0.0485206366195832</v>
      </c>
      <c r="F6" s="17" t="n">
        <f aca="false">IF($A6="2020Q2",1,0)</f>
        <v>0</v>
      </c>
      <c r="G6" s="17" t="n">
        <f aca="false">IF($A6="2020Q3",1,0)</f>
        <v>0</v>
      </c>
      <c r="H6" s="17" t="n">
        <f aca="false">IF($A6="2020Q4",1,0)</f>
        <v>0</v>
      </c>
      <c r="I6" s="17" t="n">
        <f aca="false">IF($A6="2021Q1",1,0)</f>
        <v>0</v>
      </c>
      <c r="J6" s="17" t="n">
        <f aca="false">IF($A6="2021Q2",1,0)</f>
        <v>0</v>
      </c>
      <c r="K6" s="17" t="n">
        <v>1</v>
      </c>
      <c r="L6" s="17" t="n">
        <f aca="false">B6-($B$92+$B$93*C6+$B$94*D6+$B$95*E6)</f>
        <v>0.0622690990975639</v>
      </c>
      <c r="M6" s="17" t="n">
        <f aca="false">K6*$L6</f>
        <v>0.0622690990975639</v>
      </c>
      <c r="N6" s="17" t="n">
        <f aca="false">C6*$L6</f>
        <v>-0.000118990007934929</v>
      </c>
      <c r="O6" s="17" t="n">
        <f aca="false">D6*$L6</f>
        <v>-0.0123964274081811</v>
      </c>
      <c r="P6" s="17" t="n">
        <f aca="false">E6*$L6</f>
        <v>0.00302133632994171</v>
      </c>
      <c r="Q6" s="17" t="n">
        <f aca="false">L6^2</f>
        <v>0.00387744070242224</v>
      </c>
      <c r="R6" s="17" t="n">
        <f aca="false">B6-($B$164+$B$165*C6+$B$166*D6+$B$167*E6+$B$168*F6+$B$169*G6+$B$170*H6+$B$171*I6+$B$172*J6)</f>
        <v>0.0629044011464484</v>
      </c>
      <c r="S6" s="17" t="n">
        <f aca="false">R6^2</f>
        <v>0.00395696368359329</v>
      </c>
    </row>
    <row r="7" customFormat="false" ht="15" hidden="false" customHeight="false" outlineLevel="0" collapsed="false">
      <c r="A7" s="19" t="str">
        <f aca="false">Datos!A13</f>
        <v>2007Q1</v>
      </c>
      <c r="B7" s="20" t="n">
        <f aca="false">Datos!E13</f>
        <v>0.0835894113627564</v>
      </c>
      <c r="C7" s="20" t="n">
        <f aca="false">Datos!J13</f>
        <v>-0.0215367601948842</v>
      </c>
      <c r="D7" s="20" t="n">
        <f aca="false">Datos!I12</f>
        <v>-0.40749438788385</v>
      </c>
      <c r="E7" s="20" t="n">
        <f aca="false">Datos!D11</f>
        <v>0.0647453101736395</v>
      </c>
      <c r="F7" s="17" t="n">
        <f aca="false">IF($A7="2020Q2",1,0)</f>
        <v>0</v>
      </c>
      <c r="G7" s="17" t="n">
        <f aca="false">IF($A7="2020Q3",1,0)</f>
        <v>0</v>
      </c>
      <c r="H7" s="17" t="n">
        <f aca="false">IF($A7="2020Q4",1,0)</f>
        <v>0</v>
      </c>
      <c r="I7" s="17" t="n">
        <f aca="false">IF($A7="2021Q1",1,0)</f>
        <v>0</v>
      </c>
      <c r="J7" s="17" t="n">
        <f aca="false">IF($A7="2021Q2",1,0)</f>
        <v>0</v>
      </c>
      <c r="K7" s="17" t="n">
        <v>1</v>
      </c>
      <c r="L7" s="17" t="n">
        <f aca="false">B7-($B$92+$B$93*C7+$B$94*D7+$B$95*E7)</f>
        <v>0.0313332262753324</v>
      </c>
      <c r="M7" s="17" t="n">
        <f aca="false">K7*$L7</f>
        <v>0.0313332262753324</v>
      </c>
      <c r="N7" s="17" t="n">
        <f aca="false">C7*$L7</f>
        <v>-0.000674816180423877</v>
      </c>
      <c r="O7" s="17" t="n">
        <f aca="false">D7*$L7</f>
        <v>-0.0127681138614927</v>
      </c>
      <c r="P7" s="17" t="n">
        <f aca="false">E7*$L7</f>
        <v>0.00202867945393723</v>
      </c>
      <c r="Q7" s="17" t="n">
        <f aca="false">L7^2</f>
        <v>0.00098177106882118</v>
      </c>
      <c r="R7" s="17" t="n">
        <f aca="false">B7-($B$164+$B$165*C7+$B$166*D7+$B$167*E7+$B$168*F7+$B$169*G7+$B$170*H7+$B$171*I7+$B$172*J7)</f>
        <v>0.0343982769699868</v>
      </c>
      <c r="S7" s="17" t="n">
        <f aca="false">R7^2</f>
        <v>0.00118324145850392</v>
      </c>
    </row>
    <row r="8" customFormat="false" ht="15" hidden="false" customHeight="false" outlineLevel="0" collapsed="false">
      <c r="A8" s="19" t="str">
        <f aca="false">Datos!A14</f>
        <v>2007Q2</v>
      </c>
      <c r="B8" s="20" t="n">
        <f aca="false">Datos!E14</f>
        <v>0.0985938738676382</v>
      </c>
      <c r="C8" s="20" t="n">
        <f aca="false">Datos!J14</f>
        <v>-0.0248626843791548</v>
      </c>
      <c r="D8" s="20" t="n">
        <f aca="false">Datos!I13</f>
        <v>-0.628966812933593</v>
      </c>
      <c r="E8" s="20" t="n">
        <f aca="false">Datos!D12</f>
        <v>0.0924472490479791</v>
      </c>
      <c r="F8" s="17" t="n">
        <f aca="false">IF($A8="2020Q2",1,0)</f>
        <v>0</v>
      </c>
      <c r="G8" s="17" t="n">
        <f aca="false">IF($A8="2020Q3",1,0)</f>
        <v>0</v>
      </c>
      <c r="H8" s="17" t="n">
        <f aca="false">IF($A8="2020Q4",1,0)</f>
        <v>0</v>
      </c>
      <c r="I8" s="17" t="n">
        <f aca="false">IF($A8="2021Q1",1,0)</f>
        <v>0</v>
      </c>
      <c r="J8" s="17" t="n">
        <f aca="false">IF($A8="2021Q2",1,0)</f>
        <v>0</v>
      </c>
      <c r="K8" s="17" t="n">
        <v>1</v>
      </c>
      <c r="L8" s="17" t="n">
        <f aca="false">B8-($B$92+$B$93*C8+$B$94*D8+$B$95*E8)</f>
        <v>0.0281717212147894</v>
      </c>
      <c r="M8" s="17" t="n">
        <f aca="false">K8*$L8</f>
        <v>0.0281717212147894</v>
      </c>
      <c r="N8" s="17" t="n">
        <f aca="false">C8*$L8</f>
        <v>-0.000700424612980851</v>
      </c>
      <c r="O8" s="17" t="n">
        <f aca="false">D8*$L8</f>
        <v>-0.0177190777073198</v>
      </c>
      <c r="P8" s="17" t="n">
        <f aca="false">E8*$L8</f>
        <v>0.00260439812725388</v>
      </c>
      <c r="Q8" s="17" t="n">
        <f aca="false">L8^2</f>
        <v>0.000793645876203818</v>
      </c>
      <c r="R8" s="17" t="n">
        <f aca="false">B8-($B$164+$B$165*C8+$B$166*D8+$B$167*E8+$B$168*F8+$B$169*G8+$B$170*H8+$B$171*I8+$B$172*J8)</f>
        <v>0.0340719688812719</v>
      </c>
      <c r="S8" s="17" t="n">
        <f aca="false">R8^2</f>
        <v>0.00116089906344636</v>
      </c>
    </row>
    <row r="9" customFormat="false" ht="15" hidden="false" customHeight="false" outlineLevel="0" collapsed="false">
      <c r="A9" s="19" t="str">
        <f aca="false">Datos!A15</f>
        <v>2007Q3</v>
      </c>
      <c r="B9" s="20" t="n">
        <f aca="false">Datos!E15</f>
        <v>0.0842779771268098</v>
      </c>
      <c r="C9" s="20" t="n">
        <f aca="false">Datos!J15</f>
        <v>-0.0518888711068266</v>
      </c>
      <c r="D9" s="20" t="n">
        <f aca="false">Datos!I14</f>
        <v>-0.276063137700592</v>
      </c>
      <c r="E9" s="20" t="n">
        <f aca="false">Datos!D13</f>
        <v>0.126601797624711</v>
      </c>
      <c r="F9" s="17" t="n">
        <f aca="false">IF($A9="2020Q2",1,0)</f>
        <v>0</v>
      </c>
      <c r="G9" s="17" t="n">
        <f aca="false">IF($A9="2020Q3",1,0)</f>
        <v>0</v>
      </c>
      <c r="H9" s="17" t="n">
        <f aca="false">IF($A9="2020Q4",1,0)</f>
        <v>0</v>
      </c>
      <c r="I9" s="17" t="n">
        <f aca="false">IF($A9="2021Q1",1,0)</f>
        <v>0</v>
      </c>
      <c r="J9" s="17" t="n">
        <f aca="false">IF($A9="2021Q2",1,0)</f>
        <v>0</v>
      </c>
      <c r="K9" s="17" t="n">
        <v>1</v>
      </c>
      <c r="L9" s="17" t="n">
        <f aca="false">B9-($B$92+$B$93*C9+$B$94*D9+$B$95*E9)</f>
        <v>0.0239778259369544</v>
      </c>
      <c r="M9" s="17" t="n">
        <f aca="false">K9*$L9</f>
        <v>0.0239778259369544</v>
      </c>
      <c r="N9" s="17" t="n">
        <f aca="false">C9*$L9</f>
        <v>-0.00124418231946455</v>
      </c>
      <c r="O9" s="17" t="n">
        <f aca="false">D9*$L9</f>
        <v>-0.00661939386339426</v>
      </c>
      <c r="P9" s="17" t="n">
        <f aca="false">E9*$L9</f>
        <v>0.00303563586675085</v>
      </c>
      <c r="Q9" s="17" t="n">
        <f aca="false">L9^2</f>
        <v>0.000574936136662881</v>
      </c>
      <c r="R9" s="17" t="n">
        <f aca="false">B9-($B$164+$B$165*C9+$B$166*D9+$B$167*E9+$B$168*F9+$B$169*G9+$B$170*H9+$B$171*I9+$B$172*J9)</f>
        <v>0.0267163405707208</v>
      </c>
      <c r="S9" s="17" t="n">
        <f aca="false">R9^2</f>
        <v>0.000713762853490742</v>
      </c>
    </row>
    <row r="10" customFormat="false" ht="15" hidden="false" customHeight="false" outlineLevel="0" collapsed="false">
      <c r="A10" s="19" t="str">
        <f aca="false">Datos!A16</f>
        <v>2007Q4</v>
      </c>
      <c r="B10" s="20" t="n">
        <f aca="false">Datos!E16</f>
        <v>0.092673486299768</v>
      </c>
      <c r="C10" s="20" t="n">
        <f aca="false">Datos!J16</f>
        <v>-0.0290150526999913</v>
      </c>
      <c r="D10" s="20" t="n">
        <f aca="false">Datos!I15</f>
        <v>0.202453374719026</v>
      </c>
      <c r="E10" s="20" t="n">
        <f aca="false">Datos!D14</f>
        <v>0.113965939523165</v>
      </c>
      <c r="F10" s="17" t="n">
        <f aca="false">IF($A10="2020Q2",1,0)</f>
        <v>0</v>
      </c>
      <c r="G10" s="17" t="n">
        <f aca="false">IF($A10="2020Q3",1,0)</f>
        <v>0</v>
      </c>
      <c r="H10" s="17" t="n">
        <f aca="false">IF($A10="2020Q4",1,0)</f>
        <v>0</v>
      </c>
      <c r="I10" s="17" t="n">
        <f aca="false">IF($A10="2021Q1",1,0)</f>
        <v>0</v>
      </c>
      <c r="J10" s="17" t="n">
        <f aca="false">IF($A10="2021Q2",1,0)</f>
        <v>0</v>
      </c>
      <c r="K10" s="17" t="n">
        <v>1</v>
      </c>
      <c r="L10" s="17" t="n">
        <f aca="false">B10-($B$92+$B$93*C10+$B$94*D10+$B$95*E10)</f>
        <v>0.0654497874609349</v>
      </c>
      <c r="M10" s="17" t="n">
        <f aca="false">K10*$L10</f>
        <v>0.0654497874609349</v>
      </c>
      <c r="N10" s="17" t="n">
        <f aca="false">C10*$L10</f>
        <v>-0.00189902903238225</v>
      </c>
      <c r="O10" s="17" t="n">
        <f aca="false">D10*$L10</f>
        <v>0.0132505303461092</v>
      </c>
      <c r="P10" s="17" t="n">
        <f aca="false">E10*$L10</f>
        <v>0.00745904651957693</v>
      </c>
      <c r="Q10" s="17" t="n">
        <f aca="false">L10^2</f>
        <v>0.00428367467868155</v>
      </c>
      <c r="R10" s="17" t="n">
        <f aca="false">B10-($B$164+$B$165*C10+$B$166*D10+$B$167*E10+$B$168*F10+$B$169*G10+$B$170*H10+$B$171*I10+$B$172*J10)</f>
        <v>0.0629963289167017</v>
      </c>
      <c r="S10" s="17" t="n">
        <f aca="false">R10^2</f>
        <v>0.00396853745698127</v>
      </c>
    </row>
    <row r="11" customFormat="false" ht="15" hidden="false" customHeight="false" outlineLevel="0" collapsed="false">
      <c r="A11" s="19" t="str">
        <f aca="false">Datos!A17</f>
        <v>2008Q1</v>
      </c>
      <c r="B11" s="20" t="n">
        <f aca="false">Datos!E17</f>
        <v>0.0691231457663233</v>
      </c>
      <c r="C11" s="20" t="n">
        <f aca="false">Datos!J17</f>
        <v>-0.0246249787641784</v>
      </c>
      <c r="D11" s="20" t="n">
        <f aca="false">Datos!I16</f>
        <v>0.317308506671958</v>
      </c>
      <c r="E11" s="20" t="n">
        <f aca="false">Datos!D15</f>
        <v>0.0893433207444097</v>
      </c>
      <c r="F11" s="17" t="n">
        <f aca="false">IF($A11="2020Q2",1,0)</f>
        <v>0</v>
      </c>
      <c r="G11" s="17" t="n">
        <f aca="false">IF($A11="2020Q3",1,0)</f>
        <v>0</v>
      </c>
      <c r="H11" s="17" t="n">
        <f aca="false">IF($A11="2020Q4",1,0)</f>
        <v>0</v>
      </c>
      <c r="I11" s="17" t="n">
        <f aca="false">IF($A11="2021Q1",1,0)</f>
        <v>0</v>
      </c>
      <c r="J11" s="17" t="n">
        <f aca="false">IF($A11="2021Q2",1,0)</f>
        <v>0</v>
      </c>
      <c r="K11" s="17" t="n">
        <v>1</v>
      </c>
      <c r="L11" s="17" t="n">
        <f aca="false">B11-($B$92+$B$93*C11+$B$94*D11+$B$95*E11)</f>
        <v>0.053555189211038</v>
      </c>
      <c r="M11" s="17" t="n">
        <f aca="false">K11*$L11</f>
        <v>0.053555189211038</v>
      </c>
      <c r="N11" s="17" t="n">
        <f aca="false">C11*$L11</f>
        <v>-0.00131879539703336</v>
      </c>
      <c r="O11" s="17" t="n">
        <f aca="false">D11*$L11</f>
        <v>0.0169935171130886</v>
      </c>
      <c r="P11" s="17" t="n">
        <f aca="false">E11*$L11</f>
        <v>0.00478479844720931</v>
      </c>
      <c r="Q11" s="17" t="n">
        <f aca="false">L11^2</f>
        <v>0.00286815829143008</v>
      </c>
      <c r="R11" s="17" t="n">
        <f aca="false">B11-($B$164+$B$165*C11+$B$166*D11+$B$167*E11+$B$168*F11+$B$169*G11+$B$170*H11+$B$171*I11+$B$172*J11)</f>
        <v>0.0494485979822726</v>
      </c>
      <c r="S11" s="17" t="n">
        <f aca="false">R11^2</f>
        <v>0.00244516384241241</v>
      </c>
    </row>
    <row r="12" customFormat="false" ht="15" hidden="false" customHeight="false" outlineLevel="0" collapsed="false">
      <c r="A12" s="19" t="str">
        <f aca="false">Datos!A18</f>
        <v>2008Q2</v>
      </c>
      <c r="B12" s="20" t="n">
        <f aca="false">Datos!E18</f>
        <v>0.0545268547475248</v>
      </c>
      <c r="C12" s="20" t="n">
        <f aca="false">Datos!J18</f>
        <v>-0.0583101113978053</v>
      </c>
      <c r="D12" s="20" t="n">
        <f aca="false">Datos!I17</f>
        <v>0.830001360618699</v>
      </c>
      <c r="E12" s="20" t="n">
        <f aca="false">Datos!D16</f>
        <v>0.0379736872499228</v>
      </c>
      <c r="F12" s="17" t="n">
        <f aca="false">IF($A12="2020Q2",1,0)</f>
        <v>0</v>
      </c>
      <c r="G12" s="17" t="n">
        <f aca="false">IF($A12="2020Q3",1,0)</f>
        <v>0</v>
      </c>
      <c r="H12" s="17" t="n">
        <f aca="false">IF($A12="2020Q4",1,0)</f>
        <v>0</v>
      </c>
      <c r="I12" s="17" t="n">
        <f aca="false">IF($A12="2021Q1",1,0)</f>
        <v>0</v>
      </c>
      <c r="J12" s="17" t="n">
        <f aca="false">IF($A12="2021Q2",1,0)</f>
        <v>0</v>
      </c>
      <c r="K12" s="17" t="n">
        <v>1</v>
      </c>
      <c r="L12" s="17" t="n">
        <f aca="false">B12-($B$92+$B$93*C12+$B$94*D12+$B$95*E12)</f>
        <v>0.0726276808043994</v>
      </c>
      <c r="M12" s="17" t="n">
        <f aca="false">K12*$L12</f>
        <v>0.0726276808043994</v>
      </c>
      <c r="N12" s="17" t="n">
        <f aca="false">C12*$L12</f>
        <v>-0.00423492815826878</v>
      </c>
      <c r="O12" s="17" t="n">
        <f aca="false">D12*$L12</f>
        <v>0.0602810738862321</v>
      </c>
      <c r="P12" s="17" t="n">
        <f aca="false">E12*$L12</f>
        <v>0.00275794083655348</v>
      </c>
      <c r="Q12" s="17" t="n">
        <f aca="false">L12^2</f>
        <v>0.00527478001902573</v>
      </c>
      <c r="R12" s="17" t="n">
        <f aca="false">B12-($B$164+$B$165*C12+$B$166*D12+$B$167*E12+$B$168*F12+$B$169*G12+$B$170*H12+$B$171*I12+$B$172*J12)</f>
        <v>0.0620596405762577</v>
      </c>
      <c r="S12" s="17" t="n">
        <f aca="false">R12^2</f>
        <v>0.00385139898845429</v>
      </c>
    </row>
    <row r="13" customFormat="false" ht="15" hidden="false" customHeight="false" outlineLevel="0" collapsed="false">
      <c r="A13" s="19" t="str">
        <f aca="false">Datos!A19</f>
        <v>2008Q3</v>
      </c>
      <c r="B13" s="20" t="n">
        <f aca="false">Datos!E19</f>
        <v>0.060060161436698</v>
      </c>
      <c r="C13" s="20" t="n">
        <f aca="false">Datos!J19</f>
        <v>-0.0994099287200925</v>
      </c>
      <c r="D13" s="20" t="n">
        <f aca="false">Datos!I18</f>
        <v>0.72951742965694</v>
      </c>
      <c r="E13" s="20" t="n">
        <f aca="false">Datos!D17</f>
        <v>0.00576829173150295</v>
      </c>
      <c r="F13" s="17" t="n">
        <f aca="false">IF($A13="2020Q2",1,0)</f>
        <v>0</v>
      </c>
      <c r="G13" s="17" t="n">
        <f aca="false">IF($A13="2020Q3",1,0)</f>
        <v>0</v>
      </c>
      <c r="H13" s="17" t="n">
        <f aca="false">IF($A13="2020Q4",1,0)</f>
        <v>0</v>
      </c>
      <c r="I13" s="17" t="n">
        <f aca="false">IF($A13="2021Q1",1,0)</f>
        <v>0</v>
      </c>
      <c r="J13" s="17" t="n">
        <f aca="false">IF($A13="2021Q2",1,0)</f>
        <v>0</v>
      </c>
      <c r="K13" s="17" t="n">
        <v>1</v>
      </c>
      <c r="L13" s="17" t="n">
        <f aca="false">B13-($B$92+$B$93*C13+$B$94*D13+$B$95*E13)</f>
        <v>0.0721344753098936</v>
      </c>
      <c r="M13" s="17" t="n">
        <f aca="false">K13*$L13</f>
        <v>0.0721344753098936</v>
      </c>
      <c r="N13" s="17" t="n">
        <f aca="false">C13*$L13</f>
        <v>-0.0071708830488178</v>
      </c>
      <c r="O13" s="17" t="n">
        <f aca="false">D13*$L13</f>
        <v>0.0526233570177256</v>
      </c>
      <c r="P13" s="17" t="n">
        <f aca="false">E13*$L13</f>
        <v>0.000416092697486363</v>
      </c>
      <c r="Q13" s="17" t="n">
        <f aca="false">L13^2</f>
        <v>0.00520338252823366</v>
      </c>
      <c r="R13" s="17" t="n">
        <f aca="false">B13-($B$164+$B$165*C13+$B$166*D13+$B$167*E13+$B$168*F13+$B$169*G13+$B$170*H13+$B$171*I13+$B$172*J13)</f>
        <v>0.0618857940321814</v>
      </c>
      <c r="S13" s="17" t="n">
        <f aca="false">R13^2</f>
        <v>0.00382985150299357</v>
      </c>
    </row>
    <row r="14" customFormat="false" ht="15" hidden="false" customHeight="false" outlineLevel="0" collapsed="false">
      <c r="A14" s="19" t="str">
        <f aca="false">Datos!A20</f>
        <v>2008Q4</v>
      </c>
      <c r="B14" s="20" t="n">
        <f aca="false">Datos!E20</f>
        <v>-0.019789908841391</v>
      </c>
      <c r="C14" s="20" t="n">
        <f aca="false">Datos!J20</f>
        <v>-0.213782835648829</v>
      </c>
      <c r="D14" s="20" t="n">
        <f aca="false">Datos!I19</f>
        <v>0.517950360650714</v>
      </c>
      <c r="E14" s="20" t="n">
        <f aca="false">Datos!D18</f>
        <v>-0.0414443257073285</v>
      </c>
      <c r="F14" s="17" t="n">
        <f aca="false">IF($A14="2020Q2",1,0)</f>
        <v>0</v>
      </c>
      <c r="G14" s="17" t="n">
        <f aca="false">IF($A14="2020Q3",1,0)</f>
        <v>0</v>
      </c>
      <c r="H14" s="17" t="n">
        <f aca="false">IF($A14="2020Q4",1,0)</f>
        <v>0</v>
      </c>
      <c r="I14" s="17" t="n">
        <f aca="false">IF($A14="2021Q1",1,0)</f>
        <v>0</v>
      </c>
      <c r="J14" s="17" t="n">
        <f aca="false">IF($A14="2021Q2",1,0)</f>
        <v>0</v>
      </c>
      <c r="K14" s="17" t="n">
        <v>1</v>
      </c>
      <c r="L14" s="17" t="n">
        <f aca="false">B14-($B$92+$B$93*C14+$B$94*D14+$B$95*E14)</f>
        <v>-0.0282021933374784</v>
      </c>
      <c r="M14" s="17" t="n">
        <f aca="false">K14*$L14</f>
        <v>-0.0282021933374784</v>
      </c>
      <c r="N14" s="17" t="n">
        <f aca="false">C14*$L14</f>
        <v>0.00602914486320267</v>
      </c>
      <c r="O14" s="17" t="n">
        <f aca="false">D14*$L14</f>
        <v>-0.0146073362102881</v>
      </c>
      <c r="P14" s="17" t="n">
        <f aca="false">E14*$L14</f>
        <v>0.00116882088633951</v>
      </c>
      <c r="Q14" s="17" t="n">
        <f aca="false">L14^2</f>
        <v>0.000795363709044513</v>
      </c>
      <c r="R14" s="17" t="n">
        <f aca="false">B14-($B$164+$B$165*C14+$B$166*D14+$B$167*E14+$B$168*F14+$B$169*G14+$B$170*H14+$B$171*I14+$B$172*J14)</f>
        <v>-0.0374855608219959</v>
      </c>
      <c r="S14" s="17" t="n">
        <f aca="false">R14^2</f>
        <v>0.00140516727013955</v>
      </c>
    </row>
    <row r="15" customFormat="false" ht="15" hidden="false" customHeight="false" outlineLevel="0" collapsed="false">
      <c r="A15" s="19" t="str">
        <f aca="false">Datos!A21</f>
        <v>2009Q1</v>
      </c>
      <c r="B15" s="20" t="n">
        <f aca="false">Datos!E21</f>
        <v>-0.0618875514402444</v>
      </c>
      <c r="C15" s="20" t="n">
        <f aca="false">Datos!J21</f>
        <v>-0.181898451481454</v>
      </c>
      <c r="D15" s="20" t="n">
        <f aca="false">Datos!I20</f>
        <v>1.47820592896023</v>
      </c>
      <c r="E15" s="20" t="n">
        <f aca="false">Datos!D19</f>
        <v>-0.0310561338962782</v>
      </c>
      <c r="F15" s="17" t="n">
        <f aca="false">IF($A15="2020Q2",1,0)</f>
        <v>0</v>
      </c>
      <c r="G15" s="17" t="n">
        <f aca="false">IF($A15="2020Q3",1,0)</f>
        <v>0</v>
      </c>
      <c r="H15" s="17" t="n">
        <f aca="false">IF($A15="2020Q4",1,0)</f>
        <v>0</v>
      </c>
      <c r="I15" s="17" t="n">
        <f aca="false">IF($A15="2021Q1",1,0)</f>
        <v>0</v>
      </c>
      <c r="J15" s="17" t="n">
        <f aca="false">IF($A15="2021Q2",1,0)</f>
        <v>0</v>
      </c>
      <c r="K15" s="17" t="n">
        <v>1</v>
      </c>
      <c r="L15" s="17" t="n">
        <f aca="false">B15-($B$92+$B$93*C15+$B$94*D15+$B$95*E15)</f>
        <v>-0.0124091953298439</v>
      </c>
      <c r="M15" s="17" t="n">
        <f aca="false">K15*$L15</f>
        <v>-0.0124091953298439</v>
      </c>
      <c r="N15" s="17" t="n">
        <f aca="false">C15*$L15</f>
        <v>0.0022572134146295</v>
      </c>
      <c r="O15" s="17" t="n">
        <f aca="false">D15*$L15</f>
        <v>-0.0183433461102009</v>
      </c>
      <c r="P15" s="17" t="n">
        <f aca="false">E15*$L15</f>
        <v>0.000385381631708701</v>
      </c>
      <c r="Q15" s="17" t="n">
        <f aca="false">L15^2</f>
        <v>0.000153988128734219</v>
      </c>
      <c r="R15" s="17" t="n">
        <f aca="false">B15-($B$164+$B$165*C15+$B$166*D15+$B$167*E15+$B$168*F15+$B$169*G15+$B$170*H15+$B$171*I15+$B$172*J15)</f>
        <v>-0.0314899712682555</v>
      </c>
      <c r="S15" s="17" t="n">
        <f aca="false">R15^2</f>
        <v>0.000991618290475557</v>
      </c>
    </row>
    <row r="16" customFormat="false" ht="15" hidden="false" customHeight="false" outlineLevel="0" collapsed="false">
      <c r="A16" s="19" t="str">
        <f aca="false">Datos!A22</f>
        <v>2009Q2</v>
      </c>
      <c r="B16" s="20" t="n">
        <f aca="false">Datos!E22</f>
        <v>-0.112745471526209</v>
      </c>
      <c r="C16" s="20" t="n">
        <f aca="false">Datos!J22</f>
        <v>-0.0684621502820431</v>
      </c>
      <c r="D16" s="20" t="n">
        <f aca="false">Datos!I21</f>
        <v>1.25998041263688</v>
      </c>
      <c r="E16" s="20" t="n">
        <f aca="false">Datos!D20</f>
        <v>-0.0433503245183842</v>
      </c>
      <c r="F16" s="17" t="n">
        <f aca="false">IF($A16="2020Q2",1,0)</f>
        <v>0</v>
      </c>
      <c r="G16" s="17" t="n">
        <f aca="false">IF($A16="2020Q3",1,0)</f>
        <v>0</v>
      </c>
      <c r="H16" s="17" t="n">
        <f aca="false">IF($A16="2020Q4",1,0)</f>
        <v>0</v>
      </c>
      <c r="I16" s="17" t="n">
        <f aca="false">IF($A16="2021Q1",1,0)</f>
        <v>0</v>
      </c>
      <c r="J16" s="17" t="n">
        <f aca="false">IF($A16="2021Q2",1,0)</f>
        <v>0</v>
      </c>
      <c r="K16" s="17" t="n">
        <v>1</v>
      </c>
      <c r="L16" s="17" t="n">
        <f aca="false">B16-($B$92+$B$93*C16+$B$94*D16+$B$95*E16)</f>
        <v>-0.0568733280140549</v>
      </c>
      <c r="M16" s="17" t="n">
        <f aca="false">K16*$L16</f>
        <v>-0.0568733280140549</v>
      </c>
      <c r="N16" s="17" t="n">
        <f aca="false">C16*$L16</f>
        <v>0.00389367032953816</v>
      </c>
      <c r="O16" s="17" t="n">
        <f aca="false">D16*$L16</f>
        <v>-0.0716592792991813</v>
      </c>
      <c r="P16" s="17" t="n">
        <f aca="false">E16*$L16</f>
        <v>0.00246547722584979</v>
      </c>
      <c r="Q16" s="17" t="n">
        <f aca="false">L16^2</f>
        <v>0.00323457543939428</v>
      </c>
      <c r="R16" s="17" t="n">
        <f aca="false">B16-($B$164+$B$165*C16+$B$166*D16+$B$167*E16+$B$168*F16+$B$169*G16+$B$170*H16+$B$171*I16+$B$172*J16)</f>
        <v>-0.0735150636599955</v>
      </c>
      <c r="S16" s="17" t="n">
        <f aca="false">R16^2</f>
        <v>0.00540446458493319</v>
      </c>
    </row>
    <row r="17" customFormat="false" ht="15" hidden="false" customHeight="false" outlineLevel="0" collapsed="false">
      <c r="A17" s="19" t="str">
        <f aca="false">Datos!A23</f>
        <v>2009Q3</v>
      </c>
      <c r="B17" s="20" t="n">
        <f aca="false">Datos!E23</f>
        <v>-0.0565117996405296</v>
      </c>
      <c r="C17" s="20" t="n">
        <f aca="false">Datos!J23</f>
        <v>0.0546809440700518</v>
      </c>
      <c r="D17" s="20" t="n">
        <f aca="false">Datos!I22</f>
        <v>0.96127169843504</v>
      </c>
      <c r="E17" s="20" t="n">
        <f aca="false">Datos!D21</f>
        <v>-0.0939912544057393</v>
      </c>
      <c r="F17" s="17" t="n">
        <f aca="false">IF($A17="2020Q2",1,0)</f>
        <v>0</v>
      </c>
      <c r="G17" s="17" t="n">
        <f aca="false">IF($A17="2020Q3",1,0)</f>
        <v>0</v>
      </c>
      <c r="H17" s="17" t="n">
        <f aca="false">IF($A17="2020Q4",1,0)</f>
        <v>0</v>
      </c>
      <c r="I17" s="17" t="n">
        <f aca="false">IF($A17="2021Q1",1,0)</f>
        <v>0</v>
      </c>
      <c r="J17" s="17" t="n">
        <f aca="false">IF($A17="2021Q2",1,0)</f>
        <v>0</v>
      </c>
      <c r="K17" s="17" t="n">
        <v>1</v>
      </c>
      <c r="L17" s="17" t="n">
        <f aca="false">B17-($B$92+$B$93*C17+$B$94*D17+$B$95*E17)</f>
        <v>0.00945691758046544</v>
      </c>
      <c r="M17" s="17" t="n">
        <f aca="false">K17*$L17</f>
        <v>0.00945691758046544</v>
      </c>
      <c r="N17" s="17" t="n">
        <f aca="false">C17*$L17</f>
        <v>0.00051711318129252</v>
      </c>
      <c r="O17" s="17" t="n">
        <f aca="false">D17*$L17</f>
        <v>0.00909066722453419</v>
      </c>
      <c r="P17" s="17" t="n">
        <f aca="false">E17*$L17</f>
        <v>-0.000888867546199635</v>
      </c>
      <c r="Q17" s="17" t="n">
        <f aca="false">L17^2</f>
        <v>8.94332901237162E-005</v>
      </c>
      <c r="R17" s="17" t="n">
        <f aca="false">B17-($B$164+$B$165*C17+$B$166*D17+$B$167*E17+$B$168*F17+$B$169*G17+$B$170*H17+$B$171*I17+$B$172*J17)</f>
        <v>-0.00458385779035687</v>
      </c>
      <c r="S17" s="17" t="n">
        <f aca="false">R17^2</f>
        <v>2.10117522422154E-005</v>
      </c>
    </row>
    <row r="18" customFormat="false" ht="15" hidden="false" customHeight="false" outlineLevel="0" collapsed="false">
      <c r="A18" s="19" t="str">
        <f aca="false">Datos!A24</f>
        <v>2009Q4</v>
      </c>
      <c r="B18" s="20" t="n">
        <f aca="false">Datos!E24</f>
        <v>0.00281998226127467</v>
      </c>
      <c r="C18" s="20" t="n">
        <f aca="false">Datos!J24</f>
        <v>0.1524657318095</v>
      </c>
      <c r="D18" s="20" t="n">
        <f aca="false">Datos!I23</f>
        <v>0.27964939808898</v>
      </c>
      <c r="E18" s="20" t="n">
        <f aca="false">Datos!D22</f>
        <v>-0.121024937224579</v>
      </c>
      <c r="F18" s="17" t="n">
        <f aca="false">IF($A18="2020Q2",1,0)</f>
        <v>0</v>
      </c>
      <c r="G18" s="17" t="n">
        <f aca="false">IF($A18="2020Q3",1,0)</f>
        <v>0</v>
      </c>
      <c r="H18" s="17" t="n">
        <f aca="false">IF($A18="2020Q4",1,0)</f>
        <v>0</v>
      </c>
      <c r="I18" s="17" t="n">
        <f aca="false">IF($A18="2021Q1",1,0)</f>
        <v>0</v>
      </c>
      <c r="J18" s="17" t="n">
        <f aca="false">IF($A18="2021Q2",1,0)</f>
        <v>0</v>
      </c>
      <c r="K18" s="17" t="n">
        <v>1</v>
      </c>
      <c r="L18" s="17" t="n">
        <f aca="false">B18-($B$92+$B$93*C18+$B$94*D18+$B$95*E18)</f>
        <v>0.0489541734741415</v>
      </c>
      <c r="M18" s="17" t="n">
        <f aca="false">K18*$L18</f>
        <v>0.0489541734741415</v>
      </c>
      <c r="N18" s="17" t="n">
        <f aca="false">C18*$L18</f>
        <v>0.00746383388386422</v>
      </c>
      <c r="O18" s="17" t="n">
        <f aca="false">D18*$L18</f>
        <v>0.0136900051459872</v>
      </c>
      <c r="P18" s="17" t="n">
        <f aca="false">E18*$L18</f>
        <v>-0.00592467577158913</v>
      </c>
      <c r="Q18" s="17" t="n">
        <f aca="false">L18^2</f>
        <v>0.00239651110053634</v>
      </c>
      <c r="R18" s="17" t="n">
        <f aca="false">B18-($B$164+$B$165*C18+$B$166*D18+$B$167*E18+$B$168*F18+$B$169*G18+$B$170*H18+$B$171*I18+$B$172*J18)</f>
        <v>0.041897869015366</v>
      </c>
      <c r="S18" s="17" t="n">
        <f aca="false">R18^2</f>
        <v>0.00175543142802877</v>
      </c>
    </row>
    <row r="19" customFormat="false" ht="15" hidden="false" customHeight="false" outlineLevel="0" collapsed="false">
      <c r="A19" s="19" t="str">
        <f aca="false">Datos!A25</f>
        <v>2010Q1</v>
      </c>
      <c r="B19" s="20" t="n">
        <f aca="false">Datos!E25</f>
        <v>0.0571326910752132</v>
      </c>
      <c r="C19" s="20" t="n">
        <f aca="false">Datos!J25</f>
        <v>0.0309714850965781</v>
      </c>
      <c r="D19" s="20" t="n">
        <f aca="false">Datos!I24</f>
        <v>-0.86001237647948</v>
      </c>
      <c r="E19" s="20" t="n">
        <f aca="false">Datos!D23</f>
        <v>-0.102129686835791</v>
      </c>
      <c r="F19" s="17" t="n">
        <f aca="false">IF($A19="2020Q2",1,0)</f>
        <v>0</v>
      </c>
      <c r="G19" s="17" t="n">
        <f aca="false">IF($A19="2020Q3",1,0)</f>
        <v>0</v>
      </c>
      <c r="H19" s="17" t="n">
        <f aca="false">IF($A19="2020Q4",1,0)</f>
        <v>0</v>
      </c>
      <c r="I19" s="17" t="n">
        <f aca="false">IF($A19="2021Q1",1,0)</f>
        <v>0</v>
      </c>
      <c r="J19" s="17" t="n">
        <f aca="false">IF($A19="2021Q2",1,0)</f>
        <v>0</v>
      </c>
      <c r="K19" s="17" t="n">
        <v>1</v>
      </c>
      <c r="L19" s="17" t="n">
        <f aca="false">B19-($B$92+$B$93*C19+$B$94*D19+$B$95*E19)</f>
        <v>0.0166366729709565</v>
      </c>
      <c r="M19" s="17" t="n">
        <f aca="false">K19*$L19</f>
        <v>0.0166366729709565</v>
      </c>
      <c r="N19" s="17" t="n">
        <f aca="false">C19*$L19</f>
        <v>0.000515262468976623</v>
      </c>
      <c r="O19" s="17" t="n">
        <f aca="false">D19*$L19</f>
        <v>-0.0143077446584642</v>
      </c>
      <c r="P19" s="17" t="n">
        <f aca="false">E19*$L19</f>
        <v>-0.00169909820051326</v>
      </c>
      <c r="Q19" s="17" t="n">
        <f aca="false">L19^2</f>
        <v>0.000276778887542555</v>
      </c>
      <c r="R19" s="17" t="n">
        <f aca="false">B19-($B$164+$B$165*C19+$B$166*D19+$B$167*E19+$B$168*F19+$B$169*G19+$B$170*H19+$B$171*I19+$B$172*J19)</f>
        <v>0.0215156071226974</v>
      </c>
      <c r="S19" s="17" t="n">
        <f aca="false">R19^2</f>
        <v>0.000462921349858268</v>
      </c>
    </row>
    <row r="20" customFormat="false" ht="15" hidden="false" customHeight="false" outlineLevel="0" collapsed="false">
      <c r="A20" s="19" t="str">
        <f aca="false">Datos!A26</f>
        <v>2010Q2</v>
      </c>
      <c r="B20" s="20" t="n">
        <f aca="false">Datos!E26</f>
        <v>0.162441995090574</v>
      </c>
      <c r="C20" s="20" t="n">
        <f aca="false">Datos!J26</f>
        <v>-0.0995512307792286</v>
      </c>
      <c r="D20" s="20" t="n">
        <f aca="false">Datos!I25</f>
        <v>-0.840774974203388</v>
      </c>
      <c r="E20" s="20" t="n">
        <f aca="false">Datos!D24</f>
        <v>-0.0818636052035965</v>
      </c>
      <c r="F20" s="17" t="n">
        <f aca="false">IF($A20="2020Q2",1,0)</f>
        <v>0</v>
      </c>
      <c r="G20" s="17" t="n">
        <f aca="false">IF($A20="2020Q3",1,0)</f>
        <v>0</v>
      </c>
      <c r="H20" s="17" t="n">
        <f aca="false">IF($A20="2020Q4",1,0)</f>
        <v>0</v>
      </c>
      <c r="I20" s="17" t="n">
        <f aca="false">IF($A20="2021Q1",1,0)</f>
        <v>0</v>
      </c>
      <c r="J20" s="17" t="n">
        <f aca="false">IF($A20="2021Q2",1,0)</f>
        <v>0</v>
      </c>
      <c r="K20" s="17" t="n">
        <v>1</v>
      </c>
      <c r="L20" s="17" t="n">
        <f aca="false">B20-($B$92+$B$93*C20+$B$94*D20+$B$95*E20)</f>
        <v>0.100194361664365</v>
      </c>
      <c r="M20" s="17" t="n">
        <f aca="false">K20*$L20</f>
        <v>0.100194361664365</v>
      </c>
      <c r="N20" s="17" t="n">
        <f aca="false">C20*$L20</f>
        <v>-0.00997447202082665</v>
      </c>
      <c r="O20" s="17" t="n">
        <f aca="false">D20*$L20</f>
        <v>-0.084240911843681</v>
      </c>
      <c r="P20" s="17" t="n">
        <f aca="false">E20*$L20</f>
        <v>-0.0082022716669179</v>
      </c>
      <c r="Q20" s="17" t="n">
        <f aca="false">L20^2</f>
        <v>0.0100389101093295</v>
      </c>
      <c r="R20" s="17" t="n">
        <f aca="false">B20-($B$164+$B$165*C20+$B$166*D20+$B$167*E20+$B$168*F20+$B$169*G20+$B$170*H20+$B$171*I20+$B$172*J20)</f>
        <v>0.104819082888266</v>
      </c>
      <c r="S20" s="17" t="n">
        <f aca="false">R20^2</f>
        <v>0.0109870401375372</v>
      </c>
    </row>
    <row r="21" customFormat="false" ht="15" hidden="false" customHeight="false" outlineLevel="0" collapsed="false">
      <c r="A21" s="19" t="str">
        <f aca="false">Datos!A27</f>
        <v>2010Q3</v>
      </c>
      <c r="B21" s="20" t="n">
        <f aca="false">Datos!E27</f>
        <v>0.0950774236722809</v>
      </c>
      <c r="C21" s="20" t="n">
        <f aca="false">Datos!J27</f>
        <v>-0.16203712977465</v>
      </c>
      <c r="D21" s="20" t="n">
        <f aca="false">Datos!I26</f>
        <v>-0.684936842874217</v>
      </c>
      <c r="E21" s="20" t="n">
        <f aca="false">Datos!D25</f>
        <v>-0.0453784606172778</v>
      </c>
      <c r="F21" s="17" t="n">
        <f aca="false">IF($A21="2020Q2",1,0)</f>
        <v>0</v>
      </c>
      <c r="G21" s="17" t="n">
        <f aca="false">IF($A21="2020Q3",1,0)</f>
        <v>0</v>
      </c>
      <c r="H21" s="17" t="n">
        <f aca="false">IF($A21="2020Q4",1,0)</f>
        <v>0</v>
      </c>
      <c r="I21" s="17" t="n">
        <f aca="false">IF($A21="2021Q1",1,0)</f>
        <v>0</v>
      </c>
      <c r="J21" s="17" t="n">
        <f aca="false">IF($A21="2021Q2",1,0)</f>
        <v>0</v>
      </c>
      <c r="K21" s="17" t="n">
        <v>1</v>
      </c>
      <c r="L21" s="17" t="n">
        <f aca="false">B21-($B$92+$B$93*C21+$B$94*D21+$B$95*E21)</f>
        <v>0.026012972140054</v>
      </c>
      <c r="M21" s="17" t="n">
        <f aca="false">K21*$L21</f>
        <v>0.026012972140054</v>
      </c>
      <c r="N21" s="17" t="n">
        <f aca="false">C21*$L21</f>
        <v>-0.0042150673424823</v>
      </c>
      <c r="O21" s="17" t="n">
        <f aca="false">D21*$L21</f>
        <v>-0.0178172430113836</v>
      </c>
      <c r="P21" s="17" t="n">
        <f aca="false">E21*$L21</f>
        <v>-0.00118042863179579</v>
      </c>
      <c r="Q21" s="17" t="n">
        <f aca="false">L21^2</f>
        <v>0.000676674719559227</v>
      </c>
      <c r="R21" s="17" t="n">
        <f aca="false">B21-($B$164+$B$165*C21+$B$166*D21+$B$167*E21+$B$168*F21+$B$169*G21+$B$170*H21+$B$171*I21+$B$172*J21)</f>
        <v>0.0294745864444917</v>
      </c>
      <c r="S21" s="17" t="n">
        <f aca="false">R21^2</f>
        <v>0.000868751246073813</v>
      </c>
    </row>
    <row r="22" customFormat="false" ht="15" hidden="false" customHeight="false" outlineLevel="0" collapsed="false">
      <c r="A22" s="19" t="str">
        <f aca="false">Datos!A28</f>
        <v>2010Q4</v>
      </c>
      <c r="B22" s="20" t="n">
        <f aca="false">Datos!E28</f>
        <v>0.0860979311042298</v>
      </c>
      <c r="C22" s="20" t="n">
        <f aca="false">Datos!J28</f>
        <v>-0.16524516230925</v>
      </c>
      <c r="D22" s="20" t="n">
        <f aca="false">Datos!I27</f>
        <v>-0.259363358030901</v>
      </c>
      <c r="E22" s="20" t="n">
        <f aca="false">Datos!D26</f>
        <v>0.0701206886265153</v>
      </c>
      <c r="F22" s="17" t="n">
        <f aca="false">IF($A22="2020Q2",1,0)</f>
        <v>0</v>
      </c>
      <c r="G22" s="17" t="n">
        <f aca="false">IF($A22="2020Q3",1,0)</f>
        <v>0</v>
      </c>
      <c r="H22" s="17" t="n">
        <f aca="false">IF($A22="2020Q4",1,0)</f>
        <v>0</v>
      </c>
      <c r="I22" s="17" t="n">
        <f aca="false">IF($A22="2021Q1",1,0)</f>
        <v>0</v>
      </c>
      <c r="J22" s="17" t="n">
        <f aca="false">IF($A22="2021Q2",1,0)</f>
        <v>0</v>
      </c>
      <c r="K22" s="17" t="n">
        <v>1</v>
      </c>
      <c r="L22" s="17" t="n">
        <f aca="false">B22-($B$92+$B$93*C22+$B$94*D22+$B$95*E22)</f>
        <v>0.020215254393934</v>
      </c>
      <c r="M22" s="17" t="n">
        <f aca="false">K22*$L22</f>
        <v>0.020215254393934</v>
      </c>
      <c r="N22" s="17" t="n">
        <f aca="false">C22*$L22</f>
        <v>-0.00334047299344841</v>
      </c>
      <c r="O22" s="17" t="n">
        <f aca="false">D22*$L22</f>
        <v>-0.00524309626305964</v>
      </c>
      <c r="P22" s="17" t="n">
        <f aca="false">E22*$L22</f>
        <v>0.00141750755886284</v>
      </c>
      <c r="Q22" s="17" t="n">
        <f aca="false">L22^2</f>
        <v>0.000408656510211468</v>
      </c>
      <c r="R22" s="17" t="n">
        <f aca="false">B22-($B$164+$B$165*C22+$B$166*D22+$B$167*E22+$B$168*F22+$B$169*G22+$B$170*H22+$B$171*I22+$B$172*J22)</f>
        <v>0.0213491765304074</v>
      </c>
      <c r="S22" s="17" t="n">
        <f aca="false">R22^2</f>
        <v>0.000455787338526497</v>
      </c>
    </row>
    <row r="23" customFormat="false" ht="15" hidden="false" customHeight="false" outlineLevel="0" collapsed="false">
      <c r="A23" s="19" t="str">
        <f aca="false">Datos!A29</f>
        <v>2011Q1</v>
      </c>
      <c r="B23" s="20" t="n">
        <f aca="false">Datos!E29</f>
        <v>0.0829261625044686</v>
      </c>
      <c r="C23" s="20" t="n">
        <f aca="false">Datos!J29</f>
        <v>-0.0845793958768919</v>
      </c>
      <c r="D23" s="20" t="n">
        <f aca="false">Datos!I28</f>
        <v>-0.274919460835839</v>
      </c>
      <c r="E23" s="20" t="n">
        <f aca="false">Datos!D27</f>
        <v>0.0832314622130852</v>
      </c>
      <c r="F23" s="17" t="n">
        <f aca="false">IF($A23="2020Q2",1,0)</f>
        <v>0</v>
      </c>
      <c r="G23" s="17" t="n">
        <f aca="false">IF($A23="2020Q3",1,0)</f>
        <v>0</v>
      </c>
      <c r="H23" s="17" t="n">
        <f aca="false">IF($A23="2020Q4",1,0)</f>
        <v>0</v>
      </c>
      <c r="I23" s="17" t="n">
        <f aca="false">IF($A23="2021Q1",1,0)</f>
        <v>0</v>
      </c>
      <c r="J23" s="17" t="n">
        <f aca="false">IF($A23="2021Q2",1,0)</f>
        <v>0</v>
      </c>
      <c r="K23" s="17" t="n">
        <v>1</v>
      </c>
      <c r="L23" s="17" t="n">
        <f aca="false">B23-($B$92+$B$93*C23+$B$94*D23+$B$95*E23)</f>
        <v>0.0256707432577766</v>
      </c>
      <c r="M23" s="17" t="n">
        <f aca="false">K23*$L23</f>
        <v>0.0256707432577766</v>
      </c>
      <c r="N23" s="17" t="n">
        <f aca="false">C23*$L23</f>
        <v>-0.00217121595645354</v>
      </c>
      <c r="O23" s="17" t="n">
        <f aca="false">D23*$L23</f>
        <v>-0.00705738689568321</v>
      </c>
      <c r="P23" s="17" t="n">
        <f aca="false">E23*$L23</f>
        <v>0.00213661349744145</v>
      </c>
      <c r="Q23" s="17" t="n">
        <f aca="false">L23^2</f>
        <v>0.000658987059406685</v>
      </c>
      <c r="R23" s="17" t="n">
        <f aca="false">B23-($B$164+$B$165*C23+$B$166*D23+$B$167*E23+$B$168*F23+$B$169*G23+$B$170*H23+$B$171*I23+$B$172*J23)</f>
        <v>0.0274792201860698</v>
      </c>
      <c r="S23" s="17" t="n">
        <f aca="false">R23^2</f>
        <v>0.000755107542034505</v>
      </c>
    </row>
    <row r="24" customFormat="false" ht="15" hidden="false" customHeight="false" outlineLevel="0" collapsed="false">
      <c r="A24" s="19" t="str">
        <f aca="false">Datos!A30</f>
        <v>2011Q2</v>
      </c>
      <c r="B24" s="20" t="n">
        <f aca="false">Datos!E30</f>
        <v>0.0444334376577356</v>
      </c>
      <c r="C24" s="20" t="n">
        <f aca="false">Datos!J30</f>
        <v>-0.0210221747781203</v>
      </c>
      <c r="D24" s="20" t="n">
        <f aca="false">Datos!I29</f>
        <v>-0.320230039426383</v>
      </c>
      <c r="E24" s="20" t="n">
        <f aca="false">Datos!D28</f>
        <v>0.114478472935433</v>
      </c>
      <c r="F24" s="17" t="n">
        <f aca="false">IF($A24="2020Q2",1,0)</f>
        <v>0</v>
      </c>
      <c r="G24" s="17" t="n">
        <f aca="false">IF($A24="2020Q3",1,0)</f>
        <v>0</v>
      </c>
      <c r="H24" s="17" t="n">
        <f aca="false">IF($A24="2020Q4",1,0)</f>
        <v>0</v>
      </c>
      <c r="I24" s="17" t="n">
        <f aca="false">IF($A24="2021Q1",1,0)</f>
        <v>0</v>
      </c>
      <c r="J24" s="17" t="n">
        <f aca="false">IF($A24="2021Q2",1,0)</f>
        <v>0</v>
      </c>
      <c r="K24" s="17" t="n">
        <v>1</v>
      </c>
      <c r="L24" s="17" t="n">
        <f aca="false">B24-($B$92+$B$93*C24+$B$94*D24+$B$95*E24)</f>
        <v>-0.0116775838430665</v>
      </c>
      <c r="M24" s="17" t="n">
        <f aca="false">K24*$L24</f>
        <v>-0.0116775838430665</v>
      </c>
      <c r="N24" s="17" t="n">
        <f aca="false">C24*$L24</f>
        <v>0.000245488208535098</v>
      </c>
      <c r="O24" s="17" t="n">
        <f aca="false">D24*$L24</f>
        <v>0.00373951313447008</v>
      </c>
      <c r="P24" s="17" t="n">
        <f aca="false">E24*$L24</f>
        <v>-0.00133683196592974</v>
      </c>
      <c r="Q24" s="17" t="n">
        <f aca="false">L24^2</f>
        <v>0.000136365964411849</v>
      </c>
      <c r="R24" s="17" t="n">
        <f aca="false">B24-($B$164+$B$165*C24+$B$166*D24+$B$167*E24+$B$168*F24+$B$169*G24+$B$170*H24+$B$171*I24+$B$172*J24)</f>
        <v>-0.0085993336600429</v>
      </c>
      <c r="S24" s="17" t="n">
        <f aca="false">R24^2</f>
        <v>7.39485393967468E-005</v>
      </c>
    </row>
    <row r="25" customFormat="false" ht="15" hidden="false" customHeight="false" outlineLevel="0" collapsed="false">
      <c r="A25" s="19" t="str">
        <f aca="false">Datos!A31</f>
        <v>2011Q3</v>
      </c>
      <c r="B25" s="20" t="n">
        <f aca="false">Datos!E31</f>
        <v>0.0640936718081673</v>
      </c>
      <c r="C25" s="20" t="n">
        <f aca="false">Datos!J31</f>
        <v>-0.0497165525442647</v>
      </c>
      <c r="D25" s="20" t="n">
        <f aca="false">Datos!I30</f>
        <v>-0.245764621240005</v>
      </c>
      <c r="E25" s="20" t="n">
        <f aca="false">Datos!D29</f>
        <v>0.156755092089227</v>
      </c>
      <c r="F25" s="17" t="n">
        <f aca="false">IF($A25="2020Q2",1,0)</f>
        <v>0</v>
      </c>
      <c r="G25" s="17" t="n">
        <f aca="false">IF($A25="2020Q3",1,0)</f>
        <v>0</v>
      </c>
      <c r="H25" s="17" t="n">
        <f aca="false">IF($A25="2020Q4",1,0)</f>
        <v>0</v>
      </c>
      <c r="I25" s="17" t="n">
        <f aca="false">IF($A25="2021Q1",1,0)</f>
        <v>0</v>
      </c>
      <c r="J25" s="17" t="n">
        <f aca="false">IF($A25="2021Q2",1,0)</f>
        <v>0</v>
      </c>
      <c r="K25" s="17" t="n">
        <v>1</v>
      </c>
      <c r="L25" s="17" t="n">
        <f aca="false">B25-($B$92+$B$93*C25+$B$94*D25+$B$95*E25)</f>
        <v>0.000433672655201722</v>
      </c>
      <c r="M25" s="17" t="n">
        <f aca="false">K25*$L25</f>
        <v>0.000433672655201722</v>
      </c>
      <c r="N25" s="17" t="n">
        <f aca="false">C25*$L25</f>
        <v>-2.15607093493472E-005</v>
      </c>
      <c r="O25" s="17" t="n">
        <f aca="false">D25*$L25</f>
        <v>-0.000106581395847798</v>
      </c>
      <c r="P25" s="17" t="n">
        <f aca="false">E25*$L25</f>
        <v>6.79803970027254E-005</v>
      </c>
      <c r="Q25" s="17" t="n">
        <f aca="false">L25^2</f>
        <v>1.88071971869712E-007</v>
      </c>
      <c r="R25" s="17" t="n">
        <f aca="false">B25-($B$164+$B$165*C25+$B$166*D25+$B$167*E25+$B$168*F25+$B$169*G25+$B$170*H25+$B$171*I25+$B$172*J25)</f>
        <v>0.00342405981224241</v>
      </c>
      <c r="S25" s="17" t="n">
        <f aca="false">R25^2</f>
        <v>1.17241855978135E-005</v>
      </c>
    </row>
    <row r="26" customFormat="false" ht="15" hidden="false" customHeight="false" outlineLevel="0" collapsed="false">
      <c r="A26" s="19" t="str">
        <f aca="false">Datos!A32</f>
        <v>2011Q4</v>
      </c>
      <c r="B26" s="20" t="n">
        <f aca="false">Datos!E32</f>
        <v>0.0521713189216535</v>
      </c>
      <c r="C26" s="20" t="n">
        <f aca="false">Datos!J32</f>
        <v>-0.118357872409572</v>
      </c>
      <c r="D26" s="20" t="n">
        <f aca="false">Datos!I31</f>
        <v>0.0294728020236565</v>
      </c>
      <c r="E26" s="20" t="n">
        <f aca="false">Datos!D30</f>
        <v>0.118095794149657</v>
      </c>
      <c r="F26" s="17" t="n">
        <f aca="false">IF($A26="2020Q2",1,0)</f>
        <v>0</v>
      </c>
      <c r="G26" s="17" t="n">
        <f aca="false">IF($A26="2020Q3",1,0)</f>
        <v>0</v>
      </c>
      <c r="H26" s="17" t="n">
        <f aca="false">IF($A26="2020Q4",1,0)</f>
        <v>0</v>
      </c>
      <c r="I26" s="17" t="n">
        <f aca="false">IF($A26="2021Q1",1,0)</f>
        <v>0</v>
      </c>
      <c r="J26" s="17" t="n">
        <f aca="false">IF($A26="2021Q2",1,0)</f>
        <v>0</v>
      </c>
      <c r="K26" s="17" t="n">
        <v>1</v>
      </c>
      <c r="L26" s="17" t="n">
        <f aca="false">B26-($B$92+$B$93*C26+$B$94*D26+$B$95*E26)</f>
        <v>0.00113464513961903</v>
      </c>
      <c r="M26" s="17" t="n">
        <f aca="false">K26*$L26</f>
        <v>0.00113464513961903</v>
      </c>
      <c r="N26" s="17" t="n">
        <f aca="false">C26*$L26</f>
        <v>-0.00013429418466517</v>
      </c>
      <c r="O26" s="17" t="n">
        <f aca="false">D26*$L26</f>
        <v>3.34411715670958E-005</v>
      </c>
      <c r="P26" s="17" t="n">
        <f aca="false">E26*$L26</f>
        <v>0.000133996818841358</v>
      </c>
      <c r="Q26" s="17" t="n">
        <f aca="false">L26^2</f>
        <v>1.28741959286108E-006</v>
      </c>
      <c r="R26" s="17" t="n">
        <f aca="false">B26-($B$164+$B$165*C26+$B$166*D26+$B$167*E26+$B$168*F26+$B$169*G26+$B$170*H26+$B$171*I26+$B$172*J26)</f>
        <v>0.000282450762517074</v>
      </c>
      <c r="S26" s="17" t="n">
        <f aca="false">R26^2</f>
        <v>7.97784332464765E-008</v>
      </c>
    </row>
    <row r="27" customFormat="false" ht="15" hidden="false" customHeight="false" outlineLevel="0" collapsed="false">
      <c r="A27" s="19" t="str">
        <f aca="false">Datos!A33</f>
        <v>2012Q1</v>
      </c>
      <c r="B27" s="20" t="n">
        <f aca="false">Datos!E33</f>
        <v>0.0156424693190642</v>
      </c>
      <c r="C27" s="20" t="n">
        <f aca="false">Datos!J33</f>
        <v>-0.120539067889182</v>
      </c>
      <c r="D27" s="20" t="n">
        <f aca="false">Datos!I32</f>
        <v>0.508657349429499</v>
      </c>
      <c r="E27" s="20" t="n">
        <f aca="false">Datos!D31</f>
        <v>0.124916134258139</v>
      </c>
      <c r="F27" s="17" t="n">
        <f aca="false">IF($A27="2020Q2",1,0)</f>
        <v>0</v>
      </c>
      <c r="G27" s="17" t="n">
        <f aca="false">IF($A27="2020Q3",1,0)</f>
        <v>0</v>
      </c>
      <c r="H27" s="17" t="n">
        <f aca="false">IF($A27="2020Q4",1,0)</f>
        <v>0</v>
      </c>
      <c r="I27" s="17" t="n">
        <f aca="false">IF($A27="2021Q1",1,0)</f>
        <v>0</v>
      </c>
      <c r="J27" s="17" t="n">
        <f aca="false">IF($A27="2021Q2",1,0)</f>
        <v>0</v>
      </c>
      <c r="K27" s="17" t="n">
        <v>1</v>
      </c>
      <c r="L27" s="17" t="n">
        <f aca="false">B27-($B$92+$B$93*C27+$B$94*D27+$B$95*E27)</f>
        <v>-0.0094630268272267</v>
      </c>
      <c r="M27" s="17" t="n">
        <f aca="false">K27*$L27</f>
        <v>-0.0094630268272267</v>
      </c>
      <c r="N27" s="17" t="n">
        <f aca="false">C27*$L27</f>
        <v>0.00114066443316423</v>
      </c>
      <c r="O27" s="17" t="n">
        <f aca="false">D27*$L27</f>
        <v>-0.00481343814351738</v>
      </c>
      <c r="P27" s="17" t="n">
        <f aca="false">E27*$L27</f>
        <v>-0.00118208472963822</v>
      </c>
      <c r="Q27" s="17" t="n">
        <f aca="false">L27^2</f>
        <v>8.95488767328122E-005</v>
      </c>
      <c r="R27" s="17" t="n">
        <f aca="false">B27-($B$164+$B$165*C27+$B$166*D27+$B$167*E27+$B$168*F27+$B$169*G27+$B$170*H27+$B$171*I27+$B$172*J27)</f>
        <v>-0.0152334077047122</v>
      </c>
      <c r="S27" s="17" t="n">
        <f aca="false">R27^2</f>
        <v>0.000232056710297984</v>
      </c>
    </row>
    <row r="28" customFormat="false" ht="15" hidden="false" customHeight="false" outlineLevel="0" collapsed="false">
      <c r="A28" s="19" t="str">
        <f aca="false">Datos!A34</f>
        <v>2012Q2</v>
      </c>
      <c r="B28" s="20" t="n">
        <f aca="false">Datos!E34</f>
        <v>-0.0463175722342237</v>
      </c>
      <c r="C28" s="20" t="n">
        <f aca="false">Datos!J34</f>
        <v>-0.202603595901971</v>
      </c>
      <c r="D28" s="20" t="n">
        <f aca="false">Datos!I33</f>
        <v>0.446252070566514</v>
      </c>
      <c r="E28" s="20" t="n">
        <f aca="false">Datos!D32</f>
        <v>0.0978916859729002</v>
      </c>
      <c r="F28" s="17" t="n">
        <f aca="false">IF($A28="2020Q2",1,0)</f>
        <v>0</v>
      </c>
      <c r="G28" s="17" t="n">
        <f aca="false">IF($A28="2020Q3",1,0)</f>
        <v>0</v>
      </c>
      <c r="H28" s="17" t="n">
        <f aca="false">IF($A28="2020Q4",1,0)</f>
        <v>0</v>
      </c>
      <c r="I28" s="17" t="n">
        <f aca="false">IF($A28="2021Q1",1,0)</f>
        <v>0</v>
      </c>
      <c r="J28" s="17" t="n">
        <f aca="false">IF($A28="2021Q2",1,0)</f>
        <v>0</v>
      </c>
      <c r="K28" s="17" t="n">
        <v>1</v>
      </c>
      <c r="L28" s="17" t="n">
        <f aca="false">B28-($B$92+$B$93*C28+$B$94*D28+$B$95*E28)</f>
        <v>-0.0822271368957091</v>
      </c>
      <c r="M28" s="17" t="n">
        <f aca="false">K28*$L28</f>
        <v>-0.0822271368957091</v>
      </c>
      <c r="N28" s="17" t="n">
        <f aca="false">C28*$L28</f>
        <v>0.0166595136157943</v>
      </c>
      <c r="O28" s="17" t="n">
        <f aca="false">D28*$L28</f>
        <v>-0.0366940300964664</v>
      </c>
      <c r="P28" s="17" t="n">
        <f aca="false">E28*$L28</f>
        <v>-0.00804935306344543</v>
      </c>
      <c r="Q28" s="17" t="n">
        <f aca="false">L28^2</f>
        <v>0.00676130204206568</v>
      </c>
      <c r="R28" s="17" t="n">
        <f aca="false">B28-($B$164+$B$165*C28+$B$166*D28+$B$167*E28+$B$168*F28+$B$169*G28+$B$170*H28+$B$171*I28+$B$172*J28)</f>
        <v>-0.0881168749777641</v>
      </c>
      <c r="S28" s="17" t="n">
        <f aca="false">R28^2</f>
        <v>0.0077645836558469</v>
      </c>
    </row>
    <row r="29" customFormat="false" ht="15" hidden="false" customHeight="false" outlineLevel="0" collapsed="false">
      <c r="A29" s="19" t="str">
        <f aca="false">Datos!A35</f>
        <v>2012Q3</v>
      </c>
      <c r="B29" s="20" t="n">
        <f aca="false">Datos!E35</f>
        <v>-0.0111829419552486</v>
      </c>
      <c r="C29" s="20" t="n">
        <f aca="false">Datos!J35</f>
        <v>-0.19123551049634</v>
      </c>
      <c r="D29" s="20" t="n">
        <f aca="false">Datos!I34</f>
        <v>0.616996310430901</v>
      </c>
      <c r="E29" s="20" t="n">
        <f aca="false">Datos!D33</f>
        <v>0.068851867103453</v>
      </c>
      <c r="F29" s="17" t="n">
        <f aca="false">IF($A29="2020Q2",1,0)</f>
        <v>0</v>
      </c>
      <c r="G29" s="17" t="n">
        <f aca="false">IF($A29="2020Q3",1,0)</f>
        <v>0</v>
      </c>
      <c r="H29" s="17" t="n">
        <f aca="false">IF($A29="2020Q4",1,0)</f>
        <v>0</v>
      </c>
      <c r="I29" s="17" t="n">
        <f aca="false">IF($A29="2021Q1",1,0)</f>
        <v>0</v>
      </c>
      <c r="J29" s="17" t="n">
        <f aca="false">IF($A29="2021Q2",1,0)</f>
        <v>0</v>
      </c>
      <c r="K29" s="17" t="n">
        <v>1</v>
      </c>
      <c r="L29" s="17" t="n">
        <f aca="false">B29-($B$92+$B$93*C29+$B$94*D29+$B$95*E29)</f>
        <v>-0.0304111919348349</v>
      </c>
      <c r="M29" s="17" t="n">
        <f aca="false">K29*$L29</f>
        <v>-0.0304111919348349</v>
      </c>
      <c r="N29" s="17" t="n">
        <f aca="false">C29*$L29</f>
        <v>0.00581569981446034</v>
      </c>
      <c r="O29" s="17" t="n">
        <f aca="false">D29*$L29</f>
        <v>-0.0187635932195991</v>
      </c>
      <c r="P29" s="17" t="n">
        <f aca="false">E29*$L29</f>
        <v>-0.00209386734555486</v>
      </c>
      <c r="Q29" s="17" t="n">
        <f aca="false">L29^2</f>
        <v>0.000924840594897368</v>
      </c>
      <c r="R29" s="17" t="n">
        <f aca="false">B29-($B$164+$B$165*C29+$B$166*D29+$B$167*E29+$B$168*F29+$B$169*G29+$B$170*H29+$B$171*I29+$B$172*J29)</f>
        <v>-0.0386012096906575</v>
      </c>
      <c r="S29" s="17" t="n">
        <f aca="false">R29^2</f>
        <v>0.00149005338958211</v>
      </c>
    </row>
    <row r="30" customFormat="false" ht="15" hidden="false" customHeight="false" outlineLevel="0" collapsed="false">
      <c r="A30" s="19" t="str">
        <f aca="false">Datos!A36</f>
        <v>2012Q4</v>
      </c>
      <c r="B30" s="20" t="n">
        <f aca="false">Datos!E36</f>
        <v>0.00555804016441552</v>
      </c>
      <c r="C30" s="20" t="n">
        <f aca="false">Datos!J36</f>
        <v>-0.105339167674998</v>
      </c>
      <c r="D30" s="20" t="n">
        <f aca="false">Datos!I35</f>
        <v>0.331248914573117</v>
      </c>
      <c r="E30" s="20" t="n">
        <f aca="false">Datos!D34</f>
        <v>0.042741373530764</v>
      </c>
      <c r="F30" s="17" t="n">
        <f aca="false">IF($A30="2020Q2",1,0)</f>
        <v>0</v>
      </c>
      <c r="G30" s="17" t="n">
        <f aca="false">IF($A30="2020Q3",1,0)</f>
        <v>0</v>
      </c>
      <c r="H30" s="17" t="n">
        <f aca="false">IF($A30="2020Q4",1,0)</f>
        <v>0</v>
      </c>
      <c r="I30" s="17" t="n">
        <f aca="false">IF($A30="2021Q1",1,0)</f>
        <v>0</v>
      </c>
      <c r="J30" s="17" t="n">
        <f aca="false">IF($A30="2021Q2",1,0)</f>
        <v>0</v>
      </c>
      <c r="K30" s="17" t="n">
        <v>1</v>
      </c>
      <c r="L30" s="17" t="n">
        <f aca="false">B30-($B$92+$B$93*C30+$B$94*D30+$B$95*E30)</f>
        <v>-0.0127202862475171</v>
      </c>
      <c r="M30" s="17" t="n">
        <f aca="false">K30*$L30</f>
        <v>-0.0127202862475171</v>
      </c>
      <c r="N30" s="17" t="n">
        <f aca="false">C30*$L30</f>
        <v>0.00133994436590118</v>
      </c>
      <c r="O30" s="17" t="n">
        <f aca="false">D30*$L30</f>
        <v>-0.0042135810125494</v>
      </c>
      <c r="P30" s="17" t="n">
        <f aca="false">E30*$L30</f>
        <v>-0.00054368250592337</v>
      </c>
      <c r="Q30" s="17" t="n">
        <f aca="false">L30^2</f>
        <v>0.000161805682218773</v>
      </c>
      <c r="R30" s="17" t="n">
        <f aca="false">B30-($B$164+$B$165*C30+$B$166*D30+$B$167*E30+$B$168*F30+$B$169*G30+$B$170*H30+$B$171*I30+$B$172*J30)</f>
        <v>-0.0181102391966919</v>
      </c>
      <c r="S30" s="17" t="n">
        <f aca="false">R30^2</f>
        <v>0.000327980763761397</v>
      </c>
    </row>
    <row r="31" customFormat="false" ht="15" hidden="false" customHeight="false" outlineLevel="0" collapsed="false">
      <c r="A31" s="19" t="str">
        <f aca="false">Datos!A37</f>
        <v>2013Q1</v>
      </c>
      <c r="B31" s="20" t="n">
        <f aca="false">Datos!E37</f>
        <v>0.00654025144614989</v>
      </c>
      <c r="C31" s="20" t="n">
        <f aca="false">Datos!J37</f>
        <v>-0.0809917315448727</v>
      </c>
      <c r="D31" s="20" t="n">
        <f aca="false">Datos!I36</f>
        <v>0.133448408459698</v>
      </c>
      <c r="E31" s="20" t="n">
        <f aca="false">Datos!D35</f>
        <v>0.0813586595172222</v>
      </c>
      <c r="F31" s="17" t="n">
        <f aca="false">IF($A31="2020Q2",1,0)</f>
        <v>0</v>
      </c>
      <c r="G31" s="17" t="n">
        <f aca="false">IF($A31="2020Q3",1,0)</f>
        <v>0</v>
      </c>
      <c r="H31" s="17" t="n">
        <f aca="false">IF($A31="2020Q4",1,0)</f>
        <v>0</v>
      </c>
      <c r="I31" s="17" t="n">
        <f aca="false">IF($A31="2021Q1",1,0)</f>
        <v>0</v>
      </c>
      <c r="J31" s="17" t="n">
        <f aca="false">IF($A31="2021Q2",1,0)</f>
        <v>0</v>
      </c>
      <c r="K31" s="17" t="n">
        <v>1</v>
      </c>
      <c r="L31" s="17" t="n">
        <f aca="false">B31-($B$92+$B$93*C31+$B$94*D31+$B$95*E31)</f>
        <v>-0.0264338432199558</v>
      </c>
      <c r="M31" s="17" t="n">
        <f aca="false">K31*$L31</f>
        <v>-0.0264338432199558</v>
      </c>
      <c r="N31" s="17" t="n">
        <f aca="false">C31*$L31</f>
        <v>0.00214092273376991</v>
      </c>
      <c r="O31" s="17" t="n">
        <f aca="false">D31*$L31</f>
        <v>-0.00352755430717627</v>
      </c>
      <c r="P31" s="17" t="n">
        <f aca="false">E31*$L31</f>
        <v>-0.00215062205026402</v>
      </c>
      <c r="Q31" s="17" t="n">
        <f aca="false">L31^2</f>
        <v>0.000698748067377204</v>
      </c>
      <c r="R31" s="17" t="n">
        <f aca="false">B31-($B$164+$B$165*C31+$B$166*D31+$B$167*E31+$B$168*F31+$B$169*G31+$B$170*H31+$B$171*I31+$B$172*J31)</f>
        <v>-0.0289423136086087</v>
      </c>
      <c r="S31" s="17" t="n">
        <f aca="false">R31^2</f>
        <v>0.000837657517019056</v>
      </c>
    </row>
    <row r="32" customFormat="false" ht="15" hidden="false" customHeight="false" outlineLevel="0" collapsed="false">
      <c r="A32" s="19" t="str">
        <f aca="false">Datos!A38</f>
        <v>2013Q2</v>
      </c>
      <c r="B32" s="20" t="n">
        <f aca="false">Datos!E38</f>
        <v>0.0624602349363816</v>
      </c>
      <c r="C32" s="20" t="n">
        <f aca="false">Datos!J38</f>
        <v>-0.0236004388494147</v>
      </c>
      <c r="D32" s="20" t="n">
        <f aca="false">Datos!I37</f>
        <v>0.302198791603895</v>
      </c>
      <c r="E32" s="20" t="n">
        <f aca="false">Datos!D36</f>
        <v>0.120861080407254</v>
      </c>
      <c r="F32" s="17" t="n">
        <f aca="false">IF($A32="2020Q2",1,0)</f>
        <v>0</v>
      </c>
      <c r="G32" s="17" t="n">
        <f aca="false">IF($A32="2020Q3",1,0)</f>
        <v>0</v>
      </c>
      <c r="H32" s="17" t="n">
        <f aca="false">IF($A32="2020Q4",1,0)</f>
        <v>0</v>
      </c>
      <c r="I32" s="17" t="n">
        <f aca="false">IF($A32="2021Q1",1,0)</f>
        <v>0</v>
      </c>
      <c r="J32" s="17" t="n">
        <f aca="false">IF($A32="2021Q2",1,0)</f>
        <v>0</v>
      </c>
      <c r="K32" s="17" t="n">
        <v>1</v>
      </c>
      <c r="L32" s="17" t="n">
        <f aca="false">B32-($B$92+$B$93*C32+$B$94*D32+$B$95*E32)</f>
        <v>0.0405145318801923</v>
      </c>
      <c r="M32" s="17" t="n">
        <f aca="false">K32*$L32</f>
        <v>0.0405145318801923</v>
      </c>
      <c r="N32" s="17" t="n">
        <f aca="false">C32*$L32</f>
        <v>-0.000956160732151139</v>
      </c>
      <c r="O32" s="17" t="n">
        <f aca="false">D32*$L32</f>
        <v>0.0122434425765916</v>
      </c>
      <c r="P32" s="17" t="n">
        <f aca="false">E32*$L32</f>
        <v>0.00489663009523419</v>
      </c>
      <c r="Q32" s="17" t="n">
        <f aca="false">L32^2</f>
        <v>0.00164142729347112</v>
      </c>
      <c r="R32" s="17" t="n">
        <f aca="false">B32-($B$164+$B$165*C32+$B$166*D32+$B$167*E32+$B$168*F32+$B$169*G32+$B$170*H32+$B$171*I32+$B$172*J32)</f>
        <v>0.0371589625031731</v>
      </c>
      <c r="S32" s="17" t="n">
        <f aca="false">R32^2</f>
        <v>0.00138078849431222</v>
      </c>
    </row>
    <row r="33" customFormat="false" ht="15" hidden="false" customHeight="false" outlineLevel="0" collapsed="false">
      <c r="A33" s="19" t="str">
        <f aca="false">Datos!A39</f>
        <v>2013Q3</v>
      </c>
      <c r="B33" s="20" t="n">
        <f aca="false">Datos!E39</f>
        <v>0.0255838987402566</v>
      </c>
      <c r="C33" s="20" t="n">
        <f aca="false">Datos!J39</f>
        <v>-0.0303094547920404</v>
      </c>
      <c r="D33" s="20" t="n">
        <f aca="false">Datos!I38</f>
        <v>0.120778671688272</v>
      </c>
      <c r="E33" s="20" t="n">
        <f aca="false">Datos!D37</f>
        <v>0.107248415474464</v>
      </c>
      <c r="F33" s="17" t="n">
        <f aca="false">IF($A33="2020Q2",1,0)</f>
        <v>0</v>
      </c>
      <c r="G33" s="17" t="n">
        <f aca="false">IF($A33="2020Q3",1,0)</f>
        <v>0</v>
      </c>
      <c r="H33" s="17" t="n">
        <f aca="false">IF($A33="2020Q4",1,0)</f>
        <v>0</v>
      </c>
      <c r="I33" s="17" t="n">
        <f aca="false">IF($A33="2021Q1",1,0)</f>
        <v>0</v>
      </c>
      <c r="J33" s="17" t="n">
        <f aca="false">IF($A33="2021Q2",1,0)</f>
        <v>0</v>
      </c>
      <c r="K33" s="17" t="n">
        <v>1</v>
      </c>
      <c r="L33" s="17" t="n">
        <f aca="false">B33-($B$92+$B$93*C33+$B$94*D33+$B$95*E33)</f>
        <v>-0.00530696184084847</v>
      </c>
      <c r="M33" s="17" t="n">
        <f aca="false">K33*$L33</f>
        <v>-0.00530696184084847</v>
      </c>
      <c r="N33" s="17" t="n">
        <f aca="false">C33*$L33</f>
        <v>0.00016085111999828</v>
      </c>
      <c r="O33" s="17" t="n">
        <f aca="false">D33*$L33</f>
        <v>-0.000640967801838024</v>
      </c>
      <c r="P33" s="17" t="n">
        <f aca="false">E33*$L33</f>
        <v>-0.000569163248414445</v>
      </c>
      <c r="Q33" s="17" t="n">
        <f aca="false">L33^2</f>
        <v>2.81638439802218E-005</v>
      </c>
      <c r="R33" s="17" t="n">
        <f aca="false">B33-($B$164+$B$165*C33+$B$166*D33+$B$167*E33+$B$168*F33+$B$169*G33+$B$170*H33+$B$171*I33+$B$172*J33)</f>
        <v>-0.00703140627765793</v>
      </c>
      <c r="S33" s="17" t="n">
        <f aca="false">R33^2</f>
        <v>4.94406742414873E-005</v>
      </c>
    </row>
    <row r="34" customFormat="false" ht="15" hidden="false" customHeight="false" outlineLevel="0" collapsed="false">
      <c r="A34" s="19" t="str">
        <f aca="false">Datos!A40</f>
        <v>2013Q4</v>
      </c>
      <c r="B34" s="20" t="n">
        <f aca="false">Datos!E40</f>
        <v>-0.000510205754616022</v>
      </c>
      <c r="C34" s="20" t="n">
        <f aca="false">Datos!J40</f>
        <v>-0.0123059936904433</v>
      </c>
      <c r="D34" s="20" t="n">
        <f aca="false">Datos!I39</f>
        <v>0.0668712109426766</v>
      </c>
      <c r="E34" s="20" t="n">
        <f aca="false">Datos!D38</f>
        <v>0.108154333714891</v>
      </c>
      <c r="F34" s="17" t="n">
        <f aca="false">IF($A34="2020Q2",1,0)</f>
        <v>0</v>
      </c>
      <c r="G34" s="17" t="n">
        <f aca="false">IF($A34="2020Q3",1,0)</f>
        <v>0</v>
      </c>
      <c r="H34" s="17" t="n">
        <f aca="false">IF($A34="2020Q4",1,0)</f>
        <v>0</v>
      </c>
      <c r="I34" s="17" t="n">
        <f aca="false">IF($A34="2021Q1",1,0)</f>
        <v>0</v>
      </c>
      <c r="J34" s="17" t="n">
        <f aca="false">IF($A34="2021Q2",1,0)</f>
        <v>0</v>
      </c>
      <c r="K34" s="17" t="n">
        <v>1</v>
      </c>
      <c r="L34" s="17" t="n">
        <f aca="false">B34-($B$92+$B$93*C34+$B$94*D34+$B$95*E34)</f>
        <v>-0.0320047429183029</v>
      </c>
      <c r="M34" s="17" t="n">
        <f aca="false">K34*$L34</f>
        <v>-0.0320047429183029</v>
      </c>
      <c r="N34" s="17" t="n">
        <f aca="false">C34*$L34</f>
        <v>0.000393850164416894</v>
      </c>
      <c r="O34" s="17" t="n">
        <f aca="false">D34*$L34</f>
        <v>-0.00214019591485597</v>
      </c>
      <c r="P34" s="17" t="n">
        <f aca="false">E34*$L34</f>
        <v>-0.00346145164604543</v>
      </c>
      <c r="Q34" s="17" t="n">
        <f aca="false">L34^2</f>
        <v>0.00102430356926666</v>
      </c>
      <c r="R34" s="17" t="n">
        <f aca="false">B34-($B$164+$B$165*C34+$B$166*D34+$B$167*E34+$B$168*F34+$B$169*G34+$B$170*H34+$B$171*I34+$B$172*J34)</f>
        <v>-0.0330860690475907</v>
      </c>
      <c r="S34" s="17" t="n">
        <f aca="false">R34^2</f>
        <v>0.00109468796502194</v>
      </c>
    </row>
    <row r="35" customFormat="false" ht="15" hidden="false" customHeight="false" outlineLevel="0" collapsed="false">
      <c r="A35" s="19" t="str">
        <f aca="false">Datos!A41</f>
        <v>2014Q1</v>
      </c>
      <c r="B35" s="20" t="n">
        <f aca="false">Datos!E41</f>
        <v>-0.00889028383967849</v>
      </c>
      <c r="C35" s="20" t="n">
        <f aca="false">Datos!J41</f>
        <v>0.0822537891438024</v>
      </c>
      <c r="D35" s="20" t="n">
        <f aca="false">Datos!I40</f>
        <v>-0.193556731560339</v>
      </c>
      <c r="E35" s="20" t="n">
        <f aca="false">Datos!D39</f>
        <v>0.0412334785190116</v>
      </c>
      <c r="F35" s="17" t="n">
        <f aca="false">IF($A35="2020Q2",1,0)</f>
        <v>0</v>
      </c>
      <c r="G35" s="17" t="n">
        <f aca="false">IF($A35="2020Q3",1,0)</f>
        <v>0</v>
      </c>
      <c r="H35" s="17" t="n">
        <f aca="false">IF($A35="2020Q4",1,0)</f>
        <v>0</v>
      </c>
      <c r="I35" s="17" t="n">
        <f aca="false">IF($A35="2021Q1",1,0)</f>
        <v>0</v>
      </c>
      <c r="J35" s="17" t="n">
        <f aca="false">IF($A35="2021Q2",1,0)</f>
        <v>0</v>
      </c>
      <c r="K35" s="17" t="n">
        <v>1</v>
      </c>
      <c r="L35" s="17" t="n">
        <f aca="false">B35-($B$92+$B$93*C35+$B$94*D35+$B$95*E35)</f>
        <v>-0.0293761474704599</v>
      </c>
      <c r="M35" s="17" t="n">
        <f aca="false">K35*$L35</f>
        <v>-0.0293761474704599</v>
      </c>
      <c r="N35" s="17" t="n">
        <f aca="false">C35*$L35</f>
        <v>-0.00241629943989245</v>
      </c>
      <c r="O35" s="17" t="n">
        <f aca="false">D35*$L35</f>
        <v>0.00568595109021674</v>
      </c>
      <c r="P35" s="17" t="n">
        <f aca="false">E35*$L35</f>
        <v>-0.00121128074569452</v>
      </c>
      <c r="Q35" s="17" t="n">
        <f aca="false">L35^2</f>
        <v>0.000862958040206205</v>
      </c>
      <c r="R35" s="17" t="n">
        <f aca="false">B35-($B$164+$B$165*C35+$B$166*D35+$B$167*E35+$B$168*F35+$B$169*G35+$B$170*H35+$B$171*I35+$B$172*J35)</f>
        <v>-0.0286574173172118</v>
      </c>
      <c r="S35" s="17" t="n">
        <f aca="false">R35^2</f>
        <v>0.00082124756729283</v>
      </c>
    </row>
    <row r="36" customFormat="false" ht="15" hidden="false" customHeight="false" outlineLevel="0" collapsed="false">
      <c r="A36" s="19" t="str">
        <f aca="false">Datos!A42</f>
        <v>2014Q2</v>
      </c>
      <c r="B36" s="20" t="n">
        <f aca="false">Datos!E42</f>
        <v>-0.0204893869308982</v>
      </c>
      <c r="C36" s="20" t="n">
        <f aca="false">Datos!J42</f>
        <v>0.0863640932501504</v>
      </c>
      <c r="D36" s="20" t="n">
        <f aca="false">Datos!I41</f>
        <v>-0.194939516693815</v>
      </c>
      <c r="E36" s="20" t="n">
        <f aca="false">Datos!D40</f>
        <v>-0.0160774079518586</v>
      </c>
      <c r="F36" s="17" t="n">
        <f aca="false">IF($A36="2020Q2",1,0)</f>
        <v>0</v>
      </c>
      <c r="G36" s="17" t="n">
        <f aca="false">IF($A36="2020Q3",1,0)</f>
        <v>0</v>
      </c>
      <c r="H36" s="17" t="n">
        <f aca="false">IF($A36="2020Q4",1,0)</f>
        <v>0</v>
      </c>
      <c r="I36" s="17" t="n">
        <f aca="false">IF($A36="2021Q1",1,0)</f>
        <v>0</v>
      </c>
      <c r="J36" s="17" t="n">
        <f aca="false">IF($A36="2021Q2",1,0)</f>
        <v>0</v>
      </c>
      <c r="K36" s="17" t="n">
        <v>1</v>
      </c>
      <c r="L36" s="17" t="n">
        <f aca="false">B36-($B$92+$B$93*C36+$B$94*D36+$B$95*E36)</f>
        <v>-0.0301536179298435</v>
      </c>
      <c r="M36" s="17" t="n">
        <f aca="false">K36*$L36</f>
        <v>-0.0301536179298435</v>
      </c>
      <c r="N36" s="17" t="n">
        <f aca="false">C36*$L36</f>
        <v>-0.00260418987072241</v>
      </c>
      <c r="O36" s="17" t="n">
        <f aca="false">D36*$L36</f>
        <v>0.00587813170581364</v>
      </c>
      <c r="P36" s="17" t="n">
        <f aca="false">E36*$L36</f>
        <v>0.000484792016682573</v>
      </c>
      <c r="Q36" s="17" t="n">
        <f aca="false">L36^2</f>
        <v>0.00090924067425898</v>
      </c>
      <c r="R36" s="17" t="n">
        <f aca="false">B36-($B$164+$B$165*C36+$B$166*D36+$B$167*E36+$B$168*F36+$B$169*G36+$B$170*H36+$B$171*I36+$B$172*J36)</f>
        <v>-0.0304773929802842</v>
      </c>
      <c r="S36" s="17" t="n">
        <f aca="false">R36^2</f>
        <v>0.000928871482874674</v>
      </c>
    </row>
    <row r="37" customFormat="false" ht="15" hidden="false" customHeight="false" outlineLevel="0" collapsed="false">
      <c r="A37" s="19" t="str">
        <f aca="false">Datos!A43</f>
        <v>2014Q3</v>
      </c>
      <c r="B37" s="20" t="n">
        <f aca="false">Datos!E43</f>
        <v>-0.0423851505475772</v>
      </c>
      <c r="C37" s="20" t="n">
        <f aca="false">Datos!J43</f>
        <v>0.0730074513547399</v>
      </c>
      <c r="D37" s="20" t="n">
        <f aca="false">Datos!I42</f>
        <v>-0.427353150106391</v>
      </c>
      <c r="E37" s="20" t="n">
        <f aca="false">Datos!D41</f>
        <v>-0.111957420383261</v>
      </c>
      <c r="F37" s="17" t="n">
        <f aca="false">IF($A37="2020Q2",1,0)</f>
        <v>0</v>
      </c>
      <c r="G37" s="17" t="n">
        <f aca="false">IF($A37="2020Q3",1,0)</f>
        <v>0</v>
      </c>
      <c r="H37" s="17" t="n">
        <f aca="false">IF($A37="2020Q4",1,0)</f>
        <v>0</v>
      </c>
      <c r="I37" s="17" t="n">
        <f aca="false">IF($A37="2021Q1",1,0)</f>
        <v>0</v>
      </c>
      <c r="J37" s="17" t="n">
        <f aca="false">IF($A37="2021Q2",1,0)</f>
        <v>0</v>
      </c>
      <c r="K37" s="17" t="n">
        <v>1</v>
      </c>
      <c r="L37" s="17" t="n">
        <f aca="false">B37-($B$92+$B$93*C37+$B$94*D37+$B$95*E37)</f>
        <v>-0.0501179398044975</v>
      </c>
      <c r="M37" s="17" t="n">
        <f aca="false">K37*$L37</f>
        <v>-0.0501179398044975</v>
      </c>
      <c r="N37" s="17" t="n">
        <f aca="false">C37*$L37</f>
        <v>-0.00365898305227663</v>
      </c>
      <c r="O37" s="17" t="n">
        <f aca="false">D37*$L37</f>
        <v>0.0214180594522944</v>
      </c>
      <c r="P37" s="17" t="n">
        <f aca="false">E37*$L37</f>
        <v>0.0056110752554351</v>
      </c>
      <c r="Q37" s="17" t="n">
        <f aca="false">L37^2</f>
        <v>0.00251180789024723</v>
      </c>
      <c r="R37" s="17" t="n">
        <f aca="false">B37-($B$164+$B$165*C37+$B$166*D37+$B$167*E37+$B$168*F37+$B$169*G37+$B$170*H37+$B$171*I37+$B$172*J37)</f>
        <v>-0.0498331480746573</v>
      </c>
      <c r="S37" s="17" t="n">
        <f aca="false">R37^2</f>
        <v>0.00248334264703072</v>
      </c>
    </row>
    <row r="38" customFormat="false" ht="15" hidden="false" customHeight="false" outlineLevel="0" collapsed="false">
      <c r="A38" s="19" t="str">
        <f aca="false">Datos!A44</f>
        <v>2014Q4</v>
      </c>
      <c r="B38" s="20" t="n">
        <f aca="false">Datos!E44</f>
        <v>-0.0281573013880524</v>
      </c>
      <c r="C38" s="20" t="n">
        <f aca="false">Datos!J44</f>
        <v>-0.0412028260861561</v>
      </c>
      <c r="D38" s="20" t="n">
        <f aca="false">Datos!I43</f>
        <v>-0.430103763511462</v>
      </c>
      <c r="E38" s="20" t="n">
        <f aca="false">Datos!D42</f>
        <v>-0.14532455085246</v>
      </c>
      <c r="F38" s="17" t="n">
        <f aca="false">IF($A38="2020Q2",1,0)</f>
        <v>0</v>
      </c>
      <c r="G38" s="17" t="n">
        <f aca="false">IF($A38="2020Q3",1,0)</f>
        <v>0</v>
      </c>
      <c r="H38" s="17" t="n">
        <f aca="false">IF($A38="2020Q4",1,0)</f>
        <v>0</v>
      </c>
      <c r="I38" s="17" t="n">
        <f aca="false">IF($A38="2021Q1",1,0)</f>
        <v>0</v>
      </c>
      <c r="J38" s="17" t="n">
        <f aca="false">IF($A38="2021Q2",1,0)</f>
        <v>0</v>
      </c>
      <c r="K38" s="17" t="n">
        <v>1</v>
      </c>
      <c r="L38" s="17" t="n">
        <f aca="false">B38-($B$92+$B$93*C38+$B$94*D38+$B$95*E38)</f>
        <v>-0.0468660677490984</v>
      </c>
      <c r="M38" s="17" t="n">
        <f aca="false">K38*$L38</f>
        <v>-0.0468660677490984</v>
      </c>
      <c r="N38" s="17" t="n">
        <f aca="false">C38*$L38</f>
        <v>0.00193101443880811</v>
      </c>
      <c r="O38" s="17" t="n">
        <f aca="false">D38*$L38</f>
        <v>0.0201572721198704</v>
      </c>
      <c r="P38" s="17" t="n">
        <f aca="false">E38*$L38</f>
        <v>0.00681079024585869</v>
      </c>
      <c r="Q38" s="17" t="n">
        <f aca="false">L38^2</f>
        <v>0.00219642830626308</v>
      </c>
      <c r="R38" s="17" t="n">
        <f aca="false">B38-($B$164+$B$165*C38+$B$166*D38+$B$167*E38+$B$168*F38+$B$169*G38+$B$170*H38+$B$171*I38+$B$172*J38)</f>
        <v>-0.047552390453594</v>
      </c>
      <c r="S38" s="17" t="n">
        <f aca="false">R38^2</f>
        <v>0.00226122983785106</v>
      </c>
    </row>
    <row r="39" customFormat="false" ht="15" hidden="false" customHeight="false" outlineLevel="0" collapsed="false">
      <c r="A39" s="19" t="str">
        <f aca="false">Datos!A45</f>
        <v>2015Q1</v>
      </c>
      <c r="B39" s="20" t="n">
        <f aca="false">Datos!E45</f>
        <v>0.00250908947797246</v>
      </c>
      <c r="C39" s="20" t="n">
        <f aca="false">Datos!J45</f>
        <v>-0.236691668669822</v>
      </c>
      <c r="D39" s="20" t="n">
        <f aca="false">Datos!I44</f>
        <v>-0.156477398590572</v>
      </c>
      <c r="E39" s="20" t="n">
        <f aca="false">Datos!D43</f>
        <v>-0.14803025350379</v>
      </c>
      <c r="F39" s="17" t="n">
        <f aca="false">IF($A39="2020Q2",1,0)</f>
        <v>0</v>
      </c>
      <c r="G39" s="17" t="n">
        <f aca="false">IF($A39="2020Q3",1,0)</f>
        <v>0</v>
      </c>
      <c r="H39" s="17" t="n">
        <f aca="false">IF($A39="2020Q4",1,0)</f>
        <v>0</v>
      </c>
      <c r="I39" s="17" t="n">
        <f aca="false">IF($A39="2021Q1",1,0)</f>
        <v>0</v>
      </c>
      <c r="J39" s="17" t="n">
        <f aca="false">IF($A39="2021Q2",1,0)</f>
        <v>0</v>
      </c>
      <c r="K39" s="17" t="n">
        <v>1</v>
      </c>
      <c r="L39" s="17" t="n">
        <f aca="false">B39-($B$92+$B$93*C39+$B$94*D39+$B$95*E39)</f>
        <v>-0.0288006981543475</v>
      </c>
      <c r="M39" s="17" t="n">
        <f aca="false">K39*$L39</f>
        <v>-0.0288006981543475</v>
      </c>
      <c r="N39" s="17" t="n">
        <f aca="false">C39*$L39</f>
        <v>0.00681688530500837</v>
      </c>
      <c r="O39" s="17" t="n">
        <f aca="false">D39*$L39</f>
        <v>0.00450665832478457</v>
      </c>
      <c r="P39" s="17" t="n">
        <f aca="false">E39*$L39</f>
        <v>0.0042633746488742</v>
      </c>
      <c r="Q39" s="17" t="n">
        <f aca="false">L39^2</f>
        <v>0.000829480214177833</v>
      </c>
      <c r="R39" s="17" t="n">
        <f aca="false">B39-($B$164+$B$165*C39+$B$166*D39+$B$167*E39+$B$168*F39+$B$169*G39+$B$170*H39+$B$171*I39+$B$172*J39)</f>
        <v>-0.0330594288151132</v>
      </c>
      <c r="S39" s="17" t="n">
        <f aca="false">R39^2</f>
        <v>0.00109292583358154</v>
      </c>
    </row>
    <row r="40" customFormat="false" ht="15" hidden="false" customHeight="false" outlineLevel="0" collapsed="false">
      <c r="A40" s="19" t="str">
        <f aca="false">Datos!A46</f>
        <v>2015Q2</v>
      </c>
      <c r="B40" s="20" t="n">
        <f aca="false">Datos!E46</f>
        <v>0.0403103203233863</v>
      </c>
      <c r="C40" s="20" t="n">
        <f aca="false">Datos!J46</f>
        <v>-0.26225825700666</v>
      </c>
      <c r="D40" s="20" t="n">
        <f aca="false">Datos!I45</f>
        <v>-0.327993767427338</v>
      </c>
      <c r="E40" s="20" t="n">
        <f aca="false">Datos!D44</f>
        <v>-0.127371025772678</v>
      </c>
      <c r="F40" s="17" t="n">
        <f aca="false">IF($A40="2020Q2",1,0)</f>
        <v>0</v>
      </c>
      <c r="G40" s="17" t="n">
        <f aca="false">IF($A40="2020Q3",1,0)</f>
        <v>0</v>
      </c>
      <c r="H40" s="17" t="n">
        <f aca="false">IF($A40="2020Q4",1,0)</f>
        <v>0</v>
      </c>
      <c r="I40" s="17" t="n">
        <f aca="false">IF($A40="2021Q1",1,0)</f>
        <v>0</v>
      </c>
      <c r="J40" s="17" t="n">
        <f aca="false">IF($A40="2021Q2",1,0)</f>
        <v>0</v>
      </c>
      <c r="K40" s="17" t="n">
        <v>1</v>
      </c>
      <c r="L40" s="17" t="n">
        <f aca="false">B40-($B$92+$B$93*C40+$B$94*D40+$B$95*E40)</f>
        <v>-0.00830961957547999</v>
      </c>
      <c r="M40" s="17" t="n">
        <f aca="false">K40*$L40</f>
        <v>-0.00830961957547999</v>
      </c>
      <c r="N40" s="17" t="n">
        <f aca="false">C40*$L40</f>
        <v>0.0021792663462538</v>
      </c>
      <c r="O40" s="17" t="n">
        <f aca="false">D40*$L40</f>
        <v>0.00272550343044964</v>
      </c>
      <c r="P40" s="17" t="n">
        <f aca="false">E40*$L40</f>
        <v>0.00105840476910961</v>
      </c>
      <c r="Q40" s="17" t="n">
        <f aca="false">L40^2</f>
        <v>6.90497774892002E-005</v>
      </c>
      <c r="R40" s="17" t="n">
        <f aca="false">B40-($B$164+$B$165*C40+$B$166*D40+$B$167*E40+$B$168*F40+$B$169*G40+$B$170*H40+$B$171*I40+$B$172*J40)</f>
        <v>-0.0104633396616647</v>
      </c>
      <c r="S40" s="17" t="n">
        <f aca="false">R40^2</f>
        <v>0.000109481476875365</v>
      </c>
    </row>
    <row r="41" customFormat="false" ht="15" hidden="false" customHeight="false" outlineLevel="0" collapsed="false">
      <c r="A41" s="19" t="str">
        <f aca="false">Datos!A47</f>
        <v>2015Q3</v>
      </c>
      <c r="B41" s="20" t="n">
        <f aca="false">Datos!E47</f>
        <v>0.0396616998607275</v>
      </c>
      <c r="C41" s="20" t="n">
        <f aca="false">Datos!J47</f>
        <v>-0.282013870099723</v>
      </c>
      <c r="D41" s="20" t="n">
        <f aca="false">Datos!I46</f>
        <v>-0.269935633939498</v>
      </c>
      <c r="E41" s="20" t="n">
        <f aca="false">Datos!D45</f>
        <v>1.31761638200167E-006</v>
      </c>
      <c r="F41" s="17" t="n">
        <f aca="false">IF($A41="2020Q2",1,0)</f>
        <v>0</v>
      </c>
      <c r="G41" s="17" t="n">
        <f aca="false">IF($A41="2020Q3",1,0)</f>
        <v>0</v>
      </c>
      <c r="H41" s="17" t="n">
        <f aca="false">IF($A41="2020Q4",1,0)</f>
        <v>0</v>
      </c>
      <c r="I41" s="17" t="n">
        <f aca="false">IF($A41="2021Q1",1,0)</f>
        <v>0</v>
      </c>
      <c r="J41" s="17" t="n">
        <f aca="false">IF($A41="2021Q2",1,0)</f>
        <v>0</v>
      </c>
      <c r="K41" s="17" t="n">
        <v>1</v>
      </c>
      <c r="L41" s="17" t="n">
        <f aca="false">B41-($B$92+$B$93*C41+$B$94*D41+$B$95*E41)</f>
        <v>-0.0314195749740166</v>
      </c>
      <c r="M41" s="17" t="n">
        <f aca="false">K41*$L41</f>
        <v>-0.0314195749740166</v>
      </c>
      <c r="N41" s="17" t="n">
        <f aca="false">C41*$L41</f>
        <v>0.00886075593531082</v>
      </c>
      <c r="O41" s="17" t="n">
        <f aca="false">D41*$L41</f>
        <v>0.00848126288872074</v>
      </c>
      <c r="P41" s="17" t="n">
        <f aca="false">E41*$L41</f>
        <v>-4.13989467012941E-008</v>
      </c>
      <c r="Q41" s="17" t="n">
        <f aca="false">L41^2</f>
        <v>0.00098718969154785</v>
      </c>
      <c r="R41" s="17" t="n">
        <f aca="false">B41-($B$164+$B$165*C41+$B$166*D41+$B$167*E41+$B$168*F41+$B$169*G41+$B$170*H41+$B$171*I41+$B$172*J41)</f>
        <v>-0.031869519233933</v>
      </c>
      <c r="S41" s="17" t="n">
        <f aca="false">R41^2</f>
        <v>0.00101566625620203</v>
      </c>
    </row>
    <row r="42" customFormat="false" ht="15" hidden="false" customHeight="false" outlineLevel="0" collapsed="false">
      <c r="A42" s="19" t="str">
        <f aca="false">Datos!A48</f>
        <v>2015Q4</v>
      </c>
      <c r="B42" s="20" t="n">
        <f aca="false">Datos!E48</f>
        <v>0.0247270091543546</v>
      </c>
      <c r="C42" s="20" t="n">
        <f aca="false">Datos!J48</f>
        <v>-0.19648158422842</v>
      </c>
      <c r="D42" s="20" t="n">
        <f aca="false">Datos!I47</f>
        <v>-0.192260573323891</v>
      </c>
      <c r="E42" s="20" t="n">
        <f aca="false">Datos!D46</f>
        <v>0.079306676131361</v>
      </c>
      <c r="F42" s="17" t="n">
        <f aca="false">IF($A42="2020Q2",1,0)</f>
        <v>0</v>
      </c>
      <c r="G42" s="17" t="n">
        <f aca="false">IF($A42="2020Q3",1,0)</f>
        <v>0</v>
      </c>
      <c r="H42" s="17" t="n">
        <f aca="false">IF($A42="2020Q4",1,0)</f>
        <v>0</v>
      </c>
      <c r="I42" s="17" t="n">
        <f aca="false">IF($A42="2021Q1",1,0)</f>
        <v>0</v>
      </c>
      <c r="J42" s="17" t="n">
        <f aca="false">IF($A42="2021Q2",1,0)</f>
        <v>0</v>
      </c>
      <c r="K42" s="17" t="n">
        <v>1</v>
      </c>
      <c r="L42" s="17" t="n">
        <f aca="false">B42-($B$92+$B$93*C42+$B$94*D42+$B$95*E42)</f>
        <v>-0.0435563374841083</v>
      </c>
      <c r="M42" s="17" t="n">
        <f aca="false">K42*$L42</f>
        <v>-0.0435563374841083</v>
      </c>
      <c r="N42" s="17" t="n">
        <f aca="false">C42*$L42</f>
        <v>0.0085580181920653</v>
      </c>
      <c r="O42" s="17" t="n">
        <f aca="false">D42*$L42</f>
        <v>0.00837416641658353</v>
      </c>
      <c r="P42" s="17" t="n">
        <f aca="false">E42*$L42</f>
        <v>-0.00345430835032043</v>
      </c>
      <c r="Q42" s="17" t="n">
        <f aca="false">L42^2</f>
        <v>0.00189715453502954</v>
      </c>
      <c r="R42" s="17" t="n">
        <f aca="false">B42-($B$164+$B$165*C42+$B$166*D42+$B$167*E42+$B$168*F42+$B$169*G42+$B$170*H42+$B$171*I42+$B$172*J42)</f>
        <v>-0.0430594016809141</v>
      </c>
      <c r="S42" s="17" t="n">
        <f aca="false">R42^2</f>
        <v>0.00185411207311831</v>
      </c>
    </row>
    <row r="43" customFormat="false" ht="15" hidden="false" customHeight="false" outlineLevel="0" collapsed="false">
      <c r="A43" s="19" t="str">
        <f aca="false">Datos!A49</f>
        <v>2016Q1</v>
      </c>
      <c r="B43" s="20" t="n">
        <f aca="false">Datos!E49</f>
        <v>0.00728692545281007</v>
      </c>
      <c r="C43" s="20" t="n">
        <f aca="false">Datos!J49</f>
        <v>0.130980328963991</v>
      </c>
      <c r="D43" s="20" t="n">
        <f aca="false">Datos!I48</f>
        <v>-0.365034907517289</v>
      </c>
      <c r="E43" s="20" t="n">
        <f aca="false">Datos!D47</f>
        <v>0.0573749097069822</v>
      </c>
      <c r="F43" s="17" t="n">
        <f aca="false">IF($A43="2020Q2",1,0)</f>
        <v>0</v>
      </c>
      <c r="G43" s="17" t="n">
        <f aca="false">IF($A43="2020Q3",1,0)</f>
        <v>0</v>
      </c>
      <c r="H43" s="17" t="n">
        <f aca="false">IF($A43="2020Q4",1,0)</f>
        <v>0</v>
      </c>
      <c r="I43" s="17" t="n">
        <f aca="false">IF($A43="2021Q1",1,0)</f>
        <v>0</v>
      </c>
      <c r="J43" s="17" t="n">
        <f aca="false">IF($A43="2021Q2",1,0)</f>
        <v>0</v>
      </c>
      <c r="K43" s="17" t="n">
        <v>1</v>
      </c>
      <c r="L43" s="17" t="n">
        <f aca="false">B43-($B$92+$B$93*C43+$B$94*D43+$B$95*E43)</f>
        <v>-0.0187587628066583</v>
      </c>
      <c r="M43" s="17" t="n">
        <f aca="false">K43*$L43</f>
        <v>-0.0187587628066583</v>
      </c>
      <c r="N43" s="17" t="n">
        <f aca="false">C43*$L43</f>
        <v>-0.00245702892337359</v>
      </c>
      <c r="O43" s="17" t="n">
        <f aca="false">D43*$L43</f>
        <v>0.00684760324626728</v>
      </c>
      <c r="P43" s="17" t="n">
        <f aca="false">E43*$L43</f>
        <v>-0.00107628232224672</v>
      </c>
      <c r="Q43" s="17" t="n">
        <f aca="false">L43^2</f>
        <v>0.000351891182036468</v>
      </c>
      <c r="R43" s="17" t="n">
        <f aca="false">B43-($B$164+$B$165*C43+$B$166*D43+$B$167*E43+$B$168*F43+$B$169*G43+$B$170*H43+$B$171*I43+$B$172*J43)</f>
        <v>-0.0157747662394214</v>
      </c>
      <c r="S43" s="17" t="n">
        <f aca="false">R43^2</f>
        <v>0.00024884324990839</v>
      </c>
    </row>
    <row r="44" customFormat="false" ht="15" hidden="false" customHeight="false" outlineLevel="0" collapsed="false">
      <c r="A44" s="19" t="str">
        <f aca="false">Datos!A50</f>
        <v>2016Q2</v>
      </c>
      <c r="B44" s="20" t="n">
        <f aca="false">Datos!E50</f>
        <v>-0.0385885964740134</v>
      </c>
      <c r="C44" s="20" t="n">
        <f aca="false">Datos!J50</f>
        <v>0.0888948541594621</v>
      </c>
      <c r="D44" s="20" t="n">
        <f aca="false">Datos!I49</f>
        <v>-0.352972110711817</v>
      </c>
      <c r="E44" s="20" t="n">
        <f aca="false">Datos!D48</f>
        <v>0.0602218094670735</v>
      </c>
      <c r="F44" s="17" t="n">
        <f aca="false">IF($A44="2020Q2",1,0)</f>
        <v>0</v>
      </c>
      <c r="G44" s="17" t="n">
        <f aca="false">IF($A44="2020Q3",1,0)</f>
        <v>0</v>
      </c>
      <c r="H44" s="17" t="n">
        <f aca="false">IF($A44="2020Q4",1,0)</f>
        <v>0</v>
      </c>
      <c r="I44" s="17" t="n">
        <f aca="false">IF($A44="2021Q1",1,0)</f>
        <v>0</v>
      </c>
      <c r="J44" s="17" t="n">
        <f aca="false">IF($A44="2021Q2",1,0)</f>
        <v>0</v>
      </c>
      <c r="K44" s="17" t="n">
        <v>1</v>
      </c>
      <c r="L44" s="17" t="n">
        <f aca="false">B44-($B$92+$B$93*C44+$B$94*D44+$B$95*E44)</f>
        <v>-0.0706493248237252</v>
      </c>
      <c r="M44" s="17" t="n">
        <f aca="false">K44*$L44</f>
        <v>-0.0706493248237252</v>
      </c>
      <c r="N44" s="17" t="n">
        <f aca="false">C44*$L44</f>
        <v>-0.00628036142666952</v>
      </c>
      <c r="O44" s="17" t="n">
        <f aca="false">D44*$L44</f>
        <v>0.0249372413033951</v>
      </c>
      <c r="P44" s="17" t="n">
        <f aca="false">E44*$L44</f>
        <v>-0.00425463017851176</v>
      </c>
      <c r="Q44" s="17" t="n">
        <f aca="false">L44^2</f>
        <v>0.00499132709804824</v>
      </c>
      <c r="R44" s="17" t="n">
        <f aca="false">B44-($B$164+$B$165*C44+$B$166*D44+$B$167*E44+$B$168*F44+$B$169*G44+$B$170*H44+$B$171*I44+$B$172*J44)</f>
        <v>-0.0678777981520801</v>
      </c>
      <c r="S44" s="17" t="n">
        <f aca="false">R44^2</f>
        <v>0.00460739548197453</v>
      </c>
    </row>
    <row r="45" customFormat="false" ht="15" hidden="false" customHeight="false" outlineLevel="0" collapsed="false">
      <c r="A45" s="19" t="str">
        <f aca="false">Datos!A51</f>
        <v>2016Q3</v>
      </c>
      <c r="B45" s="20" t="n">
        <f aca="false">Datos!E51</f>
        <v>-0.0332721885187776</v>
      </c>
      <c r="C45" s="20" t="n">
        <f aca="false">Datos!J51</f>
        <v>0.156244725652276</v>
      </c>
      <c r="D45" s="20" t="n">
        <f aca="false">Datos!I50</f>
        <v>-0.286997283390795</v>
      </c>
      <c r="E45" s="20" t="n">
        <f aca="false">Datos!D49</f>
        <v>-0.0545739774105225</v>
      </c>
      <c r="F45" s="17" t="n">
        <f aca="false">IF($A45="2020Q2",1,0)</f>
        <v>0</v>
      </c>
      <c r="G45" s="17" t="n">
        <f aca="false">IF($A45="2020Q3",1,0)</f>
        <v>0</v>
      </c>
      <c r="H45" s="17" t="n">
        <f aca="false">IF($A45="2020Q4",1,0)</f>
        <v>0</v>
      </c>
      <c r="I45" s="17" t="n">
        <f aca="false">IF($A45="2021Q1",1,0)</f>
        <v>0</v>
      </c>
      <c r="J45" s="17" t="n">
        <f aca="false">IF($A45="2021Q2",1,0)</f>
        <v>0</v>
      </c>
      <c r="K45" s="17" t="n">
        <v>1</v>
      </c>
      <c r="L45" s="17" t="n">
        <f aca="false">B45-($B$92+$B$93*C45+$B$94*D45+$B$95*E45)</f>
        <v>-0.0310123773351534</v>
      </c>
      <c r="M45" s="17" t="n">
        <f aca="false">K45*$L45</f>
        <v>-0.0310123773351534</v>
      </c>
      <c r="N45" s="17" t="n">
        <f aca="false">C45*$L45</f>
        <v>-0.0048455203885559</v>
      </c>
      <c r="O45" s="17" t="n">
        <f aca="false">D45*$L45</f>
        <v>0.00890046804667927</v>
      </c>
      <c r="P45" s="17" t="n">
        <f aca="false">E45*$L45</f>
        <v>0.00169246878013526</v>
      </c>
      <c r="Q45" s="17" t="n">
        <f aca="false">L45^2</f>
        <v>0.000961767547977934</v>
      </c>
      <c r="R45" s="17" t="n">
        <f aca="false">B45-($B$164+$B$165*C45+$B$166*D45+$B$167*E45+$B$168*F45+$B$169*G45+$B$170*H45+$B$171*I45+$B$172*J45)</f>
        <v>-0.0308568494239947</v>
      </c>
      <c r="S45" s="17" t="n">
        <f aca="false">R45^2</f>
        <v>0.000952145156375079</v>
      </c>
    </row>
    <row r="46" customFormat="false" ht="15" hidden="false" customHeight="false" outlineLevel="0" collapsed="false">
      <c r="A46" s="19" t="str">
        <f aca="false">Datos!A52</f>
        <v>2016Q4</v>
      </c>
      <c r="B46" s="20" t="n">
        <f aca="false">Datos!E52</f>
        <v>-0.0149328839288507</v>
      </c>
      <c r="C46" s="20" t="n">
        <f aca="false">Datos!J52</f>
        <v>0.13231004252072</v>
      </c>
      <c r="D46" s="20" t="n">
        <f aca="false">Datos!I51</f>
        <v>-0.157304427196535</v>
      </c>
      <c r="E46" s="20" t="n">
        <f aca="false">Datos!D50</f>
        <v>-0.150938894023428</v>
      </c>
      <c r="F46" s="17" t="n">
        <f aca="false">IF($A46="2020Q2",1,0)</f>
        <v>0</v>
      </c>
      <c r="G46" s="17" t="n">
        <f aca="false">IF($A46="2020Q3",1,0)</f>
        <v>0</v>
      </c>
      <c r="H46" s="17" t="n">
        <f aca="false">IF($A46="2020Q4",1,0)</f>
        <v>0</v>
      </c>
      <c r="I46" s="17" t="n">
        <f aca="false">IF($A46="2021Q1",1,0)</f>
        <v>0</v>
      </c>
      <c r="J46" s="17" t="n">
        <f aca="false">IF($A46="2021Q2",1,0)</f>
        <v>0</v>
      </c>
      <c r="K46" s="17" t="n">
        <v>1</v>
      </c>
      <c r="L46" s="17" t="n">
        <f aca="false">B46-($B$92+$B$93*C46+$B$94*D46+$B$95*E46)</f>
        <v>0.00855232500030545</v>
      </c>
      <c r="M46" s="17" t="n">
        <f aca="false">K46*$L46</f>
        <v>0.00855232500030545</v>
      </c>
      <c r="N46" s="17" t="n">
        <f aca="false">C46*$L46</f>
        <v>0.00113155848444143</v>
      </c>
      <c r="O46" s="17" t="n">
        <f aca="false">D46*$L46</f>
        <v>-0.00134531858537165</v>
      </c>
      <c r="P46" s="17" t="n">
        <f aca="false">E46*$L46</f>
        <v>-0.00129087847687501</v>
      </c>
      <c r="Q46" s="17" t="n">
        <f aca="false">L46^2</f>
        <v>7.31422629108496E-005</v>
      </c>
      <c r="R46" s="17" t="n">
        <f aca="false">B46-($B$164+$B$165*C46+$B$166*D46+$B$167*E46+$B$168*F46+$B$169*G46+$B$170*H46+$B$171*I46+$B$172*J46)</f>
        <v>0.00546509084574542</v>
      </c>
      <c r="S46" s="17" t="n">
        <f aca="false">R46^2</f>
        <v>2.98672179522504E-005</v>
      </c>
    </row>
    <row r="47" customFormat="false" ht="15" hidden="false" customHeight="false" outlineLevel="0" collapsed="false">
      <c r="A47" s="19" t="str">
        <f aca="false">Datos!A53</f>
        <v>2017Q1</v>
      </c>
      <c r="B47" s="20" t="n">
        <f aca="false">Datos!E53</f>
        <v>0.00559679082443165</v>
      </c>
      <c r="C47" s="20" t="n">
        <f aca="false">Datos!J53</f>
        <v>-0.127164110576679</v>
      </c>
      <c r="D47" s="20" t="n">
        <f aca="false">Datos!I52</f>
        <v>-0.0681825460774777</v>
      </c>
      <c r="E47" s="20" t="n">
        <f aca="false">Datos!D51</f>
        <v>-0.138350590990196</v>
      </c>
      <c r="F47" s="17" t="n">
        <f aca="false">IF($A47="2020Q2",1,0)</f>
        <v>0</v>
      </c>
      <c r="G47" s="17" t="n">
        <f aca="false">IF($A47="2020Q3",1,0)</f>
        <v>0</v>
      </c>
      <c r="H47" s="17" t="n">
        <f aca="false">IF($A47="2020Q4",1,0)</f>
        <v>0</v>
      </c>
      <c r="I47" s="17" t="n">
        <f aca="false">IF($A47="2021Q1",1,0)</f>
        <v>0</v>
      </c>
      <c r="J47" s="17" t="n">
        <f aca="false">IF($A47="2021Q2",1,0)</f>
        <v>0</v>
      </c>
      <c r="K47" s="17" t="n">
        <v>1</v>
      </c>
      <c r="L47" s="17" t="n">
        <f aca="false">B47-($B$92+$B$93*C47+$B$94*D47+$B$95*E47)</f>
        <v>-0.00626561484422125</v>
      </c>
      <c r="M47" s="17" t="n">
        <f aca="false">K47*$L47</f>
        <v>-0.00626561484422125</v>
      </c>
      <c r="N47" s="17" t="n">
        <f aca="false">C47*$L47</f>
        <v>0.000796761338881432</v>
      </c>
      <c r="O47" s="17" t="n">
        <f aca="false">D47*$L47</f>
        <v>0.000427205572819843</v>
      </c>
      <c r="P47" s="17" t="n">
        <f aca="false">E47*$L47</f>
        <v>0.000866851516614955</v>
      </c>
      <c r="Q47" s="17" t="n">
        <f aca="false">L47^2</f>
        <v>3.92579293761257E-005</v>
      </c>
      <c r="R47" s="17" t="n">
        <f aca="false">B47-($B$164+$B$165*C47+$B$166*D47+$B$167*E47+$B$168*F47+$B$169*G47+$B$170*H47+$B$171*I47+$B$172*J47)</f>
        <v>-0.0109106305324947</v>
      </c>
      <c r="S47" s="17" t="n">
        <f aca="false">R47^2</f>
        <v>0.000119041858616606</v>
      </c>
    </row>
    <row r="48" customFormat="false" ht="15" hidden="false" customHeight="false" outlineLevel="0" collapsed="false">
      <c r="A48" s="19" t="str">
        <f aca="false">Datos!A54</f>
        <v>2017Q2</v>
      </c>
      <c r="B48" s="20" t="n">
        <f aca="false">Datos!E54</f>
        <v>0.0232658340767662</v>
      </c>
      <c r="C48" s="20" t="n">
        <f aca="false">Datos!J54</f>
        <v>-0.0956262824799801</v>
      </c>
      <c r="D48" s="20" t="n">
        <f aca="false">Datos!I53</f>
        <v>-0.0238296063907484</v>
      </c>
      <c r="E48" s="20" t="n">
        <f aca="false">Datos!D52</f>
        <v>-0.116842476166157</v>
      </c>
      <c r="F48" s="17" t="n">
        <f aca="false">IF($A48="2020Q2",1,0)</f>
        <v>0</v>
      </c>
      <c r="G48" s="17" t="n">
        <f aca="false">IF($A48="2020Q3",1,0)</f>
        <v>0</v>
      </c>
      <c r="H48" s="17" t="n">
        <f aca="false">IF($A48="2020Q4",1,0)</f>
        <v>0</v>
      </c>
      <c r="I48" s="17" t="n">
        <f aca="false">IF($A48="2021Q1",1,0)</f>
        <v>0</v>
      </c>
      <c r="J48" s="17" t="n">
        <f aca="false">IF($A48="2021Q2",1,0)</f>
        <v>0</v>
      </c>
      <c r="K48" s="17" t="n">
        <v>1</v>
      </c>
      <c r="L48" s="17" t="n">
        <f aca="false">B48-($B$92+$B$93*C48+$B$94*D48+$B$95*E48)</f>
        <v>0.0147254214481108</v>
      </c>
      <c r="M48" s="17" t="n">
        <f aca="false">K48*$L48</f>
        <v>0.0147254214481108</v>
      </c>
      <c r="N48" s="17" t="n">
        <f aca="false">C48*$L48</f>
        <v>-0.0014081373110338</v>
      </c>
      <c r="O48" s="17" t="n">
        <f aca="false">D48*$L48</f>
        <v>-0.000350900997046364</v>
      </c>
      <c r="P48" s="17" t="n">
        <f aca="false">E48*$L48</f>
        <v>-0.00172055470458749</v>
      </c>
      <c r="Q48" s="17" t="n">
        <f aca="false">L48^2</f>
        <v>0.000216838036824481</v>
      </c>
      <c r="R48" s="17" t="n">
        <f aca="false">B48-($B$164+$B$165*C48+$B$166*D48+$B$167*E48+$B$168*F48+$B$169*G48+$B$170*H48+$B$171*I48+$B$172*J48)</f>
        <v>0.0101198662634533</v>
      </c>
      <c r="S48" s="17" t="n">
        <f aca="false">R48^2</f>
        <v>0.00010241169319018</v>
      </c>
    </row>
    <row r="49" customFormat="false" ht="15" hidden="false" customHeight="false" outlineLevel="0" collapsed="false">
      <c r="A49" s="19" t="str">
        <f aca="false">Datos!A55</f>
        <v>2017Q3</v>
      </c>
      <c r="B49" s="20" t="n">
        <f aca="false">Datos!E55</f>
        <v>0.0385060856362685</v>
      </c>
      <c r="C49" s="20" t="n">
        <f aca="false">Datos!J55</f>
        <v>-0.0162891611848046</v>
      </c>
      <c r="D49" s="20" t="n">
        <f aca="false">Datos!I54</f>
        <v>-0.0722785700363193</v>
      </c>
      <c r="E49" s="20" t="n">
        <f aca="false">Datos!D53</f>
        <v>-0.0239177917893462</v>
      </c>
      <c r="F49" s="17" t="n">
        <f aca="false">IF($A49="2020Q2",1,0)</f>
        <v>0</v>
      </c>
      <c r="G49" s="17" t="n">
        <f aca="false">IF($A49="2020Q3",1,0)</f>
        <v>0</v>
      </c>
      <c r="H49" s="17" t="n">
        <f aca="false">IF($A49="2020Q4",1,0)</f>
        <v>0</v>
      </c>
      <c r="I49" s="17" t="n">
        <f aca="false">IF($A49="2021Q1",1,0)</f>
        <v>0</v>
      </c>
      <c r="J49" s="17" t="n">
        <f aca="false">IF($A49="2021Q2",1,0)</f>
        <v>0</v>
      </c>
      <c r="K49" s="17" t="n">
        <v>1</v>
      </c>
      <c r="L49" s="17" t="n">
        <f aca="false">B49-($B$92+$B$93*C49+$B$94*D49+$B$95*E49)</f>
        <v>0.0221726847728476</v>
      </c>
      <c r="M49" s="17" t="n">
        <f aca="false">K49*$L49</f>
        <v>0.0221726847728476</v>
      </c>
      <c r="N49" s="17" t="n">
        <f aca="false">C49*$L49</f>
        <v>-0.000361174436164777</v>
      </c>
      <c r="O49" s="17" t="n">
        <f aca="false">D49*$L49</f>
        <v>-0.0016026099492475</v>
      </c>
      <c r="P49" s="17" t="n">
        <f aca="false">E49*$L49</f>
        <v>-0.000530321657807775</v>
      </c>
      <c r="Q49" s="17" t="n">
        <f aca="false">L49^2</f>
        <v>0.000491627950036067</v>
      </c>
      <c r="R49" s="17" t="n">
        <f aca="false">B49-($B$164+$B$165*C49+$B$166*D49+$B$167*E49+$B$168*F49+$B$169*G49+$B$170*H49+$B$171*I49+$B$172*J49)</f>
        <v>0.0200741272237517</v>
      </c>
      <c r="S49" s="17" t="n">
        <f aca="false">R49^2</f>
        <v>0.000402970583795369</v>
      </c>
    </row>
    <row r="50" customFormat="false" ht="15" hidden="false" customHeight="false" outlineLevel="0" collapsed="false">
      <c r="A50" s="19" t="str">
        <f aca="false">Datos!A56</f>
        <v>2017Q4</v>
      </c>
      <c r="B50" s="20" t="n">
        <f aca="false">Datos!E56</f>
        <v>0.0453268482640472</v>
      </c>
      <c r="C50" s="20" t="n">
        <f aca="false">Datos!J56</f>
        <v>-0.0287843900591032</v>
      </c>
      <c r="D50" s="20" t="n">
        <f aca="false">Datos!I55</f>
        <v>-0.179830008754272</v>
      </c>
      <c r="E50" s="20" t="n">
        <f aca="false">Datos!D54</f>
        <v>0.0524572469807845</v>
      </c>
      <c r="F50" s="17" t="n">
        <f aca="false">IF($A50="2020Q2",1,0)</f>
        <v>0</v>
      </c>
      <c r="G50" s="17" t="n">
        <f aca="false">IF($A50="2020Q3",1,0)</f>
        <v>0</v>
      </c>
      <c r="H50" s="17" t="n">
        <f aca="false">IF($A50="2020Q4",1,0)</f>
        <v>0</v>
      </c>
      <c r="I50" s="17" t="n">
        <f aca="false">IF($A50="2021Q1",1,0)</f>
        <v>0</v>
      </c>
      <c r="J50" s="17" t="n">
        <f aca="false">IF($A50="2021Q2",1,0)</f>
        <v>0</v>
      </c>
      <c r="K50" s="17" t="n">
        <v>1</v>
      </c>
      <c r="L50" s="17" t="n">
        <f aca="false">B50-($B$92+$B$93*C50+$B$94*D50+$B$95*E50)</f>
        <v>0.00726609234453972</v>
      </c>
      <c r="M50" s="17" t="n">
        <f aca="false">K50*$L50</f>
        <v>0.00726609234453972</v>
      </c>
      <c r="N50" s="17" t="n">
        <f aca="false">C50*$L50</f>
        <v>-0.000209150036250695</v>
      </c>
      <c r="O50" s="17" t="n">
        <f aca="false">D50*$L50</f>
        <v>-0.00130666144992793</v>
      </c>
      <c r="P50" s="17" t="n">
        <f aca="false">E50*$L50</f>
        <v>0.000381159200702707</v>
      </c>
      <c r="Q50" s="17" t="n">
        <f aca="false">L50^2</f>
        <v>5.27960979593787E-005</v>
      </c>
      <c r="R50" s="17" t="n">
        <f aca="false">B50-($B$164+$B$165*C50+$B$166*D50+$B$167*E50+$B$168*F50+$B$169*G50+$B$170*H50+$B$171*I50+$B$172*J50)</f>
        <v>0.00768390474950478</v>
      </c>
      <c r="S50" s="17" t="n">
        <f aca="false">R50^2</f>
        <v>5.90423921994622E-005</v>
      </c>
    </row>
    <row r="51" customFormat="false" ht="15" hidden="false" customHeight="false" outlineLevel="0" collapsed="false">
      <c r="A51" s="19" t="str">
        <f aca="false">Datos!A57</f>
        <v>2018Q1</v>
      </c>
      <c r="B51" s="20" t="n">
        <f aca="false">Datos!E57</f>
        <v>0.0379774021814201</v>
      </c>
      <c r="C51" s="20" t="n">
        <f aca="false">Datos!J57</f>
        <v>0.0707184176628921</v>
      </c>
      <c r="D51" s="20" t="n">
        <f aca="false">Datos!I56</f>
        <v>-0.265364943825032</v>
      </c>
      <c r="E51" s="20" t="n">
        <f aca="false">Datos!D55</f>
        <v>0.0143092701681657</v>
      </c>
      <c r="F51" s="17" t="n">
        <f aca="false">IF($A51="2020Q2",1,0)</f>
        <v>0</v>
      </c>
      <c r="G51" s="17" t="n">
        <f aca="false">IF($A51="2020Q3",1,0)</f>
        <v>0</v>
      </c>
      <c r="H51" s="17" t="n">
        <f aca="false">IF($A51="2020Q4",1,0)</f>
        <v>0</v>
      </c>
      <c r="I51" s="17" t="n">
        <f aca="false">IF($A51="2021Q1",1,0)</f>
        <v>0</v>
      </c>
      <c r="J51" s="17" t="n">
        <f aca="false">IF($A51="2021Q2",1,0)</f>
        <v>0</v>
      </c>
      <c r="K51" s="17" t="n">
        <v>1</v>
      </c>
      <c r="L51" s="17" t="n">
        <f aca="false">B51-($B$92+$B$93*C51+$B$94*D51+$B$95*E51)</f>
        <v>0.0165127097522821</v>
      </c>
      <c r="M51" s="17" t="n">
        <f aca="false">K51*$L51</f>
        <v>0.0165127097522821</v>
      </c>
      <c r="N51" s="17" t="n">
        <f aca="false">C51*$L51</f>
        <v>0.001167752705008</v>
      </c>
      <c r="O51" s="17" t="n">
        <f aca="false">D51*$L51</f>
        <v>-0.0043818942958134</v>
      </c>
      <c r="P51" s="17" t="n">
        <f aca="false">E51*$L51</f>
        <v>0.00023628482505391</v>
      </c>
      <c r="Q51" s="17" t="n">
        <f aca="false">L51^2</f>
        <v>0.000272669583363112</v>
      </c>
      <c r="R51" s="17" t="n">
        <f aca="false">B51-($B$164+$B$165*C51+$B$166*D51+$B$167*E51+$B$168*F51+$B$169*G51+$B$170*H51+$B$171*I51+$B$172*J51)</f>
        <v>0.0174454599745577</v>
      </c>
      <c r="S51" s="17" t="n">
        <f aca="false">R51^2</f>
        <v>0.000304344073723894</v>
      </c>
    </row>
    <row r="52" customFormat="false" ht="15" hidden="false" customHeight="false" outlineLevel="0" collapsed="false">
      <c r="A52" s="19" t="str">
        <f aca="false">Datos!A58</f>
        <v>2018Q2</v>
      </c>
      <c r="B52" s="20" t="n">
        <f aca="false">Datos!E58</f>
        <v>-0.039790994073943</v>
      </c>
      <c r="C52" s="20" t="n">
        <f aca="false">Datos!J58</f>
        <v>0.183699311580374</v>
      </c>
      <c r="D52" s="20" t="n">
        <f aca="false">Datos!I57</f>
        <v>-0.155570713599342</v>
      </c>
      <c r="E52" s="20" t="n">
        <f aca="false">Datos!D56</f>
        <v>0.00583013263178356</v>
      </c>
      <c r="F52" s="17" t="n">
        <f aca="false">IF($A52="2020Q2",1,0)</f>
        <v>0</v>
      </c>
      <c r="G52" s="17" t="n">
        <f aca="false">IF($A52="2020Q3",1,0)</f>
        <v>0</v>
      </c>
      <c r="H52" s="17" t="n">
        <f aca="false">IF($A52="2020Q4",1,0)</f>
        <v>0</v>
      </c>
      <c r="I52" s="17" t="n">
        <f aca="false">IF($A52="2021Q1",1,0)</f>
        <v>0</v>
      </c>
      <c r="J52" s="17" t="n">
        <f aca="false">IF($A52="2021Q2",1,0)</f>
        <v>0</v>
      </c>
      <c r="K52" s="17" t="n">
        <v>1</v>
      </c>
      <c r="L52" s="17" t="n">
        <f aca="false">B52-($B$92+$B$93*C52+$B$94*D52+$B$95*E52)</f>
        <v>-0.0368049092593521</v>
      </c>
      <c r="M52" s="17" t="n">
        <f aca="false">K52*$L52</f>
        <v>-0.0368049092593521</v>
      </c>
      <c r="N52" s="17" t="n">
        <f aca="false">C52*$L52</f>
        <v>-0.0067610364937211</v>
      </c>
      <c r="O52" s="17" t="n">
        <f aca="false">D52*$L52</f>
        <v>0.00572576599743644</v>
      </c>
      <c r="P52" s="17" t="n">
        <f aca="false">E52*$L52</f>
        <v>-0.000214577502482781</v>
      </c>
      <c r="Q52" s="17" t="n">
        <f aca="false">L52^2</f>
        <v>0.00135460134558914</v>
      </c>
      <c r="R52" s="17" t="n">
        <f aca="false">B52-($B$164+$B$165*C52+$B$166*D52+$B$167*E52+$B$168*F52+$B$169*G52+$B$170*H52+$B$171*I52+$B$172*J52)</f>
        <v>-0.0368123266509195</v>
      </c>
      <c r="S52" s="17" t="n">
        <f aca="false">R52^2</f>
        <v>0.001355147393454</v>
      </c>
    </row>
    <row r="53" customFormat="false" ht="15" hidden="false" customHeight="false" outlineLevel="0" collapsed="false">
      <c r="A53" s="19" t="str">
        <f aca="false">Datos!A59</f>
        <v>2018Q3</v>
      </c>
      <c r="B53" s="20" t="n">
        <f aca="false">Datos!E59</f>
        <v>-0.0346944038739507</v>
      </c>
      <c r="C53" s="20" t="n">
        <f aca="false">Datos!J59</f>
        <v>0.27381089045874</v>
      </c>
      <c r="D53" s="20" t="n">
        <f aca="false">Datos!I58</f>
        <v>0.116765630820508</v>
      </c>
      <c r="E53" s="20" t="n">
        <f aca="false">Datos!D57</f>
        <v>0.0215080939713706</v>
      </c>
      <c r="F53" s="17" t="n">
        <f aca="false">IF($A53="2020Q2",1,0)</f>
        <v>0</v>
      </c>
      <c r="G53" s="17" t="n">
        <f aca="false">IF($A53="2020Q3",1,0)</f>
        <v>0</v>
      </c>
      <c r="H53" s="17" t="n">
        <f aca="false">IF($A53="2020Q4",1,0)</f>
        <v>0</v>
      </c>
      <c r="I53" s="17" t="n">
        <f aca="false">IF($A53="2021Q1",1,0)</f>
        <v>0</v>
      </c>
      <c r="J53" s="17" t="n">
        <f aca="false">IF($A53="2021Q2",1,0)</f>
        <v>0</v>
      </c>
      <c r="K53" s="17" t="n">
        <v>1</v>
      </c>
      <c r="L53" s="17" t="n">
        <f aca="false">B53-($B$92+$B$93*C53+$B$94*D53+$B$95*E53)</f>
        <v>-0.0056433490343134</v>
      </c>
      <c r="M53" s="17" t="n">
        <f aca="false">K53*$L53</f>
        <v>-0.0056433490343134</v>
      </c>
      <c r="N53" s="17" t="n">
        <f aca="false">C53*$L53</f>
        <v>-0.00154521042425482</v>
      </c>
      <c r="O53" s="17" t="n">
        <f aca="false">D53*$L53</f>
        <v>-0.000658949209931907</v>
      </c>
      <c r="P53" s="17" t="n">
        <f aca="false">E53*$L53</f>
        <v>-0.000121377681343256</v>
      </c>
      <c r="Q53" s="17" t="n">
        <f aca="false">L53^2</f>
        <v>3.18473883230859E-005</v>
      </c>
      <c r="R53" s="17" t="n">
        <f aca="false">B53-($B$164+$B$165*C53+$B$166*D53+$B$167*E53+$B$168*F53+$B$169*G53+$B$170*H53+$B$171*I53+$B$172*J53)</f>
        <v>-0.00792415201753715</v>
      </c>
      <c r="S53" s="17" t="n">
        <f aca="false">R53^2</f>
        <v>6.2792185197038E-005</v>
      </c>
    </row>
    <row r="54" customFormat="false" ht="15" hidden="false" customHeight="false" outlineLevel="0" collapsed="false">
      <c r="A54" s="19" t="str">
        <f aca="false">Datos!A60</f>
        <v>2018Q4</v>
      </c>
      <c r="B54" s="20" t="n">
        <f aca="false">Datos!E60</f>
        <v>-0.0633973916700751</v>
      </c>
      <c r="C54" s="20" t="n">
        <f aca="false">Datos!J60</f>
        <v>0.329878580867895</v>
      </c>
      <c r="D54" s="20" t="n">
        <f aca="false">Datos!I59</f>
        <v>0.418889668553273</v>
      </c>
      <c r="E54" s="20" t="n">
        <f aca="false">Datos!D58</f>
        <v>-0.0527729109335391</v>
      </c>
      <c r="F54" s="17" t="n">
        <f aca="false">IF($A54="2020Q2",1,0)</f>
        <v>0</v>
      </c>
      <c r="G54" s="17" t="n">
        <f aca="false">IF($A54="2020Q3",1,0)</f>
        <v>0</v>
      </c>
      <c r="H54" s="17" t="n">
        <f aca="false">IF($A54="2020Q4",1,0)</f>
        <v>0</v>
      </c>
      <c r="I54" s="17" t="n">
        <f aca="false">IF($A54="2021Q1",1,0)</f>
        <v>0</v>
      </c>
      <c r="J54" s="17" t="n">
        <f aca="false">IF($A54="2021Q2",1,0)</f>
        <v>0</v>
      </c>
      <c r="K54" s="17" t="n">
        <v>1</v>
      </c>
      <c r="L54" s="17" t="n">
        <f aca="false">B54-($B$92+$B$93*C54+$B$94*D54+$B$95*E54)</f>
        <v>0.00457626430313424</v>
      </c>
      <c r="M54" s="17" t="n">
        <f aca="false">K54*$L54</f>
        <v>0.00457626430313424</v>
      </c>
      <c r="N54" s="17" t="n">
        <f aca="false">C54*$L54</f>
        <v>0.00150961157399433</v>
      </c>
      <c r="O54" s="17" t="n">
        <f aca="false">D54*$L54</f>
        <v>0.00191694983715208</v>
      </c>
      <c r="P54" s="17" t="n">
        <f aca="false">E54*$L54</f>
        <v>-0.000241502788477637</v>
      </c>
      <c r="Q54" s="17" t="n">
        <f aca="false">L54^2</f>
        <v>2.09421949721407E-005</v>
      </c>
      <c r="R54" s="17" t="n">
        <f aca="false">B54-($B$164+$B$165*C54+$B$166*D54+$B$167*E54+$B$168*F54+$B$169*G54+$B$170*H54+$B$171*I54+$B$172*J54)</f>
        <v>-0.00208390828398064</v>
      </c>
      <c r="S54" s="17" t="n">
        <f aca="false">R54^2</f>
        <v>4.34267373604314E-006</v>
      </c>
    </row>
    <row r="55" customFormat="false" ht="15" hidden="false" customHeight="false" outlineLevel="0" collapsed="false">
      <c r="A55" s="19" t="str">
        <f aca="false">Datos!A61</f>
        <v>2019Q1</v>
      </c>
      <c r="B55" s="20" t="n">
        <f aca="false">Datos!E61</f>
        <v>-0.0586372539873753</v>
      </c>
      <c r="C55" s="20" t="n">
        <f aca="false">Datos!J61</f>
        <v>0.213947371982574</v>
      </c>
      <c r="D55" s="20" t="n">
        <f aca="false">Datos!I60</f>
        <v>0.644123654780759</v>
      </c>
      <c r="E55" s="20" t="n">
        <f aca="false">Datos!D59</f>
        <v>-0.0230142843222727</v>
      </c>
      <c r="F55" s="17" t="n">
        <f aca="false">IF($A55="2020Q2",1,0)</f>
        <v>0</v>
      </c>
      <c r="G55" s="17" t="n">
        <f aca="false">IF($A55="2020Q3",1,0)</f>
        <v>0</v>
      </c>
      <c r="H55" s="17" t="n">
        <f aca="false">IF($A55="2020Q4",1,0)</f>
        <v>0</v>
      </c>
      <c r="I55" s="17" t="n">
        <f aca="false">IF($A55="2021Q1",1,0)</f>
        <v>0</v>
      </c>
      <c r="J55" s="17" t="n">
        <f aca="false">IF($A55="2021Q2",1,0)</f>
        <v>0</v>
      </c>
      <c r="K55" s="17" t="n">
        <v>1</v>
      </c>
      <c r="L55" s="17" t="n">
        <f aca="false">B55-($B$92+$B$93*C55+$B$94*D55+$B$95*E55)</f>
        <v>-0.000160245727986515</v>
      </c>
      <c r="M55" s="17" t="n">
        <f aca="false">K55*$L55</f>
        <v>-0.000160245727986515</v>
      </c>
      <c r="N55" s="17" t="n">
        <f aca="false">C55*$L55</f>
        <v>-3.42841523741492E-005</v>
      </c>
      <c r="O55" s="17" t="n">
        <f aca="false">D55*$L55</f>
        <v>-0.000103218063973677</v>
      </c>
      <c r="P55" s="17" t="n">
        <f aca="false">E55*$L55</f>
        <v>3.68794074531122E-006</v>
      </c>
      <c r="Q55" s="17" t="n">
        <f aca="false">L55^2</f>
        <v>2.5678693337928E-008</v>
      </c>
      <c r="R55" s="17" t="n">
        <f aca="false">B55-($B$164+$B$165*C55+$B$166*D55+$B$167*E55+$B$168*F55+$B$169*G55+$B$170*H55+$B$171*I55+$B$172*J55)</f>
        <v>-0.00901513243355803</v>
      </c>
      <c r="S55" s="17" t="n">
        <f aca="false">R55^2</f>
        <v>8.127261279459E-005</v>
      </c>
    </row>
    <row r="56" customFormat="false" ht="15" hidden="false" customHeight="false" outlineLevel="0" collapsed="false">
      <c r="A56" s="19" t="str">
        <f aca="false">Datos!A62</f>
        <v>2019Q2</v>
      </c>
      <c r="B56" s="20" t="n">
        <f aca="false">Datos!E62</f>
        <v>0.00582819893603537</v>
      </c>
      <c r="C56" s="20" t="n">
        <f aca="false">Datos!J62</f>
        <v>0.157393370364686</v>
      </c>
      <c r="D56" s="20" t="n">
        <f aca="false">Datos!I61</f>
        <v>0.595882035818727</v>
      </c>
      <c r="E56" s="20" t="n">
        <f aca="false">Datos!D60</f>
        <v>-0.0731605453380152</v>
      </c>
      <c r="F56" s="17" t="n">
        <f aca="false">IF($A56="2020Q2",1,0)</f>
        <v>0</v>
      </c>
      <c r="G56" s="17" t="n">
        <f aca="false">IF($A56="2020Q3",1,0)</f>
        <v>0</v>
      </c>
      <c r="H56" s="17" t="n">
        <f aca="false">IF($A56="2020Q4",1,0)</f>
        <v>0</v>
      </c>
      <c r="I56" s="17" t="n">
        <f aca="false">IF($A56="2021Q1",1,0)</f>
        <v>0</v>
      </c>
      <c r="J56" s="17" t="n">
        <f aca="false">IF($A56="2021Q2",1,0)</f>
        <v>0</v>
      </c>
      <c r="K56" s="17" t="n">
        <v>1</v>
      </c>
      <c r="L56" s="17" t="n">
        <f aca="false">B56-($B$92+$B$93*C56+$B$94*D56+$B$95*E56)</f>
        <v>0.0622224763659236</v>
      </c>
      <c r="M56" s="17" t="n">
        <f aca="false">K56*$L56</f>
        <v>0.0622224763659236</v>
      </c>
      <c r="N56" s="17" t="n">
        <f aca="false">C56*$L56</f>
        <v>0.00979340526766976</v>
      </c>
      <c r="O56" s="17" t="n">
        <f aca="false">D56*$L56</f>
        <v>0.0370772558906092</v>
      </c>
      <c r="P56" s="17" t="n">
        <f aca="false">E56*$L56</f>
        <v>-0.00455223030321274</v>
      </c>
      <c r="Q56" s="17" t="n">
        <f aca="false">L56^2</f>
        <v>0.00387163656510793</v>
      </c>
      <c r="R56" s="17" t="n">
        <f aca="false">B56-($B$164+$B$165*C56+$B$166*D56+$B$167*E56+$B$168*F56+$B$169*G56+$B$170*H56+$B$171*I56+$B$172*J56)</f>
        <v>0.0527515240664405</v>
      </c>
      <c r="S56" s="17" t="n">
        <f aca="false">R56^2</f>
        <v>0.00278272329133225</v>
      </c>
    </row>
    <row r="57" customFormat="false" ht="15" hidden="false" customHeight="false" outlineLevel="0" collapsed="false">
      <c r="A57" s="19" t="str">
        <f aca="false">Datos!A63</f>
        <v>2019Q3</v>
      </c>
      <c r="B57" s="20" t="n">
        <f aca="false">Datos!E63</f>
        <v>-0.0175271616356651</v>
      </c>
      <c r="C57" s="20" t="n">
        <f aca="false">Datos!J63</f>
        <v>0.0238010638622024</v>
      </c>
      <c r="D57" s="20" t="n">
        <f aca="false">Datos!I62</f>
        <v>0.622163610093435</v>
      </c>
      <c r="E57" s="20" t="n">
        <f aca="false">Datos!D61</f>
        <v>-0.123187672025664</v>
      </c>
      <c r="F57" s="17" t="n">
        <f aca="false">IF($A57="2020Q2",1,0)</f>
        <v>0</v>
      </c>
      <c r="G57" s="17" t="n">
        <f aca="false">IF($A57="2020Q3",1,0)</f>
        <v>0</v>
      </c>
      <c r="H57" s="17" t="n">
        <f aca="false">IF($A57="2020Q4",1,0)</f>
        <v>0</v>
      </c>
      <c r="I57" s="17" t="n">
        <f aca="false">IF($A57="2021Q1",1,0)</f>
        <v>0</v>
      </c>
      <c r="J57" s="17" t="n">
        <f aca="false">IF($A57="2021Q2",1,0)</f>
        <v>0</v>
      </c>
      <c r="K57" s="17" t="n">
        <v>1</v>
      </c>
      <c r="L57" s="17" t="n">
        <f aca="false">B57-($B$92+$B$93*C57+$B$94*D57+$B$95*E57)</f>
        <v>0.0296956824802862</v>
      </c>
      <c r="M57" s="17" t="n">
        <f aca="false">K57*$L57</f>
        <v>0.0296956824802862</v>
      </c>
      <c r="N57" s="17" t="n">
        <f aca="false">C57*$L57</f>
        <v>0.000706788835144975</v>
      </c>
      <c r="O57" s="17" t="n">
        <f aca="false">D57*$L57</f>
        <v>0.0184755730161232</v>
      </c>
      <c r="P57" s="17" t="n">
        <f aca="false">E57*$L57</f>
        <v>-0.00365814199395976</v>
      </c>
      <c r="Q57" s="17" t="n">
        <f aca="false">L57^2</f>
        <v>0.000881833557969974</v>
      </c>
      <c r="R57" s="17" t="n">
        <f aca="false">B57-($B$164+$B$165*C57+$B$166*D57+$B$167*E57+$B$168*F57+$B$169*G57+$B$170*H57+$B$171*I57+$B$172*J57)</f>
        <v>0.0185732063312275</v>
      </c>
      <c r="S57" s="17" t="n">
        <f aca="false">R57^2</f>
        <v>0.000344963993422349</v>
      </c>
    </row>
    <row r="58" customFormat="false" ht="15" hidden="false" customHeight="false" outlineLevel="0" collapsed="false">
      <c r="A58" s="19" t="str">
        <f aca="false">Datos!A64</f>
        <v>2019Q4</v>
      </c>
      <c r="B58" s="20" t="n">
        <f aca="false">Datos!E64</f>
        <v>-0.0107484273951806</v>
      </c>
      <c r="C58" s="20" t="n">
        <f aca="false">Datos!J64</f>
        <v>0.0411068104893024</v>
      </c>
      <c r="D58" s="20" t="n">
        <f aca="false">Datos!I63</f>
        <v>0.894294019563908</v>
      </c>
      <c r="E58" s="20" t="n">
        <f aca="false">Datos!D62</f>
        <v>-0.123073375139329</v>
      </c>
      <c r="F58" s="17" t="n">
        <f aca="false">IF($A58="2020Q2",1,0)</f>
        <v>0</v>
      </c>
      <c r="G58" s="17" t="n">
        <f aca="false">IF($A58="2020Q3",1,0)</f>
        <v>0</v>
      </c>
      <c r="H58" s="17" t="n">
        <f aca="false">IF($A58="2020Q4",1,0)</f>
        <v>0</v>
      </c>
      <c r="I58" s="17" t="n">
        <f aca="false">IF($A58="2021Q1",1,0)</f>
        <v>0</v>
      </c>
      <c r="J58" s="17" t="n">
        <f aca="false">IF($A58="2021Q2",1,0)</f>
        <v>0</v>
      </c>
      <c r="K58" s="17" t="n">
        <v>1</v>
      </c>
      <c r="L58" s="17" t="n">
        <f aca="false">B58-($B$92+$B$93*C58+$B$94*D58+$B$95*E58)</f>
        <v>0.0546060006851528</v>
      </c>
      <c r="M58" s="17" t="n">
        <f aca="false">K58*$L58</f>
        <v>0.0546060006851528</v>
      </c>
      <c r="N58" s="17" t="n">
        <f aca="false">C58*$L58</f>
        <v>0.0022446785217433</v>
      </c>
      <c r="O58" s="17" t="n">
        <f aca="false">D58*$L58</f>
        <v>0.0488338198450348</v>
      </c>
      <c r="P58" s="17" t="n">
        <f aca="false">E58*$L58</f>
        <v>-0.00672054480718225</v>
      </c>
      <c r="Q58" s="17" t="n">
        <f aca="false">L58^2</f>
        <v>0.00298181531082691</v>
      </c>
      <c r="R58" s="17" t="n">
        <f aca="false">B58-($B$164+$B$165*C58+$B$166*D58+$B$167*E58+$B$168*F58+$B$169*G58+$B$170*H58+$B$171*I58+$B$172*J58)</f>
        <v>0.0406814187160545</v>
      </c>
      <c r="S58" s="17" t="n">
        <f aca="false">R58^2</f>
        <v>0.00165497782875095</v>
      </c>
    </row>
    <row r="59" customFormat="false" ht="15" hidden="false" customHeight="false" outlineLevel="0" collapsed="false">
      <c r="A59" s="19" t="str">
        <f aca="false">Datos!A65</f>
        <v>2020Q1</v>
      </c>
      <c r="B59" s="20" t="n">
        <f aca="false">Datos!E65</f>
        <v>-0.0502506965865937</v>
      </c>
      <c r="C59" s="20" t="n">
        <f aca="false">Datos!J65</f>
        <v>0.00371060448558058</v>
      </c>
      <c r="D59" s="20" t="n">
        <f aca="false">Datos!I64</f>
        <v>1.1351545703943</v>
      </c>
      <c r="E59" s="20" t="n">
        <f aca="false">Datos!D63</f>
        <v>-0.146986580926159</v>
      </c>
      <c r="F59" s="17" t="n">
        <f aca="false">IF($A59="2020Q2",1,0)</f>
        <v>0</v>
      </c>
      <c r="G59" s="17" t="n">
        <f aca="false">IF($A59="2020Q3",1,0)</f>
        <v>0</v>
      </c>
      <c r="H59" s="17" t="n">
        <f aca="false">IF($A59="2020Q4",1,0)</f>
        <v>0</v>
      </c>
      <c r="I59" s="17" t="n">
        <f aca="false">IF($A59="2021Q1",1,0)</f>
        <v>0</v>
      </c>
      <c r="J59" s="17" t="n">
        <f aca="false">IF($A59="2021Q2",1,0)</f>
        <v>0</v>
      </c>
      <c r="K59" s="17" t="n">
        <v>1</v>
      </c>
      <c r="L59" s="17" t="n">
        <f aca="false">B59-($B$92+$B$93*C59+$B$94*D59+$B$95*E59)</f>
        <v>0.0277062052128342</v>
      </c>
      <c r="M59" s="17" t="n">
        <f aca="false">K59*$L59</f>
        <v>0.0277062052128342</v>
      </c>
      <c r="N59" s="17" t="n">
        <f aca="false">C59*$L59</f>
        <v>0.000102806769341159</v>
      </c>
      <c r="O59" s="17" t="n">
        <f aca="false">D59*$L59</f>
        <v>0.0314508254756311</v>
      </c>
      <c r="P59" s="17" t="n">
        <f aca="false">E59*$L59</f>
        <v>-0.00407244037467301</v>
      </c>
      <c r="Q59" s="17" t="n">
        <f aca="false">L59^2</f>
        <v>0.000767633807295679</v>
      </c>
      <c r="R59" s="17" t="n">
        <f aca="false">B59-($B$164+$B$165*C59+$B$166*D59+$B$167*E59+$B$168*F59+$B$169*G59+$B$170*H59+$B$171*I59+$B$172*J59)</f>
        <v>0.0106790249403863</v>
      </c>
      <c r="S59" s="17" t="n">
        <f aca="false">R59^2</f>
        <v>0.000114041573677393</v>
      </c>
    </row>
    <row r="60" customFormat="false" ht="15" hidden="false" customHeight="false" outlineLevel="0" collapsed="false">
      <c r="A60" s="19" t="str">
        <f aca="false">Datos!A66</f>
        <v>2020Q2</v>
      </c>
      <c r="B60" s="20" t="n">
        <f aca="false">Datos!E66</f>
        <v>-0.189421940385846</v>
      </c>
      <c r="C60" s="20" t="n">
        <f aca="false">Datos!J66</f>
        <v>-0.0418853066648204</v>
      </c>
      <c r="D60" s="20" t="n">
        <f aca="false">Datos!I65</f>
        <v>1.19114186053253</v>
      </c>
      <c r="E60" s="20" t="n">
        <f aca="false">Datos!D64</f>
        <v>-0.191423635260996</v>
      </c>
      <c r="F60" s="17" t="n">
        <f aca="false">IF($A60="2020Q2",1,0)</f>
        <v>1</v>
      </c>
      <c r="G60" s="17" t="n">
        <f aca="false">IF($A60="2020Q3",1,0)</f>
        <v>0</v>
      </c>
      <c r="H60" s="17" t="n">
        <f aca="false">IF($A60="2020Q4",1,0)</f>
        <v>0</v>
      </c>
      <c r="I60" s="17" t="n">
        <f aca="false">IF($A60="2021Q1",1,0)</f>
        <v>0</v>
      </c>
      <c r="J60" s="17" t="n">
        <f aca="false">IF($A60="2021Q2",1,0)</f>
        <v>0</v>
      </c>
      <c r="K60" s="17" t="n">
        <v>1</v>
      </c>
      <c r="L60" s="17" t="n">
        <f aca="false">B60-($B$92+$B$93*C60+$B$94*D60+$B$95*E60)</f>
        <v>-0.106983585476515</v>
      </c>
      <c r="M60" s="17" t="n">
        <f aca="false">K60*$L60</f>
        <v>-0.106983585476515</v>
      </c>
      <c r="N60" s="17" t="n">
        <f aca="false">C60*$L60</f>
        <v>0.00448104028578587</v>
      </c>
      <c r="O60" s="17" t="n">
        <f aca="false">D60*$L60</f>
        <v>-0.127432627050938</v>
      </c>
      <c r="P60" s="17" t="n">
        <f aca="false">E60*$L60</f>
        <v>0.02047918684517</v>
      </c>
      <c r="Q60" s="17" t="n">
        <f aca="false">L60^2</f>
        <v>0.0114454875614109</v>
      </c>
      <c r="R60" s="17" t="n">
        <f aca="false">B60-($B$164+$B$165*C60+$B$166*D60+$B$167*E60+$B$168*F60+$B$169*G60+$B$170*H60+$B$171*I60+$B$172*J60)</f>
        <v>0</v>
      </c>
      <c r="S60" s="17" t="n">
        <f aca="false">R60^2</f>
        <v>0</v>
      </c>
    </row>
    <row r="61" customFormat="false" ht="15" hidden="false" customHeight="false" outlineLevel="0" collapsed="false">
      <c r="A61" s="19" t="str">
        <f aca="false">Datos!A67</f>
        <v>2020Q3</v>
      </c>
      <c r="B61" s="20" t="n">
        <f aca="false">Datos!E67</f>
        <v>-0.101927662759163</v>
      </c>
      <c r="C61" s="20" t="n">
        <f aca="false">Datos!J67</f>
        <v>-0.0323919655231375</v>
      </c>
      <c r="D61" s="20" t="n">
        <f aca="false">Datos!I66</f>
        <v>1.26524980056465</v>
      </c>
      <c r="E61" s="20" t="n">
        <f aca="false">Datos!D65</f>
        <v>-0.0764776255884909</v>
      </c>
      <c r="F61" s="17" t="n">
        <f aca="false">IF($A61="2020Q2",1,0)</f>
        <v>0</v>
      </c>
      <c r="G61" s="17" t="n">
        <f aca="false">IF($A61="2020Q3",1,0)</f>
        <v>1</v>
      </c>
      <c r="H61" s="17" t="n">
        <f aca="false">IF($A61="2020Q4",1,0)</f>
        <v>0</v>
      </c>
      <c r="I61" s="17" t="n">
        <f aca="false">IF($A61="2021Q1",1,0)</f>
        <v>0</v>
      </c>
      <c r="J61" s="17" t="n">
        <f aca="false">IF($A61="2021Q2",1,0)</f>
        <v>0</v>
      </c>
      <c r="K61" s="17" t="n">
        <v>1</v>
      </c>
      <c r="L61" s="17" t="n">
        <f aca="false">B61-($B$92+$B$93*C61+$B$94*D61+$B$95*E61)</f>
        <v>-0.0344922583849971</v>
      </c>
      <c r="M61" s="17" t="n">
        <f aca="false">K61*$L61</f>
        <v>-0.0344922583849971</v>
      </c>
      <c r="N61" s="17" t="n">
        <f aca="false">C61*$L61</f>
        <v>0.00111727204442198</v>
      </c>
      <c r="O61" s="17" t="n">
        <f aca="false">D61*$L61</f>
        <v>-0.0436413230426418</v>
      </c>
      <c r="P61" s="17" t="n">
        <f aca="false">E61*$L61</f>
        <v>0.00263788602246929</v>
      </c>
      <c r="Q61" s="17" t="n">
        <f aca="false">L61^2</f>
        <v>0.0011897158884974</v>
      </c>
      <c r="R61" s="17" t="n">
        <f aca="false">B61-($B$164+$B$165*C61+$B$166*D61+$B$167*E61+$B$168*F61+$B$169*G61+$B$170*H61+$B$171*I61+$B$172*J61)</f>
        <v>0</v>
      </c>
      <c r="S61" s="17" t="n">
        <f aca="false">R61^2</f>
        <v>0</v>
      </c>
    </row>
    <row r="62" customFormat="false" ht="15" hidden="false" customHeight="false" outlineLevel="0" collapsed="false">
      <c r="A62" s="19" t="str">
        <f aca="false">Datos!A68</f>
        <v>2020Q4</v>
      </c>
      <c r="B62" s="20" t="n">
        <f aca="false">Datos!E68</f>
        <v>-0.0431329947641036</v>
      </c>
      <c r="C62" s="20" t="n">
        <f aca="false">Datos!J68</f>
        <v>-0.0520576175573853</v>
      </c>
      <c r="D62" s="20" t="n">
        <f aca="false">Datos!I67</f>
        <v>0.252154424794131</v>
      </c>
      <c r="E62" s="20" t="n">
        <f aca="false">Datos!D66</f>
        <v>0.185703438057814</v>
      </c>
      <c r="F62" s="17" t="n">
        <f aca="false">IF($A62="2020Q2",1,0)</f>
        <v>0</v>
      </c>
      <c r="G62" s="17" t="n">
        <f aca="false">IF($A62="2020Q3",1,0)</f>
        <v>0</v>
      </c>
      <c r="H62" s="17" t="n">
        <f aca="false">IF($A62="2020Q4",1,0)</f>
        <v>1</v>
      </c>
      <c r="I62" s="17" t="n">
        <f aca="false">IF($A62="2021Q1",1,0)</f>
        <v>0</v>
      </c>
      <c r="J62" s="17" t="n">
        <f aca="false">IF($A62="2021Q2",1,0)</f>
        <v>0</v>
      </c>
      <c r="K62" s="17" t="n">
        <v>1</v>
      </c>
      <c r="L62" s="17" t="n">
        <f aca="false">B62-($B$92+$B$93*C62+$B$94*D62+$B$95*E62)</f>
        <v>-0.083786350523526</v>
      </c>
      <c r="M62" s="17" t="n">
        <f aca="false">K62*$L62</f>
        <v>-0.083786350523526</v>
      </c>
      <c r="N62" s="17" t="n">
        <f aca="false">C62*$L62</f>
        <v>0.00436171779208274</v>
      </c>
      <c r="O62" s="17" t="n">
        <f aca="false">D62*$L62</f>
        <v>-0.0211270990218592</v>
      </c>
      <c r="P62" s="17" t="n">
        <f aca="false">E62*$L62</f>
        <v>-0.0155594133545359</v>
      </c>
      <c r="Q62" s="17" t="n">
        <f aca="false">L62^2</f>
        <v>0.00702015253405116</v>
      </c>
      <c r="R62" s="17" t="n">
        <f aca="false">B62-($B$164+$B$165*C62+$B$166*D62+$B$167*E62+$B$168*F62+$B$169*G62+$B$170*H62+$B$171*I62+$B$172*J62)</f>
        <v>0</v>
      </c>
      <c r="S62" s="17" t="n">
        <f aca="false">R62^2</f>
        <v>0</v>
      </c>
    </row>
    <row r="63" customFormat="false" ht="15" hidden="false" customHeight="false" outlineLevel="0" collapsed="false">
      <c r="A63" s="19" t="str">
        <f aca="false">Datos!A69</f>
        <v>2021Q1</v>
      </c>
      <c r="B63" s="20" t="n">
        <f aca="false">Datos!E69</f>
        <v>0.0323260077948051</v>
      </c>
      <c r="C63" s="20" t="n">
        <f aca="false">Datos!J69</f>
        <v>0.0278381358126794</v>
      </c>
      <c r="D63" s="20" t="n">
        <f aca="false">Datos!I68</f>
        <v>-0.435846159902956</v>
      </c>
      <c r="E63" s="20" t="n">
        <f aca="false">Datos!D67</f>
        <v>0.305364489239062</v>
      </c>
      <c r="F63" s="17" t="n">
        <f aca="false">IF($A63="2020Q2",1,0)</f>
        <v>0</v>
      </c>
      <c r="G63" s="17" t="n">
        <f aca="false">IF($A63="2020Q3",1,0)</f>
        <v>0</v>
      </c>
      <c r="H63" s="17" t="n">
        <f aca="false">IF($A63="2020Q4",1,0)</f>
        <v>0</v>
      </c>
      <c r="I63" s="17" t="n">
        <f aca="false">IF($A63="2021Q1",1,0)</f>
        <v>1</v>
      </c>
      <c r="J63" s="17" t="n">
        <f aca="false">IF($A63="2021Q2",1,0)</f>
        <v>0</v>
      </c>
      <c r="K63" s="17" t="n">
        <v>1</v>
      </c>
      <c r="L63" s="17" t="n">
        <f aca="false">B63-($B$92+$B$93*C63+$B$94*D63+$B$95*E63)</f>
        <v>-0.0575146179002705</v>
      </c>
      <c r="M63" s="17" t="n">
        <f aca="false">K63*$L63</f>
        <v>-0.0575146179002705</v>
      </c>
      <c r="N63" s="17" t="n">
        <f aca="false">C63*$L63</f>
        <v>-0.00160109974432209</v>
      </c>
      <c r="O63" s="17" t="n">
        <f aca="false">D63*$L63</f>
        <v>0.0250675253501187</v>
      </c>
      <c r="P63" s="17" t="n">
        <f aca="false">E63*$L63</f>
        <v>-0.0175629219188959</v>
      </c>
      <c r="Q63" s="17" t="n">
        <f aca="false">L63^2</f>
        <v>0.00330793127221412</v>
      </c>
      <c r="R63" s="17" t="n">
        <f aca="false">B63-($B$164+$B$165*C63+$B$166*D63+$B$167*E63+$B$168*F63+$B$169*G63+$B$170*H63+$B$171*I63+$B$172*J63)</f>
        <v>0</v>
      </c>
      <c r="S63" s="17" t="n">
        <f aca="false">R63^2</f>
        <v>0</v>
      </c>
    </row>
    <row r="64" customFormat="false" ht="15" hidden="false" customHeight="false" outlineLevel="0" collapsed="false">
      <c r="A64" s="19" t="str">
        <f aca="false">Datos!A70</f>
        <v>2021Q2</v>
      </c>
      <c r="B64" s="20" t="n">
        <f aca="false">Datos!E70</f>
        <v>0.187299607796633</v>
      </c>
      <c r="C64" s="20" t="n">
        <f aca="false">Datos!J70</f>
        <v>0.0319328008748903</v>
      </c>
      <c r="D64" s="20" t="n">
        <f aca="false">Datos!I69</f>
        <v>-0.449682642908338</v>
      </c>
      <c r="E64" s="20" t="n">
        <f aca="false">Datos!D68</f>
        <v>0.369601994334412</v>
      </c>
      <c r="F64" s="17" t="n">
        <f aca="false">IF($A64="2020Q2",1,0)</f>
        <v>0</v>
      </c>
      <c r="G64" s="17" t="n">
        <f aca="false">IF($A64="2020Q3",1,0)</f>
        <v>0</v>
      </c>
      <c r="H64" s="17" t="n">
        <f aca="false">IF($A64="2020Q4",1,0)</f>
        <v>0</v>
      </c>
      <c r="I64" s="17" t="n">
        <f aca="false">IF($A64="2021Q1",1,0)</f>
        <v>0</v>
      </c>
      <c r="J64" s="17" t="n">
        <f aca="false">IF($A64="2021Q2",1,0)</f>
        <v>1</v>
      </c>
      <c r="K64" s="17" t="n">
        <v>1</v>
      </c>
      <c r="L64" s="17" t="n">
        <f aca="false">B64-($B$92+$B$93*C64+$B$94*D64+$B$95*E64)</f>
        <v>0.0857281147055786</v>
      </c>
      <c r="M64" s="17" t="n">
        <f aca="false">K64*$L64</f>
        <v>0.0857281147055786</v>
      </c>
      <c r="N64" s="17" t="n">
        <f aca="false">C64*$L64</f>
        <v>0.00273753881627299</v>
      </c>
      <c r="O64" s="17" t="n">
        <f aca="false">D64*$L64</f>
        <v>-0.0385504451923538</v>
      </c>
      <c r="P64" s="17" t="n">
        <f aca="false">E64*$L64</f>
        <v>0.0316852821657111</v>
      </c>
      <c r="Q64" s="17" t="n">
        <f aca="false">L64^2</f>
        <v>0.00734930965097285</v>
      </c>
      <c r="R64" s="17" t="n">
        <f aca="false">B64-($B$164+$B$165*C64+$B$166*D64+$B$167*E64+$B$168*F64+$B$169*G64+$B$170*H64+$B$171*I64+$B$172*J64)</f>
        <v>0</v>
      </c>
      <c r="S64" s="17" t="n">
        <f aca="false">R64^2</f>
        <v>0</v>
      </c>
    </row>
    <row r="65" customFormat="false" ht="15" hidden="false" customHeight="false" outlineLevel="0" collapsed="false">
      <c r="A65" s="19" t="str">
        <f aca="false">Datos!A71</f>
        <v>2021Q3</v>
      </c>
      <c r="B65" s="20" t="n">
        <f aca="false">Datos!E71</f>
        <v>0.118145356665691</v>
      </c>
      <c r="C65" s="20" t="n">
        <f aca="false">Datos!J71</f>
        <v>-0.0599592194808389</v>
      </c>
      <c r="D65" s="20" t="n">
        <f aca="false">Datos!I70</f>
        <v>-0.696117271680444</v>
      </c>
      <c r="E65" s="20" t="n">
        <f aca="false">Datos!D69</f>
        <v>0.175963133598871</v>
      </c>
      <c r="F65" s="17" t="n">
        <f aca="false">IF($A65="2020Q2",1,0)</f>
        <v>0</v>
      </c>
      <c r="G65" s="17" t="n">
        <f aca="false">IF($A65="2020Q3",1,0)</f>
        <v>0</v>
      </c>
      <c r="H65" s="17" t="n">
        <f aca="false">IF($A65="2020Q4",1,0)</f>
        <v>0</v>
      </c>
      <c r="I65" s="17" t="n">
        <f aca="false">IF($A65="2021Q1",1,0)</f>
        <v>0</v>
      </c>
      <c r="J65" s="17" t="n">
        <f aca="false">IF($A65="2021Q2",1,0)</f>
        <v>0</v>
      </c>
      <c r="K65" s="17" t="n">
        <v>1</v>
      </c>
      <c r="L65" s="17" t="n">
        <f aca="false">B65-($B$92+$B$93*C65+$B$94*D65+$B$95*E65)</f>
        <v>0.0237026000874056</v>
      </c>
      <c r="M65" s="17" t="n">
        <f aca="false">K65*$L65</f>
        <v>0.0237026000874056</v>
      </c>
      <c r="N65" s="17" t="n">
        <f aca="false">C65*$L65</f>
        <v>-0.00142118940090731</v>
      </c>
      <c r="O65" s="17" t="n">
        <f aca="false">D65*$L65</f>
        <v>-0.0164997893045775</v>
      </c>
      <c r="P65" s="17" t="n">
        <f aca="false">E65*$L65</f>
        <v>0.00417078378582077</v>
      </c>
      <c r="Q65" s="17" t="n">
        <f aca="false">L65^2</f>
        <v>0.000561813250903482</v>
      </c>
      <c r="R65" s="17" t="n">
        <f aca="false">B65-($B$164+$B$165*C65+$B$166*D65+$B$167*E65+$B$168*F65+$B$169*G65+$B$170*H65+$B$171*I65+$B$172*J65)</f>
        <v>0.0317532663437449</v>
      </c>
      <c r="S65" s="17" t="n">
        <f aca="false">R65^2</f>
        <v>0.00100826992349681</v>
      </c>
    </row>
    <row r="66" customFormat="false" ht="15" hidden="false" customHeight="false" outlineLevel="0" collapsed="false">
      <c r="A66" s="19" t="str">
        <f aca="false">Datos!A72</f>
        <v>2021Q4</v>
      </c>
      <c r="B66" s="20" t="n">
        <f aca="false">Datos!E72</f>
        <v>0.08364113941174</v>
      </c>
      <c r="C66" s="20" t="n">
        <f aca="false">Datos!J72</f>
        <v>-0.148110657356217</v>
      </c>
      <c r="D66" s="20" t="n">
        <f aca="false">Datos!I71</f>
        <v>-0.242602980902468</v>
      </c>
      <c r="E66" s="20" t="n">
        <f aca="false">Datos!D70</f>
        <v>-0.0687862848682503</v>
      </c>
      <c r="F66" s="17" t="n">
        <f aca="false">IF($A66="2020Q2",1,0)</f>
        <v>0</v>
      </c>
      <c r="G66" s="17" t="n">
        <f aca="false">IF($A66="2020Q3",1,0)</f>
        <v>0</v>
      </c>
      <c r="H66" s="17" t="n">
        <f aca="false">IF($A66="2020Q4",1,0)</f>
        <v>0</v>
      </c>
      <c r="I66" s="17" t="n">
        <f aca="false">IF($A66="2021Q1",1,0)</f>
        <v>0</v>
      </c>
      <c r="J66" s="17" t="n">
        <f aca="false">IF($A66="2021Q2",1,0)</f>
        <v>0</v>
      </c>
      <c r="K66" s="17" t="n">
        <v>1</v>
      </c>
      <c r="L66" s="17" t="n">
        <f aca="false">B66-($B$92+$B$93*C66+$B$94*D66+$B$95*E66)</f>
        <v>0.0461964018488716</v>
      </c>
      <c r="M66" s="17" t="n">
        <f aca="false">K66*$L66</f>
        <v>0.0461964018488716</v>
      </c>
      <c r="N66" s="17" t="n">
        <f aca="false">C66*$L66</f>
        <v>-0.00684217944532831</v>
      </c>
      <c r="O66" s="17" t="n">
        <f aca="false">D66*$L66</f>
        <v>-0.0112073847955045</v>
      </c>
      <c r="P66" s="17" t="n">
        <f aca="false">E66*$L66</f>
        <v>-0.00317767885746465</v>
      </c>
      <c r="Q66" s="17" t="n">
        <f aca="false">L66^2</f>
        <v>0.00213410754378242</v>
      </c>
      <c r="R66" s="17" t="n">
        <f aca="false">B66-($B$164+$B$165*C66+$B$166*D66+$B$167*E66+$B$168*F66+$B$169*G66+$B$170*H66+$B$171*I66+$B$172*J66)</f>
        <v>0.0446157472167075</v>
      </c>
      <c r="S66" s="17" t="n">
        <f aca="false">R66^2</f>
        <v>0.00199056489970514</v>
      </c>
    </row>
    <row r="67" customFormat="false" ht="15" hidden="false" customHeight="false" outlineLevel="0" collapsed="false">
      <c r="A67" s="19" t="str">
        <f aca="false">Datos!A73</f>
        <v>2022Q1</v>
      </c>
      <c r="B67" s="20" t="n">
        <f aca="false">Datos!E73</f>
        <v>0.0686138387185451</v>
      </c>
      <c r="C67" s="20" t="n">
        <f aca="false">Datos!J73</f>
        <v>-0.17521747002201</v>
      </c>
      <c r="D67" s="20" t="n">
        <f aca="false">Datos!I72</f>
        <v>0.207235640832954</v>
      </c>
      <c r="E67" s="20" t="n">
        <f aca="false">Datos!D71</f>
        <v>-0.0532486979446212</v>
      </c>
      <c r="F67" s="17" t="n">
        <f aca="false">IF($A67="2020Q2",1,0)</f>
        <v>0</v>
      </c>
      <c r="G67" s="17" t="n">
        <f aca="false">IF($A67="2020Q3",1,0)</f>
        <v>0</v>
      </c>
      <c r="H67" s="17" t="n">
        <f aca="false">IF($A67="2020Q4",1,0)</f>
        <v>0</v>
      </c>
      <c r="I67" s="17" t="n">
        <f aca="false">IF($A67="2021Q1",1,0)</f>
        <v>0</v>
      </c>
      <c r="J67" s="17" t="n">
        <f aca="false">IF($A67="2021Q2",1,0)</f>
        <v>0</v>
      </c>
      <c r="K67" s="17" t="n">
        <v>1</v>
      </c>
      <c r="L67" s="17" t="n">
        <f aca="false">B67-($B$92+$B$93*C67+$B$94*D67+$B$95*E67)</f>
        <v>0.0501822275846619</v>
      </c>
      <c r="M67" s="17" t="n">
        <f aca="false">K67*$L67</f>
        <v>0.0501822275846619</v>
      </c>
      <c r="N67" s="17" t="n">
        <f aca="false">C67*$L67</f>
        <v>-0.00879280295745317</v>
      </c>
      <c r="O67" s="17" t="n">
        <f aca="false">D67*$L67</f>
        <v>0.0103995460919325</v>
      </c>
      <c r="P67" s="17" t="n">
        <f aca="false">E67*$L67</f>
        <v>-0.0026721382788439</v>
      </c>
      <c r="Q67" s="17" t="n">
        <f aca="false">L67^2</f>
        <v>0.0025182559653588</v>
      </c>
      <c r="R67" s="17" t="n">
        <f aca="false">B67-($B$164+$B$165*C67+$B$166*D67+$B$167*E67+$B$168*F67+$B$169*G67+$B$170*H67+$B$171*I67+$B$172*J67)</f>
        <v>0.0440725724717618</v>
      </c>
      <c r="S67" s="17" t="n">
        <f aca="false">R67^2</f>
        <v>0.00194239164427869</v>
      </c>
    </row>
    <row r="68" customFormat="false" ht="15" hidden="false" customHeight="false" outlineLevel="0" collapsed="false">
      <c r="A68" s="19" t="str">
        <f aca="false">Datos!A74</f>
        <v>2022Q2</v>
      </c>
      <c r="B68" s="20" t="n">
        <f aca="false">Datos!E74</f>
        <v>0.0813001446194395</v>
      </c>
      <c r="C68" s="20" t="n">
        <f aca="false">Datos!J74</f>
        <v>-0.18190442658808</v>
      </c>
      <c r="D68" s="20" t="n">
        <f aca="false">Datos!I73</f>
        <v>0.191547034556169</v>
      </c>
      <c r="E68" s="20" t="n">
        <f aca="false">Datos!D72</f>
        <v>-0.0159975558547977</v>
      </c>
      <c r="F68" s="17" t="n">
        <f aca="false">IF($A68="2020Q2",1,0)</f>
        <v>0</v>
      </c>
      <c r="G68" s="17" t="n">
        <f aca="false">IF($A68="2020Q3",1,0)</f>
        <v>0</v>
      </c>
      <c r="H68" s="17" t="n">
        <f aca="false">IF($A68="2020Q4",1,0)</f>
        <v>0</v>
      </c>
      <c r="I68" s="17" t="n">
        <f aca="false">IF($A68="2021Q1",1,0)</f>
        <v>0</v>
      </c>
      <c r="J68" s="17" t="n">
        <f aca="false">IF($A68="2021Q2",1,0)</f>
        <v>0</v>
      </c>
      <c r="K68" s="17" t="n">
        <v>1</v>
      </c>
      <c r="L68" s="17" t="n">
        <f aca="false">B68-($B$92+$B$93*C68+$B$94*D68+$B$95*E68)</f>
        <v>0.0542924028357767</v>
      </c>
      <c r="M68" s="17" t="n">
        <f aca="false">K68*$L68</f>
        <v>0.0542924028357767</v>
      </c>
      <c r="N68" s="17" t="n">
        <f aca="false">C68*$L68</f>
        <v>-0.009876028405931</v>
      </c>
      <c r="O68" s="17" t="n">
        <f aca="false">D68*$L68</f>
        <v>0.010399548762122</v>
      </c>
      <c r="P68" s="17" t="n">
        <f aca="false">E68*$L68</f>
        <v>-0.000868545746856513</v>
      </c>
      <c r="Q68" s="17" t="n">
        <f aca="false">L68^2</f>
        <v>0.00294766500568225</v>
      </c>
      <c r="R68" s="17" t="n">
        <f aca="false">B68-($B$164+$B$165*C68+$B$166*D68+$B$167*E68+$B$168*F68+$B$169*G68+$B$170*H68+$B$171*I68+$B$172*J68)</f>
        <v>0.0490215233811313</v>
      </c>
      <c r="S68" s="17" t="n">
        <f aca="false">R68^2</f>
        <v>0.0024031097546068</v>
      </c>
    </row>
    <row r="69" customFormat="false" ht="15" hidden="false" customHeight="false" outlineLevel="0" collapsed="false">
      <c r="A69" s="19" t="str">
        <f aca="false">Datos!A75</f>
        <v>2022Q3</v>
      </c>
      <c r="B69" s="20" t="n">
        <f aca="false">Datos!E75</f>
        <v>0.066844213632383</v>
      </c>
      <c r="C69" s="20" t="n">
        <f aca="false">Datos!J75</f>
        <v>-0.207842410472027</v>
      </c>
      <c r="D69" s="20" t="n">
        <f aca="false">Datos!I74</f>
        <v>0.21757184331262</v>
      </c>
      <c r="E69" s="20" t="n">
        <f aca="false">Datos!D73</f>
        <v>0.0195040598594907</v>
      </c>
      <c r="F69" s="17" t="n">
        <f aca="false">IF($A69="2020Q2",1,0)</f>
        <v>0</v>
      </c>
      <c r="G69" s="17" t="n">
        <f aca="false">IF($A69="2020Q3",1,0)</f>
        <v>0</v>
      </c>
      <c r="H69" s="17" t="n">
        <f aca="false">IF($A69="2020Q4",1,0)</f>
        <v>0</v>
      </c>
      <c r="I69" s="17" t="n">
        <f aca="false">IF($A69="2021Q1",1,0)</f>
        <v>0</v>
      </c>
      <c r="J69" s="17" t="n">
        <f aca="false">IF($A69="2021Q2",1,0)</f>
        <v>0</v>
      </c>
      <c r="K69" s="17" t="n">
        <v>1</v>
      </c>
      <c r="L69" s="17" t="n">
        <f aca="false">B69-($B$92+$B$93*C69+$B$94*D69+$B$95*E69)</f>
        <v>0.031132685602051</v>
      </c>
      <c r="M69" s="17" t="n">
        <f aca="false">K69*$L69</f>
        <v>0.031132685602051</v>
      </c>
      <c r="N69" s="17" t="n">
        <f aca="false">C69*$L69</f>
        <v>-0.00647069241999807</v>
      </c>
      <c r="O69" s="17" t="n">
        <f aca="false">D69*$L69</f>
        <v>0.00677359579371051</v>
      </c>
      <c r="P69" s="17" t="n">
        <f aca="false">E69*$L69</f>
        <v>0.000607213763569107</v>
      </c>
      <c r="Q69" s="17" t="n">
        <f aca="false">L69^2</f>
        <v>0.000969244112796156</v>
      </c>
      <c r="R69" s="17" t="n">
        <f aca="false">B69-($B$164+$B$165*C69+$B$166*D69+$B$167*E69+$B$168*F69+$B$169*G69+$B$170*H69+$B$171*I69+$B$172*J69)</f>
        <v>0.0261658039956914</v>
      </c>
      <c r="S69" s="17" t="n">
        <f aca="false">R69^2</f>
        <v>0.000684649298740938</v>
      </c>
    </row>
    <row r="70" customFormat="false" ht="15" hidden="false" customHeight="false" outlineLevel="0" collapsed="false">
      <c r="A70" s="19" t="str">
        <f aca="false">Datos!A76</f>
        <v>2022Q4</v>
      </c>
      <c r="B70" s="20" t="n">
        <f aca="false">Datos!E76</f>
        <v>0.023854276267842</v>
      </c>
      <c r="C70" s="20" t="n">
        <f aca="false">Datos!J76</f>
        <v>-0.136316519003612</v>
      </c>
      <c r="D70" s="20" t="n">
        <f aca="false">Datos!I75</f>
        <v>0.479127260123788</v>
      </c>
      <c r="E70" s="20" t="n">
        <f aca="false">Datos!D74</f>
        <v>0.0127622795944336</v>
      </c>
      <c r="F70" s="17" t="n">
        <f aca="false">IF($A70="2020Q2",1,0)</f>
        <v>0</v>
      </c>
      <c r="G70" s="17" t="n">
        <f aca="false">IF($A70="2020Q3",1,0)</f>
        <v>0</v>
      </c>
      <c r="H70" s="17" t="n">
        <f aca="false">IF($A70="2020Q4",1,0)</f>
        <v>0</v>
      </c>
      <c r="I70" s="17" t="n">
        <f aca="false">IF($A70="2021Q1",1,0)</f>
        <v>0</v>
      </c>
      <c r="J70" s="17" t="n">
        <f aca="false">IF($A70="2021Q2",1,0)</f>
        <v>0</v>
      </c>
      <c r="K70" s="17" t="n">
        <v>1</v>
      </c>
      <c r="L70" s="17" t="n">
        <f aca="false">B70-($B$92+$B$93*C70+$B$94*D70+$B$95*E70)</f>
        <v>0.0148812485939962</v>
      </c>
      <c r="M70" s="17" t="n">
        <f aca="false">K70*$L70</f>
        <v>0.0148812485939962</v>
      </c>
      <c r="N70" s="17" t="n">
        <f aca="false">C70*$L70</f>
        <v>-0.00202856000676095</v>
      </c>
      <c r="O70" s="17" t="n">
        <f aca="false">D70*$L70</f>
        <v>0.00713001186606238</v>
      </c>
      <c r="P70" s="17" t="n">
        <f aca="false">E70*$L70</f>
        <v>0.000189918655270851</v>
      </c>
      <c r="Q70" s="17" t="n">
        <f aca="false">L70^2</f>
        <v>0.000221451559716314</v>
      </c>
      <c r="R70" s="17" t="n">
        <f aca="false">B70-($B$164+$B$165*C70+$B$166*D70+$B$167*E70+$B$168*F70+$B$169*G70+$B$170*H70+$B$171*I70+$B$172*J70)</f>
        <v>0.00727421930577844</v>
      </c>
      <c r="S70" s="17" t="n">
        <f aca="false">R70^2</f>
        <v>5.29142665085598E-005</v>
      </c>
    </row>
    <row r="71" customFormat="false" ht="15" hidden="false" customHeight="false" outlineLevel="0" collapsed="false">
      <c r="A71" s="19" t="str">
        <f aca="false">Datos!A77</f>
        <v>2023Q1</v>
      </c>
      <c r="B71" s="20" t="n">
        <f aca="false">Datos!E77</f>
        <v>0.00911982377224452</v>
      </c>
      <c r="C71" s="20" t="n">
        <f aca="false">Datos!J77</f>
        <v>-0.0755028403637903</v>
      </c>
      <c r="D71" s="20" t="n">
        <f aca="false">Datos!I76</f>
        <v>0.363434613529283</v>
      </c>
      <c r="E71" s="20" t="n">
        <f aca="false">Datos!D75</f>
        <v>-0.0244173185065185</v>
      </c>
      <c r="F71" s="17" t="n">
        <f aca="false">IF($A71="2020Q2",1,0)</f>
        <v>0</v>
      </c>
      <c r="G71" s="17" t="n">
        <f aca="false">IF($A71="2020Q3",1,0)</f>
        <v>0</v>
      </c>
      <c r="H71" s="17" t="n">
        <f aca="false">IF($A71="2020Q4",1,0)</f>
        <v>0</v>
      </c>
      <c r="I71" s="17" t="n">
        <f aca="false">IF($A71="2021Q1",1,0)</f>
        <v>0</v>
      </c>
      <c r="J71" s="17" t="n">
        <f aca="false">IF($A71="2021Q2",1,0)</f>
        <v>0</v>
      </c>
      <c r="K71" s="17" t="n">
        <v>1</v>
      </c>
      <c r="L71" s="17" t="n">
        <f aca="false">B71-($B$92+$B$93*C71+$B$94*D71+$B$95*E71)</f>
        <v>0.00914424224790763</v>
      </c>
      <c r="M71" s="17" t="n">
        <f aca="false">K71*$L71</f>
        <v>0.00914424224790763</v>
      </c>
      <c r="N71" s="17" t="n">
        <f aca="false">C71*$L71</f>
        <v>-0.000690416262691596</v>
      </c>
      <c r="O71" s="17" t="n">
        <f aca="false">D71*$L71</f>
        <v>0.00332333414738645</v>
      </c>
      <c r="P71" s="17" t="n">
        <f aca="false">E71*$L71</f>
        <v>-0.000223277875467923</v>
      </c>
      <c r="Q71" s="17" t="n">
        <f aca="false">L71^2</f>
        <v>8.36171662884187E-005</v>
      </c>
      <c r="R71" s="17" t="n">
        <f aca="false">B71-($B$164+$B$165*C71+$B$166*D71+$B$167*E71+$B$168*F71+$B$169*G71+$B$170*H71+$B$171*I71+$B$172*J71)</f>
        <v>0.00225972043991937</v>
      </c>
      <c r="S71" s="17" t="n">
        <f aca="false">R71^2</f>
        <v>5.10633646658937E-006</v>
      </c>
    </row>
    <row r="72" customFormat="false" ht="15" hidden="false" customHeight="false" outlineLevel="0" collapsed="false">
      <c r="A72" s="19" t="str">
        <f aca="false">Datos!A78</f>
        <v>2023Q2</v>
      </c>
      <c r="B72" s="20" t="n">
        <f aca="false">Datos!E78</f>
        <v>-0.0567487243252599</v>
      </c>
      <c r="C72" s="20" t="n">
        <f aca="false">Datos!J78</f>
        <v>-0.0412168965601056</v>
      </c>
      <c r="D72" s="20" t="n">
        <f aca="false">Datos!I77</f>
        <v>0.14355374164556</v>
      </c>
      <c r="E72" s="20" t="n">
        <f aca="false">Datos!D76</f>
        <v>-0.0496809971557082</v>
      </c>
      <c r="F72" s="17" t="n">
        <f aca="false">IF($A72="2020Q2",1,0)</f>
        <v>0</v>
      </c>
      <c r="G72" s="17" t="n">
        <f aca="false">IF($A72="2020Q3",1,0)</f>
        <v>0</v>
      </c>
      <c r="H72" s="17" t="n">
        <f aca="false">IF($A72="2020Q4",1,0)</f>
        <v>0</v>
      </c>
      <c r="I72" s="17" t="n">
        <f aca="false">IF($A72="2021Q1",1,0)</f>
        <v>0</v>
      </c>
      <c r="J72" s="17" t="n">
        <f aca="false">IF($A72="2021Q2",1,0)</f>
        <v>0</v>
      </c>
      <c r="K72" s="17" t="n">
        <v>1</v>
      </c>
      <c r="L72" s="17" t="n">
        <f aca="false">B72-($B$92+$B$93*C72+$B$94*D72+$B$95*E72)</f>
        <v>-0.0597470221960316</v>
      </c>
      <c r="M72" s="17" t="n">
        <f aca="false">K72*$L72</f>
        <v>-0.0597470221960316</v>
      </c>
      <c r="N72" s="17" t="n">
        <f aca="false">C72*$L72</f>
        <v>0.00246258683362817</v>
      </c>
      <c r="O72" s="17" t="n">
        <f aca="false">D72*$L72</f>
        <v>-0.00857690858842065</v>
      </c>
      <c r="P72" s="17" t="n">
        <f aca="false">E72*$L72</f>
        <v>0.00296829163978308</v>
      </c>
      <c r="Q72" s="17" t="n">
        <f aca="false">L72^2</f>
        <v>0.00356970666129309</v>
      </c>
      <c r="R72" s="17" t="n">
        <f aca="false">B72-($B$164+$B$165*C72+$B$166*D72+$B$167*E72+$B$168*F72+$B$169*G72+$B$170*H72+$B$171*I72+$B$172*J72)</f>
        <v>-0.0646784503080187</v>
      </c>
      <c r="S72" s="17" t="n">
        <f aca="false">R72^2</f>
        <v>0.00418330193424685</v>
      </c>
    </row>
    <row r="73" customFormat="false" ht="15" hidden="false" customHeight="false" outlineLevel="0" collapsed="false">
      <c r="A73" s="19" t="str">
        <f aca="false">Datos!A79</f>
        <v>2023Q3</v>
      </c>
      <c r="B73" s="20" t="n">
        <f aca="false">Datos!E79</f>
        <v>-0.00549172525238073</v>
      </c>
      <c r="C73" s="20" t="n">
        <f aca="false">Datos!J79</f>
        <v>0.0994565054091972</v>
      </c>
      <c r="D73" s="20" t="n">
        <f aca="false">Datos!I78</f>
        <v>0.257600703111206</v>
      </c>
      <c r="E73" s="20" t="n">
        <f aca="false">Datos!D77</f>
        <v>-0.0548662138193043</v>
      </c>
      <c r="F73" s="17" t="n">
        <f aca="false">IF($A73="2020Q2",1,0)</f>
        <v>0</v>
      </c>
      <c r="G73" s="17" t="n">
        <f aca="false">IF($A73="2020Q3",1,0)</f>
        <v>0</v>
      </c>
      <c r="H73" s="17" t="n">
        <f aca="false">IF($A73="2020Q4",1,0)</f>
        <v>0</v>
      </c>
      <c r="I73" s="17" t="n">
        <f aca="false">IF($A73="2021Q1",1,0)</f>
        <v>0</v>
      </c>
      <c r="J73" s="17" t="n">
        <f aca="false">IF($A73="2021Q2",1,0)</f>
        <v>0</v>
      </c>
      <c r="K73" s="17" t="n">
        <v>1</v>
      </c>
      <c r="L73" s="17" t="n">
        <f aca="false">B73-($B$92+$B$93*C73+$B$94*D73+$B$95*E73)</f>
        <v>0.0196894149199637</v>
      </c>
      <c r="M73" s="17" t="n">
        <f aca="false">K73*$L73</f>
        <v>0.0196894149199637</v>
      </c>
      <c r="N73" s="17" t="n">
        <f aca="false">C73*$L73</f>
        <v>0.00195824040149129</v>
      </c>
      <c r="O73" s="17" t="n">
        <f aca="false">D73*$L73</f>
        <v>0.00507200712723091</v>
      </c>
      <c r="P73" s="17" t="n">
        <f aca="false">E73*$L73</f>
        <v>-0.00108028364897573</v>
      </c>
      <c r="Q73" s="17" t="n">
        <f aca="false">L73^2</f>
        <v>0.000387673059890488</v>
      </c>
      <c r="R73" s="17" t="n">
        <f aca="false">B73-($B$164+$B$165*C73+$B$166*D73+$B$167*E73+$B$168*F73+$B$169*G73+$B$170*H73+$B$171*I73+$B$172*J73)</f>
        <v>0.0139259786863856</v>
      </c>
      <c r="S73" s="17" t="n">
        <f aca="false">R73^2</f>
        <v>0.000193932882373666</v>
      </c>
    </row>
    <row r="74" customFormat="false" ht="15" hidden="false" customHeight="false" outlineLevel="0" collapsed="false">
      <c r="A74" s="19" t="str">
        <f aca="false">Datos!A80</f>
        <v>2023Q4</v>
      </c>
      <c r="B74" s="20" t="n">
        <f aca="false">Datos!E80</f>
        <v>-0.0171598554874708</v>
      </c>
      <c r="C74" s="20" t="n">
        <f aca="false">Datos!J80</f>
        <v>0.0915051705315211</v>
      </c>
      <c r="D74" s="20" t="n">
        <f aca="false">Datos!I79</f>
        <v>-0.192636209455695</v>
      </c>
      <c r="E74" s="20" t="n">
        <f aca="false">Datos!D78</f>
        <v>-0.07604765516223</v>
      </c>
      <c r="F74" s="17" t="n">
        <f aca="false">IF($A74="2020Q2",1,0)</f>
        <v>0</v>
      </c>
      <c r="G74" s="17" t="n">
        <f aca="false">IF($A74="2020Q3",1,0)</f>
        <v>0</v>
      </c>
      <c r="H74" s="17" t="n">
        <f aca="false">IF($A74="2020Q4",1,0)</f>
        <v>0</v>
      </c>
      <c r="I74" s="17" t="n">
        <f aca="false">IF($A74="2021Q1",1,0)</f>
        <v>0</v>
      </c>
      <c r="J74" s="17" t="n">
        <f aca="false">IF($A74="2021Q2",1,0)</f>
        <v>0</v>
      </c>
      <c r="K74" s="17" t="n">
        <v>1</v>
      </c>
      <c r="L74" s="17" t="n">
        <f aca="false">B74-($B$92+$B$93*C74+$B$94*D74+$B$95*E74)</f>
        <v>-0.0151615950854219</v>
      </c>
      <c r="M74" s="17" t="n">
        <f aca="false">K74*$L74</f>
        <v>-0.0151615950854219</v>
      </c>
      <c r="N74" s="17" t="n">
        <f aca="false">C74*$L74</f>
        <v>-0.00138736434382141</v>
      </c>
      <c r="O74" s="17" t="n">
        <f aca="false">D74*$L74</f>
        <v>0.00292067220655777</v>
      </c>
      <c r="P74" s="17" t="n">
        <f aca="false">E74*$L74</f>
        <v>0.00115300375476553</v>
      </c>
      <c r="Q74" s="17" t="n">
        <f aca="false">L74^2</f>
        <v>0.000229873965534291</v>
      </c>
      <c r="R74" s="17" t="n">
        <f aca="false">B74-($B$164+$B$165*C74+$B$166*D74+$B$167*E74+$B$168*F74+$B$169*G74+$B$170*H74+$B$171*I74+$B$172*J74)</f>
        <v>-0.0166129113815008</v>
      </c>
      <c r="S74" s="17" t="n">
        <f aca="false">R74^2</f>
        <v>0.000275988824569598</v>
      </c>
    </row>
    <row r="75" customFormat="false" ht="15" hidden="false" customHeight="false" outlineLevel="0" collapsed="false">
      <c r="A75" s="19" t="str">
        <f aca="false">Datos!A81</f>
        <v>2024Q1</v>
      </c>
      <c r="B75" s="20" t="n">
        <f aca="false">Datos!E81</f>
        <v>-0.0496170325779741</v>
      </c>
      <c r="C75" s="20" t="n">
        <f aca="false">Datos!J81</f>
        <v>0.22321089328611</v>
      </c>
      <c r="D75" s="20" t="n">
        <f aca="false">Datos!I80</f>
        <v>-0.108079284075631</v>
      </c>
      <c r="E75" s="20" t="n">
        <f aca="false">Datos!D79</f>
        <v>-0.131285711761803</v>
      </c>
      <c r="F75" s="17" t="n">
        <f aca="false">IF($A75="2020Q2",1,0)</f>
        <v>0</v>
      </c>
      <c r="G75" s="17" t="n">
        <f aca="false">IF($A75="2020Q3",1,0)</f>
        <v>0</v>
      </c>
      <c r="H75" s="17" t="n">
        <f aca="false">IF($A75="2020Q4",1,0)</f>
        <v>0</v>
      </c>
      <c r="I75" s="17" t="n">
        <f aca="false">IF($A75="2021Q1",1,0)</f>
        <v>0</v>
      </c>
      <c r="J75" s="17" t="n">
        <f aca="false">IF($A75="2021Q2",1,0)</f>
        <v>0</v>
      </c>
      <c r="K75" s="17" t="n">
        <v>1</v>
      </c>
      <c r="L75" s="17" t="n">
        <f aca="false">B75-($B$92+$B$93*C75+$B$94*D75+$B$95*E75)</f>
        <v>-0.013458517396861</v>
      </c>
      <c r="M75" s="17" t="n">
        <f aca="false">K75*$L75</f>
        <v>-0.013458517396861</v>
      </c>
      <c r="N75" s="17" t="n">
        <f aca="false">C75*$L75</f>
        <v>-0.00300408769045999</v>
      </c>
      <c r="O75" s="17" t="n">
        <f aca="false">D75*$L75</f>
        <v>0.00145458692497215</v>
      </c>
      <c r="P75" s="17" t="n">
        <f aca="false">E75*$L75</f>
        <v>0.00176691103570551</v>
      </c>
      <c r="Q75" s="17" t="n">
        <f aca="false">L75^2</f>
        <v>0.00018113169052161</v>
      </c>
      <c r="R75" s="17" t="n">
        <f aca="false">B75-($B$164+$B$165*C75+$B$166*D75+$B$167*E75+$B$168*F75+$B$169*G75+$B$170*H75+$B$171*I75+$B$172*J75)</f>
        <v>-0.016396364931006</v>
      </c>
      <c r="S75" s="17" t="n">
        <f aca="false">R75^2</f>
        <v>0.000268840782950724</v>
      </c>
    </row>
    <row r="76" customFormat="false" ht="15" hidden="false" customHeight="false" outlineLevel="0" collapsed="false">
      <c r="A76" s="19" t="str">
        <f aca="false">Datos!A82</f>
        <v>2024Q2</v>
      </c>
      <c r="B76" s="20" t="n">
        <f aca="false">Datos!E82</f>
        <v>-0.0108329991805178</v>
      </c>
      <c r="C76" s="20" t="n">
        <f aca="false">Datos!J82</f>
        <v>-0.00171238291669074</v>
      </c>
      <c r="D76" s="20" t="n">
        <f aca="false">Datos!I81</f>
        <v>-0.172479654830256</v>
      </c>
      <c r="E76" s="20" t="n">
        <f aca="false">Datos!D80</f>
        <v>-0.236116080959184</v>
      </c>
      <c r="F76" s="17" t="n">
        <f aca="false">IF($A76="2020Q2",1,0)</f>
        <v>0</v>
      </c>
      <c r="G76" s="17" t="n">
        <f aca="false">IF($A76="2020Q3",1,0)</f>
        <v>0</v>
      </c>
      <c r="H76" s="17" t="n">
        <f aca="false">IF($A76="2020Q4",1,0)</f>
        <v>0</v>
      </c>
      <c r="I76" s="17" t="n">
        <f aca="false">IF($A76="2021Q1",1,0)</f>
        <v>0</v>
      </c>
      <c r="J76" s="17" t="n">
        <f aca="false">IF($A76="2021Q2",1,0)</f>
        <v>0</v>
      </c>
      <c r="K76" s="17" t="n">
        <v>1</v>
      </c>
      <c r="L76" s="17" t="n">
        <f aca="false">B76-($B$92+$B$93*C76+$B$94*D76+$B$95*E76)</f>
        <v>0.00735491311841797</v>
      </c>
      <c r="M76" s="17" t="n">
        <f aca="false">K76*$L76</f>
        <v>0.00735491311841797</v>
      </c>
      <c r="N76" s="17" t="n">
        <f aca="false">C76*$L76</f>
        <v>-1.25944275777235E-005</v>
      </c>
      <c r="O76" s="17" t="n">
        <f aca="false">D76*$L76</f>
        <v>-0.00126857287597125</v>
      </c>
      <c r="P76" s="17" t="n">
        <f aca="false">E76*$L76</f>
        <v>-0.00173661326131614</v>
      </c>
      <c r="Q76" s="17" t="n">
        <f aca="false">L76^2</f>
        <v>5.40947469794768E-005</v>
      </c>
      <c r="R76" s="17" t="n">
        <f aca="false">B76-($B$164+$B$165*C76+$B$166*D76+$B$167*E76+$B$168*F76+$B$169*G76+$B$170*H76+$B$171*I76+$B$172*J76)</f>
        <v>0.00239401065815275</v>
      </c>
      <c r="S76" s="17" t="n">
        <f aca="false">R76^2</f>
        <v>5.73128703134898E-006</v>
      </c>
    </row>
    <row r="77" customFormat="false" ht="15" hidden="false" customHeight="false" outlineLevel="0" collapsed="false">
      <c r="A77" s="19" t="str">
        <f aca="false">Datos!A83</f>
        <v>2024Q3</v>
      </c>
      <c r="B77" s="20" t="n">
        <f aca="false">Datos!E83</f>
        <v>-0.0193706719869603</v>
      </c>
      <c r="C77" s="20" t="n">
        <f aca="false">Datos!J83</f>
        <v>-0.143465090255684</v>
      </c>
      <c r="D77" s="20" t="n">
        <f aca="false">Datos!I82</f>
        <v>-0.61372155065778</v>
      </c>
      <c r="E77" s="20" t="n">
        <f aca="false">Datos!D81</f>
        <v>-0.335645872225436</v>
      </c>
      <c r="F77" s="17" t="n">
        <f aca="false">IF($A77="2020Q2",1,0)</f>
        <v>0</v>
      </c>
      <c r="G77" s="17" t="n">
        <f aca="false">IF($A77="2020Q3",1,0)</f>
        <v>0</v>
      </c>
      <c r="H77" s="17" t="n">
        <f aca="false">IF($A77="2020Q4",1,0)</f>
        <v>0</v>
      </c>
      <c r="I77" s="17" t="n">
        <f aca="false">IF($A77="2021Q1",1,0)</f>
        <v>0</v>
      </c>
      <c r="J77" s="17" t="n">
        <f aca="false">IF($A77="2021Q2",1,0)</f>
        <v>0</v>
      </c>
      <c r="K77" s="17" t="n">
        <v>1</v>
      </c>
      <c r="L77" s="17" t="n">
        <f aca="false">B77-($B$92+$B$93*C77+$B$94*D77+$B$95*E77)</f>
        <v>-0.0294712137175459</v>
      </c>
      <c r="M77" s="17" t="n">
        <f aca="false">K77*$L77</f>
        <v>-0.0294712137175459</v>
      </c>
      <c r="N77" s="17" t="n">
        <f aca="false">C77*$L77</f>
        <v>0.00422809033593227</v>
      </c>
      <c r="O77" s="17" t="n">
        <f aca="false">D77*$L77</f>
        <v>0.0180871189824991</v>
      </c>
      <c r="P77" s="17" t="n">
        <f aca="false">E77*$L77</f>
        <v>0.00989189123376792</v>
      </c>
      <c r="Q77" s="17" t="n">
        <f aca="false">L77^2</f>
        <v>0.000868552437985266</v>
      </c>
      <c r="R77" s="17" t="n">
        <f aca="false">B77-($B$164+$B$165*C77+$B$166*D77+$B$167*E77+$B$168*F77+$B$169*G77+$B$170*H77+$B$171*I77+$B$172*J77)</f>
        <v>-0.0321195073318632</v>
      </c>
      <c r="S77" s="17" t="n">
        <f aca="false">R77^2</f>
        <v>0.00103166275124161</v>
      </c>
    </row>
    <row r="78" customFormat="false" ht="15" hidden="false" customHeight="false" outlineLevel="0" collapsed="false">
      <c r="A78" s="19" t="str">
        <f aca="false">Datos!A84</f>
        <v>2024Q4</v>
      </c>
      <c r="B78" s="20" t="n">
        <f aca="false">Datos!E84</f>
        <v>0.0263829611146622</v>
      </c>
      <c r="C78" s="20" t="n">
        <f aca="false">Datos!J84</f>
        <v>-0.192468946104555</v>
      </c>
      <c r="D78" s="20" t="n">
        <f aca="false">Datos!I83</f>
        <v>-0.341279884328352</v>
      </c>
      <c r="E78" s="20" t="n">
        <f aca="false">Datos!D82</f>
        <v>-0.251664772237069</v>
      </c>
      <c r="F78" s="17" t="n">
        <f aca="false">IF($A78="2020Q2",1,0)</f>
        <v>0</v>
      </c>
      <c r="G78" s="17" t="n">
        <f aca="false">IF($A78="2020Q3",1,0)</f>
        <v>0</v>
      </c>
      <c r="H78" s="17" t="n">
        <f aca="false">IF($A78="2020Q4",1,0)</f>
        <v>0</v>
      </c>
      <c r="I78" s="17" t="n">
        <f aca="false">IF($A78="2021Q1",1,0)</f>
        <v>0</v>
      </c>
      <c r="J78" s="17" t="n">
        <f aca="false">IF($A78="2021Q2",1,0)</f>
        <v>0</v>
      </c>
      <c r="K78" s="17" t="n">
        <v>1</v>
      </c>
      <c r="L78" s="17" t="n">
        <f aca="false">B78-($B$92+$B$93*C78+$B$94*D78+$B$95*E78)</f>
        <v>0.00960396267359655</v>
      </c>
      <c r="M78" s="17" t="n">
        <f aca="false">K78*$L78</f>
        <v>0.00960396267359655</v>
      </c>
      <c r="N78" s="17" t="n">
        <f aca="false">C78*$L78</f>
        <v>-0.00184846457421462</v>
      </c>
      <c r="O78" s="17" t="n">
        <f aca="false">D78*$L78</f>
        <v>-0.00327763927033884</v>
      </c>
      <c r="P78" s="17" t="n">
        <f aca="false">E78*$L78</f>
        <v>-0.00241697907882399</v>
      </c>
      <c r="Q78" s="17" t="n">
        <f aca="false">L78^2</f>
        <v>9.22360990358358E-005</v>
      </c>
      <c r="R78" s="17" t="n">
        <f aca="false">B78-($B$164+$B$165*C78+$B$166*D78+$B$167*E78+$B$168*F78+$B$169*G78+$B$170*H78+$B$171*I78+$B$172*J78)</f>
        <v>0.00549825408185279</v>
      </c>
      <c r="S78" s="17" t="n">
        <f aca="false">R78^2</f>
        <v>3.02307979486108E-005</v>
      </c>
    </row>
    <row r="79" customFormat="false" ht="15" hidden="false" customHeight="false" outlineLevel="0" collapsed="false">
      <c r="A79" s="19" t="str">
        <f aca="false">Datos!A85</f>
        <v>2025Q1</v>
      </c>
      <c r="B79" s="20" t="n">
        <f aca="false">Datos!E85</f>
        <v>0.0583747415748432</v>
      </c>
      <c r="C79" s="20" t="n">
        <f aca="false">Datos!J85</f>
        <v>-0.384578626929738</v>
      </c>
      <c r="D79" s="20" t="n">
        <f aca="false">Datos!I84</f>
        <v>-0.876147846216728</v>
      </c>
      <c r="E79" s="20" t="n">
        <f aca="false">Datos!D83</f>
        <v>-0.193270893828479</v>
      </c>
      <c r="F79" s="17" t="n">
        <f aca="false">IF($A79="2020Q2",1,0)</f>
        <v>0</v>
      </c>
      <c r="G79" s="17" t="n">
        <f aca="false">IF($A79="2020Q3",1,0)</f>
        <v>0</v>
      </c>
      <c r="H79" s="17" t="n">
        <f aca="false">IF($A79="2020Q4",1,0)</f>
        <v>0</v>
      </c>
      <c r="I79" s="17" t="n">
        <f aca="false">IF($A79="2021Q1",1,0)</f>
        <v>0</v>
      </c>
      <c r="J79" s="17" t="n">
        <f aca="false">IF($A79="2021Q2",1,0)</f>
        <v>0</v>
      </c>
      <c r="K79" s="17" t="n">
        <v>1</v>
      </c>
      <c r="L79" s="17" t="n">
        <f aca="false">B79-($B$92+$B$93*C79+$B$94*D79+$B$95*E79)</f>
        <v>-0.0278452412142173</v>
      </c>
      <c r="M79" s="17" t="n">
        <f aca="false">K79*$L79</f>
        <v>-0.0278452412142173</v>
      </c>
      <c r="N79" s="17" t="n">
        <f aca="false">C79*$L79</f>
        <v>0.010708684632691</v>
      </c>
      <c r="O79" s="17" t="n">
        <f aca="false">D79*$L79</f>
        <v>0.0243965481172217</v>
      </c>
      <c r="P79" s="17" t="n">
        <f aca="false">E79*$L79</f>
        <v>0.00538167465834136</v>
      </c>
      <c r="Q79" s="17" t="n">
        <f aca="false">L79^2</f>
        <v>0.000775357458277943</v>
      </c>
      <c r="R79" s="17" t="n">
        <f aca="false">B79-($B$164+$B$165*C79+$B$166*D79+$B$167*E79+$B$168*F79+$B$169*G79+$B$170*H79+$B$171*I79+$B$172*J79)</f>
        <v>-0.0258698970462583</v>
      </c>
      <c r="S79" s="17" t="n">
        <f aca="false">R79^2</f>
        <v>0.000669251573184003</v>
      </c>
    </row>
    <row r="80" customFormat="false" ht="15" hidden="false" customHeight="false" outlineLevel="0" collapsed="false">
      <c r="A80" s="19" t="str">
        <f aca="false">Datos!A86</f>
        <v>2025Q2</v>
      </c>
      <c r="B80" s="20" t="n">
        <f aca="false">Datos!E86</f>
        <v>0.0638141408959982</v>
      </c>
      <c r="C80" s="20" t="n">
        <f aca="false">Datos!J86</f>
        <v>-0.105259288113006</v>
      </c>
      <c r="D80" s="20" t="n">
        <f aca="false">Datos!I85</f>
        <v>-0.94177674074728</v>
      </c>
      <c r="E80" s="20" t="n">
        <f aca="false">Datos!D84</f>
        <v>0.0165797586683372</v>
      </c>
      <c r="F80" s="17" t="n">
        <f aca="false">IF($A80="2020Q2",1,0)</f>
        <v>0</v>
      </c>
      <c r="G80" s="17" t="n">
        <f aca="false">IF($A80="2020Q3",1,0)</f>
        <v>0</v>
      </c>
      <c r="H80" s="17" t="n">
        <f aca="false">IF($A80="2020Q4",1,0)</f>
        <v>0</v>
      </c>
      <c r="I80" s="17" t="n">
        <f aca="false">IF($A80="2021Q1",1,0)</f>
        <v>0</v>
      </c>
      <c r="J80" s="17" t="n">
        <f aca="false">IF($A80="2021Q2",1,0)</f>
        <v>0</v>
      </c>
      <c r="K80" s="17" t="n">
        <v>1</v>
      </c>
      <c r="L80" s="17" t="n">
        <f aca="false">B80-($B$92+$B$93*C80+$B$94*D80+$B$95*E80)</f>
        <v>-0.0227507081855788</v>
      </c>
      <c r="M80" s="17" t="n">
        <f aca="false">K80*$L80</f>
        <v>-0.0227507081855788</v>
      </c>
      <c r="N80" s="17" t="n">
        <f aca="false">C80*$L80</f>
        <v>0.00239472334768076</v>
      </c>
      <c r="O80" s="17" t="n">
        <f aca="false">D80*$L80</f>
        <v>0.0214260878047069</v>
      </c>
      <c r="P80" s="17" t="n">
        <f aca="false">E80*$L80</f>
        <v>-0.000377201251250659</v>
      </c>
      <c r="Q80" s="17" t="n">
        <f aca="false">L80^2</f>
        <v>0.000517594722945363</v>
      </c>
      <c r="R80" s="17" t="n">
        <f aca="false">B80-($B$164+$B$165*C80+$B$166*D80+$B$167*E80+$B$168*F80+$B$169*G80+$B$170*H80+$B$171*I80+$B$172*J80)</f>
        <v>-0.0152438468155316</v>
      </c>
      <c r="S80" s="17" t="n">
        <f aca="false">R80^2</f>
        <v>0.000232374865735394</v>
      </c>
    </row>
    <row r="81" customFormat="false" ht="15" hidden="false" customHeight="false" outlineLevel="0" collapsed="false">
      <c r="A81" s="19" t="str">
        <f aca="false">Datos!A87</f>
        <v>2025Q3</v>
      </c>
      <c r="B81" s="20" t="n">
        <f aca="false">Datos!E87</f>
        <v>0.0325690447876617</v>
      </c>
      <c r="C81" s="20" t="n">
        <f aca="false">Datos!J87</f>
        <v>0.091784554708334</v>
      </c>
      <c r="D81" s="20" t="n">
        <f aca="false">Datos!I86</f>
        <v>-0.618656899860501</v>
      </c>
      <c r="E81" s="20" t="n">
        <f aca="false">Datos!D85</f>
        <v>0.265562805722639</v>
      </c>
      <c r="F81" s="17" t="n">
        <f aca="false">IF($A81="2020Q2",1,0)</f>
        <v>0</v>
      </c>
      <c r="G81" s="17" t="n">
        <f aca="false">IF($A81="2020Q3",1,0)</f>
        <v>0</v>
      </c>
      <c r="H81" s="17" t="n">
        <f aca="false">IF($A81="2020Q4",1,0)</f>
        <v>0</v>
      </c>
      <c r="I81" s="17" t="n">
        <f aca="false">IF($A81="2021Q1",1,0)</f>
        <v>0</v>
      </c>
      <c r="J81" s="17" t="n">
        <f aca="false">IF($A81="2021Q2",1,0)</f>
        <v>0</v>
      </c>
      <c r="K81" s="17" t="n">
        <v>1</v>
      </c>
      <c r="L81" s="17" t="n">
        <f aca="false">B81-($B$92+$B$93*C81+$B$94*D81+$B$95*E81)</f>
        <v>-0.0511906203227363</v>
      </c>
      <c r="M81" s="17" t="n">
        <f aca="false">K81*$L81</f>
        <v>-0.0511906203227363</v>
      </c>
      <c r="N81" s="17" t="n">
        <f aca="false">C81*$L81</f>
        <v>-0.00469850829156575</v>
      </c>
      <c r="O81" s="17" t="n">
        <f aca="false">D81*$L81</f>
        <v>0.0316694304708</v>
      </c>
      <c r="P81" s="17" t="n">
        <f aca="false">E81*$L81</f>
        <v>-0.0135943247595882</v>
      </c>
      <c r="Q81" s="17" t="n">
        <f aca="false">L81^2</f>
        <v>0.00262047960902654</v>
      </c>
      <c r="R81" s="17" t="n">
        <f aca="false">B81-($B$164+$B$165*C81+$B$166*D81+$B$167*E81+$B$168*F81+$B$169*G81+$B$170*H81+$B$171*I81+$B$172*J81)</f>
        <v>-0.0417801169433764</v>
      </c>
      <c r="S81" s="17" t="n">
        <f aca="false">R81^2</f>
        <v>0.0017455781718022</v>
      </c>
    </row>
    <row r="82" customFormat="false" ht="15" hidden="false" customHeight="false" outlineLevel="0" collapsed="false">
      <c r="A82" s="19" t="str">
        <f aca="false">Datos!A88</f>
        <v>2025Q4</v>
      </c>
      <c r="B82" s="20" t="n">
        <f aca="false">Datos!E88</f>
        <v>0.0205805070747371</v>
      </c>
      <c r="C82" s="20" t="n">
        <f aca="false">Datos!J88</f>
        <v>0.199328493230507</v>
      </c>
      <c r="D82" s="20" t="n">
        <f aca="false">Datos!I87</f>
        <v>-0.538801368933996</v>
      </c>
      <c r="E82" s="20" t="n">
        <f aca="false">Datos!D86</f>
        <v>0.240817001757097</v>
      </c>
      <c r="F82" s="17" t="n">
        <f aca="false">IF($A82="2020Q2",1,0)</f>
        <v>0</v>
      </c>
      <c r="G82" s="17" t="n">
        <f aca="false">IF($A82="2020Q3",1,0)</f>
        <v>0</v>
      </c>
      <c r="H82" s="17" t="n">
        <f aca="false">IF($A82="2020Q4",1,0)</f>
        <v>0</v>
      </c>
      <c r="I82" s="17" t="n">
        <f aca="false">IF($A82="2021Q1",1,0)</f>
        <v>0</v>
      </c>
      <c r="J82" s="17" t="n">
        <f aca="false">IF($A82="2021Q2",1,0)</f>
        <v>0</v>
      </c>
      <c r="K82" s="17" t="n">
        <v>1</v>
      </c>
      <c r="L82" s="17" t="n">
        <f aca="false">B82-($B$92+$B$93*C82+$B$94*D82+$B$95*E82)</f>
        <v>-0.0383232016708726</v>
      </c>
      <c r="M82" s="17" t="n">
        <f aca="false">K82*$L82</f>
        <v>-0.0383232016708726</v>
      </c>
      <c r="N82" s="17" t="n">
        <f aca="false">C82*$L82</f>
        <v>-0.00763890604482387</v>
      </c>
      <c r="O82" s="17" t="n">
        <f aca="false">D82*$L82</f>
        <v>0.0206485935221998</v>
      </c>
      <c r="P82" s="17" t="n">
        <f aca="false">E82*$L82</f>
        <v>-0.00922887852411212</v>
      </c>
      <c r="Q82" s="17" t="n">
        <f aca="false">L82^2</f>
        <v>0.00146866778630637</v>
      </c>
      <c r="R82" s="17" t="n">
        <f aca="false">B82-($B$164+$B$165*C82+$B$166*D82+$B$167*E82+$B$168*F82+$B$169*G82+$B$170*H82+$B$171*I82+$B$172*J82)</f>
        <v>-0.029859879344691</v>
      </c>
      <c r="S82" s="17" t="n">
        <f aca="false">R82^2</f>
        <v>0.000891612394479507</v>
      </c>
    </row>
    <row r="83" customFormat="false" ht="15" hidden="false" customHeight="false" outlineLevel="0" collapsed="false">
      <c r="A83" s="19" t="str">
        <f aca="false">Datos!A89</f>
        <v>2026Q1</v>
      </c>
      <c r="B83" s="20" t="n">
        <f aca="false">Datos!E89</f>
        <v>0.024694045208276</v>
      </c>
      <c r="C83" s="20" t="n">
        <f aca="false">Datos!J89</f>
        <v>0.142065621153192</v>
      </c>
      <c r="D83" s="20" t="n">
        <f aca="false">Datos!I88</f>
        <v>-0.200743130361317</v>
      </c>
      <c r="E83" s="20" t="n">
        <f aca="false">Datos!D87</f>
        <v>0.180053312281566</v>
      </c>
      <c r="F83" s="17" t="n">
        <f aca="false">IF($A83="2020Q2",1,0)</f>
        <v>0</v>
      </c>
      <c r="G83" s="17" t="n">
        <f aca="false">IF($A83="2020Q3",1,0)</f>
        <v>0</v>
      </c>
      <c r="H83" s="17" t="n">
        <f aca="false">IF($A83="2020Q4",1,0)</f>
        <v>0</v>
      </c>
      <c r="I83" s="17" t="n">
        <f aca="false">IF($A83="2021Q1",1,0)</f>
        <v>0</v>
      </c>
      <c r="J83" s="17" t="n">
        <f aca="false">IF($A83="2021Q2",1,0)</f>
        <v>0</v>
      </c>
      <c r="K83" s="17" t="n">
        <v>1</v>
      </c>
      <c r="L83" s="17" t="n">
        <f aca="false">B83-($B$92+$B$93*C83+$B$94*D83+$B$95*E83)</f>
        <v>-0.0123380175945812</v>
      </c>
      <c r="M83" s="17" t="n">
        <f aca="false">K83*$L83</f>
        <v>-0.0123380175945812</v>
      </c>
      <c r="N83" s="17" t="n">
        <f aca="false">C83*$L83</f>
        <v>-0.00175280813337318</v>
      </c>
      <c r="O83" s="17" t="n">
        <f aca="false">D83*$L83</f>
        <v>0.00247677227438924</v>
      </c>
      <c r="P83" s="17" t="n">
        <f aca="false">E83*$L83</f>
        <v>-0.00222150093489258</v>
      </c>
      <c r="Q83" s="17" t="n">
        <f aca="false">L83^2</f>
        <v>0.000152226678164195</v>
      </c>
      <c r="R83" s="17" t="n">
        <f aca="false">B83-($B$164+$B$165*C83+$B$166*D83+$B$167*E83+$B$168*F83+$B$169*G83+$B$170*H83+$B$171*I83+$B$172*J83)</f>
        <v>-0.00875320027538569</v>
      </c>
      <c r="S83" s="17" t="n">
        <f aca="false">R83^2</f>
        <v>7.66185150610121E-005</v>
      </c>
    </row>
    <row r="90" customFormat="false" ht="15" hidden="false" customHeight="false" outlineLevel="0" collapsed="false">
      <c r="A90" s="21" t="s">
        <v>151</v>
      </c>
      <c r="B90" s="22"/>
      <c r="C90" s="22"/>
      <c r="D90" s="22"/>
      <c r="E90" s="22"/>
      <c r="F90" s="22"/>
      <c r="G90" s="22"/>
      <c r="H90" s="22"/>
    </row>
    <row r="91" customFormat="false" ht="15" hidden="false" customHeight="false" outlineLevel="0" collapsed="false">
      <c r="A91" s="11" t="s">
        <v>16</v>
      </c>
      <c r="B91" s="11" t="s">
        <v>17</v>
      </c>
      <c r="C91" s="11" t="s">
        <v>152</v>
      </c>
      <c r="D91" s="11" t="s">
        <v>19</v>
      </c>
      <c r="E91" s="11" t="s">
        <v>24</v>
      </c>
      <c r="F91" s="23" t="n">
        <f aca="false">INDEX(LINEST($B$6:$B$83,$C$6:$E$83,TRUE(),TRUE()),4,2)</f>
        <v>74</v>
      </c>
    </row>
    <row r="92" customFormat="false" ht="15" hidden="false" customHeight="false" outlineLevel="0" collapsed="false">
      <c r="A92" s="24" t="s">
        <v>153</v>
      </c>
      <c r="B92" s="25" t="n">
        <f aca="false">INDEX(LINEST($B$6:$B$83,$C$6:$E$83,TRUE(),TRUE()),1,4)</f>
        <v>0.0140877059246794</v>
      </c>
      <c r="C92" s="8" t="n">
        <f aca="false">INDEX(LINEST($B$6:$B$83,$C$6:$E$83,TRUE(),TRUE()),2,4)</f>
        <v>0.00491756802946929</v>
      </c>
      <c r="D92" s="5" t="n">
        <f aca="false">B92/C92</f>
        <v>2.86477092746997</v>
      </c>
      <c r="E92" s="6" t="n">
        <f aca="false">TDIST(ABS(D92),$F$91,2)</f>
        <v>0.0054282163966184</v>
      </c>
    </row>
    <row r="93" customFormat="false" ht="15" hidden="false" customHeight="false" outlineLevel="0" collapsed="false">
      <c r="A93" s="24" t="s">
        <v>154</v>
      </c>
      <c r="B93" s="25" t="n">
        <f aca="false">INDEX(LINEST($B$6:$B$83,$C$6:$E$83,TRUE(),TRUE()),1,3)</f>
        <v>-0.147207678460372</v>
      </c>
      <c r="C93" s="8" t="n">
        <f aca="false">INDEX(LINEST($B$6:$B$83,$C$6:$E$83,TRUE(),TRUE()),2,3)</f>
        <v>0.0356604985083911</v>
      </c>
      <c r="D93" s="5" t="n">
        <f aca="false">B93/C93</f>
        <v>-4.12803198546798</v>
      </c>
      <c r="E93" s="6" t="n">
        <f aca="false">TDIST(ABS(D93),$F$91,2)</f>
        <v>9.4960172857089E-005</v>
      </c>
    </row>
    <row r="94" customFormat="false" ht="15" hidden="false" customHeight="false" outlineLevel="0" collapsed="false">
      <c r="A94" s="24" t="s">
        <v>155</v>
      </c>
      <c r="B94" s="25" t="n">
        <f aca="false">INDEX(LINEST($B$6:$B$83,$C$6:$E$83,TRUE(),TRUE()),1,2)</f>
        <v>-0.0573422814335309</v>
      </c>
      <c r="C94" s="8" t="n">
        <f aca="false">INDEX(LINEST($B$6:$B$83,$C$6:$E$83,TRUE(),TRUE()),2,2)</f>
        <v>0.00903441087104952</v>
      </c>
      <c r="D94" s="5" t="n">
        <f aca="false">B94/C94</f>
        <v>-6.34709692220025</v>
      </c>
      <c r="E94" s="6" t="n">
        <f aca="false">TDIST(ABS(D94),$F$91,2)</f>
        <v>1.57840302362343E-008</v>
      </c>
    </row>
    <row r="95" customFormat="false" ht="15" hidden="false" customHeight="false" outlineLevel="0" collapsed="false">
      <c r="A95" s="24" t="s">
        <v>156</v>
      </c>
      <c r="B95" s="25" t="n">
        <f aca="false">INDEX(LINEST($B$6:$B$83,$C$6:$E$83,TRUE(),TRUE()),1,1)</f>
        <v>0.179649225389201</v>
      </c>
      <c r="C95" s="8" t="n">
        <f aca="false">INDEX(LINEST($B$6:$B$83,$C$6:$E$83,TRUE(),TRUE()),2,1)</f>
        <v>0.0384913783494412</v>
      </c>
      <c r="D95" s="5" t="n">
        <f aca="false">B95/C95</f>
        <v>4.66725882763325</v>
      </c>
      <c r="E95" s="6" t="n">
        <f aca="false">TDIST(ABS(D95),$F$91,2)</f>
        <v>1.32934576803123E-005</v>
      </c>
    </row>
    <row r="97" customFormat="false" ht="15" hidden="false" customHeight="false" outlineLevel="0" collapsed="false">
      <c r="A97" s="21" t="s">
        <v>157</v>
      </c>
      <c r="B97" s="22"/>
      <c r="C97" s="22"/>
      <c r="D97" s="22"/>
      <c r="E97" s="22"/>
      <c r="F97" s="22"/>
      <c r="G97" s="22"/>
      <c r="H97" s="22"/>
    </row>
    <row r="98" customFormat="false" ht="15" hidden="false" customHeight="false" outlineLevel="0" collapsed="false">
      <c r="A98" s="24" t="s">
        <v>158</v>
      </c>
      <c r="B98" s="5" t="n">
        <f aca="false">COUNT($B$6:$B$83)</f>
        <v>78</v>
      </c>
    </row>
    <row r="99" customFormat="false" ht="15" hidden="false" customHeight="false" outlineLevel="0" collapsed="false">
      <c r="A99" s="24" t="s">
        <v>7</v>
      </c>
      <c r="B99" s="5" t="n">
        <v>4</v>
      </c>
    </row>
    <row r="100" customFormat="false" ht="15" hidden="false" customHeight="false" outlineLevel="0" collapsed="false">
      <c r="A100" s="24" t="s">
        <v>8</v>
      </c>
      <c r="B100" s="6" t="n">
        <f aca="false">INDEX(LINEST($B$6:$B$83,$C$6:$E$83,TRUE(),TRUE()),3,1)</f>
        <v>0.539290083050373</v>
      </c>
    </row>
    <row r="101" customFormat="false" ht="15" hidden="false" customHeight="false" outlineLevel="0" collapsed="false">
      <c r="A101" s="24" t="s">
        <v>9</v>
      </c>
      <c r="B101" s="26" t="n">
        <f aca="false">1-(1-B100)*(B98-1)/(B98-B99)</f>
        <v>0.520612653984848</v>
      </c>
    </row>
    <row r="102" customFormat="false" ht="15" hidden="false" customHeight="false" outlineLevel="0" collapsed="false">
      <c r="A102" s="24" t="s">
        <v>10</v>
      </c>
      <c r="B102" s="8" t="n">
        <f aca="false">INDEX(LINEST($B$6:$B$83,$C$6:$E$83,TRUE(),TRUE()),5,2)</f>
        <v>0.132346958775516</v>
      </c>
    </row>
    <row r="103" customFormat="false" ht="15" hidden="false" customHeight="false" outlineLevel="0" collapsed="false">
      <c r="A103" s="24" t="s">
        <v>159</v>
      </c>
      <c r="B103" s="6" t="n">
        <f aca="false">-B98/2*(LN(2*PI())+LN(B102/B98)+1)</f>
        <v>138.105243490674</v>
      </c>
    </row>
    <row r="104" customFormat="false" ht="15" hidden="false" customHeight="false" outlineLevel="0" collapsed="false">
      <c r="A104" s="24" t="s">
        <v>11</v>
      </c>
      <c r="B104" s="27" t="n">
        <f aca="false">-2*B103+2*B99</f>
        <v>-268.210486981349</v>
      </c>
    </row>
    <row r="105" customFormat="false" ht="15" hidden="false" customHeight="false" outlineLevel="0" collapsed="false">
      <c r="A105" s="24" t="s">
        <v>12</v>
      </c>
      <c r="B105" s="27" t="n">
        <f aca="false">-2*B103+LN(B98)*B99</f>
        <v>-258.783651674591</v>
      </c>
    </row>
    <row r="107" customFormat="false" ht="15" hidden="false" customHeight="false" outlineLevel="0" collapsed="false">
      <c r="A107" s="21" t="s">
        <v>160</v>
      </c>
      <c r="B107" s="22"/>
      <c r="C107" s="22"/>
      <c r="D107" s="22"/>
      <c r="E107" s="22"/>
      <c r="F107" s="22"/>
      <c r="G107" s="22"/>
      <c r="H107" s="22"/>
    </row>
    <row r="108" customFormat="false" ht="15" hidden="false" customHeight="false" outlineLevel="0" collapsed="false">
      <c r="A108" s="2" t="s">
        <v>161</v>
      </c>
    </row>
    <row r="110" customFormat="false" ht="15" hidden="false" customHeight="false" outlineLevel="0" collapsed="false">
      <c r="A110" s="10" t="s">
        <v>162</v>
      </c>
    </row>
    <row r="111" customFormat="false" ht="15" hidden="false" customHeight="false" outlineLevel="0" collapsed="false">
      <c r="B111" s="28" t="n">
        <f aca="false">SUMPRODUCT($K$6:$K$83,$K$6:$K$83)</f>
        <v>78</v>
      </c>
      <c r="C111" s="28" t="n">
        <f aca="false">SUMPRODUCT($K$6:$K$83,$C$6:$C$83)</f>
        <v>-2.3161769752903</v>
      </c>
      <c r="D111" s="28" t="n">
        <f aca="false">SUMPRODUCT($K$6:$K$83,$D$6:$D$83)</f>
        <v>2.58199150772431</v>
      </c>
      <c r="E111" s="28" t="n">
        <f aca="false">SUMPRODUCT($K$6:$K$83,$E$6:$E$83)</f>
        <v>0.0834786999040178</v>
      </c>
    </row>
    <row r="112" customFormat="false" ht="15" hidden="false" customHeight="false" outlineLevel="0" collapsed="false">
      <c r="B112" s="28" t="n">
        <f aca="false">SUMPRODUCT($C$6:$C$83,$K$6:$K$83)</f>
        <v>-2.3161769752903</v>
      </c>
      <c r="C112" s="28" t="n">
        <f aca="false">SUMPRODUCT($C$6:$C$83,$C$6:$C$83)</f>
        <v>1.49994041141459</v>
      </c>
      <c r="D112" s="28" t="n">
        <f aca="false">SUMPRODUCT($C$6:$C$83,$D$6:$D$83)</f>
        <v>0.0432024231178332</v>
      </c>
      <c r="E112" s="28" t="n">
        <f aca="false">SUMPRODUCT($C$6:$C$83,$E$6:$E$83)</f>
        <v>0.165389300157816</v>
      </c>
    </row>
    <row r="113" customFormat="false" ht="15" hidden="false" customHeight="false" outlineLevel="0" collapsed="false">
      <c r="B113" s="28" t="n">
        <f aca="false">SUMPRODUCT($D$6:$D$83,$K$6:$K$83)</f>
        <v>2.58199150772431</v>
      </c>
      <c r="C113" s="28" t="n">
        <f aca="false">SUMPRODUCT($D$6:$D$83,$C$6:$C$83)</f>
        <v>0.0432024231178332</v>
      </c>
      <c r="D113" s="28" t="n">
        <f aca="false">SUMPRODUCT($D$6:$D$83,$D$6:$D$83)</f>
        <v>22.5381043210649</v>
      </c>
      <c r="E113" s="28" t="n">
        <f aca="false">SUMPRODUCT($D$6:$D$83,$E$6:$E$83)</f>
        <v>-0.79309672972701</v>
      </c>
    </row>
    <row r="114" customFormat="false" ht="15" hidden="false" customHeight="false" outlineLevel="0" collapsed="false">
      <c r="B114" s="28" t="n">
        <f aca="false">SUMPRODUCT($E$6:$E$83,$K$6:$K$83)</f>
        <v>0.0834786999040178</v>
      </c>
      <c r="C114" s="28" t="n">
        <f aca="false">SUMPRODUCT($E$6:$E$83,$C$6:$C$83)</f>
        <v>0.165389300157816</v>
      </c>
      <c r="D114" s="28" t="n">
        <f aca="false">SUMPRODUCT($E$6:$E$83,$D$6:$D$83)</f>
        <v>-0.79309672972701</v>
      </c>
      <c r="E114" s="28" t="n">
        <f aca="false">SUMPRODUCT($E$6:$E$83,$E$6:$E$83)</f>
        <v>1.25614184352478</v>
      </c>
    </row>
    <row r="115" customFormat="false" ht="15" hidden="false" customHeight="false" outlineLevel="0" collapsed="false">
      <c r="A115" s="10" t="s">
        <v>163</v>
      </c>
    </row>
    <row r="116" customFormat="false" ht="15" hidden="false" customHeight="false" outlineLevel="0" collapsed="false">
      <c r="B116" s="28" t="n">
        <f aca="false">INDEX(MINVERSE($B$111:$E$114),1,1)</f>
        <v>0.0135213018158222</v>
      </c>
      <c r="C116" s="28" t="n">
        <f aca="false">INDEX(MINVERSE($B$111:$E$114),1,2)</f>
        <v>0.0214632484581208</v>
      </c>
      <c r="D116" s="28" t="n">
        <f aca="false">INDEX(MINVERSE($B$111:$E$114),1,3)</f>
        <v>-0.00176033131637113</v>
      </c>
      <c r="E116" s="28" t="n">
        <f aca="false">INDEX(MINVERSE($B$111:$E$114),1,4)</f>
        <v>-0.00483595493594966</v>
      </c>
    </row>
    <row r="117" customFormat="false" ht="15" hidden="false" customHeight="false" outlineLevel="0" collapsed="false">
      <c r="B117" s="28" t="n">
        <f aca="false">INDEX(MINVERSE($B$111:$E$114),2,1)</f>
        <v>0.0214632484581208</v>
      </c>
      <c r="C117" s="28" t="n">
        <f aca="false">INDEX(MINVERSE($B$111:$E$114),2,2)</f>
        <v>0.711037610964468</v>
      </c>
      <c r="D117" s="28" t="n">
        <f aca="false">INDEX(MINVERSE($B$111:$E$114),2,3)</f>
        <v>-0.00732919752368001</v>
      </c>
      <c r="E117" s="28" t="n">
        <f aca="false">INDEX(MINVERSE($B$111:$E$114),2,4)</f>
        <v>-0.0996722624703992</v>
      </c>
    </row>
    <row r="118" customFormat="false" ht="15" hidden="false" customHeight="false" outlineLevel="0" collapsed="false">
      <c r="B118" s="28" t="n">
        <f aca="false">INDEX(MINVERSE($B$111:$E$114),3,1)</f>
        <v>-0.00176033131637113</v>
      </c>
      <c r="C118" s="28" t="n">
        <f aca="false">INDEX(MINVERSE($B$111:$E$114),3,2)</f>
        <v>-0.00732919752368002</v>
      </c>
      <c r="D118" s="28" t="n">
        <f aca="false">INDEX(MINVERSE($B$111:$E$114),3,3)</f>
        <v>0.0456370358647848</v>
      </c>
      <c r="E118" s="28" t="n">
        <f aca="false">INDEX(MINVERSE($B$111:$E$114),3,4)</f>
        <v>0.0298960703452635</v>
      </c>
    </row>
    <row r="119" customFormat="false" ht="15" hidden="false" customHeight="false" outlineLevel="0" collapsed="false">
      <c r="B119" s="28" t="n">
        <f aca="false">INDEX(MINVERSE($B$111:$E$114),4,1)</f>
        <v>-0.00483595493594966</v>
      </c>
      <c r="C119" s="28" t="n">
        <f aca="false">INDEX(MINVERSE($B$111:$E$114),4,2)</f>
        <v>-0.0996722624703992</v>
      </c>
      <c r="D119" s="28" t="n">
        <f aca="false">INDEX(MINVERSE($B$111:$E$114),4,3)</f>
        <v>0.0298960703452635</v>
      </c>
      <c r="E119" s="28" t="n">
        <f aca="false">INDEX(MINVERSE($B$111:$E$114),4,4)</f>
        <v>0.828408754913004</v>
      </c>
    </row>
    <row r="120" customFormat="false" ht="15" hidden="false" customHeight="false" outlineLevel="0" collapsed="false">
      <c r="A120" s="10" t="s">
        <v>164</v>
      </c>
    </row>
    <row r="121" customFormat="false" ht="15" hidden="false" customHeight="false" outlineLevel="0" collapsed="false">
      <c r="B121" s="28" t="n">
        <f aca="false">SUMPRODUCT($M$6:$M$83,$M$6:$M$83)</f>
        <v>0.132346958775516</v>
      </c>
      <c r="C121" s="28" t="n">
        <f aca="false">SUMPRODUCT($M$6:$M$83,$N$6:$N$83)</f>
        <v>-0.0051354980653686</v>
      </c>
      <c r="D121" s="28" t="n">
        <f aca="false">SUMPRODUCT($M$6:$M$83,$O$6:$O$83)</f>
        <v>0.0182663218549123</v>
      </c>
      <c r="E121" s="28" t="n">
        <f aca="false">SUMPRODUCT($M$6:$M$83,$P$6:$P$83)</f>
        <v>0.0029310252221599</v>
      </c>
    </row>
    <row r="122" customFormat="false" ht="15" hidden="false" customHeight="false" outlineLevel="0" collapsed="false">
      <c r="B122" s="28" t="n">
        <f aca="false">SUMPRODUCT($N$6:$N$83,$M$6:$M$83)</f>
        <v>-0.0051354980653686</v>
      </c>
      <c r="C122" s="28" t="n">
        <f aca="false">SUMPRODUCT($N$6:$N$83,$N$6:$N$83)</f>
        <v>0.00166895668448339</v>
      </c>
      <c r="D122" s="28" t="n">
        <f aca="false">SUMPRODUCT($N$6:$N$83,$O$6:$O$83)</f>
        <v>-0.00136101115091234</v>
      </c>
      <c r="E122" s="28" t="n">
        <f aca="false">SUMPRODUCT($N$6:$N$83,$P$6:$P$83)</f>
        <v>0.000230395145485359</v>
      </c>
    </row>
    <row r="123" customFormat="false" ht="15" hidden="false" customHeight="false" outlineLevel="0" collapsed="false">
      <c r="B123" s="28" t="n">
        <f aca="false">SUMPRODUCT($O$6:$O$83,$M$6:$M$83)</f>
        <v>0.0182663218549123</v>
      </c>
      <c r="C123" s="28" t="n">
        <f aca="false">SUMPRODUCT($O$6:$O$83,$N$6:$N$83)</f>
        <v>-0.00136101115091234</v>
      </c>
      <c r="D123" s="28" t="n">
        <f aca="false">SUMPRODUCT($O$6:$O$83,$O$6:$O$83)</f>
        <v>0.0544813361969163</v>
      </c>
      <c r="E123" s="28" t="n">
        <f aca="false">SUMPRODUCT($O$6:$O$83,$P$6:$P$83)</f>
        <v>-0.00393109260020406</v>
      </c>
    </row>
    <row r="124" customFormat="false" ht="15" hidden="false" customHeight="false" outlineLevel="0" collapsed="false">
      <c r="B124" s="28" t="n">
        <f aca="false">SUMPRODUCT($P$6:$P$83,$M$6:$M$83)</f>
        <v>0.0029310252221599</v>
      </c>
      <c r="C124" s="28" t="n">
        <f aca="false">SUMPRODUCT($P$6:$P$83,$N$6:$N$83)</f>
        <v>0.000230395145485359</v>
      </c>
      <c r="D124" s="28" t="n">
        <f aca="false">SUMPRODUCT($P$6:$P$83,$O$6:$O$83)</f>
        <v>-0.00393109260020406</v>
      </c>
      <c r="E124" s="28" t="n">
        <f aca="false">SUMPRODUCT($P$6:$P$83,$P$6:$P$83)</f>
        <v>0.00302737912725701</v>
      </c>
    </row>
    <row r="125" customFormat="false" ht="15" hidden="false" customHeight="false" outlineLevel="0" collapsed="false">
      <c r="A125" s="10" t="s">
        <v>165</v>
      </c>
    </row>
    <row r="126" customFormat="false" ht="15" hidden="false" customHeight="false" outlineLevel="0" collapsed="false">
      <c r="B126" s="28" t="n">
        <f aca="false">SUMPRODUCT($M$7:$M$83,$M$6:$M$82)</f>
        <v>0.0588552170265675</v>
      </c>
      <c r="C126" s="28" t="n">
        <f aca="false">SUMPRODUCT($M$7:$M$83,$N$6:$N$82)</f>
        <v>-0.00294010355696667</v>
      </c>
      <c r="D126" s="28" t="n">
        <f aca="false">SUMPRODUCT($M$7:$M$83,$O$6:$O$82)</f>
        <v>0.00537400561903349</v>
      </c>
      <c r="E126" s="28" t="n">
        <f aca="false">SUMPRODUCT($M$7:$M$83,$P$6:$P$82)</f>
        <v>0.000763121931052461</v>
      </c>
    </row>
    <row r="127" customFormat="false" ht="15" hidden="false" customHeight="false" outlineLevel="0" collapsed="false">
      <c r="B127" s="28" t="n">
        <f aca="false">SUMPRODUCT($N$7:$N$83,$M$6:$M$82)</f>
        <v>-0.00310335666486439</v>
      </c>
      <c r="C127" s="28" t="n">
        <f aca="false">SUMPRODUCT($N$7:$N$83,$N$6:$N$82)</f>
        <v>0.000642955693226664</v>
      </c>
      <c r="D127" s="28" t="n">
        <f aca="false">SUMPRODUCT($N$7:$N$83,$O$6:$O$82)</f>
        <v>-0.000236762218281017</v>
      </c>
      <c r="E127" s="28" t="n">
        <f aca="false">SUMPRODUCT($N$7:$N$83,$P$6:$P$82)</f>
        <v>9.44179361057187E-005</v>
      </c>
    </row>
    <row r="128" customFormat="false" ht="15" hidden="false" customHeight="false" outlineLevel="0" collapsed="false">
      <c r="B128" s="28" t="n">
        <f aca="false">SUMPRODUCT($O$7:$O$83,$M$6:$M$82)</f>
        <v>0.00452343983887853</v>
      </c>
      <c r="C128" s="28" t="n">
        <f aca="false">SUMPRODUCT($O$7:$O$83,$N$6:$N$82)</f>
        <v>-0.000743275905143577</v>
      </c>
      <c r="D128" s="28" t="n">
        <f aca="false">SUMPRODUCT($O$7:$O$83,$O$6:$O$82)</f>
        <v>0.0165805897231364</v>
      </c>
      <c r="E128" s="28" t="n">
        <f aca="false">SUMPRODUCT($O$7:$O$83,$P$6:$P$82)</f>
        <v>-0.000480452092612486</v>
      </c>
    </row>
    <row r="129" customFormat="false" ht="15" hidden="false" customHeight="false" outlineLevel="0" collapsed="false">
      <c r="B129" s="28" t="n">
        <f aca="false">SUMPRODUCT($P$7:$P$83,$M$6:$M$82)</f>
        <v>0.00148381959069473</v>
      </c>
      <c r="C129" s="28" t="n">
        <f aca="false">SUMPRODUCT($P$7:$P$83,$N$6:$N$82)</f>
        <v>-0.000289585450737633</v>
      </c>
      <c r="D129" s="28" t="n">
        <f aca="false">SUMPRODUCT($P$7:$P$83,$O$6:$O$82)</f>
        <v>0.00143751649136847</v>
      </c>
      <c r="E129" s="28" t="n">
        <f aca="false">SUMPRODUCT($P$7:$P$83,$P$6:$P$82)</f>
        <v>0.000154453095062581</v>
      </c>
    </row>
    <row r="130" customFormat="false" ht="15" hidden="false" customHeight="false" outlineLevel="0" collapsed="false">
      <c r="A130" s="10" t="s">
        <v>166</v>
      </c>
    </row>
    <row r="131" customFormat="false" ht="15" hidden="false" customHeight="false" outlineLevel="0" collapsed="false">
      <c r="B131" s="28" t="n">
        <f aca="false">SUMPRODUCT($M$8:$M$83,$M$6:$M$81)</f>
        <v>0.043440081745237</v>
      </c>
      <c r="C131" s="28" t="n">
        <f aca="false">SUMPRODUCT($M$8:$M$83,$N$6:$N$81)</f>
        <v>-0.00185936557702344</v>
      </c>
      <c r="D131" s="28" t="n">
        <f aca="false">SUMPRODUCT($M$8:$M$83,$O$6:$O$81)</f>
        <v>-0.00542186636364424</v>
      </c>
      <c r="E131" s="28" t="n">
        <f aca="false">SUMPRODUCT($M$8:$M$83,$P$6:$P$81)</f>
        <v>-0.00170211740623994</v>
      </c>
    </row>
    <row r="132" customFormat="false" ht="15" hidden="false" customHeight="false" outlineLevel="0" collapsed="false">
      <c r="B132" s="28" t="n">
        <f aca="false">SUMPRODUCT($N$8:$N$83,$M$6:$M$81)</f>
        <v>-0.00399318159646689</v>
      </c>
      <c r="C132" s="28" t="n">
        <f aca="false">SUMPRODUCT($N$8:$N$83,$N$6:$N$81)</f>
        <v>0.000183974324120456</v>
      </c>
      <c r="D132" s="28" t="n">
        <f aca="false">SUMPRODUCT($N$8:$N$83,$O$6:$O$81)</f>
        <v>0.000198098516643997</v>
      </c>
      <c r="E132" s="28" t="n">
        <f aca="false">SUMPRODUCT($N$8:$N$83,$P$6:$P$81)</f>
        <v>0.000104634785186423</v>
      </c>
    </row>
    <row r="133" customFormat="false" ht="15" hidden="false" customHeight="false" outlineLevel="0" collapsed="false">
      <c r="B133" s="28" t="n">
        <f aca="false">SUMPRODUCT($O$8:$O$83,$M$6:$M$81)</f>
        <v>-0.00383309828930068</v>
      </c>
      <c r="C133" s="28" t="n">
        <f aca="false">SUMPRODUCT($O$8:$O$83,$N$6:$N$81)</f>
        <v>-0.000627998296938877</v>
      </c>
      <c r="D133" s="28" t="n">
        <f aca="false">SUMPRODUCT($O$8:$O$83,$O$6:$O$81)</f>
        <v>-0.000988637844424871</v>
      </c>
      <c r="E133" s="28" t="n">
        <f aca="false">SUMPRODUCT($O$8:$O$83,$P$6:$P$81)</f>
        <v>0.00243514259750598</v>
      </c>
    </row>
    <row r="134" customFormat="false" ht="15" hidden="false" customHeight="false" outlineLevel="0" collapsed="false">
      <c r="B134" s="28" t="n">
        <f aca="false">SUMPRODUCT($P$8:$P$83,$M$6:$M$81)</f>
        <v>0.000566308449478136</v>
      </c>
      <c r="C134" s="28" t="n">
        <f aca="false">SUMPRODUCT($P$8:$P$83,$N$6:$N$81)</f>
        <v>-0.000384776833172337</v>
      </c>
      <c r="D134" s="28" t="n">
        <f aca="false">SUMPRODUCT($P$8:$P$83,$O$6:$O$81)</f>
        <v>0.00281613582047631</v>
      </c>
      <c r="E134" s="28" t="n">
        <f aca="false">SUMPRODUCT($P$8:$P$83,$P$6:$P$81)</f>
        <v>-0.000973914829897275</v>
      </c>
    </row>
    <row r="135" customFormat="false" ht="15" hidden="false" customHeight="false" outlineLevel="0" collapsed="false">
      <c r="A135" s="10" t="s">
        <v>167</v>
      </c>
    </row>
    <row r="136" customFormat="false" ht="15" hidden="false" customHeight="false" outlineLevel="0" collapsed="false">
      <c r="B136" s="28" t="n">
        <f aca="false">SUMPRODUCT($M$9:$M$83,$M$6:$M$80)</f>
        <v>0.021010374136904</v>
      </c>
      <c r="C136" s="28" t="n">
        <f aca="false">SUMPRODUCT($M$9:$M$83,$N$6:$N$80)</f>
        <v>-0.00146065881832644</v>
      </c>
      <c r="D136" s="28" t="n">
        <f aca="false">SUMPRODUCT($M$9:$M$83,$O$6:$O$80)</f>
        <v>-0.0167884310565541</v>
      </c>
      <c r="E136" s="28" t="n">
        <f aca="false">SUMPRODUCT($M$9:$M$83,$P$6:$P$80)</f>
        <v>0.000481552836808362</v>
      </c>
    </row>
    <row r="137" customFormat="false" ht="15" hidden="false" customHeight="false" outlineLevel="0" collapsed="false">
      <c r="B137" s="28" t="n">
        <f aca="false">SUMPRODUCT($N$9:$N$83,$M$6:$M$80)</f>
        <v>-0.00170041024403962</v>
      </c>
      <c r="C137" s="28" t="n">
        <f aca="false">SUMPRODUCT($N$9:$N$83,$N$6:$N$80)</f>
        <v>-8.46138884406479E-005</v>
      </c>
      <c r="D137" s="28" t="n">
        <f aca="false">SUMPRODUCT($N$9:$N$83,$O$6:$O$80)</f>
        <v>0.00113088717120402</v>
      </c>
      <c r="E137" s="28" t="n">
        <f aca="false">SUMPRODUCT($N$9:$N$83,$P$6:$P$80)</f>
        <v>-0.000124562986557799</v>
      </c>
    </row>
    <row r="138" customFormat="false" ht="15" hidden="false" customHeight="false" outlineLevel="0" collapsed="false">
      <c r="B138" s="28" t="n">
        <f aca="false">SUMPRODUCT($O$9:$O$83,$M$6:$M$80)</f>
        <v>-0.0105250521451285</v>
      </c>
      <c r="C138" s="28" t="n">
        <f aca="false">SUMPRODUCT($O$9:$O$83,$N$6:$N$80)</f>
        <v>0.000913132192153205</v>
      </c>
      <c r="D138" s="28" t="n">
        <f aca="false">SUMPRODUCT($O$9:$O$83,$O$6:$O$80)</f>
        <v>-0.00948299818285408</v>
      </c>
      <c r="E138" s="28" t="n">
        <f aca="false">SUMPRODUCT($O$9:$O$83,$P$6:$P$80)</f>
        <v>0.00283920101817172</v>
      </c>
    </row>
    <row r="139" customFormat="false" ht="15" hidden="false" customHeight="false" outlineLevel="0" collapsed="false">
      <c r="B139" s="28" t="n">
        <f aca="false">SUMPRODUCT($P$9:$P$83,$M$6:$M$80)</f>
        <v>0.00141546364124651</v>
      </c>
      <c r="C139" s="28" t="n">
        <f aca="false">SUMPRODUCT($P$9:$P$83,$N$6:$N$80)</f>
        <v>-0.000328599736252501</v>
      </c>
      <c r="D139" s="28" t="n">
        <f aca="false">SUMPRODUCT($P$9:$P$83,$O$6:$O$80)</f>
        <v>0.000373778459694752</v>
      </c>
      <c r="E139" s="28" t="n">
        <f aca="false">SUMPRODUCT($P$9:$P$83,$P$6:$P$80)</f>
        <v>-0.000389742807891234</v>
      </c>
    </row>
    <row r="140" customFormat="false" ht="15" hidden="false" customHeight="false" outlineLevel="0" collapsed="false">
      <c r="A140" s="10" t="s">
        <v>168</v>
      </c>
    </row>
    <row r="141" customFormat="false" ht="15" hidden="false" customHeight="false" outlineLevel="0" collapsed="false">
      <c r="B141" s="28" t="n">
        <f aca="false">SUMPRODUCT($M$10:$M$83,$M$6:$M$79)</f>
        <v>-0.0282593827904806</v>
      </c>
      <c r="C141" s="28" t="n">
        <f aca="false">SUMPRODUCT($M$10:$M$83,$N$6:$N$79)</f>
        <v>0.00016982854351221</v>
      </c>
      <c r="D141" s="28" t="n">
        <f aca="false">SUMPRODUCT($M$10:$M$83,$O$6:$O$79)</f>
        <v>-0.0434108819734985</v>
      </c>
      <c r="E141" s="28" t="n">
        <f aca="false">SUMPRODUCT($M$10:$M$83,$P$6:$P$79)</f>
        <v>0.00288270727253286</v>
      </c>
    </row>
    <row r="142" customFormat="false" ht="15" hidden="false" customHeight="false" outlineLevel="0" collapsed="false">
      <c r="B142" s="28" t="n">
        <f aca="false">SUMPRODUCT($N$10:$N$83,$M$6:$M$79)</f>
        <v>-0.000497445122785208</v>
      </c>
      <c r="C142" s="28" t="n">
        <f aca="false">SUMPRODUCT($N$10:$N$83,$N$6:$N$79)</f>
        <v>-0.000230940062814687</v>
      </c>
      <c r="D142" s="28" t="n">
        <f aca="false">SUMPRODUCT($N$10:$N$83,$O$6:$O$79)</f>
        <v>0.00193505026018166</v>
      </c>
      <c r="E142" s="28" t="n">
        <f aca="false">SUMPRODUCT($N$10:$N$83,$P$6:$P$79)</f>
        <v>8.29972436910286E-006</v>
      </c>
    </row>
    <row r="143" customFormat="false" ht="15" hidden="false" customHeight="false" outlineLevel="0" collapsed="false">
      <c r="B143" s="28" t="n">
        <f aca="false">SUMPRODUCT($O$10:$O$83,$M$6:$M$79)</f>
        <v>-0.00565183688157623</v>
      </c>
      <c r="C143" s="28" t="n">
        <f aca="false">SUMPRODUCT($O$10:$O$83,$N$6:$N$79)</f>
        <v>-0.00156806329257839</v>
      </c>
      <c r="D143" s="28" t="n">
        <f aca="false">SUMPRODUCT($O$10:$O$83,$O$6:$O$79)</f>
        <v>0.000248968916679104</v>
      </c>
      <c r="E143" s="28" t="n">
        <f aca="false">SUMPRODUCT($O$10:$O$83,$P$6:$P$79)</f>
        <v>0.00036863013168488</v>
      </c>
    </row>
    <row r="144" customFormat="false" ht="15" hidden="false" customHeight="false" outlineLevel="0" collapsed="false">
      <c r="B144" s="28" t="n">
        <f aca="false">SUMPRODUCT($P$10:$P$83,$M$6:$M$79)</f>
        <v>-0.000938793636853405</v>
      </c>
      <c r="C144" s="28" t="n">
        <f aca="false">SUMPRODUCT($P$10:$P$83,$N$6:$N$79)</f>
        <v>0.000229902179988376</v>
      </c>
      <c r="D144" s="28" t="n">
        <f aca="false">SUMPRODUCT($P$10:$P$83,$O$6:$O$79)</f>
        <v>-0.00446091911868634</v>
      </c>
      <c r="E144" s="28" t="n">
        <f aca="false">SUMPRODUCT($P$10:$P$83,$P$6:$P$79)</f>
        <v>0.000626658096014494</v>
      </c>
    </row>
    <row r="145" customFormat="false" ht="15" hidden="false" customHeight="false" outlineLevel="0" collapsed="false">
      <c r="A145" s="10" t="s">
        <v>169</v>
      </c>
    </row>
    <row r="146" customFormat="false" ht="15" hidden="false" customHeight="false" outlineLevel="0" collapsed="false">
      <c r="B146" s="28" t="n">
        <f aca="false">INDEX($B$121:$E$124,1,1)+0.8*(INDEX($B$126:$E$129,1,1)+INDEX($B$126:$E$129,1,1))+0.6*(INDEX($B$131:$E$134,1,1)+INDEX($B$131:$E$134,1,1))+0.4*(INDEX($B$136:$E$139,1,1)+INDEX($B$136:$E$139,1,1))+0.2*(INDEX($B$141:$E$144,1,1)+INDEX($B$141:$E$144,1,1))</f>
        <v>0.284147950305639</v>
      </c>
      <c r="C146" s="28" t="n">
        <f aca="false">INDEX($B$121:$E$124,1,2)+0.8*(INDEX($B$126:$E$129,1,2)+INDEX($B$126:$E$129,2,1))+0.6*(INDEX($B$131:$E$134,1,2)+INDEX($B$131:$E$134,2,1))+0.4*(INDEX($B$136:$E$139,1,2)+INDEX($B$136:$E$139,2,1))+0.2*(INDEX($B$141:$E$144,1,2)+INDEX($B$141:$E$144,2,1))</f>
        <v>-0.0148117454877287</v>
      </c>
      <c r="D146" s="28" t="n">
        <f aca="false">INDEX($B$121:$E$124,1,3)+0.8*(INDEX($B$126:$E$129,1,3)+INDEX($B$126:$E$129,3,1))+0.6*(INDEX($B$131:$E$134,1,3)+INDEX($B$131:$E$134,3,1))+0.4*(INDEX($B$136:$E$139,1,3)+INDEX($B$136:$E$139,3,1))+0.2*(INDEX($B$141:$E$144,1,3)+INDEX($B$141:$E$144,3,1))</f>
        <v>-0.000106637622213045</v>
      </c>
      <c r="E146" s="28" t="n">
        <f aca="false">INDEX($B$121:$E$124,1,4)+0.8*(INDEX($B$126:$E$129,1,4)+INDEX($B$126:$E$129,4,1))+0.6*(INDEX($B$131:$E$134,1,4)+INDEX($B$131:$E$134,4,1))+0.4*(INDEX($B$136:$E$139,1,4)+INDEX($B$136:$E$139,4,1))+0.2*(INDEX($B$141:$E$144,1,4)+INDEX($B$141:$E$144,4,1))</f>
        <v>0.00519468238385841</v>
      </c>
    </row>
    <row r="147" customFormat="false" ht="15" hidden="false" customHeight="false" outlineLevel="0" collapsed="false">
      <c r="B147" s="28" t="n">
        <f aca="false">INDEX($B$121:$E$124,2,1)+0.8*(INDEX($B$126:$E$129,2,1)+INDEX($B$126:$E$129,1,2))+0.6*(INDEX($B$131:$E$134,2,1)+INDEX($B$131:$E$134,1,2))+0.4*(INDEX($B$136:$E$139,2,1)+INDEX($B$136:$E$139,1,2))+0.2*(INDEX($B$141:$E$144,2,1)+INDEX($B$141:$E$144,1,2))</f>
        <v>-0.0148117454877287</v>
      </c>
      <c r="C147" s="28" t="n">
        <f aca="false">INDEX($B$121:$E$124,2,2)+0.8*(INDEX($B$126:$E$129,2,2)+INDEX($B$126:$E$129,2,2))+0.6*(INDEX($B$131:$E$134,2,2)+INDEX($B$131:$E$134,2,2))+0.4*(INDEX($B$136:$E$139,2,2)+INDEX($B$136:$E$139,2,2))+0.2*(INDEX($B$141:$E$144,2,2)+INDEX($B$141:$E$144,2,2))</f>
        <v>0.0027583878467122</v>
      </c>
      <c r="D147" s="28" t="n">
        <f aca="false">INDEX($B$121:$E$124,2,3)+0.8*(INDEX($B$126:$E$129,2,3)+INDEX($B$126:$E$129,3,2))+0.6*(INDEX($B$131:$E$134,2,3)+INDEX($B$131:$E$134,3,2))+0.4*(INDEX($B$136:$E$139,2,3)+INDEX($B$136:$E$139,3,2))+0.2*(INDEX($B$141:$E$144,2,3)+INDEX($B$141:$E$144,3,2))</f>
        <v>-0.0015119763789654</v>
      </c>
      <c r="E147" s="28" t="n">
        <f aca="false">INDEX($B$121:$E$124,2,4)+0.8*(INDEX($B$126:$E$129,2,4)+INDEX($B$126:$E$129,4,2))+0.6*(INDEX($B$131:$E$134,2,4)+INDEX($B$131:$E$134,4,2))+0.4*(INDEX($B$136:$E$139,2,4)+INDEX($B$136:$E$139,4,2))+0.2*(INDEX($B$141:$E$144,2,4)+INDEX($B$141:$E$144,4,2))</f>
        <v>-0.000227448803264345</v>
      </c>
    </row>
    <row r="148" customFormat="false" ht="15" hidden="false" customHeight="false" outlineLevel="0" collapsed="false">
      <c r="B148" s="28" t="n">
        <f aca="false">INDEX($B$121:$E$124,3,1)+0.8*(INDEX($B$126:$E$129,3,1)+INDEX($B$126:$E$129,1,3))+0.6*(INDEX($B$131:$E$134,3,1)+INDEX($B$131:$E$134,1,3))+0.4*(INDEX($B$136:$E$139,3,1)+INDEX($B$136:$E$139,1,3))+0.2*(INDEX($B$141:$E$144,3,1)+INDEX($B$141:$E$144,1,3))</f>
        <v>-0.000106637622213045</v>
      </c>
      <c r="C148" s="28" t="n">
        <f aca="false">INDEX($B$121:$E$124,3,2)+0.8*(INDEX($B$126:$E$129,3,2)+INDEX($B$126:$E$129,2,3))+0.6*(INDEX($B$131:$E$134,3,2)+INDEX($B$131:$E$134,2,3))+0.4*(INDEX($B$136:$E$139,3,2)+INDEX($B$136:$E$139,2,3))+0.2*(INDEX($B$141:$E$144,3,2)+INDEX($B$141:$E$144,2,3))</f>
        <v>-0.0015119763789654</v>
      </c>
      <c r="D148" s="28" t="n">
        <f aca="false">INDEX($B$121:$E$124,3,3)+0.8*(INDEX($B$126:$E$129,3,3)+INDEX($B$126:$E$129,3,3))+0.6*(INDEX($B$131:$E$134,3,3)+INDEX($B$131:$E$134,3,3))+0.4*(INDEX($B$136:$E$139,3,3)+INDEX($B$136:$E$139,3,3))+0.2*(INDEX($B$141:$E$144,3,3)+INDEX($B$141:$E$144,3,3))</f>
        <v>0.072337103361013</v>
      </c>
      <c r="E148" s="28" t="n">
        <f aca="false">INDEX($B$121:$E$124,3,4)+0.8*(INDEX($B$126:$E$129,3,4)+INDEX($B$126:$E$129,4,3))+0.6*(INDEX($B$131:$E$134,3,4)+INDEX($B$131:$E$134,4,3))+0.4*(INDEX($B$136:$E$139,3,4)+INDEX($B$136:$E$139,4,3))+0.2*(INDEX($B$141:$E$144,3,4)+INDEX($B$141:$E$144,4,3))</f>
        <v>0.000452059963336402</v>
      </c>
    </row>
    <row r="149" customFormat="false" ht="15" hidden="false" customHeight="false" outlineLevel="0" collapsed="false">
      <c r="B149" s="28" t="n">
        <f aca="false">INDEX($B$121:$E$124,4,1)+0.8*(INDEX($B$126:$E$129,4,1)+INDEX($B$126:$E$129,1,4))+0.6*(INDEX($B$131:$E$134,4,1)+INDEX($B$131:$E$134,1,4))+0.4*(INDEX($B$136:$E$139,4,1)+INDEX($B$136:$E$139,1,4))+0.2*(INDEX($B$141:$E$144,4,1)+INDEX($B$141:$E$144,1,4))</f>
        <v>0.00519468238385841</v>
      </c>
      <c r="C149" s="28" t="n">
        <f aca="false">INDEX($B$121:$E$124,4,2)+0.8*(INDEX($B$126:$E$129,4,2)+INDEX($B$126:$E$129,2,4))+0.6*(INDEX($B$131:$E$134,4,2)+INDEX($B$131:$E$134,2,4))+0.4*(INDEX($B$136:$E$139,4,2)+INDEX($B$136:$E$139,2,4))+0.2*(INDEX($B$141:$E$144,4,2)+INDEX($B$141:$E$144,2,4))</f>
        <v>-0.000227448803264345</v>
      </c>
      <c r="D149" s="28" t="n">
        <f aca="false">INDEX($B$121:$E$124,4,3)+0.8*(INDEX($B$126:$E$129,4,3)+INDEX($B$126:$E$129,3,4))+0.6*(INDEX($B$131:$E$134,4,3)+INDEX($B$131:$E$134,3,4))+0.4*(INDEX($B$136:$E$139,4,3)+INDEX($B$136:$E$139,3,4))+0.2*(INDEX($B$141:$E$144,4,3)+INDEX($B$141:$E$144,3,4))</f>
        <v>0.000452059963336402</v>
      </c>
      <c r="E149" s="28" t="n">
        <f aca="false">INDEX($B$121:$E$124,4,4)+0.8*(INDEX($B$126:$E$129,4,4)+INDEX($B$126:$E$129,4,4))+0.6*(INDEX($B$131:$E$134,4,4)+INDEX($B$131:$E$134,4,4))+0.4*(INDEX($B$136:$E$139,4,4)+INDEX($B$136:$E$139,4,4))+0.2*(INDEX($B$141:$E$144,4,4)+INDEX($B$141:$E$144,4,4))</f>
        <v>0.00204467527557323</v>
      </c>
    </row>
    <row r="150" customFormat="false" ht="15" hidden="false" customHeight="false" outlineLevel="0" collapsed="false">
      <c r="A150" s="10" t="s">
        <v>170</v>
      </c>
    </row>
    <row r="151" customFormat="false" ht="15" hidden="false" customHeight="false" outlineLevel="0" collapsed="false">
      <c r="B151" s="28" t="n">
        <f aca="false">INDEX(MMULT(MMULT($B$116:$E$119,$B$146:$E$149),$B$116:$E$119),1,1)</f>
        <v>4.43900359981467E-005</v>
      </c>
      <c r="C151" s="28" t="n">
        <f aca="false">INDEX(MMULT(MMULT($B$116:$E$119,$B$146:$E$149),$B$116:$E$119),1,2)</f>
        <v>-2.67789008734053E-005</v>
      </c>
      <c r="D151" s="28" t="n">
        <f aca="false">INDEX(MMULT(MMULT($B$116:$E$119,$B$146:$E$149),$B$116:$E$119),1,3)</f>
        <v>-1.09767634778407E-005</v>
      </c>
      <c r="E151" s="28" t="n">
        <f aca="false">INDEX(MMULT(MMULT($B$116:$E$119,$B$146:$E$149),$B$116:$E$119),1,4)</f>
        <v>3.71701902742204E-005</v>
      </c>
    </row>
    <row r="152" customFormat="false" ht="15" hidden="false" customHeight="false" outlineLevel="0" collapsed="false">
      <c r="B152" s="28" t="n">
        <f aca="false">INDEX(MMULT(MMULT($B$116:$E$119,$B$146:$E$149),$B$116:$E$119),2,1)</f>
        <v>-2.67789008734053E-005</v>
      </c>
      <c r="C152" s="28" t="n">
        <f aca="false">INDEX(MMULT(MMULT($B$116:$E$119,$B$146:$E$149),$B$116:$E$119),2,2)</f>
        <v>0.00112404450899209</v>
      </c>
      <c r="D152" s="28" t="n">
        <f aca="false">INDEX(MMULT(MMULT($B$116:$E$119,$B$146:$E$149),$B$116:$E$119),2,3)</f>
        <v>-8.66915405471158E-005</v>
      </c>
      <c r="E152" s="28" t="n">
        <f aca="false">INDEX(MMULT(MMULT($B$116:$E$119,$B$146:$E$149),$B$116:$E$119),2,4)</f>
        <v>-0.000405817853541685</v>
      </c>
    </row>
    <row r="153" customFormat="false" ht="15" hidden="false" customHeight="false" outlineLevel="0" collapsed="false">
      <c r="B153" s="28" t="n">
        <f aca="false">INDEX(MMULT(MMULT($B$116:$E$119,$B$146:$E$149),$B$116:$E$119),3,1)</f>
        <v>-1.09767634778407E-005</v>
      </c>
      <c r="C153" s="28" t="n">
        <f aca="false">INDEX(MMULT(MMULT($B$116:$E$119,$B$146:$E$149),$B$116:$E$119),3,2)</f>
        <v>-8.66915405471158E-005</v>
      </c>
      <c r="D153" s="28" t="n">
        <f aca="false">INDEX(MMULT(MMULT($B$116:$E$119,$B$146:$E$149),$B$116:$E$119),3,3)</f>
        <v>0.000154948333008968</v>
      </c>
      <c r="E153" s="28" t="n">
        <f aca="false">INDEX(MMULT(MMULT($B$116:$E$119,$B$146:$E$149),$B$116:$E$119),3,4)</f>
        <v>0.000169108516052045</v>
      </c>
    </row>
    <row r="154" customFormat="false" ht="15" hidden="false" customHeight="false" outlineLevel="0" collapsed="false">
      <c r="B154" s="28" t="n">
        <f aca="false">INDEX(MMULT(MMULT($B$116:$E$119,$B$146:$E$149),$B$116:$E$119),4,1)</f>
        <v>3.71701902742204E-005</v>
      </c>
      <c r="C154" s="28" t="n">
        <f aca="false">INDEX(MMULT(MMULT($B$116:$E$119,$B$146:$E$149),$B$116:$E$119),4,2)</f>
        <v>-0.000405817853541685</v>
      </c>
      <c r="D154" s="28" t="n">
        <f aca="false">INDEX(MMULT(MMULT($B$116:$E$119,$B$146:$E$149),$B$116:$E$119),4,3)</f>
        <v>0.000169108516052045</v>
      </c>
      <c r="E154" s="28" t="n">
        <f aca="false">INDEX(MMULT(MMULT($B$116:$E$119,$B$146:$E$149),$B$116:$E$119),4,4)</f>
        <v>0.00151497638192297</v>
      </c>
    </row>
    <row r="156" customFormat="false" ht="15" hidden="false" customHeight="false" outlineLevel="0" collapsed="false">
      <c r="A156" s="11" t="s">
        <v>16</v>
      </c>
      <c r="B156" s="11" t="s">
        <v>17</v>
      </c>
      <c r="C156" s="11" t="s">
        <v>18</v>
      </c>
      <c r="D156" s="11" t="s">
        <v>171</v>
      </c>
      <c r="E156" s="11" t="s">
        <v>172</v>
      </c>
    </row>
    <row r="157" customFormat="false" ht="15" hidden="false" customHeight="false" outlineLevel="0" collapsed="false">
      <c r="A157" s="24" t="s">
        <v>153</v>
      </c>
      <c r="B157" s="8" t="n">
        <f aca="false">B92</f>
        <v>0.0140877059246794</v>
      </c>
      <c r="C157" s="25" t="n">
        <f aca="false">SQRT(INDEX($B$151:$E$154,1,1))</f>
        <v>0.00666258478356161</v>
      </c>
      <c r="D157" s="5" t="n">
        <f aca="false">B157/C157</f>
        <v>2.11445052968595</v>
      </c>
      <c r="E157" s="6" t="n">
        <f aca="false">TDIST(ABS(D157),$F$91,2)</f>
        <v>0.0378453981164376</v>
      </c>
    </row>
    <row r="158" customFormat="false" ht="15" hidden="false" customHeight="false" outlineLevel="0" collapsed="false">
      <c r="A158" s="24" t="s">
        <v>154</v>
      </c>
      <c r="B158" s="8" t="n">
        <f aca="false">B93</f>
        <v>-0.147207678460372</v>
      </c>
      <c r="C158" s="25" t="n">
        <f aca="false">SQRT(INDEX($B$151:$E$154,2,2))</f>
        <v>0.0335267730178747</v>
      </c>
      <c r="D158" s="5" t="n">
        <f aca="false">B158/C158</f>
        <v>-4.39074999499321</v>
      </c>
      <c r="E158" s="6" t="n">
        <f aca="false">TDIST(ABS(D158),$F$91,2)</f>
        <v>3.69915394768358E-005</v>
      </c>
    </row>
    <row r="159" customFormat="false" ht="15" hidden="false" customHeight="false" outlineLevel="0" collapsed="false">
      <c r="A159" s="24" t="s">
        <v>155</v>
      </c>
      <c r="B159" s="8" t="n">
        <f aca="false">B94</f>
        <v>-0.0573422814335309</v>
      </c>
      <c r="C159" s="25" t="n">
        <f aca="false">SQRT(INDEX($B$151:$E$154,3,3))</f>
        <v>0.0124478244287493</v>
      </c>
      <c r="D159" s="5" t="n">
        <f aca="false">B159/C159</f>
        <v>-4.6066107183432</v>
      </c>
      <c r="E159" s="6" t="n">
        <f aca="false">TDIST(ABS(D159),$F$91,2)</f>
        <v>1.66819630395509E-005</v>
      </c>
    </row>
    <row r="160" customFormat="false" ht="15" hidden="false" customHeight="false" outlineLevel="0" collapsed="false">
      <c r="A160" s="24" t="s">
        <v>156</v>
      </c>
      <c r="B160" s="8" t="n">
        <f aca="false">B95</f>
        <v>0.179649225389201</v>
      </c>
      <c r="C160" s="25" t="n">
        <f aca="false">SQRT(INDEX($B$151:$E$154,4,4))</f>
        <v>0.0389226975160121</v>
      </c>
      <c r="D160" s="5" t="n">
        <f aca="false">B160/C160</f>
        <v>4.61553892340829</v>
      </c>
      <c r="E160" s="6" t="n">
        <f aca="false">TDIST(ABS(D160),$F$91,2)</f>
        <v>1.61350044171227E-005</v>
      </c>
    </row>
    <row r="162" customFormat="false" ht="15" hidden="false" customHeight="false" outlineLevel="0" collapsed="false">
      <c r="A162" s="21" t="s">
        <v>173</v>
      </c>
      <c r="B162" s="22"/>
      <c r="C162" s="22"/>
      <c r="D162" s="22"/>
      <c r="E162" s="22"/>
      <c r="F162" s="22"/>
      <c r="G162" s="22"/>
      <c r="H162" s="22"/>
    </row>
    <row r="163" customFormat="false" ht="15" hidden="false" customHeight="false" outlineLevel="0" collapsed="false">
      <c r="A163" s="11" t="s">
        <v>16</v>
      </c>
      <c r="B163" s="11" t="s">
        <v>17</v>
      </c>
      <c r="C163" s="11" t="s">
        <v>152</v>
      </c>
      <c r="D163" s="11" t="s">
        <v>19</v>
      </c>
      <c r="E163" s="11" t="s">
        <v>24</v>
      </c>
      <c r="F163" s="12" t="s">
        <v>174</v>
      </c>
      <c r="G163" s="23" t="n">
        <f aca="false">INDEX(LINEST($B$6:$B$83,$C$6:$J$83,TRUE(),TRUE()),4,2)</f>
        <v>69</v>
      </c>
    </row>
    <row r="164" customFormat="false" ht="15" hidden="false" customHeight="false" outlineLevel="0" collapsed="false">
      <c r="A164" s="24" t="s">
        <v>153</v>
      </c>
      <c r="B164" s="25" t="n">
        <f aca="false">INDEX(LINEST($B$6:$B$83,$C$6:$J$83,TRUE(),TRUE()),1,9)</f>
        <v>0.0164457106566527</v>
      </c>
      <c r="C164" s="8" t="n">
        <f aca="false">INDEX(LINEST($B$6:$B$83,$C$6:$J$83,TRUE(),TRUE()),2,9)</f>
        <v>0.00454375859209798</v>
      </c>
      <c r="D164" s="5" t="n">
        <f aca="false">B164/C164</f>
        <v>3.61940678038075</v>
      </c>
      <c r="E164" s="6" t="n">
        <f aca="false">TDIST(ABS(D164),$G$163,2)</f>
        <v>0.000558597176786707</v>
      </c>
    </row>
    <row r="165" customFormat="false" ht="15" hidden="false" customHeight="false" outlineLevel="0" collapsed="false">
      <c r="A165" s="24" t="s">
        <v>154</v>
      </c>
      <c r="B165" s="25" t="n">
        <f aca="false">INDEX(LINEST($B$6:$B$83,$C$6:$J$83,TRUE(),TRUE()),1,8)</f>
        <v>-0.1505061343363</v>
      </c>
      <c r="C165" s="8" t="n">
        <f aca="false">INDEX(LINEST($B$6:$B$83,$C$6:$J$83,TRUE(),TRUE()),2,8)</f>
        <v>0.0319716628532189</v>
      </c>
      <c r="D165" s="5" t="n">
        <f aca="false">B165/C165</f>
        <v>-4.70748534498408</v>
      </c>
      <c r="E165" s="6" t="n">
        <f aca="false">TDIST(ABS(D165),$G$163,2)</f>
        <v>1.25222598542189E-005</v>
      </c>
    </row>
    <row r="166" customFormat="false" ht="15" hidden="false" customHeight="false" outlineLevel="0" collapsed="false">
      <c r="A166" s="24" t="s">
        <v>155</v>
      </c>
      <c r="B166" s="25" t="n">
        <f aca="false">INDEX(LINEST($B$6:$B$83,$C$6:$J$83,TRUE(),TRUE()),1,7)</f>
        <v>-0.0468277520115219</v>
      </c>
      <c r="C166" s="8" t="n">
        <f aca="false">INDEX(LINEST($B$6:$B$83,$C$6:$J$83,TRUE(),TRUE()),2,7)</f>
        <v>0.0086948990124702</v>
      </c>
      <c r="D166" s="5" t="n">
        <f aca="false">B166/C166</f>
        <v>-5.38565795236514</v>
      </c>
      <c r="E166" s="6" t="n">
        <f aca="false">TDIST(ABS(D166),$G$163,2)</f>
        <v>9.41859526015674E-007</v>
      </c>
    </row>
    <row r="167" customFormat="false" ht="15" hidden="false" customHeight="false" outlineLevel="0" collapsed="false">
      <c r="A167" s="24" t="s">
        <v>156</v>
      </c>
      <c r="B167" s="25" t="n">
        <f aca="false">INDEX(LINEST($B$6:$B$83,$C$6:$J$83,TRUE(),TRUE()),1,6)</f>
        <v>0.160968617544572</v>
      </c>
      <c r="C167" s="8" t="n">
        <f aca="false">INDEX(LINEST($B$6:$B$83,$C$6:$J$83,TRUE(),TRUE()),2,6)</f>
        <v>0.0392417242957035</v>
      </c>
      <c r="D167" s="5" t="n">
        <f aca="false">B167/C167</f>
        <v>4.10197616016062</v>
      </c>
      <c r="E167" s="6" t="n">
        <f aca="false">TDIST(ABS(D167),$G$163,2)</f>
        <v>0.000110380037120051</v>
      </c>
    </row>
    <row r="168" customFormat="false" ht="15" hidden="false" customHeight="false" outlineLevel="0" collapsed="false">
      <c r="A168" s="24" t="s">
        <v>137</v>
      </c>
      <c r="B168" s="25" t="n">
        <f aca="false">INDEX(LINEST($B$6:$B$83,$C$6:$J$83,TRUE(),TRUE()),1,5)</f>
        <v>-0.125579953045232</v>
      </c>
      <c r="C168" s="8" t="n">
        <f aca="false">INDEX(LINEST($B$6:$B$83,$C$6:$J$83,TRUE(),TRUE()),2,5)</f>
        <v>0.0400441374652796</v>
      </c>
      <c r="D168" s="5" t="n">
        <f aca="false">B168/C168</f>
        <v>-3.13603840647377</v>
      </c>
      <c r="E168" s="6" t="n">
        <f aca="false">TDIST(ABS(D168),$G$163,2)</f>
        <v>0.00251669370347549</v>
      </c>
    </row>
    <row r="169" customFormat="false" ht="15" hidden="false" customHeight="false" outlineLevel="0" collapsed="false">
      <c r="A169" s="24" t="s">
        <v>138</v>
      </c>
      <c r="B169" s="25" t="n">
        <f aca="false">INDEX(LINEST($B$6:$B$83,$C$6:$J$83,TRUE(),TRUE()),1,4)</f>
        <v>-0.0516892613727179</v>
      </c>
      <c r="C169" s="8" t="n">
        <f aca="false">INDEX(LINEST($B$6:$B$83,$C$6:$J$83,TRUE(),TRUE()),2,4)</f>
        <v>0.0397141015128565</v>
      </c>
      <c r="D169" s="5" t="n">
        <f aca="false">B169/C169</f>
        <v>-1.30153420079225</v>
      </c>
      <c r="E169" s="6" t="n">
        <f aca="false">TDIST(ABS(D169),$G$163,2)</f>
        <v>0.19740456708048</v>
      </c>
    </row>
    <row r="170" customFormat="false" ht="15" hidden="false" customHeight="false" outlineLevel="0" collapsed="false">
      <c r="A170" s="24" t="s">
        <v>139</v>
      </c>
      <c r="B170" s="25" t="n">
        <f aca="false">INDEX(LINEST($B$6:$B$83,$C$6:$J$83,TRUE(),TRUE()),1,3)</f>
        <v>-0.0854982970266485</v>
      </c>
      <c r="C170" s="8" t="n">
        <f aca="false">INDEX(LINEST($B$6:$B$83,$C$6:$J$83,TRUE(),TRUE()),2,3)</f>
        <v>0.0389741655973554</v>
      </c>
      <c r="D170" s="5" t="n">
        <f aca="false">B170/C170</f>
        <v>-2.19371718973889</v>
      </c>
      <c r="E170" s="6" t="n">
        <f aca="false">TDIST(ABS(D170),$G$163,2)</f>
        <v>0.0316271542924164</v>
      </c>
    </row>
    <row r="171" customFormat="false" ht="15" hidden="false" customHeight="false" outlineLevel="0" collapsed="false">
      <c r="A171" s="24" t="s">
        <v>140</v>
      </c>
      <c r="B171" s="25" t="n">
        <f aca="false">INDEX(LINEST($B$6:$B$83,$C$6:$J$83,TRUE(),TRUE()),1,2)</f>
        <v>-0.049493688224678</v>
      </c>
      <c r="C171" s="8" t="n">
        <f aca="false">INDEX(LINEST($B$6:$B$83,$C$6:$J$83,TRUE(),TRUE()),2,2)</f>
        <v>0.0401624631956392</v>
      </c>
      <c r="D171" s="5" t="n">
        <f aca="false">B171/C171</f>
        <v>-1.23233697055842</v>
      </c>
      <c r="E171" s="6" t="n">
        <f aca="false">TDIST(ABS(D171),$G$163,2)</f>
        <v>0.222005981003643</v>
      </c>
    </row>
    <row r="172" customFormat="false" ht="15" hidden="false" customHeight="false" outlineLevel="0" collapsed="false">
      <c r="A172" s="29" t="s">
        <v>175</v>
      </c>
      <c r="B172" s="30" t="n">
        <f aca="false">INDEX(LINEST($B$6:$B$83,$C$6:$J$83,TRUE(),TRUE()),1,1)</f>
        <v>0.0951080302024664</v>
      </c>
      <c r="C172" s="31" t="n">
        <f aca="false">INDEX(LINEST($B$6:$B$83,$C$6:$J$83,TRUE(),TRUE()),2,1)</f>
        <v>0.0409870303983047</v>
      </c>
      <c r="D172" s="32" t="n">
        <f aca="false">B172/C172</f>
        <v>2.32044208322055</v>
      </c>
      <c r="E172" s="33" t="n">
        <f aca="false">TDIST(ABS(D172),$G$163,2)</f>
        <v>0.0232799774833201</v>
      </c>
      <c r="F172" s="22"/>
      <c r="G172" s="22"/>
      <c r="H172" s="22"/>
    </row>
    <row r="173" customFormat="false" ht="15" hidden="false" customHeight="false" outlineLevel="0" collapsed="false">
      <c r="A173" s="24" t="s">
        <v>158</v>
      </c>
      <c r="B173" s="5" t="n">
        <f aca="false">COUNT($B$6:$B$83)</f>
        <v>78</v>
      </c>
    </row>
    <row r="174" customFormat="false" ht="15" hidden="false" customHeight="false" outlineLevel="0" collapsed="false">
      <c r="A174" s="24" t="s">
        <v>7</v>
      </c>
      <c r="B174" s="5" t="n">
        <v>9</v>
      </c>
    </row>
    <row r="175" customFormat="false" ht="15" hidden="false" customHeight="false" outlineLevel="0" collapsed="false">
      <c r="A175" s="24" t="s">
        <v>8</v>
      </c>
      <c r="B175" s="6" t="n">
        <f aca="false">INDEX(LINEST($B$6:$B$83,$C$6:$J$83,TRUE(),TRUE()),3,1)</f>
        <v>0.655493666319145</v>
      </c>
    </row>
    <row r="176" customFormat="false" ht="15" hidden="false" customHeight="false" outlineLevel="0" collapsed="false">
      <c r="A176" s="24" t="s">
        <v>9</v>
      </c>
      <c r="B176" s="26" t="n">
        <f aca="false">1-(1-B175)*(B173-1)/(B173-B174)</f>
        <v>0.615550902993829</v>
      </c>
    </row>
    <row r="177" customFormat="false" ht="15" hidden="false" customHeight="false" outlineLevel="0" collapsed="false">
      <c r="A177" s="24" t="s">
        <v>10</v>
      </c>
      <c r="B177" s="8" t="n">
        <f aca="false">INDEX(LINEST($B$6:$B$83,$C$6:$J$83,TRUE(),TRUE()),5,2)</f>
        <v>0.0989654528025913</v>
      </c>
    </row>
    <row r="178" customFormat="false" ht="15" hidden="false" customHeight="false" outlineLevel="0" collapsed="false">
      <c r="A178" s="24" t="s">
        <v>159</v>
      </c>
      <c r="B178" s="6" t="n">
        <f aca="false">-B173/2*(LN(2*PI())+LN(B177/B173)+1)</f>
        <v>149.440832253143</v>
      </c>
    </row>
    <row r="179" customFormat="false" ht="15" hidden="false" customHeight="false" outlineLevel="0" collapsed="false">
      <c r="A179" s="24" t="s">
        <v>11</v>
      </c>
      <c r="B179" s="27" t="n">
        <f aca="false">-2*B178+2*B174</f>
        <v>-280.881664506286</v>
      </c>
    </row>
    <row r="180" customFormat="false" ht="15" hidden="false" customHeight="false" outlineLevel="0" collapsed="false">
      <c r="A180" s="24" t="s">
        <v>12</v>
      </c>
      <c r="B180" s="27" t="n">
        <f aca="false">-2*B178+LN(B173)*B174</f>
        <v>-259.671285066079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3" min="2" style="0" width="14"/>
  </cols>
  <sheetData>
    <row r="1" customFormat="false" ht="17.35" hidden="false" customHeight="false" outlineLevel="0" collapsed="false">
      <c r="A1" s="1" t="s">
        <v>176</v>
      </c>
    </row>
    <row r="2" customFormat="false" ht="15" hidden="false" customHeight="false" outlineLevel="0" collapsed="false">
      <c r="A2" s="2" t="s">
        <v>177</v>
      </c>
    </row>
    <row r="5" customFormat="false" ht="15" hidden="false" customHeight="false" outlineLevel="0" collapsed="false">
      <c r="A5" s="3" t="s">
        <v>36</v>
      </c>
      <c r="B5" s="3" t="s">
        <v>133</v>
      </c>
      <c r="C5" s="3" t="s">
        <v>178</v>
      </c>
      <c r="D5" s="3" t="s">
        <v>179</v>
      </c>
      <c r="E5" s="3" t="s">
        <v>180</v>
      </c>
      <c r="F5" s="3" t="s">
        <v>181</v>
      </c>
      <c r="G5" s="3" t="s">
        <v>143</v>
      </c>
      <c r="H5" s="3" t="s">
        <v>148</v>
      </c>
      <c r="I5" s="3" t="s">
        <v>182</v>
      </c>
      <c r="K5" s="3" t="s">
        <v>183</v>
      </c>
      <c r="L5" s="3" t="s">
        <v>184</v>
      </c>
      <c r="M5" s="3" t="s">
        <v>185</v>
      </c>
    </row>
    <row r="6" customFormat="false" ht="15" hidden="false" customHeight="false" outlineLevel="0" collapsed="false">
      <c r="A6" s="19" t="str">
        <f aca="false">Datos!A12</f>
        <v>2006Q4</v>
      </c>
      <c r="B6" s="20" t="n">
        <f aca="false">Datos!E12</f>
        <v>0.0967704037698498</v>
      </c>
      <c r="C6" s="20" t="n">
        <f aca="false">Datos!B12</f>
        <v>281.705258064516</v>
      </c>
      <c r="D6" s="20" t="n">
        <f aca="false">Datos!C10</f>
        <v>166.019557869898</v>
      </c>
      <c r="E6" s="20" t="n">
        <f aca="false">Datos!B7</f>
        <v>413.72934375</v>
      </c>
      <c r="F6" s="20" t="n">
        <f aca="false">Datos!D12</f>
        <v>0.0924472490479791</v>
      </c>
      <c r="G6" s="17" t="n">
        <f aca="false">B6-($B$92+$B$93*C6+$B$94*D6+$B$95*E6+$B$96*F6)</f>
        <v>0.0168641310676579</v>
      </c>
      <c r="H6" s="17" t="n">
        <f aca="false">G6^2</f>
        <v>0.000284398916667145</v>
      </c>
      <c r="I6" s="17" t="n">
        <f aca="false">C6-E6</f>
        <v>-132.024085685484</v>
      </c>
      <c r="K6" s="17" t="n">
        <f aca="false">I6</f>
        <v>-132.024085685484</v>
      </c>
      <c r="L6" s="17" t="n">
        <f aca="false">D6</f>
        <v>166.019557869898</v>
      </c>
      <c r="M6" s="17" t="n">
        <f aca="false">F6</f>
        <v>0.0924472490479791</v>
      </c>
    </row>
    <row r="7" customFormat="false" ht="15" hidden="false" customHeight="false" outlineLevel="0" collapsed="false">
      <c r="A7" s="19" t="str">
        <f aca="false">Datos!A13</f>
        <v>2007Q1</v>
      </c>
      <c r="B7" s="20" t="n">
        <f aca="false">Datos!E13</f>
        <v>0.0835894113627564</v>
      </c>
      <c r="C7" s="20" t="n">
        <f aca="false">Datos!B13</f>
        <v>210.279435483871</v>
      </c>
      <c r="D7" s="20" t="n">
        <f aca="false">Datos!C11</f>
        <v>165.953385329609</v>
      </c>
      <c r="E7" s="20" t="n">
        <f aca="false">Datos!B8</f>
        <v>423.416245901639</v>
      </c>
      <c r="F7" s="20" t="n">
        <f aca="false">Datos!D13</f>
        <v>0.126601797624711</v>
      </c>
      <c r="G7" s="17" t="n">
        <f aca="false">B7-($B$92+$B$93*C7+$B$94*D7+$B$95*E7+$B$96*F7)</f>
        <v>-0.00348178163807869</v>
      </c>
      <c r="H7" s="17" t="n">
        <f aca="false">G7^2</f>
        <v>1.21228033752619E-005</v>
      </c>
      <c r="I7" s="17" t="n">
        <f aca="false">C7-E7</f>
        <v>-213.136810417768</v>
      </c>
      <c r="K7" s="17" t="n">
        <f aca="false">I7</f>
        <v>-213.136810417768</v>
      </c>
      <c r="L7" s="17" t="n">
        <f aca="false">D7</f>
        <v>165.953385329609</v>
      </c>
      <c r="M7" s="17" t="n">
        <f aca="false">F7</f>
        <v>0.126601797624711</v>
      </c>
    </row>
    <row r="8" customFormat="false" ht="15" hidden="false" customHeight="false" outlineLevel="0" collapsed="false">
      <c r="A8" s="19" t="str">
        <f aca="false">Datos!A14</f>
        <v>2007Q2</v>
      </c>
      <c r="B8" s="20" t="n">
        <f aca="false">Datos!E14</f>
        <v>0.0985938738676382</v>
      </c>
      <c r="C8" s="20" t="n">
        <f aca="false">Datos!B14</f>
        <v>268.385666666667</v>
      </c>
      <c r="D8" s="20" t="n">
        <f aca="false">Datos!C12</f>
        <v>163.556535799819</v>
      </c>
      <c r="E8" s="20" t="n">
        <f aca="false">Datos!B9</f>
        <v>394.415177419355</v>
      </c>
      <c r="F8" s="20" t="n">
        <f aca="false">Datos!D14</f>
        <v>0.113965939523165</v>
      </c>
      <c r="G8" s="17" t="n">
        <f aca="false">B8-($B$92+$B$93*C8+$B$94*D8+$B$95*E8+$B$96*F8)</f>
        <v>0.0192754970638944</v>
      </c>
      <c r="H8" s="17" t="n">
        <f aca="false">G8^2</f>
        <v>0.000371544787060201</v>
      </c>
      <c r="I8" s="17" t="n">
        <f aca="false">C8-E8</f>
        <v>-126.029510752688</v>
      </c>
      <c r="K8" s="17" t="n">
        <f aca="false">I8</f>
        <v>-126.029510752688</v>
      </c>
      <c r="L8" s="17" t="n">
        <f aca="false">D8</f>
        <v>163.556535799819</v>
      </c>
      <c r="M8" s="17" t="n">
        <f aca="false">F8</f>
        <v>0.113965939523165</v>
      </c>
    </row>
    <row r="9" customFormat="false" ht="15" hidden="false" customHeight="false" outlineLevel="0" collapsed="false">
      <c r="A9" s="19" t="str">
        <f aca="false">Datos!A15</f>
        <v>2007Q3</v>
      </c>
      <c r="B9" s="20" t="n">
        <f aca="false">Datos!E15</f>
        <v>0.0842779771268098</v>
      </c>
      <c r="C9" s="20" t="n">
        <f aca="false">Datos!B15</f>
        <v>415.128063492064</v>
      </c>
      <c r="D9" s="20" t="n">
        <f aca="false">Datos!C13</f>
        <v>163.258912971147</v>
      </c>
      <c r="E9" s="20" t="n">
        <f aca="false">Datos!B10</f>
        <v>353.71380952381</v>
      </c>
      <c r="F9" s="20" t="n">
        <f aca="false">Datos!D15</f>
        <v>0.0893433207444097</v>
      </c>
      <c r="G9" s="17" t="n">
        <f aca="false">B9-($B$92+$B$93*C9+$B$94*D9+$B$95*E9+$B$96*F9)</f>
        <v>0.0168813270588709</v>
      </c>
      <c r="H9" s="17" t="n">
        <f aca="false">G9^2</f>
        <v>0.000284979203268568</v>
      </c>
      <c r="I9" s="17" t="n">
        <f aca="false">C9-E9</f>
        <v>61.414253968254</v>
      </c>
      <c r="K9" s="17" t="n">
        <f aca="false">I9</f>
        <v>61.414253968254</v>
      </c>
      <c r="L9" s="17" t="n">
        <f aca="false">D9</f>
        <v>163.258912971147</v>
      </c>
      <c r="M9" s="17" t="n">
        <f aca="false">F9</f>
        <v>0.0893433207444097</v>
      </c>
    </row>
    <row r="10" customFormat="false" ht="15" hidden="false" customHeight="false" outlineLevel="0" collapsed="false">
      <c r="A10" s="19" t="str">
        <f aca="false">Datos!A16</f>
        <v>2007Q4</v>
      </c>
      <c r="B10" s="20" t="n">
        <f aca="false">Datos!E16</f>
        <v>0.092673486299768</v>
      </c>
      <c r="C10" s="20" t="n">
        <f aca="false">Datos!B16</f>
        <v>386.901387096774</v>
      </c>
      <c r="D10" s="20" t="n">
        <f aca="false">Datos!C14</f>
        <v>161.942756124479</v>
      </c>
      <c r="E10" s="20" t="n">
        <f aca="false">Datos!B11</f>
        <v>339.045285714286</v>
      </c>
      <c r="F10" s="20" t="n">
        <f aca="false">Datos!D16</f>
        <v>0.0379736872499228</v>
      </c>
      <c r="G10" s="17" t="n">
        <f aca="false">B10-($B$92+$B$93*C10+$B$94*D10+$B$95*E10+$B$96*F10)</f>
        <v>0.0306630873556224</v>
      </c>
      <c r="H10" s="17" t="n">
        <f aca="false">G10^2</f>
        <v>0.000940224926178533</v>
      </c>
      <c r="I10" s="17" t="n">
        <f aca="false">C10-E10</f>
        <v>47.8561013824885</v>
      </c>
      <c r="K10" s="17" t="n">
        <f aca="false">I10</f>
        <v>47.8561013824885</v>
      </c>
      <c r="L10" s="17" t="n">
        <f aca="false">D10</f>
        <v>161.942756124479</v>
      </c>
      <c r="M10" s="17" t="n">
        <f aca="false">F10</f>
        <v>0.0379736872499228</v>
      </c>
    </row>
    <row r="11" customFormat="false" ht="15" hidden="false" customHeight="false" outlineLevel="0" collapsed="false">
      <c r="A11" s="19" t="str">
        <f aca="false">Datos!A17</f>
        <v>2008Q1</v>
      </c>
      <c r="B11" s="20" t="n">
        <f aca="false">Datos!E17</f>
        <v>0.0691231457663233</v>
      </c>
      <c r="C11" s="20" t="n">
        <f aca="false">Datos!B17</f>
        <v>482.238426229508</v>
      </c>
      <c r="D11" s="20" t="n">
        <f aca="false">Datos!C15</f>
        <v>157.561847944588</v>
      </c>
      <c r="E11" s="20" t="n">
        <f aca="false">Datos!B12</f>
        <v>281.705258064516</v>
      </c>
      <c r="F11" s="20" t="n">
        <f aca="false">Datos!D17</f>
        <v>0.00576829173150295</v>
      </c>
      <c r="G11" s="17" t="n">
        <f aca="false">B11-($B$92+$B$93*C11+$B$94*D11+$B$95*E11+$B$96*F11)</f>
        <v>0.0218229701335047</v>
      </c>
      <c r="H11" s="17" t="n">
        <f aca="false">G11^2</f>
        <v>0.000476242025447839</v>
      </c>
      <c r="I11" s="17" t="n">
        <f aca="false">C11-E11</f>
        <v>200.533168164992</v>
      </c>
      <c r="K11" s="17" t="n">
        <f aca="false">I11</f>
        <v>200.533168164992</v>
      </c>
      <c r="L11" s="17" t="n">
        <f aca="false">D11</f>
        <v>157.561847944588</v>
      </c>
      <c r="M11" s="17" t="n">
        <f aca="false">F11</f>
        <v>0.00576829173150295</v>
      </c>
    </row>
    <row r="12" customFormat="false" ht="15" hidden="false" customHeight="false" outlineLevel="0" collapsed="false">
      <c r="A12" s="19" t="str">
        <f aca="false">Datos!A18</f>
        <v>2008Q2</v>
      </c>
      <c r="B12" s="20" t="n">
        <f aca="false">Datos!E18</f>
        <v>0.0545268547475248</v>
      </c>
      <c r="C12" s="20" t="n">
        <f aca="false">Datos!B18</f>
        <v>556.653203125</v>
      </c>
      <c r="D12" s="20" t="n">
        <f aca="false">Datos!C16</f>
        <v>158.879120169336</v>
      </c>
      <c r="E12" s="20" t="n">
        <f aca="false">Datos!B13</f>
        <v>210.279435483871</v>
      </c>
      <c r="F12" s="20" t="n">
        <f aca="false">Datos!D18</f>
        <v>-0.0414443257073285</v>
      </c>
      <c r="G12" s="17" t="n">
        <f aca="false">B12-($B$92+$B$93*C12+$B$94*D12+$B$95*E12+$B$96*F12)</f>
        <v>0.0177868475385966</v>
      </c>
      <c r="H12" s="17" t="n">
        <f aca="false">G12^2</f>
        <v>0.000316371945361282</v>
      </c>
      <c r="I12" s="17" t="n">
        <f aca="false">C12-E12</f>
        <v>346.373767641129</v>
      </c>
      <c r="K12" s="17" t="n">
        <f aca="false">I12</f>
        <v>346.373767641129</v>
      </c>
      <c r="L12" s="17" t="n">
        <f aca="false">D12</f>
        <v>158.879120169336</v>
      </c>
      <c r="M12" s="17" t="n">
        <f aca="false">F12</f>
        <v>-0.0414443257073285</v>
      </c>
    </row>
    <row r="13" customFormat="false" ht="15" hidden="false" customHeight="false" outlineLevel="0" collapsed="false">
      <c r="A13" s="19" t="str">
        <f aca="false">Datos!A19</f>
        <v>2008Q3</v>
      </c>
      <c r="B13" s="20" t="n">
        <f aca="false">Datos!E19</f>
        <v>0.060060161436698</v>
      </c>
      <c r="C13" s="20" t="n">
        <f aca="false">Datos!B19</f>
        <v>696.827171875</v>
      </c>
      <c r="D13" s="20" t="n">
        <f aca="false">Datos!C17</f>
        <v>159.287761140975</v>
      </c>
      <c r="E13" s="20" t="n">
        <f aca="false">Datos!B14</f>
        <v>268.385666666667</v>
      </c>
      <c r="F13" s="20" t="n">
        <f aca="false">Datos!D19</f>
        <v>-0.0310561338962782</v>
      </c>
      <c r="G13" s="17" t="n">
        <f aca="false">B13-($B$92+$B$93*C13+$B$94*D13+$B$95*E13+$B$96*F13)</f>
        <v>0.0259031681710134</v>
      </c>
      <c r="H13" s="17" t="n">
        <f aca="false">G13^2</f>
        <v>0.000670974121295801</v>
      </c>
      <c r="I13" s="17" t="n">
        <f aca="false">C13-E13</f>
        <v>428.441505208333</v>
      </c>
      <c r="K13" s="17" t="n">
        <f aca="false">I13</f>
        <v>428.441505208333</v>
      </c>
      <c r="L13" s="17" t="n">
        <f aca="false">D13</f>
        <v>159.287761140975</v>
      </c>
      <c r="M13" s="17" t="n">
        <f aca="false">F13</f>
        <v>-0.0310561338962782</v>
      </c>
    </row>
    <row r="14" customFormat="false" ht="15" hidden="false" customHeight="false" outlineLevel="0" collapsed="false">
      <c r="A14" s="19" t="str">
        <f aca="false">Datos!A20</f>
        <v>2008Q4</v>
      </c>
      <c r="B14" s="20" t="n">
        <f aca="false">Datos!E20</f>
        <v>-0.019789908841391</v>
      </c>
      <c r="C14" s="20" t="n">
        <f aca="false">Datos!B20</f>
        <v>1696.59024193548</v>
      </c>
      <c r="D14" s="20" t="n">
        <f aca="false">Datos!C18</f>
        <v>152.769890273791</v>
      </c>
      <c r="E14" s="20" t="n">
        <f aca="false">Datos!B15</f>
        <v>415.128063492064</v>
      </c>
      <c r="F14" s="20" t="n">
        <f aca="false">Datos!D20</f>
        <v>-0.0433503245183842</v>
      </c>
      <c r="G14" s="17" t="n">
        <f aca="false">B14-($B$92+$B$93*C14+$B$94*D14+$B$95*E14+$B$96*F14)</f>
        <v>-0.00497103008421912</v>
      </c>
      <c r="H14" s="17" t="n">
        <f aca="false">G14^2</f>
        <v>2.47111400982116E-005</v>
      </c>
      <c r="I14" s="17" t="n">
        <f aca="false">C14-E14</f>
        <v>1281.46217844342</v>
      </c>
      <c r="K14" s="17" t="n">
        <f aca="false">I14</f>
        <v>1281.46217844342</v>
      </c>
      <c r="L14" s="17" t="n">
        <f aca="false">D14</f>
        <v>152.769890273791</v>
      </c>
      <c r="M14" s="17" t="n">
        <f aca="false">F14</f>
        <v>-0.0433503245183842</v>
      </c>
    </row>
    <row r="15" customFormat="false" ht="15" hidden="false" customHeight="false" outlineLevel="0" collapsed="false">
      <c r="A15" s="19" t="str">
        <f aca="false">Datos!A21</f>
        <v>2009Q1</v>
      </c>
      <c r="B15" s="20" t="n">
        <f aca="false">Datos!E21</f>
        <v>-0.0618875514402444</v>
      </c>
      <c r="C15" s="20" t="n">
        <f aca="false">Datos!B21</f>
        <v>1700.06040983607</v>
      </c>
      <c r="D15" s="20" t="n">
        <f aca="false">Datos!C19</f>
        <v>142.652005697041</v>
      </c>
      <c r="E15" s="20" t="n">
        <f aca="false">Datos!B16</f>
        <v>386.901387096774</v>
      </c>
      <c r="F15" s="20" t="n">
        <f aca="false">Datos!D21</f>
        <v>-0.0939912544057393</v>
      </c>
      <c r="G15" s="17" t="n">
        <f aca="false">B15-($B$92+$B$93*C15+$B$94*D15+$B$95*E15+$B$96*F15)</f>
        <v>-0.0313819721211202</v>
      </c>
      <c r="H15" s="17" t="n">
        <f aca="false">G15^2</f>
        <v>0.000984828174210767</v>
      </c>
      <c r="I15" s="17" t="n">
        <f aca="false">C15-E15</f>
        <v>1313.15902273929</v>
      </c>
      <c r="K15" s="17" t="n">
        <f aca="false">I15</f>
        <v>1313.15902273929</v>
      </c>
      <c r="L15" s="17" t="n">
        <f aca="false">D15</f>
        <v>142.652005697041</v>
      </c>
      <c r="M15" s="17" t="n">
        <f aca="false">F15</f>
        <v>-0.0939912544057393</v>
      </c>
    </row>
    <row r="16" customFormat="false" ht="15" hidden="false" customHeight="false" outlineLevel="0" collapsed="false">
      <c r="A16" s="19" t="str">
        <f aca="false">Datos!A22</f>
        <v>2009Q2</v>
      </c>
      <c r="B16" s="20" t="n">
        <f aca="false">Datos!E22</f>
        <v>-0.112745471526209</v>
      </c>
      <c r="C16" s="20" t="n">
        <f aca="false">Datos!B22</f>
        <v>1455.65919047619</v>
      </c>
      <c r="D16" s="20" t="n">
        <f aca="false">Datos!C20</f>
        <v>128.298659952696</v>
      </c>
      <c r="E16" s="20" t="n">
        <f aca="false">Datos!B17</f>
        <v>482.238426229508</v>
      </c>
      <c r="F16" s="20" t="n">
        <f aca="false">Datos!D22</f>
        <v>-0.121024937224579</v>
      </c>
      <c r="G16" s="17" t="n">
        <f aca="false">B16-($B$92+$B$93*C16+$B$94*D16+$B$95*E16+$B$96*F16)</f>
        <v>-0.0834620678730035</v>
      </c>
      <c r="H16" s="17" t="n">
        <f aca="false">G16^2</f>
        <v>0.00696591677363784</v>
      </c>
      <c r="I16" s="17" t="n">
        <f aca="false">C16-E16</f>
        <v>973.420764246683</v>
      </c>
      <c r="K16" s="17" t="n">
        <f aca="false">I16</f>
        <v>973.420764246683</v>
      </c>
      <c r="L16" s="17" t="n">
        <f aca="false">D16</f>
        <v>128.298659952696</v>
      </c>
      <c r="M16" s="17" t="n">
        <f aca="false">F16</f>
        <v>-0.121024937224579</v>
      </c>
    </row>
    <row r="17" customFormat="false" ht="15" hidden="false" customHeight="false" outlineLevel="0" collapsed="false">
      <c r="A17" s="19" t="str">
        <f aca="false">Datos!A23</f>
        <v>2009Q3</v>
      </c>
      <c r="B17" s="20" t="n">
        <f aca="false">Datos!E23</f>
        <v>-0.0565117996405296</v>
      </c>
      <c r="C17" s="20" t="n">
        <f aca="false">Datos!B23</f>
        <v>921.669609375</v>
      </c>
      <c r="D17" s="20" t="n">
        <f aca="false">Datos!C21</f>
        <v>132.795975748865</v>
      </c>
      <c r="E17" s="20" t="n">
        <f aca="false">Datos!B18</f>
        <v>556.653203125</v>
      </c>
      <c r="F17" s="20" t="n">
        <f aca="false">Datos!D23</f>
        <v>-0.102129686835791</v>
      </c>
      <c r="G17" s="17" t="n">
        <f aca="false">B17-($B$92+$B$93*C17+$B$94*D17+$B$95*E17+$B$96*F17)</f>
        <v>-0.0633388324839782</v>
      </c>
      <c r="H17" s="17" t="n">
        <f aca="false">G17^2</f>
        <v>0.00401180770043345</v>
      </c>
      <c r="I17" s="17" t="n">
        <f aca="false">C17-E17</f>
        <v>365.016406250001</v>
      </c>
      <c r="K17" s="17" t="n">
        <f aca="false">I17</f>
        <v>365.016406250001</v>
      </c>
      <c r="L17" s="17" t="n">
        <f aca="false">D17</f>
        <v>132.795975748865</v>
      </c>
      <c r="M17" s="17" t="n">
        <f aca="false">F17</f>
        <v>-0.102129686835791</v>
      </c>
    </row>
    <row r="18" customFormat="false" ht="15" hidden="false" customHeight="false" outlineLevel="0" collapsed="false">
      <c r="A18" s="19" t="str">
        <f aca="false">Datos!A24</f>
        <v>2009Q4</v>
      </c>
      <c r="B18" s="20" t="n">
        <f aca="false">Datos!E24</f>
        <v>0.00281998226127467</v>
      </c>
      <c r="C18" s="20" t="n">
        <f aca="false">Datos!B24</f>
        <v>717.923774193549</v>
      </c>
      <c r="D18" s="20" t="n">
        <f aca="false">Datos!C22</f>
        <v>142.660924011949</v>
      </c>
      <c r="E18" s="20" t="n">
        <f aca="false">Datos!B19</f>
        <v>696.827171875</v>
      </c>
      <c r="F18" s="20" t="n">
        <f aca="false">Datos!D24</f>
        <v>-0.0818636052035965</v>
      </c>
      <c r="G18" s="17" t="n">
        <f aca="false">B18-($B$92+$B$93*C18+$B$94*D18+$B$95*E18+$B$96*F18)</f>
        <v>-0.0322641228866315</v>
      </c>
      <c r="H18" s="17" t="n">
        <f aca="false">G18^2</f>
        <v>0.00104097362564366</v>
      </c>
      <c r="I18" s="17" t="n">
        <f aca="false">C18-E18</f>
        <v>21.0966023185489</v>
      </c>
      <c r="K18" s="17" t="n">
        <f aca="false">I18</f>
        <v>21.0966023185489</v>
      </c>
      <c r="L18" s="17" t="n">
        <f aca="false">D18</f>
        <v>142.660924011949</v>
      </c>
      <c r="M18" s="17" t="n">
        <f aca="false">F18</f>
        <v>-0.0818636052035965</v>
      </c>
    </row>
    <row r="19" customFormat="false" ht="15" hidden="false" customHeight="false" outlineLevel="0" collapsed="false">
      <c r="A19" s="19" t="str">
        <f aca="false">Datos!A25</f>
        <v>2010Q1</v>
      </c>
      <c r="B19" s="20" t="n">
        <f aca="false">Datos!E25</f>
        <v>0.0571326910752132</v>
      </c>
      <c r="C19" s="20" t="n">
        <f aca="false">Datos!B25</f>
        <v>733.365409836066</v>
      </c>
      <c r="D19" s="20" t="n">
        <f aca="false">Datos!C23</f>
        <v>150.669558098224</v>
      </c>
      <c r="E19" s="20" t="n">
        <f aca="false">Datos!B20</f>
        <v>1696.59024193548</v>
      </c>
      <c r="F19" s="20" t="n">
        <f aca="false">Datos!D25</f>
        <v>-0.0453784606172778</v>
      </c>
      <c r="G19" s="17" t="n">
        <f aca="false">B19-($B$92+$B$93*C19+$B$94*D19+$B$95*E19+$B$96*F19)</f>
        <v>-0.039418027863236</v>
      </c>
      <c r="H19" s="17" t="n">
        <f aca="false">G19^2</f>
        <v>0.00155378092062685</v>
      </c>
      <c r="I19" s="17" t="n">
        <f aca="false">C19-E19</f>
        <v>-963.224832099419</v>
      </c>
      <c r="K19" s="17" t="n">
        <f aca="false">I19</f>
        <v>-963.224832099419</v>
      </c>
      <c r="L19" s="17" t="n">
        <f aca="false">D19</f>
        <v>150.669558098224</v>
      </c>
      <c r="M19" s="17" t="n">
        <f aca="false">F19</f>
        <v>-0.0453784606172778</v>
      </c>
    </row>
    <row r="20" customFormat="false" ht="15" hidden="false" customHeight="false" outlineLevel="0" collapsed="false">
      <c r="A20" s="19" t="str">
        <f aca="false">Datos!A26</f>
        <v>2010Q2</v>
      </c>
      <c r="B20" s="20" t="n">
        <f aca="false">Datos!E26</f>
        <v>0.162441995090574</v>
      </c>
      <c r="C20" s="20" t="n">
        <f aca="false">Datos!B26</f>
        <v>733.829920634921</v>
      </c>
      <c r="D20" s="20" t="n">
        <f aca="false">Datos!C24</f>
        <v>149.429776300963</v>
      </c>
      <c r="E20" s="20" t="n">
        <f aca="false">Datos!B21</f>
        <v>1700.06040983607</v>
      </c>
      <c r="F20" s="20" t="n">
        <f aca="false">Datos!D26</f>
        <v>0.0701206886265153</v>
      </c>
      <c r="G20" s="17" t="n">
        <f aca="false">B20-($B$92+$B$93*C20+$B$94*D20+$B$95*E20+$B$96*F20)</f>
        <v>0.0560550689197469</v>
      </c>
      <c r="H20" s="17" t="n">
        <f aca="false">G20^2</f>
        <v>0.00314217075159757</v>
      </c>
      <c r="I20" s="17" t="n">
        <f aca="false">C20-E20</f>
        <v>-966.230489201145</v>
      </c>
      <c r="K20" s="17" t="n">
        <f aca="false">I20</f>
        <v>-966.230489201145</v>
      </c>
      <c r="L20" s="17" t="n">
        <f aca="false">D20</f>
        <v>149.429776300963</v>
      </c>
      <c r="M20" s="17" t="n">
        <f aca="false">F20</f>
        <v>0.0701206886265153</v>
      </c>
    </row>
    <row r="21" customFormat="false" ht="15" hidden="false" customHeight="false" outlineLevel="0" collapsed="false">
      <c r="A21" s="19" t="str">
        <f aca="false">Datos!A27</f>
        <v>2010Q3</v>
      </c>
      <c r="B21" s="20" t="n">
        <f aca="false">Datos!E27</f>
        <v>0.0950774236722809</v>
      </c>
      <c r="C21" s="20" t="n">
        <f aca="false">Datos!B27</f>
        <v>711.107390625</v>
      </c>
      <c r="D21" s="20" t="n">
        <f aca="false">Datos!C25</f>
        <v>136.973218125647</v>
      </c>
      <c r="E21" s="20" t="n">
        <f aca="false">Datos!B22</f>
        <v>1455.65919047619</v>
      </c>
      <c r="F21" s="20" t="n">
        <f aca="false">Datos!D27</f>
        <v>0.0832314622130852</v>
      </c>
      <c r="G21" s="17" t="n">
        <f aca="false">B21-($B$92+$B$93*C21+$B$94*D21+$B$95*E21+$B$96*F21)</f>
        <v>0.0103854915259445</v>
      </c>
      <c r="H21" s="17" t="n">
        <f aca="false">G21^2</f>
        <v>0.000107858434235466</v>
      </c>
      <c r="I21" s="17" t="n">
        <f aca="false">C21-E21</f>
        <v>-744.551799851191</v>
      </c>
      <c r="K21" s="17" t="n">
        <f aca="false">I21</f>
        <v>-744.551799851191</v>
      </c>
      <c r="L21" s="17" t="n">
        <f aca="false">D21</f>
        <v>136.973218125647</v>
      </c>
      <c r="M21" s="17" t="n">
        <f aca="false">F21</f>
        <v>0.0832314622130852</v>
      </c>
    </row>
    <row r="22" customFormat="false" ht="15" hidden="false" customHeight="false" outlineLevel="0" collapsed="false">
      <c r="A22" s="19" t="str">
        <f aca="false">Datos!A28</f>
        <v>2010Q4</v>
      </c>
      <c r="B22" s="20" t="n">
        <f aca="false">Datos!E28</f>
        <v>0.0860979311042298</v>
      </c>
      <c r="C22" s="20" t="n">
        <f aca="false">Datos!B28</f>
        <v>545.358806451613</v>
      </c>
      <c r="D22" s="20" t="n">
        <f aca="false">Datos!C26</f>
        <v>129.142884486892</v>
      </c>
      <c r="E22" s="20" t="n">
        <f aca="false">Datos!B23</f>
        <v>921.669609375</v>
      </c>
      <c r="F22" s="20" t="n">
        <f aca="false">Datos!D28</f>
        <v>0.114478472935433</v>
      </c>
      <c r="G22" s="17" t="n">
        <f aca="false">B22-($B$92+$B$93*C22+$B$94*D22+$B$95*E22+$B$96*F22)</f>
        <v>0.0249766059655778</v>
      </c>
      <c r="H22" s="17" t="n">
        <f aca="false">G22^2</f>
        <v>0.000623830845559735</v>
      </c>
      <c r="I22" s="17" t="n">
        <f aca="false">C22-E22</f>
        <v>-376.310802923388</v>
      </c>
      <c r="K22" s="17" t="n">
        <f aca="false">I22</f>
        <v>-376.310802923388</v>
      </c>
      <c r="L22" s="17" t="n">
        <f aca="false">D22</f>
        <v>129.142884486892</v>
      </c>
      <c r="M22" s="17" t="n">
        <f aca="false">F22</f>
        <v>0.114478472935433</v>
      </c>
    </row>
    <row r="23" customFormat="false" ht="15" hidden="false" customHeight="false" outlineLevel="0" collapsed="false">
      <c r="A23" s="19" t="str">
        <f aca="false">Datos!A29</f>
        <v>2011Q1</v>
      </c>
      <c r="B23" s="20" t="n">
        <f aca="false">Datos!E29</f>
        <v>0.0829261625044686</v>
      </c>
      <c r="C23" s="20" t="n">
        <f aca="false">Datos!B29</f>
        <v>532.410096774194</v>
      </c>
      <c r="D23" s="20" t="n">
        <f aca="false">Datos!C27</f>
        <v>128.130842918952</v>
      </c>
      <c r="E23" s="20" t="n">
        <f aca="false">Datos!B24</f>
        <v>717.923774193549</v>
      </c>
      <c r="F23" s="20" t="n">
        <f aca="false">Datos!D29</f>
        <v>0.156755092089227</v>
      </c>
      <c r="G23" s="17" t="n">
        <f aca="false">B23-($B$92+$B$93*C23+$B$94*D23+$B$95*E23+$B$96*F23)</f>
        <v>0.0286182087203127</v>
      </c>
      <c r="H23" s="17" t="n">
        <f aca="false">G23^2</f>
        <v>0.000819001870359384</v>
      </c>
      <c r="I23" s="17" t="n">
        <f aca="false">C23-E23</f>
        <v>-185.513677419355</v>
      </c>
      <c r="K23" s="17" t="n">
        <f aca="false">I23</f>
        <v>-185.513677419355</v>
      </c>
      <c r="L23" s="17" t="n">
        <f aca="false">D23</f>
        <v>128.130842918952</v>
      </c>
      <c r="M23" s="17" t="n">
        <f aca="false">F23</f>
        <v>0.156755092089227</v>
      </c>
    </row>
    <row r="24" customFormat="false" ht="15" hidden="false" customHeight="false" outlineLevel="0" collapsed="false">
      <c r="A24" s="19" t="str">
        <f aca="false">Datos!A30</f>
        <v>2011Q2</v>
      </c>
      <c r="B24" s="20" t="n">
        <f aca="false">Datos!E30</f>
        <v>0.0444334376577356</v>
      </c>
      <c r="C24" s="20" t="n">
        <f aca="false">Datos!B30</f>
        <v>573.933</v>
      </c>
      <c r="D24" s="20" t="n">
        <f aca="false">Datos!C28</f>
        <v>126.669508132708</v>
      </c>
      <c r="E24" s="20" t="n">
        <f aca="false">Datos!B25</f>
        <v>733.365409836066</v>
      </c>
      <c r="F24" s="20" t="n">
        <f aca="false">Datos!D30</f>
        <v>0.118095794149657</v>
      </c>
      <c r="G24" s="17" t="n">
        <f aca="false">B24-($B$92+$B$93*C24+$B$94*D24+$B$95*E24+$B$96*F24)</f>
        <v>-0.00365021133620426</v>
      </c>
      <c r="H24" s="17" t="n">
        <f aca="false">G24^2</f>
        <v>1.33240427989541E-005</v>
      </c>
      <c r="I24" s="17" t="n">
        <f aca="false">C24-E24</f>
        <v>-159.432409836066</v>
      </c>
      <c r="K24" s="17" t="n">
        <f aca="false">I24</f>
        <v>-159.432409836066</v>
      </c>
      <c r="L24" s="17" t="n">
        <f aca="false">D24</f>
        <v>126.669508132708</v>
      </c>
      <c r="M24" s="17" t="n">
        <f aca="false">F24</f>
        <v>0.118095794149657</v>
      </c>
    </row>
    <row r="25" customFormat="false" ht="15" hidden="false" customHeight="false" outlineLevel="0" collapsed="false">
      <c r="A25" s="19" t="str">
        <f aca="false">Datos!A31</f>
        <v>2011Q3</v>
      </c>
      <c r="B25" s="20" t="n">
        <f aca="false">Datos!E31</f>
        <v>0.0640936718081673</v>
      </c>
      <c r="C25" s="20" t="n">
        <f aca="false">Datos!B31</f>
        <v>732.377625</v>
      </c>
      <c r="D25" s="20" t="n">
        <f aca="false">Datos!C29</f>
        <v>125.864511483242</v>
      </c>
      <c r="E25" s="20" t="n">
        <f aca="false">Datos!B26</f>
        <v>733.829920634921</v>
      </c>
      <c r="F25" s="20" t="n">
        <f aca="false">Datos!D31</f>
        <v>0.124916134258139</v>
      </c>
      <c r="G25" s="17" t="n">
        <f aca="false">B25-($B$92+$B$93*C25+$B$94*D25+$B$95*E25+$B$96*F25)</f>
        <v>0.0239127954204702</v>
      </c>
      <c r="H25" s="17" t="n">
        <f aca="false">G25^2</f>
        <v>0.000571821784821262</v>
      </c>
      <c r="I25" s="17" t="n">
        <f aca="false">C25-E25</f>
        <v>-1.45229563492092</v>
      </c>
      <c r="K25" s="17" t="n">
        <f aca="false">I25</f>
        <v>-1.45229563492092</v>
      </c>
      <c r="L25" s="17" t="n">
        <f aca="false">D25</f>
        <v>125.864511483242</v>
      </c>
      <c r="M25" s="17" t="n">
        <f aca="false">F25</f>
        <v>0.124916134258139</v>
      </c>
    </row>
    <row r="26" customFormat="false" ht="15" hidden="false" customHeight="false" outlineLevel="0" collapsed="false">
      <c r="A26" s="19" t="str">
        <f aca="false">Datos!A32</f>
        <v>2011Q4</v>
      </c>
      <c r="B26" s="20" t="n">
        <f aca="false">Datos!E32</f>
        <v>0.0521713189216535</v>
      </c>
      <c r="C26" s="20" t="n">
        <f aca="false">Datos!B32</f>
        <v>906.962666666667</v>
      </c>
      <c r="D26" s="20" t="n">
        <f aca="false">Datos!C30</f>
        <v>126.456357456008</v>
      </c>
      <c r="E26" s="20" t="n">
        <f aca="false">Datos!B27</f>
        <v>711.107390625</v>
      </c>
      <c r="F26" s="20" t="n">
        <f aca="false">Datos!D32</f>
        <v>0.0978916859729002</v>
      </c>
      <c r="G26" s="17" t="n">
        <f aca="false">B26-($B$92+$B$93*C26+$B$94*D26+$B$95*E26+$B$96*F26)</f>
        <v>0.0237680471622902</v>
      </c>
      <c r="H26" s="17" t="n">
        <f aca="false">G26^2</f>
        <v>0.000564920065908851</v>
      </c>
      <c r="I26" s="17" t="n">
        <f aca="false">C26-E26</f>
        <v>195.855276041667</v>
      </c>
      <c r="K26" s="17" t="n">
        <f aca="false">I26</f>
        <v>195.855276041667</v>
      </c>
      <c r="L26" s="17" t="n">
        <f aca="false">D26</f>
        <v>126.456357456008</v>
      </c>
      <c r="M26" s="17" t="n">
        <f aca="false">F26</f>
        <v>0.0978916859729002</v>
      </c>
    </row>
    <row r="27" customFormat="false" ht="15" hidden="false" customHeight="false" outlineLevel="0" collapsed="false">
      <c r="A27" s="19" t="str">
        <f aca="false">Datos!A33</f>
        <v>2012Q1</v>
      </c>
      <c r="B27" s="20" t="n">
        <f aca="false">Datos!E33</f>
        <v>0.0156424693190642</v>
      </c>
      <c r="C27" s="20" t="n">
        <f aca="false">Datos!B33</f>
        <v>831.861633870968</v>
      </c>
      <c r="D27" s="20" t="n">
        <f aca="false">Datos!C31</f>
        <v>121.91637996123</v>
      </c>
      <c r="E27" s="20" t="n">
        <f aca="false">Datos!B28</f>
        <v>545.358806451613</v>
      </c>
      <c r="F27" s="20" t="n">
        <f aca="false">Datos!D33</f>
        <v>0.068851867103453</v>
      </c>
      <c r="G27" s="17" t="n">
        <f aca="false">B27-($B$92+$B$93*C27+$B$94*D27+$B$95*E27+$B$96*F27)</f>
        <v>-0.00104004365673282</v>
      </c>
      <c r="H27" s="17" t="n">
        <f aca="false">G27^2</f>
        <v>1.08169080791017E-006</v>
      </c>
      <c r="I27" s="17" t="n">
        <f aca="false">C27-E27</f>
        <v>286.502827419355</v>
      </c>
      <c r="K27" s="17" t="n">
        <f aca="false">I27</f>
        <v>286.502827419355</v>
      </c>
      <c r="L27" s="17" t="n">
        <f aca="false">D27</f>
        <v>121.91637996123</v>
      </c>
      <c r="M27" s="17" t="n">
        <f aca="false">F27</f>
        <v>0.068851867103453</v>
      </c>
    </row>
    <row r="28" customFormat="false" ht="15" hidden="false" customHeight="false" outlineLevel="0" collapsed="false">
      <c r="A28" s="19" t="str">
        <f aca="false">Datos!A34</f>
        <v>2012Q2</v>
      </c>
      <c r="B28" s="20" t="n">
        <f aca="false">Datos!E34</f>
        <v>-0.0463175722342237</v>
      </c>
      <c r="C28" s="20" t="n">
        <f aca="false">Datos!B34</f>
        <v>1063.70031904762</v>
      </c>
      <c r="D28" s="20" t="n">
        <f aca="false">Datos!C32</f>
        <v>112.530413127183</v>
      </c>
      <c r="E28" s="20" t="n">
        <f aca="false">Datos!B29</f>
        <v>532.410096774194</v>
      </c>
      <c r="F28" s="20" t="n">
        <f aca="false">Datos!D34</f>
        <v>0.042741373530764</v>
      </c>
      <c r="G28" s="17" t="n">
        <f aca="false">B28-($B$92+$B$93*C28+$B$94*D28+$B$95*E28+$B$96*F28)</f>
        <v>-0.0397945815540612</v>
      </c>
      <c r="H28" s="17" t="n">
        <f aca="false">G28^2</f>
        <v>0.00158360872106283</v>
      </c>
      <c r="I28" s="17" t="n">
        <f aca="false">C28-E28</f>
        <v>531.290222273425</v>
      </c>
      <c r="K28" s="17" t="n">
        <f aca="false">I28</f>
        <v>531.290222273425</v>
      </c>
      <c r="L28" s="17" t="n">
        <f aca="false">D28</f>
        <v>112.530413127183</v>
      </c>
      <c r="M28" s="17" t="n">
        <f aca="false">F28</f>
        <v>0.042741373530764</v>
      </c>
    </row>
    <row r="29" customFormat="false" ht="15" hidden="false" customHeight="false" outlineLevel="0" collapsed="false">
      <c r="A29" s="19" t="str">
        <f aca="false">Datos!A35</f>
        <v>2012Q3</v>
      </c>
      <c r="B29" s="20" t="n">
        <f aca="false">Datos!E35</f>
        <v>-0.0111829419552486</v>
      </c>
      <c r="C29" s="20" t="n">
        <f aca="false">Datos!B35</f>
        <v>1019.98701587302</v>
      </c>
      <c r="D29" s="20" t="n">
        <f aca="false">Datos!C33</f>
        <v>111.571646585942</v>
      </c>
      <c r="E29" s="20" t="n">
        <f aca="false">Datos!B30</f>
        <v>573.933</v>
      </c>
      <c r="F29" s="20" t="n">
        <f aca="false">Datos!D35</f>
        <v>0.0813586595172222</v>
      </c>
      <c r="G29" s="17" t="n">
        <f aca="false">B29-($B$92+$B$93*C29+$B$94*D29+$B$95*E29+$B$96*F29)</f>
        <v>-0.0116903604521707</v>
      </c>
      <c r="H29" s="17" t="n">
        <f aca="false">G29^2</f>
        <v>0.000136664527501676</v>
      </c>
      <c r="I29" s="17" t="n">
        <f aca="false">C29-E29</f>
        <v>446.054015873016</v>
      </c>
      <c r="K29" s="17" t="n">
        <f aca="false">I29</f>
        <v>446.054015873016</v>
      </c>
      <c r="L29" s="17" t="n">
        <f aca="false">D29</f>
        <v>111.571646585942</v>
      </c>
      <c r="M29" s="17" t="n">
        <f aca="false">F29</f>
        <v>0.0813586595172222</v>
      </c>
    </row>
    <row r="30" customFormat="false" ht="15" hidden="false" customHeight="false" outlineLevel="0" collapsed="false">
      <c r="A30" s="19" t="str">
        <f aca="false">Datos!A36</f>
        <v>2012Q4</v>
      </c>
      <c r="B30" s="20" t="n">
        <f aca="false">Datos!E36</f>
        <v>0.00555804016441552</v>
      </c>
      <c r="C30" s="20" t="n">
        <f aca="false">Datos!B36</f>
        <v>1036.44275</v>
      </c>
      <c r="D30" s="20" t="n">
        <f aca="false">Datos!C34</f>
        <v>103.264499439813</v>
      </c>
      <c r="E30" s="20" t="n">
        <f aca="false">Datos!B31</f>
        <v>732.377625</v>
      </c>
      <c r="F30" s="20" t="n">
        <f aca="false">Datos!D36</f>
        <v>0.120861080407254</v>
      </c>
      <c r="G30" s="17" t="n">
        <f aca="false">B30-($B$92+$B$93*C30+$B$94*D30+$B$95*E30+$B$96*F30)</f>
        <v>0.00166076013393397</v>
      </c>
      <c r="H30" s="17" t="n">
        <f aca="false">G30^2</f>
        <v>2.75812422246437E-006</v>
      </c>
      <c r="I30" s="17" t="n">
        <f aca="false">C30-E30</f>
        <v>304.065125</v>
      </c>
      <c r="K30" s="17" t="n">
        <f aca="false">I30</f>
        <v>304.065125</v>
      </c>
      <c r="L30" s="17" t="n">
        <f aca="false">D30</f>
        <v>103.264499439813</v>
      </c>
      <c r="M30" s="17" t="n">
        <f aca="false">F30</f>
        <v>0.120861080407254</v>
      </c>
    </row>
    <row r="31" customFormat="false" ht="15" hidden="false" customHeight="false" outlineLevel="0" collapsed="false">
      <c r="A31" s="19" t="str">
        <f aca="false">Datos!A37</f>
        <v>2013Q1</v>
      </c>
      <c r="B31" s="20" t="n">
        <f aca="false">Datos!E37</f>
        <v>0.00654025144614989</v>
      </c>
      <c r="C31" s="20" t="n">
        <f aca="false">Datos!B37</f>
        <v>1125.36748333333</v>
      </c>
      <c r="D31" s="20" t="n">
        <f aca="false">Datos!C35</f>
        <v>100.695376904438</v>
      </c>
      <c r="E31" s="20" t="n">
        <f aca="false">Datos!B32</f>
        <v>906.962666666667</v>
      </c>
      <c r="F31" s="20" t="n">
        <f aca="false">Datos!D37</f>
        <v>0.107248415474464</v>
      </c>
      <c r="G31" s="17" t="n">
        <f aca="false">B31-($B$92+$B$93*C31+$B$94*D31+$B$95*E31+$B$96*F31)</f>
        <v>0.00169394456232563</v>
      </c>
      <c r="H31" s="17" t="n">
        <f aca="false">G31^2</f>
        <v>2.86944818023258E-006</v>
      </c>
      <c r="I31" s="17" t="n">
        <f aca="false">C31-E31</f>
        <v>218.404816666666</v>
      </c>
      <c r="K31" s="17" t="n">
        <f aca="false">I31</f>
        <v>218.404816666666</v>
      </c>
      <c r="L31" s="17" t="n">
        <f aca="false">D31</f>
        <v>100.695376904438</v>
      </c>
      <c r="M31" s="17" t="n">
        <f aca="false">F31</f>
        <v>0.107248415474464</v>
      </c>
    </row>
    <row r="32" customFormat="false" ht="15" hidden="false" customHeight="false" outlineLevel="0" collapsed="false">
      <c r="A32" s="19" t="str">
        <f aca="false">Datos!A38</f>
        <v>2013Q2</v>
      </c>
      <c r="B32" s="20" t="n">
        <f aca="false">Datos!E38</f>
        <v>0.0624602349363816</v>
      </c>
      <c r="C32" s="20" t="n">
        <f aca="false">Datos!B38</f>
        <v>1200.253</v>
      </c>
      <c r="D32" s="20" t="n">
        <f aca="false">Datos!C36</f>
        <v>101.279533905137</v>
      </c>
      <c r="E32" s="20" t="n">
        <f aca="false">Datos!B33</f>
        <v>831.861633870968</v>
      </c>
      <c r="F32" s="20" t="n">
        <f aca="false">Datos!D38</f>
        <v>0.108154333714891</v>
      </c>
      <c r="G32" s="17" t="n">
        <f aca="false">B32-($B$92+$B$93*C32+$B$94*D32+$B$95*E32+$B$96*F32)</f>
        <v>0.0645528259290363</v>
      </c>
      <c r="H32" s="17" t="n">
        <f aca="false">G32^2</f>
        <v>0.00416706733542446</v>
      </c>
      <c r="I32" s="17" t="n">
        <f aca="false">C32-E32</f>
        <v>368.391366129032</v>
      </c>
      <c r="K32" s="17" t="n">
        <f aca="false">I32</f>
        <v>368.391366129032</v>
      </c>
      <c r="L32" s="17" t="n">
        <f aca="false">D32</f>
        <v>101.279533905137</v>
      </c>
      <c r="M32" s="17" t="n">
        <f aca="false">F32</f>
        <v>0.108154333714891</v>
      </c>
    </row>
    <row r="33" customFormat="false" ht="15" hidden="false" customHeight="false" outlineLevel="0" collapsed="false">
      <c r="A33" s="19" t="str">
        <f aca="false">Datos!A39</f>
        <v>2013Q3</v>
      </c>
      <c r="B33" s="20" t="n">
        <f aca="false">Datos!E39</f>
        <v>0.0255838987402566</v>
      </c>
      <c r="C33" s="20" t="n">
        <f aca="false">Datos!B39</f>
        <v>1090.527046875</v>
      </c>
      <c r="D33" s="20" t="n">
        <f aca="false">Datos!C37</f>
        <v>102.891519376037</v>
      </c>
      <c r="E33" s="20" t="n">
        <f aca="false">Datos!B34</f>
        <v>1063.70031904762</v>
      </c>
      <c r="F33" s="20" t="n">
        <f aca="false">Datos!D39</f>
        <v>0.0412334785190116</v>
      </c>
      <c r="G33" s="17" t="n">
        <f aca="false">B33-($B$92+$B$93*C33+$B$94*D33+$B$95*E33+$B$96*F33)</f>
        <v>0.0151165206573558</v>
      </c>
      <c r="H33" s="17" t="n">
        <f aca="false">G33^2</f>
        <v>0.000228509196784265</v>
      </c>
      <c r="I33" s="17" t="n">
        <f aca="false">C33-E33</f>
        <v>26.8267278273811</v>
      </c>
      <c r="K33" s="17" t="n">
        <f aca="false">I33</f>
        <v>26.8267278273811</v>
      </c>
      <c r="L33" s="17" t="n">
        <f aca="false">D33</f>
        <v>102.891519376037</v>
      </c>
      <c r="M33" s="17" t="n">
        <f aca="false">F33</f>
        <v>0.0412334785190116</v>
      </c>
    </row>
    <row r="34" customFormat="false" ht="15" hidden="false" customHeight="false" outlineLevel="0" collapsed="false">
      <c r="A34" s="19" t="str">
        <f aca="false">Datos!A40</f>
        <v>2013Q4</v>
      </c>
      <c r="B34" s="20" t="n">
        <f aca="false">Datos!E40</f>
        <v>-0.000510205754616022</v>
      </c>
      <c r="C34" s="20" t="n">
        <f aca="false">Datos!B40</f>
        <v>854.052754098361</v>
      </c>
      <c r="D34" s="20" t="n">
        <f aca="false">Datos!C38</f>
        <v>100.85594519619</v>
      </c>
      <c r="E34" s="20" t="n">
        <f aca="false">Datos!B35</f>
        <v>1019.98701587302</v>
      </c>
      <c r="F34" s="20" t="n">
        <f aca="false">Datos!D40</f>
        <v>-0.0160774079518586</v>
      </c>
      <c r="G34" s="17" t="n">
        <f aca="false">B34-($B$92+$B$93*C34+$B$94*D34+$B$95*E34+$B$96*F34)</f>
        <v>-0.0131615917233358</v>
      </c>
      <c r="H34" s="17" t="n">
        <f aca="false">G34^2</f>
        <v>0.000173227496691781</v>
      </c>
      <c r="I34" s="17" t="n">
        <f aca="false">C34-E34</f>
        <v>-165.934261774655</v>
      </c>
      <c r="K34" s="17" t="n">
        <f aca="false">I34</f>
        <v>-165.934261774655</v>
      </c>
      <c r="L34" s="17" t="n">
        <f aca="false">D34</f>
        <v>100.85594519619</v>
      </c>
      <c r="M34" s="17" t="n">
        <f aca="false">F34</f>
        <v>-0.0160774079518586</v>
      </c>
    </row>
    <row r="35" customFormat="false" ht="15" hidden="false" customHeight="false" outlineLevel="0" collapsed="false">
      <c r="A35" s="19" t="str">
        <f aca="false">Datos!A41</f>
        <v>2014Q1</v>
      </c>
      <c r="B35" s="20" t="n">
        <f aca="false">Datos!E41</f>
        <v>-0.00889028383967849</v>
      </c>
      <c r="C35" s="20" t="n">
        <f aca="false">Datos!B41</f>
        <v>926.047377049181</v>
      </c>
      <c r="D35" s="20" t="n">
        <f aca="false">Datos!C39</f>
        <v>97.6891437142931</v>
      </c>
      <c r="E35" s="20" t="n">
        <f aca="false">Datos!B36</f>
        <v>1036.44275</v>
      </c>
      <c r="F35" s="20" t="n">
        <f aca="false">Datos!D41</f>
        <v>-0.111957420383261</v>
      </c>
      <c r="G35" s="17" t="n">
        <f aca="false">B35-($B$92+$B$93*C35+$B$94*D35+$B$95*E35+$B$96*F35)</f>
        <v>-0.00693248266598602</v>
      </c>
      <c r="H35" s="17" t="n">
        <f aca="false">G35^2</f>
        <v>4.80593159141966E-005</v>
      </c>
      <c r="I35" s="17" t="n">
        <f aca="false">C35-E35</f>
        <v>-110.395372950819</v>
      </c>
      <c r="K35" s="17" t="n">
        <f aca="false">I35</f>
        <v>-110.395372950819</v>
      </c>
      <c r="L35" s="17" t="n">
        <f aca="false">D35</f>
        <v>97.6891437142931</v>
      </c>
      <c r="M35" s="17" t="n">
        <f aca="false">F35</f>
        <v>-0.111957420383261</v>
      </c>
    </row>
    <row r="36" customFormat="false" ht="15" hidden="false" customHeight="false" outlineLevel="0" collapsed="false">
      <c r="A36" s="19" t="str">
        <f aca="false">Datos!A42</f>
        <v>2014Q2</v>
      </c>
      <c r="B36" s="20" t="n">
        <f aca="false">Datos!E42</f>
        <v>-0.0204893869308982</v>
      </c>
      <c r="C36" s="20" t="n">
        <f aca="false">Datos!B42</f>
        <v>782.844825396825</v>
      </c>
      <c r="D36" s="20" t="n">
        <f aca="false">Datos!C40</f>
        <v>100.040825997969</v>
      </c>
      <c r="E36" s="20" t="n">
        <f aca="false">Datos!B37</f>
        <v>1125.36748333333</v>
      </c>
      <c r="F36" s="20" t="n">
        <f aca="false">Datos!D42</f>
        <v>-0.14532455085246</v>
      </c>
      <c r="G36" s="17" t="n">
        <f aca="false">B36-($B$92+$B$93*C36+$B$94*D36+$B$95*E36+$B$96*F36)</f>
        <v>-0.0292174416527808</v>
      </c>
      <c r="H36" s="17" t="n">
        <f aca="false">G36^2</f>
        <v>0.000853658896733651</v>
      </c>
      <c r="I36" s="17" t="n">
        <f aca="false">C36-E36</f>
        <v>-342.522657936508</v>
      </c>
      <c r="K36" s="17" t="n">
        <f aca="false">I36</f>
        <v>-342.522657936508</v>
      </c>
      <c r="L36" s="17" t="n">
        <f aca="false">D36</f>
        <v>100.040825997969</v>
      </c>
      <c r="M36" s="17" t="n">
        <f aca="false">F36</f>
        <v>-0.14532455085246</v>
      </c>
    </row>
    <row r="37" customFormat="false" ht="15" hidden="false" customHeight="false" outlineLevel="0" collapsed="false">
      <c r="A37" s="19" t="str">
        <f aca="false">Datos!A43</f>
        <v>2014Q3</v>
      </c>
      <c r="B37" s="20" t="n">
        <f aca="false">Datos!E43</f>
        <v>-0.0423851505475772</v>
      </c>
      <c r="C37" s="20" t="n">
        <f aca="false">Datos!B43</f>
        <v>709.32415625</v>
      </c>
      <c r="D37" s="20" t="n">
        <f aca="false">Datos!C41</f>
        <v>111.7125453228</v>
      </c>
      <c r="E37" s="20" t="n">
        <f aca="false">Datos!B38</f>
        <v>1200.253</v>
      </c>
      <c r="F37" s="20" t="n">
        <f aca="false">Datos!D43</f>
        <v>-0.14803025350379</v>
      </c>
      <c r="G37" s="17" t="n">
        <f aca="false">B37-($B$92+$B$93*C37+$B$94*D37+$B$95*E37+$B$96*F37)</f>
        <v>-0.0690919999077663</v>
      </c>
      <c r="H37" s="17" t="n">
        <f aca="false">G37^2</f>
        <v>0.00477370445125478</v>
      </c>
      <c r="I37" s="17" t="n">
        <f aca="false">C37-E37</f>
        <v>-490.92884375</v>
      </c>
      <c r="K37" s="17" t="n">
        <f aca="false">I37</f>
        <v>-490.92884375</v>
      </c>
      <c r="L37" s="17" t="n">
        <f aca="false">D37</f>
        <v>111.7125453228</v>
      </c>
      <c r="M37" s="17" t="n">
        <f aca="false">F37</f>
        <v>-0.14803025350379</v>
      </c>
    </row>
    <row r="38" customFormat="false" ht="15" hidden="false" customHeight="false" outlineLevel="0" collapsed="false">
      <c r="A38" s="19" t="str">
        <f aca="false">Datos!A44</f>
        <v>2014Q4</v>
      </c>
      <c r="B38" s="20" t="n">
        <f aca="false">Datos!E44</f>
        <v>-0.0281573013880524</v>
      </c>
      <c r="C38" s="20" t="n">
        <f aca="false">Datos!B44</f>
        <v>730.34393442623</v>
      </c>
      <c r="D38" s="20" t="n">
        <f aca="false">Datos!C42</f>
        <v>109.953473352436</v>
      </c>
      <c r="E38" s="20" t="n">
        <f aca="false">Datos!B39</f>
        <v>1090.527046875</v>
      </c>
      <c r="F38" s="20" t="n">
        <f aca="false">Datos!D44</f>
        <v>-0.127371025772678</v>
      </c>
      <c r="G38" s="17" t="n">
        <f aca="false">B38-($B$92+$B$93*C38+$B$94*D38+$B$95*E38+$B$96*F38)</f>
        <v>-0.0484968359479056</v>
      </c>
      <c r="H38" s="17" t="n">
        <f aca="false">G38^2</f>
        <v>0.00235194309695806</v>
      </c>
      <c r="I38" s="17" t="n">
        <f aca="false">C38-E38</f>
        <v>-360.183112448771</v>
      </c>
      <c r="K38" s="17" t="n">
        <f aca="false">I38</f>
        <v>-360.183112448771</v>
      </c>
      <c r="L38" s="17" t="n">
        <f aca="false">D38</f>
        <v>109.953473352436</v>
      </c>
      <c r="M38" s="17" t="n">
        <f aca="false">F38</f>
        <v>-0.127371025772678</v>
      </c>
    </row>
    <row r="39" customFormat="false" ht="15" hidden="false" customHeight="false" outlineLevel="0" collapsed="false">
      <c r="A39" s="19" t="str">
        <f aca="false">Datos!A45</f>
        <v>2015Q1</v>
      </c>
      <c r="B39" s="20" t="n">
        <f aca="false">Datos!E45</f>
        <v>0.00250908947797246</v>
      </c>
      <c r="C39" s="20" t="n">
        <f aca="false">Datos!B45</f>
        <v>667.094442622951</v>
      </c>
      <c r="D39" s="20" t="n">
        <f aca="false">Datos!C43</f>
        <v>105.0879780634</v>
      </c>
      <c r="E39" s="20" t="n">
        <f aca="false">Datos!B40</f>
        <v>854.052754098361</v>
      </c>
      <c r="F39" s="20" t="n">
        <f aca="false">Datos!D45</f>
        <v>1.31761638200167E-006</v>
      </c>
      <c r="G39" s="17" t="n">
        <f aca="false">B39-($B$92+$B$93*C39+$B$94*D39+$B$95*E39+$B$96*F39)</f>
        <v>-0.0162419917433676</v>
      </c>
      <c r="H39" s="17" t="n">
        <f aca="false">G39^2</f>
        <v>0.000263802295791622</v>
      </c>
      <c r="I39" s="17" t="n">
        <f aca="false">C39-E39</f>
        <v>-186.95831147541</v>
      </c>
      <c r="K39" s="17" t="n">
        <f aca="false">I39</f>
        <v>-186.95831147541</v>
      </c>
      <c r="L39" s="17" t="n">
        <f aca="false">D39</f>
        <v>105.0879780634</v>
      </c>
      <c r="M39" s="17" t="n">
        <f aca="false">F39</f>
        <v>1.31761638200167E-006</v>
      </c>
    </row>
    <row r="40" customFormat="false" ht="15" hidden="false" customHeight="false" outlineLevel="0" collapsed="false">
      <c r="A40" s="19" t="str">
        <f aca="false">Datos!A46</f>
        <v>2015Q2</v>
      </c>
      <c r="B40" s="20" t="n">
        <f aca="false">Datos!E46</f>
        <v>0.0403103203233863</v>
      </c>
      <c r="C40" s="20" t="n">
        <f aca="false">Datos!B46</f>
        <v>597.646153846154</v>
      </c>
      <c r="D40" s="20" t="n">
        <f aca="false">Datos!C44</f>
        <v>96.0026251653345</v>
      </c>
      <c r="E40" s="20" t="n">
        <f aca="false">Datos!B41</f>
        <v>926.047377049181</v>
      </c>
      <c r="F40" s="20" t="n">
        <f aca="false">Datos!D46</f>
        <v>0.079306676131361</v>
      </c>
      <c r="G40" s="17" t="n">
        <f aca="false">B40-($B$92+$B$93*C40+$B$94*D40+$B$95*E40+$B$96*F40)</f>
        <v>0.0153619405395275</v>
      </c>
      <c r="H40" s="17" t="n">
        <f aca="false">G40^2</f>
        <v>0.000235989217139978</v>
      </c>
      <c r="I40" s="17" t="n">
        <f aca="false">C40-E40</f>
        <v>-328.401223203027</v>
      </c>
      <c r="K40" s="17" t="n">
        <f aca="false">I40</f>
        <v>-328.401223203027</v>
      </c>
      <c r="L40" s="17" t="n">
        <f aca="false">D40</f>
        <v>96.0026251653345</v>
      </c>
      <c r="M40" s="17" t="n">
        <f aca="false">F40</f>
        <v>0.079306676131361</v>
      </c>
    </row>
    <row r="41" customFormat="false" ht="15" hidden="false" customHeight="false" outlineLevel="0" collapsed="false">
      <c r="A41" s="19" t="str">
        <f aca="false">Datos!A47</f>
        <v>2015Q3</v>
      </c>
      <c r="B41" s="20" t="n">
        <f aca="false">Datos!E47</f>
        <v>0.0396616998607275</v>
      </c>
      <c r="C41" s="20" t="n">
        <f aca="false">Datos!B47</f>
        <v>585.257575757576</v>
      </c>
      <c r="D41" s="20" t="n">
        <f aca="false">Datos!C45</f>
        <v>88.1674056048818</v>
      </c>
      <c r="E41" s="20" t="n">
        <f aca="false">Datos!B42</f>
        <v>782.844825396825</v>
      </c>
      <c r="F41" s="20" t="n">
        <f aca="false">Datos!D47</f>
        <v>0.0573749097069822</v>
      </c>
      <c r="G41" s="17" t="n">
        <f aca="false">B41-($B$92+$B$93*C41+$B$94*D41+$B$95*E41+$B$96*F41)</f>
        <v>0.0307397598314873</v>
      </c>
      <c r="H41" s="17" t="n">
        <f aca="false">G41^2</f>
        <v>0.000944932834497519</v>
      </c>
      <c r="I41" s="17" t="n">
        <f aca="false">C41-E41</f>
        <v>-197.587249639249</v>
      </c>
      <c r="K41" s="17" t="n">
        <f aca="false">I41</f>
        <v>-197.587249639249</v>
      </c>
      <c r="L41" s="17" t="n">
        <f aca="false">D41</f>
        <v>88.1674056048818</v>
      </c>
      <c r="M41" s="17" t="n">
        <f aca="false">F41</f>
        <v>0.0573749097069822</v>
      </c>
    </row>
    <row r="42" customFormat="false" ht="15" hidden="false" customHeight="false" outlineLevel="0" collapsed="false">
      <c r="A42" s="19" t="str">
        <f aca="false">Datos!A48</f>
        <v>2015Q4</v>
      </c>
      <c r="B42" s="20" t="n">
        <f aca="false">Datos!E48</f>
        <v>0.0247270091543546</v>
      </c>
      <c r="C42" s="20" t="n">
        <f aca="false">Datos!B48</f>
        <v>506.984615384615</v>
      </c>
      <c r="D42" s="20" t="n">
        <f aca="false">Datos!C46</f>
        <v>84.588561429833</v>
      </c>
      <c r="E42" s="20" t="n">
        <f aca="false">Datos!B43</f>
        <v>709.32415625</v>
      </c>
      <c r="F42" s="20" t="n">
        <f aca="false">Datos!D48</f>
        <v>0.0602218094670735</v>
      </c>
      <c r="G42" s="17" t="n">
        <f aca="false">B42-($B$92+$B$93*C42+$B$94*D42+$B$95*E42+$B$96*F42)</f>
        <v>0.0187513574687674</v>
      </c>
      <c r="H42" s="17" t="n">
        <f aca="false">G42^2</f>
        <v>0.000351613406921498</v>
      </c>
      <c r="I42" s="17" t="n">
        <f aca="false">C42-E42</f>
        <v>-202.339540865385</v>
      </c>
      <c r="K42" s="17" t="n">
        <f aca="false">I42</f>
        <v>-202.339540865385</v>
      </c>
      <c r="L42" s="17" t="n">
        <f aca="false">D42</f>
        <v>84.588561429833</v>
      </c>
      <c r="M42" s="17" t="n">
        <f aca="false">F42</f>
        <v>0.0602218094670735</v>
      </c>
    </row>
    <row r="43" customFormat="false" ht="15" hidden="false" customHeight="false" outlineLevel="0" collapsed="false">
      <c r="A43" s="19" t="str">
        <f aca="false">Datos!A49</f>
        <v>2016Q1</v>
      </c>
      <c r="B43" s="20" t="n">
        <f aca="false">Datos!E49</f>
        <v>0.00728692545281007</v>
      </c>
      <c r="C43" s="20" t="n">
        <f aca="false">Datos!B49</f>
        <v>468.698412698413</v>
      </c>
      <c r="D43" s="20" t="n">
        <f aca="false">Datos!C47</f>
        <v>79.2639970068459</v>
      </c>
      <c r="E43" s="20" t="n">
        <f aca="false">Datos!B44</f>
        <v>730.34393442623</v>
      </c>
      <c r="F43" s="20" t="n">
        <f aca="false">Datos!D49</f>
        <v>-0.0545739774105225</v>
      </c>
      <c r="G43" s="17" t="n">
        <f aca="false">B43-($B$92+$B$93*C43+$B$94*D43+$B$95*E43+$B$96*F43)</f>
        <v>0.0139993323961451</v>
      </c>
      <c r="H43" s="17" t="n">
        <f aca="false">G43^2</f>
        <v>0.000195981307537757</v>
      </c>
      <c r="I43" s="17" t="n">
        <f aca="false">C43-E43</f>
        <v>-261.645521727817</v>
      </c>
      <c r="K43" s="17" t="n">
        <f aca="false">I43</f>
        <v>-261.645521727817</v>
      </c>
      <c r="L43" s="17" t="n">
        <f aca="false">D43</f>
        <v>79.2639970068459</v>
      </c>
      <c r="M43" s="17" t="n">
        <f aca="false">F43</f>
        <v>-0.0545739774105225</v>
      </c>
    </row>
    <row r="44" customFormat="false" ht="15" hidden="false" customHeight="false" outlineLevel="0" collapsed="false">
      <c r="A44" s="19" t="str">
        <f aca="false">Datos!A50</f>
        <v>2016Q2</v>
      </c>
      <c r="B44" s="20" t="n">
        <f aca="false">Datos!E50</f>
        <v>-0.0385885964740134</v>
      </c>
      <c r="C44" s="20" t="n">
        <f aca="false">Datos!B50</f>
        <v>448.541666666667</v>
      </c>
      <c r="D44" s="20" t="n">
        <f aca="false">Datos!C48</f>
        <v>78.8773372173279</v>
      </c>
      <c r="E44" s="20" t="n">
        <f aca="false">Datos!B45</f>
        <v>667.094442622951</v>
      </c>
      <c r="F44" s="20" t="n">
        <f aca="false">Datos!D50</f>
        <v>-0.150938894023428</v>
      </c>
      <c r="G44" s="17" t="n">
        <f aca="false">B44-($B$92+$B$93*C44+$B$94*D44+$B$95*E44+$B$96*F44)</f>
        <v>-0.0202319884538865</v>
      </c>
      <c r="H44" s="17" t="n">
        <f aca="false">G44^2</f>
        <v>0.000409333356798198</v>
      </c>
      <c r="I44" s="17" t="n">
        <f aca="false">C44-E44</f>
        <v>-218.552775956284</v>
      </c>
      <c r="K44" s="17" t="n">
        <f aca="false">I44</f>
        <v>-218.552775956284</v>
      </c>
      <c r="L44" s="17" t="n">
        <f aca="false">D44</f>
        <v>78.8773372173279</v>
      </c>
      <c r="M44" s="17" t="n">
        <f aca="false">F44</f>
        <v>-0.150938894023428</v>
      </c>
    </row>
    <row r="45" customFormat="false" ht="15" hidden="false" customHeight="false" outlineLevel="0" collapsed="false">
      <c r="A45" s="19" t="str">
        <f aca="false">Datos!A51</f>
        <v>2016Q3</v>
      </c>
      <c r="B45" s="20" t="n">
        <f aca="false">Datos!E51</f>
        <v>-0.0332721885187776</v>
      </c>
      <c r="C45" s="20" t="n">
        <f aca="false">Datos!B51</f>
        <v>500.06976744186</v>
      </c>
      <c r="D45" s="20" t="n">
        <f aca="false">Datos!C49</f>
        <v>100.506024674356</v>
      </c>
      <c r="E45" s="20" t="n">
        <f aca="false">Datos!B46</f>
        <v>597.646153846154</v>
      </c>
      <c r="F45" s="20" t="n">
        <f aca="false">Datos!D51</f>
        <v>-0.138350590990196</v>
      </c>
      <c r="G45" s="17" t="n">
        <f aca="false">B45-($B$92+$B$93*C45+$B$94*D45+$B$95*E45+$B$96*F45)</f>
        <v>-0.0298965176199551</v>
      </c>
      <c r="H45" s="17" t="n">
        <f aca="false">G45^2</f>
        <v>0.000893801765800285</v>
      </c>
      <c r="I45" s="17" t="n">
        <f aca="false">C45-E45</f>
        <v>-97.5763864042935</v>
      </c>
      <c r="K45" s="17" t="n">
        <f aca="false">I45</f>
        <v>-97.5763864042935</v>
      </c>
      <c r="L45" s="17" t="n">
        <f aca="false">D45</f>
        <v>100.506024674356</v>
      </c>
      <c r="M45" s="17" t="n">
        <f aca="false">F45</f>
        <v>-0.138350590990196</v>
      </c>
    </row>
    <row r="46" customFormat="false" ht="15" hidden="false" customHeight="false" outlineLevel="0" collapsed="false">
      <c r="A46" s="19" t="str">
        <f aca="false">Datos!A52</f>
        <v>2016Q4</v>
      </c>
      <c r="B46" s="20" t="n">
        <f aca="false">Datos!E52</f>
        <v>-0.0149328839288507</v>
      </c>
      <c r="C46" s="20" t="n">
        <f aca="false">Datos!B52</f>
        <v>473.569230769231</v>
      </c>
      <c r="D46" s="20" t="n">
        <f aca="false">Datos!C50</f>
        <v>92.4523987491672</v>
      </c>
      <c r="E46" s="20" t="n">
        <f aca="false">Datos!B47</f>
        <v>585.257575757576</v>
      </c>
      <c r="F46" s="20" t="n">
        <f aca="false">Datos!D52</f>
        <v>-0.116842476166157</v>
      </c>
      <c r="G46" s="17" t="n">
        <f aca="false">B46-($B$92+$B$93*C46+$B$94*D46+$B$95*E46+$B$96*F46)</f>
        <v>-0.00682687923230351</v>
      </c>
      <c r="H46" s="17" t="n">
        <f aca="false">G46^2</f>
        <v>4.66062800524569E-005</v>
      </c>
      <c r="I46" s="17" t="n">
        <f aca="false">C46-E46</f>
        <v>-111.688344988345</v>
      </c>
      <c r="K46" s="17" t="n">
        <f aca="false">I46</f>
        <v>-111.688344988345</v>
      </c>
      <c r="L46" s="17" t="n">
        <f aca="false">D46</f>
        <v>92.4523987491672</v>
      </c>
      <c r="M46" s="17" t="n">
        <f aca="false">F46</f>
        <v>-0.116842476166157</v>
      </c>
    </row>
    <row r="47" customFormat="false" ht="15" hidden="false" customHeight="false" outlineLevel="0" collapsed="false">
      <c r="A47" s="19" t="str">
        <f aca="false">Datos!A53</f>
        <v>2017Q1</v>
      </c>
      <c r="B47" s="20" t="n">
        <f aca="false">Datos!E53</f>
        <v>0.00559679082443165</v>
      </c>
      <c r="C47" s="20" t="n">
        <f aca="false">Datos!B53</f>
        <v>457.661538461538</v>
      </c>
      <c r="D47" s="20" t="n">
        <f aca="false">Datos!C51</f>
        <v>92.6685122505823</v>
      </c>
      <c r="E47" s="20" t="n">
        <f aca="false">Datos!B48</f>
        <v>506.984615384615</v>
      </c>
      <c r="F47" s="20" t="n">
        <f aca="false">Datos!D53</f>
        <v>-0.0239177917893462</v>
      </c>
      <c r="G47" s="17" t="n">
        <f aca="false">B47-($B$92+$B$93*C47+$B$94*D47+$B$95*E47+$B$96*F47)</f>
        <v>0.00803798399246597</v>
      </c>
      <c r="H47" s="17" t="n">
        <f aca="false">G47^2</f>
        <v>6.46091866631392E-005</v>
      </c>
      <c r="I47" s="17" t="n">
        <f aca="false">C47-E47</f>
        <v>-49.323076923077</v>
      </c>
      <c r="K47" s="17" t="n">
        <f aca="false">I47</f>
        <v>-49.323076923077</v>
      </c>
      <c r="L47" s="17" t="n">
        <f aca="false">D47</f>
        <v>92.6685122505823</v>
      </c>
      <c r="M47" s="17" t="n">
        <f aca="false">F47</f>
        <v>-0.0239177917893462</v>
      </c>
    </row>
    <row r="48" customFormat="false" ht="15" hidden="false" customHeight="false" outlineLevel="0" collapsed="false">
      <c r="A48" s="19" t="str">
        <f aca="false">Datos!A54</f>
        <v>2017Q2</v>
      </c>
      <c r="B48" s="20" t="n">
        <f aca="false">Datos!E54</f>
        <v>0.0232658340767662</v>
      </c>
      <c r="C48" s="20" t="n">
        <f aca="false">Datos!B54</f>
        <v>417.265625</v>
      </c>
      <c r="D48" s="20" t="n">
        <f aca="false">Datos!C52</f>
        <v>90.0354962055926</v>
      </c>
      <c r="E48" s="20" t="n">
        <f aca="false">Datos!B49</f>
        <v>468.698412698413</v>
      </c>
      <c r="F48" s="20" t="n">
        <f aca="false">Datos!D54</f>
        <v>0.0524572469807845</v>
      </c>
      <c r="G48" s="17" t="n">
        <f aca="false">B48-($B$92+$B$93*C48+$B$94*D48+$B$95*E48+$B$96*F48)</f>
        <v>0.0209503434150128</v>
      </c>
      <c r="H48" s="17" t="n">
        <f aca="false">G48^2</f>
        <v>0.000438916889206971</v>
      </c>
      <c r="I48" s="17" t="n">
        <f aca="false">C48-E48</f>
        <v>-51.4327876984127</v>
      </c>
      <c r="K48" s="17" t="n">
        <f aca="false">I48</f>
        <v>-51.4327876984127</v>
      </c>
      <c r="L48" s="17" t="n">
        <f aca="false">D48</f>
        <v>90.0354962055926</v>
      </c>
      <c r="M48" s="17" t="n">
        <f aca="false">F48</f>
        <v>0.0524572469807845</v>
      </c>
    </row>
    <row r="49" customFormat="false" ht="15" hidden="false" customHeight="false" outlineLevel="0" collapsed="false">
      <c r="A49" s="19" t="str">
        <f aca="false">Datos!A55</f>
        <v>2017Q3</v>
      </c>
      <c r="B49" s="20" t="n">
        <f aca="false">Datos!E55</f>
        <v>0.0385060856362685</v>
      </c>
      <c r="C49" s="20" t="n">
        <f aca="false">Datos!B55</f>
        <v>417.764390625</v>
      </c>
      <c r="D49" s="20" t="n">
        <f aca="false">Datos!C53</f>
        <v>88.5045145107911</v>
      </c>
      <c r="E49" s="20" t="n">
        <f aca="false">Datos!B50</f>
        <v>448.541666666667</v>
      </c>
      <c r="F49" s="20" t="n">
        <f aca="false">Datos!D55</f>
        <v>0.0143092701681657</v>
      </c>
      <c r="G49" s="17" t="n">
        <f aca="false">B49-($B$92+$B$93*C49+$B$94*D49+$B$95*E49+$B$96*F49)</f>
        <v>0.0422366914531071</v>
      </c>
      <c r="H49" s="17" t="n">
        <f aca="false">G49^2</f>
        <v>0.00178393810490497</v>
      </c>
      <c r="I49" s="17" t="n">
        <f aca="false">C49-E49</f>
        <v>-30.7772760416669</v>
      </c>
      <c r="K49" s="17" t="n">
        <f aca="false">I49</f>
        <v>-30.7772760416669</v>
      </c>
      <c r="L49" s="17" t="n">
        <f aca="false">D49</f>
        <v>88.5045145107911</v>
      </c>
      <c r="M49" s="17" t="n">
        <f aca="false">F49</f>
        <v>0.0143092701681657</v>
      </c>
    </row>
    <row r="50" customFormat="false" ht="15" hidden="false" customHeight="false" outlineLevel="0" collapsed="false">
      <c r="A50" s="19" t="str">
        <f aca="false">Datos!A56</f>
        <v>2017Q4</v>
      </c>
      <c r="B50" s="20" t="n">
        <f aca="false">Datos!E56</f>
        <v>0.0453268482640472</v>
      </c>
      <c r="C50" s="20" t="n">
        <f aca="false">Datos!B56</f>
        <v>363.1925625</v>
      </c>
      <c r="D50" s="20" t="n">
        <f aca="false">Datos!C54</f>
        <v>84.0210717427534</v>
      </c>
      <c r="E50" s="20" t="n">
        <f aca="false">Datos!B51</f>
        <v>500.06976744186</v>
      </c>
      <c r="F50" s="20" t="n">
        <f aca="false">Datos!D56</f>
        <v>0.00583013263178356</v>
      </c>
      <c r="G50" s="17" t="n">
        <f aca="false">B50-($B$92+$B$93*C50+$B$94*D50+$B$95*E50+$B$96*F50)</f>
        <v>0.0486351134478594</v>
      </c>
      <c r="H50" s="17" t="n">
        <f aca="false">G50^2</f>
        <v>0.00236537426008615</v>
      </c>
      <c r="I50" s="17" t="n">
        <f aca="false">C50-E50</f>
        <v>-136.87720494186</v>
      </c>
      <c r="K50" s="17" t="n">
        <f aca="false">I50</f>
        <v>-136.87720494186</v>
      </c>
      <c r="L50" s="17" t="n">
        <f aca="false">D50</f>
        <v>84.0210717427534</v>
      </c>
      <c r="M50" s="17" t="n">
        <f aca="false">F50</f>
        <v>0.00583013263178356</v>
      </c>
    </row>
    <row r="51" customFormat="false" ht="15" hidden="false" customHeight="false" outlineLevel="0" collapsed="false">
      <c r="A51" s="19" t="str">
        <f aca="false">Datos!A57</f>
        <v>2018Q1</v>
      </c>
      <c r="B51" s="20" t="n">
        <f aca="false">Datos!E57</f>
        <v>0.0379774021814201</v>
      </c>
      <c r="C51" s="20" t="n">
        <f aca="false">Datos!B57</f>
        <v>391.724661290322</v>
      </c>
      <c r="D51" s="20" t="n">
        <f aca="false">Datos!C55</f>
        <v>91.1712476167225</v>
      </c>
      <c r="E51" s="20" t="n">
        <f aca="false">Datos!B52</f>
        <v>473.569230769231</v>
      </c>
      <c r="F51" s="20" t="n">
        <f aca="false">Datos!D57</f>
        <v>0.0215080939713706</v>
      </c>
      <c r="G51" s="17" t="n">
        <f aca="false">B51-($B$92+$B$93*C51+$B$94*D51+$B$95*E51+$B$96*F51)</f>
        <v>0.0360040464652581</v>
      </c>
      <c r="H51" s="17" t="n">
        <f aca="false">G51^2</f>
        <v>0.00129629136187247</v>
      </c>
      <c r="I51" s="17" t="n">
        <f aca="false">C51-E51</f>
        <v>-81.8445694789084</v>
      </c>
      <c r="K51" s="17" t="n">
        <f aca="false">I51</f>
        <v>-81.8445694789084</v>
      </c>
      <c r="L51" s="17" t="n">
        <f aca="false">D51</f>
        <v>91.1712476167225</v>
      </c>
      <c r="M51" s="17" t="n">
        <f aca="false">F51</f>
        <v>0.0215080939713706</v>
      </c>
    </row>
    <row r="52" customFormat="false" ht="15" hidden="false" customHeight="false" outlineLevel="0" collapsed="false">
      <c r="A52" s="19" t="str">
        <f aca="false">Datos!A58</f>
        <v>2018Q2</v>
      </c>
      <c r="B52" s="20" t="n">
        <f aca="false">Datos!E58</f>
        <v>-0.039790994073943</v>
      </c>
      <c r="C52" s="20" t="n">
        <f aca="false">Datos!B58</f>
        <v>468.946476923077</v>
      </c>
      <c r="D52" s="20" t="n">
        <f aca="false">Datos!C56</f>
        <v>87.4808231023892</v>
      </c>
      <c r="E52" s="20" t="n">
        <f aca="false">Datos!B53</f>
        <v>457.661538461538</v>
      </c>
      <c r="F52" s="20" t="n">
        <f aca="false">Datos!D58</f>
        <v>-0.0527729109335391</v>
      </c>
      <c r="G52" s="17" t="n">
        <f aca="false">B52-($B$92+$B$93*C52+$B$94*D52+$B$95*E52+$B$96*F52)</f>
        <v>-0.0267736459582269</v>
      </c>
      <c r="H52" s="17" t="n">
        <f aca="false">G52^2</f>
        <v>0.000716828117896482</v>
      </c>
      <c r="I52" s="17" t="n">
        <f aca="false">C52-E52</f>
        <v>11.2849384615385</v>
      </c>
      <c r="K52" s="17" t="n">
        <f aca="false">I52</f>
        <v>11.2849384615385</v>
      </c>
      <c r="L52" s="17" t="n">
        <f aca="false">D52</f>
        <v>87.4808231023892</v>
      </c>
      <c r="M52" s="17" t="n">
        <f aca="false">F52</f>
        <v>-0.0527729109335391</v>
      </c>
    </row>
    <row r="53" customFormat="false" ht="15" hidden="false" customHeight="false" outlineLevel="0" collapsed="false">
      <c r="A53" s="19" t="str">
        <f aca="false">Datos!A59</f>
        <v>2018Q3</v>
      </c>
      <c r="B53" s="20" t="n">
        <f aca="false">Datos!E59</f>
        <v>-0.0346944038739507</v>
      </c>
      <c r="C53" s="20" t="n">
        <f aca="false">Datos!B59</f>
        <v>635.11576119403</v>
      </c>
      <c r="D53" s="20" t="n">
        <f aca="false">Datos!C57</f>
        <v>94.9900339014635</v>
      </c>
      <c r="E53" s="20" t="n">
        <f aca="false">Datos!B54</f>
        <v>417.265625</v>
      </c>
      <c r="F53" s="20" t="n">
        <f aca="false">Datos!D59</f>
        <v>-0.0230142843222727</v>
      </c>
      <c r="G53" s="17" t="n">
        <f aca="false">B53-($B$92+$B$93*C53+$B$94*D53+$B$95*E53+$B$96*F53)</f>
        <v>-0.0210969641548245</v>
      </c>
      <c r="H53" s="17" t="n">
        <f aca="false">G53^2</f>
        <v>0.000445081896549951</v>
      </c>
      <c r="I53" s="17" t="n">
        <f aca="false">C53-E53</f>
        <v>217.85013619403</v>
      </c>
      <c r="K53" s="17" t="n">
        <f aca="false">I53</f>
        <v>217.85013619403</v>
      </c>
      <c r="L53" s="17" t="n">
        <f aca="false">D53</f>
        <v>94.9900339014635</v>
      </c>
      <c r="M53" s="17" t="n">
        <f aca="false">F53</f>
        <v>-0.0230142843222727</v>
      </c>
    </row>
    <row r="54" customFormat="false" ht="15" hidden="false" customHeight="false" outlineLevel="0" collapsed="false">
      <c r="A54" s="19" t="str">
        <f aca="false">Datos!A60</f>
        <v>2018Q4</v>
      </c>
      <c r="B54" s="20" t="n">
        <f aca="false">Datos!E60</f>
        <v>-0.0633973916700751</v>
      </c>
      <c r="C54" s="20" t="n">
        <f aca="false">Datos!B60</f>
        <v>691.6339375</v>
      </c>
      <c r="D54" s="20" t="n">
        <f aca="false">Datos!C58</f>
        <v>100.964294349466</v>
      </c>
      <c r="E54" s="20" t="n">
        <f aca="false">Datos!B55</f>
        <v>417.764390625</v>
      </c>
      <c r="F54" s="20" t="n">
        <f aca="false">Datos!D60</f>
        <v>-0.0731605453380152</v>
      </c>
      <c r="G54" s="17" t="n">
        <f aca="false">B54-($B$92+$B$93*C54+$B$94*D54+$B$95*E54+$B$96*F54)</f>
        <v>-0.0478378329900922</v>
      </c>
      <c r="H54" s="17" t="n">
        <f aca="false">G54^2</f>
        <v>0.00228845826518796</v>
      </c>
      <c r="I54" s="17" t="n">
        <f aca="false">C54-E54</f>
        <v>273.869546875</v>
      </c>
      <c r="K54" s="17" t="n">
        <f aca="false">I54</f>
        <v>273.869546875</v>
      </c>
      <c r="L54" s="17" t="n">
        <f aca="false">D54</f>
        <v>100.964294349466</v>
      </c>
      <c r="M54" s="17" t="n">
        <f aca="false">F54</f>
        <v>-0.0731605453380152</v>
      </c>
    </row>
    <row r="55" customFormat="false" ht="15" hidden="false" customHeight="false" outlineLevel="0" collapsed="false">
      <c r="A55" s="19" t="str">
        <f aca="false">Datos!A61</f>
        <v>2019Q1</v>
      </c>
      <c r="B55" s="20" t="n">
        <f aca="false">Datos!E61</f>
        <v>-0.0586372539873753</v>
      </c>
      <c r="C55" s="20" t="n">
        <f aca="false">Datos!B61</f>
        <v>710.835638888889</v>
      </c>
      <c r="D55" s="20" t="n">
        <f aca="false">Datos!C59</f>
        <v>119.887100465652</v>
      </c>
      <c r="E55" s="20" t="n">
        <f aca="false">Datos!B56</f>
        <v>363.1925625</v>
      </c>
      <c r="F55" s="20" t="n">
        <f aca="false">Datos!D61</f>
        <v>-0.123187672025664</v>
      </c>
      <c r="G55" s="17" t="n">
        <f aca="false">B55-($B$92+$B$93*C55+$B$94*D55+$B$95*E55+$B$96*F55)</f>
        <v>-0.0520612330294682</v>
      </c>
      <c r="H55" s="17" t="n">
        <f aca="false">G55^2</f>
        <v>0.00271037198454859</v>
      </c>
      <c r="I55" s="17" t="n">
        <f aca="false">C55-E55</f>
        <v>347.643076388889</v>
      </c>
      <c r="K55" s="17" t="n">
        <f aca="false">I55</f>
        <v>347.643076388889</v>
      </c>
      <c r="L55" s="17" t="n">
        <f aca="false">D55</f>
        <v>119.887100465652</v>
      </c>
      <c r="M55" s="17" t="n">
        <f aca="false">F55</f>
        <v>-0.123187672025664</v>
      </c>
    </row>
    <row r="56" customFormat="false" ht="15" hidden="false" customHeight="false" outlineLevel="0" collapsed="false">
      <c r="A56" s="19" t="str">
        <f aca="false">Datos!A62</f>
        <v>2019Q2</v>
      </c>
      <c r="B56" s="20" t="n">
        <f aca="false">Datos!E62</f>
        <v>0.00582819893603537</v>
      </c>
      <c r="C56" s="20" t="n">
        <f aca="false">Datos!B62</f>
        <v>873.625898550725</v>
      </c>
      <c r="D56" s="20" t="n">
        <f aca="false">Datos!C60</f>
        <v>121.668263035409</v>
      </c>
      <c r="E56" s="20" t="n">
        <f aca="false">Datos!B57</f>
        <v>391.724661290322</v>
      </c>
      <c r="F56" s="20" t="n">
        <f aca="false">Datos!D62</f>
        <v>-0.123073375139329</v>
      </c>
      <c r="G56" s="17" t="n">
        <f aca="false">B56-($B$92+$B$93*C56+$B$94*D56+$B$95*E56+$B$96*F56)</f>
        <v>0.0173242389817956</v>
      </c>
      <c r="H56" s="17" t="n">
        <f aca="false">G56^2</f>
        <v>0.000300129256298367</v>
      </c>
      <c r="I56" s="17" t="n">
        <f aca="false">C56-E56</f>
        <v>481.901237260402</v>
      </c>
      <c r="K56" s="17" t="n">
        <f aca="false">I56</f>
        <v>481.901237260402</v>
      </c>
      <c r="L56" s="17" t="n">
        <f aca="false">D56</f>
        <v>121.668263035409</v>
      </c>
      <c r="M56" s="17" t="n">
        <f aca="false">F56</f>
        <v>-0.123073375139329</v>
      </c>
    </row>
    <row r="57" customFormat="false" ht="15" hidden="false" customHeight="false" outlineLevel="0" collapsed="false">
      <c r="A57" s="19" t="str">
        <f aca="false">Datos!A63</f>
        <v>2019Q3</v>
      </c>
      <c r="B57" s="20" t="n">
        <f aca="false">Datos!E63</f>
        <v>-0.0175271616356651</v>
      </c>
      <c r="C57" s="20" t="n">
        <f aca="false">Datos!B63</f>
        <v>1553.24458536585</v>
      </c>
      <c r="D57" s="20" t="n">
        <f aca="false">Datos!C61</f>
        <v>117.650616088345</v>
      </c>
      <c r="E57" s="20" t="n">
        <f aca="false">Datos!B58</f>
        <v>468.946476923077</v>
      </c>
      <c r="F57" s="20" t="n">
        <f aca="false">Datos!D63</f>
        <v>-0.146986580926159</v>
      </c>
      <c r="G57" s="17" t="n">
        <f aca="false">B57-($B$92+$B$93*C57+$B$94*D57+$B$95*E57+$B$96*F57)</f>
        <v>0.0294980084665836</v>
      </c>
      <c r="H57" s="17" t="n">
        <f aca="false">G57^2</f>
        <v>0.000870132503494637</v>
      </c>
      <c r="I57" s="17" t="n">
        <f aca="false">C57-E57</f>
        <v>1084.29810844278</v>
      </c>
      <c r="K57" s="17" t="n">
        <f aca="false">I57</f>
        <v>1084.29810844278</v>
      </c>
      <c r="L57" s="17" t="n">
        <f aca="false">D57</f>
        <v>117.650616088345</v>
      </c>
      <c r="M57" s="17" t="n">
        <f aca="false">F57</f>
        <v>-0.146986580926159</v>
      </c>
    </row>
    <row r="58" customFormat="false" ht="15" hidden="false" customHeight="false" outlineLevel="0" collapsed="false">
      <c r="A58" s="19" t="str">
        <f aca="false">Datos!A64</f>
        <v>2019Q4</v>
      </c>
      <c r="B58" s="20" t="n">
        <f aca="false">Datos!E64</f>
        <v>-0.0107484273951806</v>
      </c>
      <c r="C58" s="20" t="n">
        <f aca="false">Datos!B64</f>
        <v>2152.12583695652</v>
      </c>
      <c r="D58" s="20" t="n">
        <f aca="false">Datos!C62</f>
        <v>118.174258658743</v>
      </c>
      <c r="E58" s="20" t="n">
        <f aca="false">Datos!B59</f>
        <v>635.11576119403</v>
      </c>
      <c r="F58" s="20" t="n">
        <f aca="false">Datos!D64</f>
        <v>-0.191423635260996</v>
      </c>
      <c r="G58" s="17" t="n">
        <f aca="false">B58-($B$92+$B$93*C58+$B$94*D58+$B$95*E58+$B$96*F58)</f>
        <v>0.0609835840377883</v>
      </c>
      <c r="H58" s="17" t="n">
        <f aca="false">G58^2</f>
        <v>0.00371899752209398</v>
      </c>
      <c r="I58" s="17" t="n">
        <f aca="false">C58-E58</f>
        <v>1517.01007576249</v>
      </c>
      <c r="K58" s="17" t="n">
        <f aca="false">I58</f>
        <v>1517.01007576249</v>
      </c>
      <c r="L58" s="17" t="n">
        <f aca="false">D58</f>
        <v>118.174258658743</v>
      </c>
      <c r="M58" s="17" t="n">
        <f aca="false">F58</f>
        <v>-0.191423635260996</v>
      </c>
    </row>
    <row r="59" customFormat="false" ht="15" hidden="false" customHeight="false" outlineLevel="0" collapsed="false">
      <c r="A59" s="19" t="str">
        <f aca="false">Datos!A65</f>
        <v>2020Q1</v>
      </c>
      <c r="B59" s="20" t="n">
        <f aca="false">Datos!E65</f>
        <v>-0.0502506965865937</v>
      </c>
      <c r="C59" s="20" t="n">
        <f aca="false">Datos!B65</f>
        <v>2339.24403614458</v>
      </c>
      <c r="D59" s="20" t="n">
        <f aca="false">Datos!C63</f>
        <v>122.774769478885</v>
      </c>
      <c r="E59" s="20" t="n">
        <f aca="false">Datos!B60</f>
        <v>691.6339375</v>
      </c>
      <c r="F59" s="20" t="n">
        <f aca="false">Datos!D65</f>
        <v>-0.0764776255884909</v>
      </c>
      <c r="G59" s="17" t="n">
        <f aca="false">B59-($B$92+$B$93*C59+$B$94*D59+$B$95*E59+$B$96*F59)</f>
        <v>0.0128065798406578</v>
      </c>
      <c r="H59" s="17" t="n">
        <f aca="false">G59^2</f>
        <v>0.000164008487215143</v>
      </c>
      <c r="I59" s="17" t="n">
        <f aca="false">C59-E59</f>
        <v>1647.61009864458</v>
      </c>
      <c r="K59" s="17" t="n">
        <f aca="false">I59</f>
        <v>1647.61009864458</v>
      </c>
      <c r="L59" s="17" t="n">
        <f aca="false">D59</f>
        <v>122.774769478885</v>
      </c>
      <c r="M59" s="17" t="n">
        <f aca="false">F59</f>
        <v>-0.0764776255884909</v>
      </c>
    </row>
    <row r="60" customFormat="false" ht="15" hidden="false" customHeight="false" outlineLevel="0" collapsed="false">
      <c r="A60" s="19" t="str">
        <f aca="false">Datos!A66</f>
        <v>2020Q2</v>
      </c>
      <c r="B60" s="20" t="n">
        <f aca="false">Datos!E66</f>
        <v>-0.189421940385846</v>
      </c>
      <c r="C60" s="20" t="n">
        <f aca="false">Datos!B66</f>
        <v>3096.11088888889</v>
      </c>
      <c r="D60" s="20" t="n">
        <f aca="false">Datos!C64</f>
        <v>126.773876078114</v>
      </c>
      <c r="E60" s="20" t="n">
        <f aca="false">Datos!B61</f>
        <v>710.835638888889</v>
      </c>
      <c r="F60" s="20" t="n">
        <f aca="false">Datos!D66</f>
        <v>0.185703438057814</v>
      </c>
      <c r="G60" s="17" t="n">
        <f aca="false">B60-($B$92+$B$93*C60+$B$94*D60+$B$95*E60+$B$96*F60)</f>
        <v>-0.118226207235809</v>
      </c>
      <c r="H60" s="17" t="n">
        <f aca="false">G60^2</f>
        <v>0.0139774360773645</v>
      </c>
      <c r="I60" s="17" t="n">
        <f aca="false">C60-E60</f>
        <v>2385.27525</v>
      </c>
      <c r="K60" s="17" t="n">
        <f aca="false">I60</f>
        <v>2385.27525</v>
      </c>
      <c r="L60" s="17" t="n">
        <f aca="false">D60</f>
        <v>126.773876078114</v>
      </c>
      <c r="M60" s="17" t="n">
        <f aca="false">F60</f>
        <v>0.185703438057814</v>
      </c>
    </row>
    <row r="61" customFormat="false" ht="15" hidden="false" customHeight="false" outlineLevel="0" collapsed="false">
      <c r="A61" s="19" t="str">
        <f aca="false">Datos!A67</f>
        <v>2020Q3</v>
      </c>
      <c r="B61" s="20" t="n">
        <f aca="false">Datos!E67</f>
        <v>-0.101927662759163</v>
      </c>
      <c r="C61" s="20" t="n">
        <f aca="false">Datos!B67</f>
        <v>1998.70695454545</v>
      </c>
      <c r="D61" s="20" t="n">
        <f aca="false">Datos!C65</f>
        <v>118.087981936147</v>
      </c>
      <c r="E61" s="20" t="n">
        <f aca="false">Datos!B62</f>
        <v>873.625898550725</v>
      </c>
      <c r="F61" s="20" t="n">
        <f aca="false">Datos!D67</f>
        <v>0.305364489239062</v>
      </c>
      <c r="G61" s="17" t="n">
        <f aca="false">B61-($B$92+$B$93*C61+$B$94*D61+$B$95*E61+$B$96*F61)</f>
        <v>-0.096512617618152</v>
      </c>
      <c r="H61" s="17" t="n">
        <f aca="false">G61^2</f>
        <v>0.00931468535950763</v>
      </c>
      <c r="I61" s="17" t="n">
        <f aca="false">C61-E61</f>
        <v>1125.08105599473</v>
      </c>
      <c r="K61" s="17" t="n">
        <f aca="false">I61</f>
        <v>1125.08105599473</v>
      </c>
      <c r="L61" s="17" t="n">
        <f aca="false">D61</f>
        <v>118.087981936147</v>
      </c>
      <c r="M61" s="17" t="n">
        <f aca="false">F61</f>
        <v>0.305364489239062</v>
      </c>
    </row>
    <row r="62" customFormat="false" ht="15" hidden="false" customHeight="false" outlineLevel="0" collapsed="false">
      <c r="A62" s="19" t="str">
        <f aca="false">Datos!A68</f>
        <v>2020Q4</v>
      </c>
      <c r="B62" s="20" t="n">
        <f aca="false">Datos!E68</f>
        <v>-0.0431329947641036</v>
      </c>
      <c r="C62" s="20" t="n">
        <f aca="false">Datos!B68</f>
        <v>1391.81681538462</v>
      </c>
      <c r="D62" s="20" t="n">
        <f aca="false">Datos!C66</f>
        <v>113.326722543846</v>
      </c>
      <c r="E62" s="20" t="n">
        <f aca="false">Datos!B63</f>
        <v>1553.24458536585</v>
      </c>
      <c r="F62" s="20" t="n">
        <f aca="false">Datos!D68</f>
        <v>0.369601994334412</v>
      </c>
      <c r="G62" s="17" t="n">
        <f aca="false">B62-($B$92+$B$93*C62+$B$94*D62+$B$95*E62+$B$96*F62)</f>
        <v>-0.10428633976365</v>
      </c>
      <c r="H62" s="17" t="n">
        <f aca="false">G62^2</f>
        <v>0.0108756406612995</v>
      </c>
      <c r="I62" s="17" t="n">
        <f aca="false">C62-E62</f>
        <v>-161.427769981239</v>
      </c>
      <c r="K62" s="17" t="n">
        <f aca="false">I62</f>
        <v>-161.427769981239</v>
      </c>
      <c r="L62" s="17" t="n">
        <f aca="false">D62</f>
        <v>113.326722543846</v>
      </c>
      <c r="M62" s="17" t="n">
        <f aca="false">F62</f>
        <v>0.369601994334412</v>
      </c>
    </row>
    <row r="63" customFormat="false" ht="15" hidden="false" customHeight="false" outlineLevel="0" collapsed="false">
      <c r="A63" s="19" t="str">
        <f aca="false">Datos!A69</f>
        <v>2021Q1</v>
      </c>
      <c r="B63" s="20" t="n">
        <f aca="false">Datos!E69</f>
        <v>0.0323260077948051</v>
      </c>
      <c r="C63" s="20" t="n">
        <f aca="false">Datos!B69</f>
        <v>1492.04128571429</v>
      </c>
      <c r="D63" s="20" t="n">
        <f aca="false">Datos!C67</f>
        <v>118.861573582727</v>
      </c>
      <c r="E63" s="20" t="n">
        <f aca="false">Datos!B64</f>
        <v>2152.12583695652</v>
      </c>
      <c r="F63" s="20" t="n">
        <f aca="false">Datos!D69</f>
        <v>0.175963133598871</v>
      </c>
      <c r="G63" s="17" t="n">
        <f aca="false">B63-($B$92+$B$93*C63+$B$94*D63+$B$95*E63+$B$96*F63)</f>
        <v>-0.0416418690663569</v>
      </c>
      <c r="H63" s="17" t="n">
        <f aca="false">G63^2</f>
        <v>0.00173404525933961</v>
      </c>
      <c r="I63" s="17" t="n">
        <f aca="false">C63-E63</f>
        <v>-660.084551242237</v>
      </c>
      <c r="K63" s="17" t="n">
        <f aca="false">I63</f>
        <v>-660.084551242237</v>
      </c>
      <c r="L63" s="17" t="n">
        <f aca="false">D63</f>
        <v>118.861573582727</v>
      </c>
      <c r="M63" s="17" t="n">
        <f aca="false">F63</f>
        <v>0.175963133598871</v>
      </c>
    </row>
    <row r="64" customFormat="false" ht="15" hidden="false" customHeight="false" outlineLevel="0" collapsed="false">
      <c r="A64" s="19" t="str">
        <f aca="false">Datos!A70</f>
        <v>2021Q2</v>
      </c>
      <c r="B64" s="20" t="n">
        <f aca="false">Datos!E70</f>
        <v>0.187299607796633</v>
      </c>
      <c r="C64" s="20" t="n">
        <f aca="false">Datos!B70</f>
        <v>1543.4644</v>
      </c>
      <c r="D64" s="20" t="n">
        <f aca="false">Datos!C68</f>
        <v>120.343166043481</v>
      </c>
      <c r="E64" s="20" t="n">
        <f aca="false">Datos!B65</f>
        <v>2339.24403614458</v>
      </c>
      <c r="F64" s="20" t="n">
        <f aca="false">Datos!D70</f>
        <v>-0.0687862848682503</v>
      </c>
      <c r="G64" s="17" t="n">
        <f aca="false">B64-($B$92+$B$93*C64+$B$94*D64+$B$95*E64+$B$96*F64)</f>
        <v>0.127813243661795</v>
      </c>
      <c r="H64" s="17" t="n">
        <f aca="false">G64^2</f>
        <v>0.0163362252553493</v>
      </c>
      <c r="I64" s="17" t="n">
        <f aca="false">C64-E64</f>
        <v>-795.779636144579</v>
      </c>
      <c r="K64" s="17" t="n">
        <f aca="false">I64</f>
        <v>-795.779636144579</v>
      </c>
      <c r="L64" s="17" t="n">
        <f aca="false">D64</f>
        <v>120.343166043481</v>
      </c>
      <c r="M64" s="17" t="n">
        <f aca="false">F64</f>
        <v>-0.0687862848682503</v>
      </c>
    </row>
    <row r="65" customFormat="false" ht="15" hidden="false" customHeight="false" outlineLevel="0" collapsed="false">
      <c r="A65" s="19" t="str">
        <f aca="false">Datos!A71</f>
        <v>2021Q3</v>
      </c>
      <c r="B65" s="20" t="n">
        <f aca="false">Datos!E71</f>
        <v>0.118145356665691</v>
      </c>
      <c r="C65" s="20" t="n">
        <f aca="false">Datos!B71</f>
        <v>1568.15139130435</v>
      </c>
      <c r="D65" s="20" t="n">
        <f aca="false">Datos!C69</f>
        <v>121.421515619511</v>
      </c>
      <c r="E65" s="20" t="n">
        <f aca="false">Datos!B66</f>
        <v>3096.11088888889</v>
      </c>
      <c r="F65" s="20" t="n">
        <f aca="false">Datos!D71</f>
        <v>-0.0532486979446212</v>
      </c>
      <c r="G65" s="17" t="n">
        <f aca="false">B65-($B$92+$B$93*C65+$B$94*D65+$B$95*E65+$B$96*F65)</f>
        <v>0.0184904871598258</v>
      </c>
      <c r="H65" s="17" t="n">
        <f aca="false">G65^2</f>
        <v>0.000341898115407684</v>
      </c>
      <c r="I65" s="17" t="n">
        <f aca="false">C65-E65</f>
        <v>-1527.95949758454</v>
      </c>
      <c r="K65" s="17" t="n">
        <f aca="false">I65</f>
        <v>-1527.95949758454</v>
      </c>
      <c r="L65" s="17" t="n">
        <f aca="false">D65</f>
        <v>121.421515619511</v>
      </c>
      <c r="M65" s="17" t="n">
        <f aca="false">F65</f>
        <v>-0.0532486979446212</v>
      </c>
    </row>
    <row r="66" customFormat="false" ht="15" hidden="false" customHeight="false" outlineLevel="0" collapsed="false">
      <c r="A66" s="19" t="str">
        <f aca="false">Datos!A72</f>
        <v>2021Q4</v>
      </c>
      <c r="B66" s="20" t="n">
        <f aca="false">Datos!E72</f>
        <v>0.08364113941174</v>
      </c>
      <c r="C66" s="20" t="n">
        <f aca="false">Datos!B72</f>
        <v>1712.31386956522</v>
      </c>
      <c r="D66" s="20" t="n">
        <f aca="false">Datos!C70</f>
        <v>117.00396201731</v>
      </c>
      <c r="E66" s="20" t="n">
        <f aca="false">Datos!B67</f>
        <v>1998.70695454545</v>
      </c>
      <c r="F66" s="20" t="n">
        <f aca="false">Datos!D72</f>
        <v>-0.0159975558547977</v>
      </c>
      <c r="G66" s="17" t="n">
        <f aca="false">B66-($B$92+$B$93*C66+$B$94*D66+$B$95*E66+$B$96*F66)</f>
        <v>0.0481415008471332</v>
      </c>
      <c r="H66" s="17" t="n">
        <f aca="false">G66^2</f>
        <v>0.00231760410381453</v>
      </c>
      <c r="I66" s="17" t="n">
        <f aca="false">C66-E66</f>
        <v>-286.393084980237</v>
      </c>
      <c r="K66" s="17" t="n">
        <f aca="false">I66</f>
        <v>-286.393084980237</v>
      </c>
      <c r="L66" s="17" t="n">
        <f aca="false">D66</f>
        <v>117.00396201731</v>
      </c>
      <c r="M66" s="17" t="n">
        <f aca="false">F66</f>
        <v>-0.0159975558547977</v>
      </c>
    </row>
    <row r="67" customFormat="false" ht="15" hidden="false" customHeight="false" outlineLevel="0" collapsed="false">
      <c r="A67" s="19" t="str">
        <f aca="false">Datos!A73</f>
        <v>2022Q1</v>
      </c>
      <c r="B67" s="20" t="n">
        <f aca="false">Datos!E73</f>
        <v>0.0686138387185451</v>
      </c>
      <c r="C67" s="20" t="n">
        <f aca="false">Datos!B73</f>
        <v>1807.04372222222</v>
      </c>
      <c r="D67" s="20" t="n">
        <f aca="false">Datos!C71</f>
        <v>111.944179454899</v>
      </c>
      <c r="E67" s="20" t="n">
        <f aca="false">Datos!B68</f>
        <v>1391.81681538462</v>
      </c>
      <c r="F67" s="20" t="n">
        <f aca="false">Datos!D73</f>
        <v>0.0195040598594907</v>
      </c>
      <c r="G67" s="17" t="n">
        <f aca="false">B67-($B$92+$B$93*C67+$B$94*D67+$B$95*E67+$B$96*F67)</f>
        <v>0.0703481985569347</v>
      </c>
      <c r="H67" s="17" t="n">
        <f aca="false">G67^2</f>
        <v>0.00494886904020591</v>
      </c>
      <c r="I67" s="17" t="n">
        <f aca="false">C67-E67</f>
        <v>415.226906837607</v>
      </c>
      <c r="K67" s="17" t="n">
        <f aca="false">I67</f>
        <v>415.226906837607</v>
      </c>
      <c r="L67" s="17" t="n">
        <f aca="false">D67</f>
        <v>111.944179454899</v>
      </c>
      <c r="M67" s="17" t="n">
        <f aca="false">F67</f>
        <v>0.0195040598594907</v>
      </c>
    </row>
    <row r="68" customFormat="false" ht="15" hidden="false" customHeight="false" outlineLevel="0" collapsed="false">
      <c r="A68" s="19" t="str">
        <f aca="false">Datos!A74</f>
        <v>2022Q2</v>
      </c>
      <c r="B68" s="20" t="n">
        <f aca="false">Datos!E74</f>
        <v>0.0813001446194395</v>
      </c>
      <c r="C68" s="20" t="n">
        <f aca="false">Datos!B74</f>
        <v>1918.61072527473</v>
      </c>
      <c r="D68" s="20" t="n">
        <f aca="false">Datos!C72</f>
        <v>103.776206630475</v>
      </c>
      <c r="E68" s="20" t="n">
        <f aca="false">Datos!B69</f>
        <v>1492.04128571429</v>
      </c>
      <c r="F68" s="20" t="n">
        <f aca="false">Datos!D74</f>
        <v>0.0127622795944336</v>
      </c>
      <c r="G68" s="17" t="n">
        <f aca="false">B68-($B$92+$B$93*C68+$B$94*D68+$B$95*E68+$B$96*F68)</f>
        <v>0.0915416865918052</v>
      </c>
      <c r="H68" s="17" t="n">
        <f aca="false">G68^2</f>
        <v>0.00837988038407229</v>
      </c>
      <c r="I68" s="17" t="n">
        <f aca="false">C68-E68</f>
        <v>426.569439560439</v>
      </c>
      <c r="K68" s="17" t="n">
        <f aca="false">I68</f>
        <v>426.569439560439</v>
      </c>
      <c r="L68" s="17" t="n">
        <f aca="false">D68</f>
        <v>103.776206630475</v>
      </c>
      <c r="M68" s="17" t="n">
        <f aca="false">F68</f>
        <v>0.0127622795944336</v>
      </c>
    </row>
    <row r="69" customFormat="false" ht="15" hidden="false" customHeight="false" outlineLevel="0" collapsed="false">
      <c r="A69" s="19" t="str">
        <f aca="false">Datos!A75</f>
        <v>2022Q3</v>
      </c>
      <c r="B69" s="20" t="n">
        <f aca="false">Datos!E75</f>
        <v>0.066844213632383</v>
      </c>
      <c r="C69" s="20" t="n">
        <f aca="false">Datos!B75</f>
        <v>2532.03854666667</v>
      </c>
      <c r="D69" s="20" t="n">
        <f aca="false">Datos!C73</f>
        <v>101.90597985365</v>
      </c>
      <c r="E69" s="20" t="n">
        <f aca="false">Datos!B70</f>
        <v>1543.4644</v>
      </c>
      <c r="F69" s="20" t="n">
        <f aca="false">Datos!D75</f>
        <v>-0.0244173185065185</v>
      </c>
      <c r="G69" s="17" t="n">
        <f aca="false">B69-($B$92+$B$93*C69+$B$94*D69+$B$95*E69+$B$96*F69)</f>
        <v>0.109938899901548</v>
      </c>
      <c r="H69" s="17" t="n">
        <f aca="false">G69^2</f>
        <v>0.0120865617115627</v>
      </c>
      <c r="I69" s="17" t="n">
        <f aca="false">C69-E69</f>
        <v>988.574146666666</v>
      </c>
      <c r="K69" s="17" t="n">
        <f aca="false">I69</f>
        <v>988.574146666666</v>
      </c>
      <c r="L69" s="17" t="n">
        <f aca="false">D69</f>
        <v>101.90597985365</v>
      </c>
      <c r="M69" s="17" t="n">
        <f aca="false">F69</f>
        <v>-0.0244173185065185</v>
      </c>
    </row>
    <row r="70" customFormat="false" ht="15" hidden="false" customHeight="false" outlineLevel="0" collapsed="false">
      <c r="A70" s="19" t="str">
        <f aca="false">Datos!A76</f>
        <v>2022Q4</v>
      </c>
      <c r="B70" s="20" t="n">
        <f aca="false">Datos!E76</f>
        <v>0.023854276267842</v>
      </c>
      <c r="C70" s="20" t="n">
        <f aca="false">Datos!B76</f>
        <v>2462.75393478261</v>
      </c>
      <c r="D70" s="20" t="n">
        <f aca="false">Datos!C74</f>
        <v>97.5439817372457</v>
      </c>
      <c r="E70" s="20" t="n">
        <f aca="false">Datos!B71</f>
        <v>1568.15139130435</v>
      </c>
      <c r="F70" s="20" t="n">
        <f aca="false">Datos!D76</f>
        <v>-0.0496809971557082</v>
      </c>
      <c r="G70" s="17" t="n">
        <f aca="false">B70-($B$92+$B$93*C70+$B$94*D70+$B$95*E70+$B$96*F70)</f>
        <v>0.0686418510875115</v>
      </c>
      <c r="H70" s="17" t="n">
        <f aca="false">G70^2</f>
        <v>0.0047117037207201</v>
      </c>
      <c r="I70" s="17" t="n">
        <f aca="false">C70-E70</f>
        <v>894.602543478262</v>
      </c>
      <c r="K70" s="17" t="n">
        <f aca="false">I70</f>
        <v>894.602543478262</v>
      </c>
      <c r="L70" s="17" t="n">
        <f aca="false">D70</f>
        <v>97.5439817372457</v>
      </c>
      <c r="M70" s="17" t="n">
        <f aca="false">F70</f>
        <v>-0.0496809971557082</v>
      </c>
    </row>
    <row r="71" customFormat="false" ht="15" hidden="false" customHeight="false" outlineLevel="0" collapsed="false">
      <c r="A71" s="19" t="str">
        <f aca="false">Datos!A77</f>
        <v>2023Q1</v>
      </c>
      <c r="B71" s="20" t="n">
        <f aca="false">Datos!E77</f>
        <v>0.00911982377224452</v>
      </c>
      <c r="C71" s="20" t="n">
        <f aca="false">Datos!B77</f>
        <v>2085.99497777778</v>
      </c>
      <c r="D71" s="20" t="n">
        <f aca="false">Datos!C75</f>
        <v>90.9361797327367</v>
      </c>
      <c r="E71" s="20" t="n">
        <f aca="false">Datos!B72</f>
        <v>1712.31386956522</v>
      </c>
      <c r="F71" s="20" t="n">
        <f aca="false">Datos!D77</f>
        <v>-0.0548662138193043</v>
      </c>
      <c r="G71" s="17" t="n">
        <f aca="false">B71-($B$92+$B$93*C71+$B$94*D71+$B$95*E71+$B$96*F71)</f>
        <v>0.0344566784207202</v>
      </c>
      <c r="H71" s="17" t="n">
        <f aca="false">G71^2</f>
        <v>0.00118726268778893</v>
      </c>
      <c r="I71" s="17" t="n">
        <f aca="false">C71-E71</f>
        <v>373.681108212561</v>
      </c>
      <c r="K71" s="17" t="n">
        <f aca="false">I71</f>
        <v>373.681108212561</v>
      </c>
      <c r="L71" s="17" t="n">
        <f aca="false">D71</f>
        <v>90.9361797327367</v>
      </c>
      <c r="M71" s="17" t="n">
        <f aca="false">F71</f>
        <v>-0.0548662138193043</v>
      </c>
    </row>
    <row r="72" customFormat="false" ht="15" hidden="false" customHeight="false" outlineLevel="0" collapsed="false">
      <c r="A72" s="19" t="str">
        <f aca="false">Datos!A78</f>
        <v>2023Q2</v>
      </c>
      <c r="B72" s="20" t="n">
        <f aca="false">Datos!E78</f>
        <v>-0.0567487243252599</v>
      </c>
      <c r="C72" s="20" t="n">
        <f aca="false">Datos!B78</f>
        <v>2482.34095061728</v>
      </c>
      <c r="D72" s="20" t="n">
        <f aca="false">Datos!C76</f>
        <v>90.5516315364442</v>
      </c>
      <c r="E72" s="20" t="n">
        <f aca="false">Datos!B73</f>
        <v>1807.04372222222</v>
      </c>
      <c r="F72" s="20" t="n">
        <f aca="false">Datos!D78</f>
        <v>-0.07604765516223</v>
      </c>
      <c r="G72" s="17" t="n">
        <f aca="false">B72-($B$92+$B$93*C72+$B$94*D72+$B$95*E72+$B$96*F72)</f>
        <v>-0.0143740417064336</v>
      </c>
      <c r="H72" s="17" t="n">
        <f aca="false">G72^2</f>
        <v>0.000206613074978292</v>
      </c>
      <c r="I72" s="17" t="n">
        <f aca="false">C72-E72</f>
        <v>675.297228395062</v>
      </c>
      <c r="K72" s="17" t="n">
        <f aca="false">I72</f>
        <v>675.297228395062</v>
      </c>
      <c r="L72" s="17" t="n">
        <f aca="false">D72</f>
        <v>90.5516315364442</v>
      </c>
      <c r="M72" s="17" t="n">
        <f aca="false">F72</f>
        <v>-0.07604765516223</v>
      </c>
    </row>
    <row r="73" customFormat="false" ht="15" hidden="false" customHeight="false" outlineLevel="0" collapsed="false">
      <c r="A73" s="19" t="str">
        <f aca="false">Datos!A79</f>
        <v>2023Q3</v>
      </c>
      <c r="B73" s="20" t="n">
        <f aca="false">Datos!E79</f>
        <v>-0.00549172525238073</v>
      </c>
      <c r="C73" s="20" t="n">
        <f aca="false">Datos!B79</f>
        <v>2088.37973417722</v>
      </c>
      <c r="D73" s="20" t="n">
        <f aca="false">Datos!C77</f>
        <v>94.4950811377072</v>
      </c>
      <c r="E73" s="20" t="n">
        <f aca="false">Datos!B74</f>
        <v>1918.61072527473</v>
      </c>
      <c r="F73" s="20" t="n">
        <f aca="false">Datos!D79</f>
        <v>-0.131285711761803</v>
      </c>
      <c r="G73" s="17" t="n">
        <f aca="false">B73-($B$92+$B$93*C73+$B$94*D73+$B$95*E73+$B$96*F73)</f>
        <v>0.0132325391460493</v>
      </c>
      <c r="H73" s="17" t="n">
        <f aca="false">G73^2</f>
        <v>0.000175100092251728</v>
      </c>
      <c r="I73" s="17" t="n">
        <f aca="false">C73-E73</f>
        <v>169.76900890249</v>
      </c>
      <c r="K73" s="17" t="n">
        <f aca="false">I73</f>
        <v>169.76900890249</v>
      </c>
      <c r="L73" s="17" t="n">
        <f aca="false">D73</f>
        <v>94.4950811377072</v>
      </c>
      <c r="M73" s="17" t="n">
        <f aca="false">F73</f>
        <v>-0.131285711761803</v>
      </c>
    </row>
    <row r="74" customFormat="false" ht="15" hidden="false" customHeight="false" outlineLevel="0" collapsed="false">
      <c r="A74" s="19" t="str">
        <f aca="false">Datos!A80</f>
        <v>2023Q4</v>
      </c>
      <c r="B74" s="20" t="n">
        <f aca="false">Datos!E80</f>
        <v>-0.0171598554874708</v>
      </c>
      <c r="C74" s="20" t="n">
        <f aca="false">Datos!B80</f>
        <v>2210.46063380282</v>
      </c>
      <c r="D74" s="20" t="n">
        <f aca="false">Datos!C78</f>
        <v>93.6052502637671</v>
      </c>
      <c r="E74" s="20" t="n">
        <f aca="false">Datos!B75</f>
        <v>2532.03854666667</v>
      </c>
      <c r="F74" s="20" t="n">
        <f aca="false">Datos!D80</f>
        <v>-0.236116080959184</v>
      </c>
      <c r="G74" s="17" t="n">
        <f aca="false">B74-($B$92+$B$93*C74+$B$94*D74+$B$95*E74+$B$96*F74)</f>
        <v>-0.0133238277200942</v>
      </c>
      <c r="H74" s="17" t="n">
        <f aca="false">G74^2</f>
        <v>0.000177524385114749</v>
      </c>
      <c r="I74" s="17" t="n">
        <f aca="false">C74-E74</f>
        <v>-321.577912863848</v>
      </c>
      <c r="K74" s="17" t="n">
        <f aca="false">I74</f>
        <v>-321.577912863848</v>
      </c>
      <c r="L74" s="17" t="n">
        <f aca="false">D74</f>
        <v>93.6052502637671</v>
      </c>
      <c r="M74" s="17" t="n">
        <f aca="false">F74</f>
        <v>-0.236116080959184</v>
      </c>
    </row>
    <row r="75" customFormat="false" ht="15" hidden="false" customHeight="false" outlineLevel="0" collapsed="false">
      <c r="A75" s="19" t="str">
        <f aca="false">Datos!A81</f>
        <v>2024Q1</v>
      </c>
      <c r="B75" s="20" t="n">
        <f aca="false">Datos!E81</f>
        <v>-0.0496170325779741</v>
      </c>
      <c r="C75" s="20" t="n">
        <f aca="false">Datos!B81</f>
        <v>1755.52208</v>
      </c>
      <c r="D75" s="20" t="n">
        <f aca="false">Datos!C79</f>
        <v>100.44541486408</v>
      </c>
      <c r="E75" s="20" t="n">
        <f aca="false">Datos!B76</f>
        <v>2462.75393478261</v>
      </c>
      <c r="F75" s="20" t="n">
        <f aca="false">Datos!D81</f>
        <v>-0.335645872225436</v>
      </c>
      <c r="G75" s="17" t="n">
        <f aca="false">B75-($B$92+$B$93*C75+$B$94*D75+$B$95*E75+$B$96*F75)</f>
        <v>-0.0616558814373538</v>
      </c>
      <c r="H75" s="17" t="n">
        <f aca="false">G75^2</f>
        <v>0.00380144771581703</v>
      </c>
      <c r="I75" s="17" t="n">
        <f aca="false">C75-E75</f>
        <v>-707.231854782609</v>
      </c>
      <c r="K75" s="17" t="n">
        <f aca="false">I75</f>
        <v>-707.231854782609</v>
      </c>
      <c r="L75" s="17" t="n">
        <f aca="false">D75</f>
        <v>100.44541486408</v>
      </c>
      <c r="M75" s="17" t="n">
        <f aca="false">F75</f>
        <v>-0.335645872225436</v>
      </c>
    </row>
    <row r="76" customFormat="false" ht="15" hidden="false" customHeight="false" outlineLevel="0" collapsed="false">
      <c r="A76" s="19" t="str">
        <f aca="false">Datos!A82</f>
        <v>2024Q2</v>
      </c>
      <c r="B76" s="20" t="n">
        <f aca="false">Datos!E82</f>
        <v>-0.0108329991805178</v>
      </c>
      <c r="C76" s="20" t="n">
        <f aca="false">Datos!B82</f>
        <v>1343.77188059702</v>
      </c>
      <c r="D76" s="20" t="n">
        <f aca="false">Datos!C80</f>
        <v>99.2285100573296</v>
      </c>
      <c r="E76" s="20" t="n">
        <f aca="false">Datos!B77</f>
        <v>2085.99497777778</v>
      </c>
      <c r="F76" s="20" t="n">
        <f aca="false">Datos!D82</f>
        <v>-0.251664772237069</v>
      </c>
      <c r="G76" s="17" t="n">
        <f aca="false">B76-($B$92+$B$93*C76+$B$94*D76+$B$95*E76+$B$96*F76)</f>
        <v>-0.0305703284205379</v>
      </c>
      <c r="H76" s="17" t="n">
        <f aca="false">G76^2</f>
        <v>0.000934544979739548</v>
      </c>
      <c r="I76" s="17" t="n">
        <f aca="false">C76-E76</f>
        <v>-742.223097180763</v>
      </c>
      <c r="K76" s="17" t="n">
        <f aca="false">I76</f>
        <v>-742.223097180763</v>
      </c>
      <c r="L76" s="17" t="n">
        <f aca="false">D76</f>
        <v>99.2285100573296</v>
      </c>
      <c r="M76" s="17" t="n">
        <f aca="false">F76</f>
        <v>-0.251664772237069</v>
      </c>
    </row>
    <row r="77" customFormat="false" ht="15" hidden="false" customHeight="false" outlineLevel="0" collapsed="false">
      <c r="A77" s="19" t="str">
        <f aca="false">Datos!A83</f>
        <v>2024Q3</v>
      </c>
      <c r="B77" s="20" t="n">
        <f aca="false">Datos!E83</f>
        <v>-0.0193706719869603</v>
      </c>
      <c r="C77" s="20" t="n">
        <f aca="false">Datos!B83</f>
        <v>1484.54545454546</v>
      </c>
      <c r="D77" s="20" t="n">
        <f aca="false">Datos!C81</f>
        <v>118.126806046344</v>
      </c>
      <c r="E77" s="20" t="n">
        <f aca="false">Datos!B78</f>
        <v>2482.34095061728</v>
      </c>
      <c r="F77" s="20" t="n">
        <f aca="false">Datos!D83</f>
        <v>-0.193270893828479</v>
      </c>
      <c r="G77" s="17" t="n">
        <f aca="false">B77-($B$92+$B$93*C77+$B$94*D77+$B$95*E77+$B$96*F77)</f>
        <v>-0.0754230316508993</v>
      </c>
      <c r="H77" s="17" t="n">
        <f aca="false">G77^2</f>
        <v>0.00568863370341256</v>
      </c>
      <c r="I77" s="17" t="n">
        <f aca="false">C77-E77</f>
        <v>-997.795496071829</v>
      </c>
      <c r="K77" s="17" t="n">
        <f aca="false">I77</f>
        <v>-997.795496071829</v>
      </c>
      <c r="L77" s="17" t="n">
        <f aca="false">D77</f>
        <v>118.126806046344</v>
      </c>
      <c r="M77" s="17" t="n">
        <f aca="false">F77</f>
        <v>-0.193270893828479</v>
      </c>
    </row>
    <row r="78" customFormat="false" ht="15" hidden="false" customHeight="false" outlineLevel="0" collapsed="false">
      <c r="A78" s="19" t="str">
        <f aca="false">Datos!A84</f>
        <v>2024Q4</v>
      </c>
      <c r="B78" s="20" t="n">
        <f aca="false">Datos!E84</f>
        <v>0.0263829611146622</v>
      </c>
      <c r="C78" s="20" t="n">
        <f aca="false">Datos!B84</f>
        <v>920.4</v>
      </c>
      <c r="D78" s="20" t="n">
        <f aca="false">Datos!C82</f>
        <v>93.4450993912456</v>
      </c>
      <c r="E78" s="20" t="n">
        <f aca="false">Datos!B79</f>
        <v>2088.37973417722</v>
      </c>
      <c r="F78" s="20" t="n">
        <f aca="false">Datos!D84</f>
        <v>0.0165797586683372</v>
      </c>
      <c r="G78" s="17" t="n">
        <f aca="false">B78-($B$92+$B$93*C78+$B$94*D78+$B$95*E78+$B$96*F78)</f>
        <v>-0.0341927668680234</v>
      </c>
      <c r="H78" s="17" t="n">
        <f aca="false">G78^2</f>
        <v>0.001169145306091</v>
      </c>
      <c r="I78" s="17" t="n">
        <f aca="false">C78-E78</f>
        <v>-1167.97973417722</v>
      </c>
      <c r="K78" s="17" t="n">
        <f aca="false">I78</f>
        <v>-1167.97973417722</v>
      </c>
      <c r="L78" s="17" t="n">
        <f aca="false">D78</f>
        <v>93.4450993912456</v>
      </c>
      <c r="M78" s="17" t="n">
        <f aca="false">F78</f>
        <v>0.0165797586683372</v>
      </c>
    </row>
    <row r="79" customFormat="false" ht="15" hidden="false" customHeight="false" outlineLevel="0" collapsed="false">
      <c r="A79" s="19" t="str">
        <f aca="false">Datos!A85</f>
        <v>2025Q1</v>
      </c>
      <c r="B79" s="20" t="n">
        <f aca="false">Datos!E85</f>
        <v>0.0583747415748432</v>
      </c>
      <c r="C79" s="20" t="n">
        <f aca="false">Datos!B85</f>
        <v>684.538461538462</v>
      </c>
      <c r="D79" s="20" t="n">
        <f aca="false">Datos!C83</f>
        <v>87.0209900076756</v>
      </c>
      <c r="E79" s="20" t="n">
        <f aca="false">Datos!B80</f>
        <v>2210.46063380282</v>
      </c>
      <c r="F79" s="20" t="n">
        <f aca="false">Datos!D85</f>
        <v>0.265562805722639</v>
      </c>
      <c r="G79" s="17" t="n">
        <f aca="false">B79-($B$92+$B$93*C79+$B$94*D79+$B$95*E79+$B$96*F79)</f>
        <v>-0.0375428158731591</v>
      </c>
      <c r="H79" s="17" t="n">
        <f aca="false">G79^2</f>
        <v>0.00140946302368593</v>
      </c>
      <c r="I79" s="17" t="n">
        <f aca="false">C79-E79</f>
        <v>-1525.92217226436</v>
      </c>
      <c r="K79" s="17" t="n">
        <f aca="false">I79</f>
        <v>-1525.92217226436</v>
      </c>
      <c r="L79" s="17" t="n">
        <f aca="false">D79</f>
        <v>87.0209900076756</v>
      </c>
      <c r="M79" s="17" t="n">
        <f aca="false">F79</f>
        <v>0.265562805722639</v>
      </c>
    </row>
    <row r="80" customFormat="false" ht="15" hidden="false" customHeight="false" outlineLevel="0" collapsed="false">
      <c r="A80" s="19" t="str">
        <f aca="false">Datos!A86</f>
        <v>2025Q2</v>
      </c>
      <c r="B80" s="20" t="n">
        <f aca="false">Datos!E86</f>
        <v>0.0638141408959982</v>
      </c>
      <c r="C80" s="20" t="n">
        <f aca="false">Datos!B86</f>
        <v>723.846153846154</v>
      </c>
      <c r="D80" s="20" t="n">
        <f aca="false">Datos!C84</f>
        <v>81.8555760451323</v>
      </c>
      <c r="E80" s="20" t="n">
        <f aca="false">Datos!B81</f>
        <v>1755.52208</v>
      </c>
      <c r="F80" s="20" t="n">
        <f aca="false">Datos!D86</f>
        <v>0.240817001757097</v>
      </c>
      <c r="G80" s="17" t="n">
        <f aca="false">B80-($B$92+$B$93*C80+$B$94*D80+$B$95*E80+$B$96*F80)</f>
        <v>0.000318755956611114</v>
      </c>
      <c r="H80" s="17" t="n">
        <f aca="false">G80^2</f>
        <v>1.01605359875066E-007</v>
      </c>
      <c r="I80" s="17" t="n">
        <f aca="false">C80-E80</f>
        <v>-1031.67592615385</v>
      </c>
      <c r="K80" s="17" t="n">
        <f aca="false">I80</f>
        <v>-1031.67592615385</v>
      </c>
      <c r="L80" s="17" t="n">
        <f aca="false">D80</f>
        <v>81.8555760451323</v>
      </c>
      <c r="M80" s="17" t="n">
        <f aca="false">F80</f>
        <v>0.240817001757097</v>
      </c>
    </row>
    <row r="81" customFormat="false" ht="15" hidden="false" customHeight="false" outlineLevel="0" collapsed="false">
      <c r="A81" s="19" t="str">
        <f aca="false">Datos!A87</f>
        <v>2025Q3</v>
      </c>
      <c r="B81" s="20" t="n">
        <f aca="false">Datos!E87</f>
        <v>0.0325690447876617</v>
      </c>
      <c r="C81" s="20" t="n">
        <f aca="false">Datos!B87</f>
        <v>866.153846153846</v>
      </c>
      <c r="D81" s="20" t="n">
        <f aca="false">Datos!C85</f>
        <v>80.4133372039356</v>
      </c>
      <c r="E81" s="20" t="n">
        <f aca="false">Datos!B82</f>
        <v>1343.77188059702</v>
      </c>
      <c r="F81" s="20" t="n">
        <f aca="false">Datos!D87</f>
        <v>0.180053312281566</v>
      </c>
      <c r="G81" s="17" t="n">
        <f aca="false">B81-($B$92+$B$93*C81+$B$94*D81+$B$95*E81+$B$96*F81)</f>
        <v>0.00430637042605362</v>
      </c>
      <c r="H81" s="17" t="n">
        <f aca="false">G81^2</f>
        <v>1.85448262463892E-005</v>
      </c>
      <c r="I81" s="17" t="n">
        <f aca="false">C81-E81</f>
        <v>-477.618034443169</v>
      </c>
      <c r="K81" s="17" t="n">
        <f aca="false">I81</f>
        <v>-477.618034443169</v>
      </c>
      <c r="L81" s="17" t="n">
        <f aca="false">D81</f>
        <v>80.4133372039356</v>
      </c>
      <c r="M81" s="17" t="n">
        <f aca="false">F81</f>
        <v>0.180053312281566</v>
      </c>
    </row>
    <row r="82" customFormat="false" ht="15" hidden="false" customHeight="false" outlineLevel="0" collapsed="false">
      <c r="A82" s="19" t="str">
        <f aca="false">Datos!A88</f>
        <v>2025Q4</v>
      </c>
      <c r="B82" s="20" t="n">
        <f aca="false">Datos!E88</f>
        <v>0.0205805070747371</v>
      </c>
      <c r="C82" s="20" t="n">
        <f aca="false">Datos!B88</f>
        <v>753</v>
      </c>
      <c r="D82" s="20" t="n">
        <f aca="false">Datos!C86</f>
        <v>84.1091031792138</v>
      </c>
      <c r="E82" s="20" t="n">
        <f aca="false">Datos!B83</f>
        <v>1484.54545454546</v>
      </c>
      <c r="F82" s="20" t="n">
        <f aca="false">Datos!D88</f>
        <v>0.105017787438131</v>
      </c>
      <c r="G82" s="17" t="n">
        <f aca="false">B82-($B$92+$B$93*C82+$B$94*D82+$B$95*E82+$B$96*F82)</f>
        <v>-0.0168850773348851</v>
      </c>
      <c r="H82" s="17" t="n">
        <f aca="false">G82^2</f>
        <v>0.00028510583660505</v>
      </c>
      <c r="I82" s="17" t="n">
        <f aca="false">C82-E82</f>
        <v>-731.545454545455</v>
      </c>
      <c r="K82" s="17" t="n">
        <f aca="false">I82</f>
        <v>-731.545454545455</v>
      </c>
      <c r="L82" s="17" t="n">
        <f aca="false">D82</f>
        <v>84.1091031792138</v>
      </c>
      <c r="M82" s="17" t="n">
        <f aca="false">F82</f>
        <v>0.105017787438131</v>
      </c>
    </row>
    <row r="83" customFormat="false" ht="15" hidden="false" customHeight="false" outlineLevel="0" collapsed="false">
      <c r="A83" s="19" t="str">
        <f aca="false">Datos!A89</f>
        <v>2026Q1</v>
      </c>
      <c r="B83" s="20" t="n">
        <f aca="false">Datos!E89</f>
        <v>0.024694045208276</v>
      </c>
      <c r="C83" s="20" t="n">
        <f aca="false">Datos!B89</f>
        <v>536.222222222222</v>
      </c>
      <c r="D83" s="20" t="n">
        <f aca="false">Datos!C87</f>
        <v>95.3861995055744</v>
      </c>
      <c r="E83" s="20" t="n">
        <f aca="false">Datos!B84</f>
        <v>920.4</v>
      </c>
      <c r="F83" s="20" t="n">
        <f aca="false">Datos!D89</f>
        <v>0.00536818485745405</v>
      </c>
      <c r="G83" s="17" t="n">
        <f aca="false">B83-($B$92+$B$93*C83+$B$94*D83+$B$95*E83+$B$96*F83)</f>
        <v>0.00449875224609325</v>
      </c>
      <c r="H83" s="17" t="n">
        <f aca="false">G83^2</f>
        <v>2.0238771771729E-005</v>
      </c>
      <c r="I83" s="17" t="n">
        <f aca="false">C83-E83</f>
        <v>-384.177777777778</v>
      </c>
      <c r="K83" s="17" t="n">
        <f aca="false">I83</f>
        <v>-384.177777777778</v>
      </c>
      <c r="L83" s="17" t="n">
        <f aca="false">D83</f>
        <v>95.3861995055744</v>
      </c>
      <c r="M83" s="17" t="n">
        <f aca="false">F83</f>
        <v>0.00536818485745405</v>
      </c>
    </row>
    <row r="90" customFormat="false" ht="15" hidden="false" customHeight="false" outlineLevel="0" collapsed="false">
      <c r="A90" s="21" t="s">
        <v>186</v>
      </c>
      <c r="B90" s="22"/>
      <c r="C90" s="22"/>
      <c r="D90" s="22"/>
      <c r="E90" s="22"/>
      <c r="F90" s="22"/>
    </row>
    <row r="91" customFormat="false" ht="15" hidden="false" customHeight="false" outlineLevel="0" collapsed="false">
      <c r="A91" s="11" t="s">
        <v>16</v>
      </c>
      <c r="B91" s="11" t="s">
        <v>17</v>
      </c>
      <c r="C91" s="11" t="s">
        <v>152</v>
      </c>
      <c r="D91" s="11" t="s">
        <v>19</v>
      </c>
      <c r="E91" s="11" t="s">
        <v>24</v>
      </c>
      <c r="F91" s="23" t="n">
        <f aca="false">INDEX(LINEST($B$6:$B$83,$C$6:$F$83,TRUE(),TRUE()),4,2)</f>
        <v>73</v>
      </c>
    </row>
    <row r="92" customFormat="false" ht="15" hidden="false" customHeight="false" outlineLevel="0" collapsed="false">
      <c r="A92" s="24" t="s">
        <v>153</v>
      </c>
      <c r="B92" s="25" t="n">
        <f aca="false">INDEX(LINEST($B$6:$B$83,$C$6:$F$83,TRUE(),TRUE()),1,5)</f>
        <v>-0.089025408873469</v>
      </c>
      <c r="C92" s="8" t="n">
        <f aca="false">INDEX(LINEST($B$6:$B$83,$C$6:$F$83,TRUE(),TRUE()),2,5)</f>
        <v>0.0303461635880135</v>
      </c>
      <c r="D92" s="5" t="n">
        <f aca="false">B92/C92</f>
        <v>-2.93366272198682</v>
      </c>
      <c r="E92" s="6" t="n">
        <f aca="false">TDIST(ABS(D92),$F$91,2)</f>
        <v>0.00447394789256977</v>
      </c>
    </row>
    <row r="93" customFormat="false" ht="15" hidden="false" customHeight="false" outlineLevel="0" collapsed="false">
      <c r="A93" s="24" t="s">
        <v>178</v>
      </c>
      <c r="B93" s="25" t="n">
        <f aca="false">INDEX(LINEST($B$6:$B$83,$C$6:$F$83,TRUE(),TRUE()),1,4)</f>
        <v>-4.93824463986368E-005</v>
      </c>
      <c r="C93" s="8" t="n">
        <f aca="false">INDEX(LINEST($B$6:$B$83,$C$6:$F$83,TRUE(),TRUE()),2,4)</f>
        <v>9.20525458209737E-006</v>
      </c>
      <c r="D93" s="5" t="n">
        <f aca="false">B93/C93</f>
        <v>-5.36459322859763</v>
      </c>
      <c r="E93" s="6" t="n">
        <f aca="false">TDIST(ABS(D93),$F$91,2)</f>
        <v>9.14586044878533E-007</v>
      </c>
    </row>
    <row r="94" customFormat="false" ht="15" hidden="false" customHeight="false" outlineLevel="0" collapsed="false">
      <c r="A94" s="24" t="s">
        <v>179</v>
      </c>
      <c r="B94" s="25" t="n">
        <f aca="false">INDEX(LINEST($B$6:$B$83,$C$6:$F$83,TRUE(),TRUE()),1,3)</f>
        <v>0.00092094806821463</v>
      </c>
      <c r="C94" s="8" t="n">
        <f aca="false">INDEX(LINEST($B$6:$B$83,$C$6:$F$83,TRUE(),TRUE()),2,3)</f>
        <v>0.000230287337175177</v>
      </c>
      <c r="D94" s="5" t="n">
        <f aca="false">B94/C94</f>
        <v>3.99912595938384</v>
      </c>
      <c r="E94" s="6" t="n">
        <f aca="false">TDIST(ABS(D94),$F$91,2)</f>
        <v>0.000150646690175434</v>
      </c>
    </row>
    <row r="95" customFormat="false" ht="15" hidden="false" customHeight="false" outlineLevel="0" collapsed="false">
      <c r="A95" s="24" t="s">
        <v>180</v>
      </c>
      <c r="B95" s="25" t="n">
        <f aca="false">INDEX(LINEST($B$6:$B$83,$C$6:$F$83,TRUE(),TRUE()),1,2)</f>
        <v>5.14471168057491E-005</v>
      </c>
      <c r="C95" s="8" t="n">
        <f aca="false">INDEX(LINEST($B$6:$B$83,$C$6:$F$83,TRUE(),TRUE()),2,2)</f>
        <v>9.2225099778221E-006</v>
      </c>
      <c r="D95" s="5" t="n">
        <f aca="false">B95/C95</f>
        <v>5.57842896667685</v>
      </c>
      <c r="E95" s="6" t="n">
        <f aca="false">TDIST(ABS(D95),$F$91,2)</f>
        <v>3.88887421368877E-007</v>
      </c>
    </row>
    <row r="96" customFormat="false" ht="15" hidden="false" customHeight="false" outlineLevel="0" collapsed="false">
      <c r="A96" s="24" t="s">
        <v>181</v>
      </c>
      <c r="B96" s="25" t="n">
        <f aca="false">INDEX(LINEST($B$6:$B$83,$C$6:$F$83,TRUE(),TRUE()),1,1)</f>
        <v>0.0937010402305046</v>
      </c>
      <c r="C96" s="8" t="n">
        <f aca="false">INDEX(LINEST($B$6:$B$83,$C$6:$F$83,TRUE(),TRUE()),2,1)</f>
        <v>0.0423762215278336</v>
      </c>
      <c r="D96" s="5" t="n">
        <f aca="false">B96/C96</f>
        <v>2.21117024718591</v>
      </c>
      <c r="E96" s="6" t="n">
        <f aca="false">TDIST(ABS(D96),$F$91,2)</f>
        <v>0.0301560255311509</v>
      </c>
    </row>
    <row r="98" customFormat="false" ht="15" hidden="false" customHeight="false" outlineLevel="0" collapsed="false">
      <c r="A98" s="21" t="s">
        <v>157</v>
      </c>
      <c r="B98" s="22"/>
      <c r="C98" s="22"/>
      <c r="D98" s="22"/>
      <c r="E98" s="22"/>
      <c r="F98" s="22"/>
    </row>
    <row r="99" customFormat="false" ht="15" hidden="false" customHeight="false" outlineLevel="0" collapsed="false">
      <c r="A99" s="24" t="s">
        <v>158</v>
      </c>
      <c r="B99" s="5" t="n">
        <f aca="false">COUNT($B$6:$B$83)</f>
        <v>78</v>
      </c>
    </row>
    <row r="100" customFormat="false" ht="15" hidden="false" customHeight="false" outlineLevel="0" collapsed="false">
      <c r="A100" s="24" t="s">
        <v>7</v>
      </c>
      <c r="B100" s="5" t="n">
        <v>5</v>
      </c>
    </row>
    <row r="101" customFormat="false" ht="15" hidden="false" customHeight="false" outlineLevel="0" collapsed="false">
      <c r="A101" s="24" t="s">
        <v>8</v>
      </c>
      <c r="B101" s="6" t="n">
        <f aca="false">INDEX(LINEST($B$6:$B$83,$C$6:$F$83,TRUE(),TRUE()),3,1)</f>
        <v>0.447523775275285</v>
      </c>
    </row>
    <row r="102" customFormat="false" ht="15" hidden="false" customHeight="false" outlineLevel="0" collapsed="false">
      <c r="A102" s="24" t="s">
        <v>9</v>
      </c>
      <c r="B102" s="26" t="n">
        <f aca="false">1-(1-B101)*(B99-1)/(B99-B100)</f>
        <v>0.417251105427356</v>
      </c>
    </row>
    <row r="103" customFormat="false" ht="15" hidden="false" customHeight="false" outlineLevel="0" collapsed="false">
      <c r="A103" s="24" t="s">
        <v>10</v>
      </c>
      <c r="B103" s="8" t="n">
        <f aca="false">INDEX(LINEST($B$6:$B$83,$C$6:$F$83,TRUE(),TRUE()),5,2)</f>
        <v>0.158708431158188</v>
      </c>
    </row>
    <row r="104" customFormat="false" ht="15" hidden="false" customHeight="false" outlineLevel="0" collapsed="false">
      <c r="A104" s="24" t="s">
        <v>159</v>
      </c>
      <c r="B104" s="6" t="n">
        <f aca="false">-B99/2*(LN(2*PI())+LN(B103/B99)+1)</f>
        <v>131.021213183273</v>
      </c>
    </row>
    <row r="105" customFormat="false" ht="15" hidden="false" customHeight="false" outlineLevel="0" collapsed="false">
      <c r="A105" s="24" t="s">
        <v>11</v>
      </c>
      <c r="B105" s="27" t="n">
        <f aca="false">-2*B104+2*B100</f>
        <v>-252.042426366545</v>
      </c>
    </row>
    <row r="106" customFormat="false" ht="15" hidden="false" customHeight="false" outlineLevel="0" collapsed="false">
      <c r="A106" s="24" t="s">
        <v>12</v>
      </c>
      <c r="B106" s="27" t="n">
        <f aca="false">-2*B104+LN(B99)*B100</f>
        <v>-240.258882233097</v>
      </c>
    </row>
    <row r="108" customFormat="false" ht="15" hidden="false" customHeight="false" outlineLevel="0" collapsed="false">
      <c r="A108" s="21" t="s">
        <v>187</v>
      </c>
      <c r="B108" s="22"/>
      <c r="C108" s="22"/>
      <c r="D108" s="22"/>
      <c r="E108" s="22"/>
      <c r="F108" s="22"/>
    </row>
    <row r="109" customFormat="false" ht="15" hidden="false" customHeight="false" outlineLevel="0" collapsed="false">
      <c r="A109" s="2" t="s">
        <v>188</v>
      </c>
    </row>
    <row r="110" customFormat="false" ht="15" hidden="false" customHeight="false" outlineLevel="0" collapsed="false">
      <c r="A110" s="24" t="s">
        <v>189</v>
      </c>
      <c r="B110" s="8" t="n">
        <f aca="false">B103</f>
        <v>0.158708431158188</v>
      </c>
    </row>
    <row r="111" customFormat="false" ht="15" hidden="false" customHeight="false" outlineLevel="0" collapsed="false">
      <c r="A111" s="24" t="s">
        <v>190</v>
      </c>
      <c r="B111" s="8" t="n">
        <f aca="false">INDEX(LINEST($B$6:$B$83,$K$6:$M$83,TRUE(),TRUE()),5,2)</f>
        <v>0.158806264555174</v>
      </c>
    </row>
    <row r="112" customFormat="false" ht="15" hidden="false" customHeight="false" outlineLevel="0" collapsed="false">
      <c r="A112" s="24" t="s">
        <v>191</v>
      </c>
      <c r="B112" s="5" t="n">
        <v>1</v>
      </c>
    </row>
    <row r="113" customFormat="false" ht="15" hidden="false" customHeight="false" outlineLevel="0" collapsed="false">
      <c r="A113" s="24" t="s">
        <v>174</v>
      </c>
      <c r="B113" s="5" t="n">
        <f aca="false">F91</f>
        <v>73</v>
      </c>
    </row>
    <row r="114" customFormat="false" ht="15" hidden="false" customHeight="false" outlineLevel="0" collapsed="false">
      <c r="A114" s="24" t="s">
        <v>23</v>
      </c>
      <c r="B114" s="34" t="n">
        <f aca="false">((B111-B110)/B112)/(B110/B113)</f>
        <v>0.0449997390048873</v>
      </c>
    </row>
    <row r="115" customFormat="false" ht="15" hidden="false" customHeight="false" outlineLevel="0" collapsed="false">
      <c r="A115" s="24" t="s">
        <v>24</v>
      </c>
      <c r="B115" s="26" t="n">
        <f aca="false">FDIST(B114,B112,B113)</f>
        <v>0.832595696448995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4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192</v>
      </c>
    </row>
    <row r="2" customFormat="false" ht="15" hidden="false" customHeight="false" outlineLevel="0" collapsed="false">
      <c r="A2" s="2" t="s">
        <v>193</v>
      </c>
    </row>
    <row r="4" customFormat="false" ht="15" hidden="false" customHeight="false" outlineLevel="0" collapsed="false">
      <c r="A4" s="21" t="s">
        <v>194</v>
      </c>
      <c r="B4" s="22"/>
      <c r="C4" s="22"/>
      <c r="D4" s="22"/>
      <c r="E4" s="22"/>
      <c r="F4" s="22"/>
    </row>
    <row r="5" customFormat="false" ht="15" hidden="false" customHeight="false" outlineLevel="0" collapsed="false">
      <c r="A5" s="10" t="s">
        <v>13</v>
      </c>
      <c r="B5" s="35" t="s">
        <v>195</v>
      </c>
      <c r="C5" s="35" t="s">
        <v>196</v>
      </c>
      <c r="D5" s="35" t="s">
        <v>197</v>
      </c>
    </row>
    <row r="6" customFormat="false" ht="15" hidden="false" customHeight="false" outlineLevel="0" collapsed="false">
      <c r="B6" s="36" t="n">
        <f aca="false">SUMXMY2(Modelo_Base!G7:G83,Modelo_Base!G6:G82)/SUMSQ(Modelo_Base!G6:G83)</f>
        <v>0.8314073742867</v>
      </c>
      <c r="C6" s="36" t="n">
        <f aca="false">SUMXMY2(Modelo_Nuevo!L7:L83,Modelo_Nuevo!L6:L82)/SUMSQ(Modelo_Nuevo!L6:L83)</f>
        <v>1.08014432246823</v>
      </c>
      <c r="D6" s="36" t="n">
        <f aca="false">SUMXMY2(Modelo_Nuevo!R7:R83,Modelo_Nuevo!R6:R82)/SUMSQ(Modelo_Nuevo!R6:R83)</f>
        <v>0.904887172784069</v>
      </c>
    </row>
    <row r="8" customFormat="false" ht="15" hidden="false" customHeight="false" outlineLevel="0" collapsed="false">
      <c r="A8" s="10" t="s">
        <v>198</v>
      </c>
    </row>
    <row r="9" customFormat="false" ht="15" hidden="false" customHeight="false" outlineLevel="0" collapsed="false">
      <c r="A9" s="35" t="s">
        <v>199</v>
      </c>
      <c r="B9" s="35" t="s">
        <v>200</v>
      </c>
      <c r="C9" s="35" t="s">
        <v>201</v>
      </c>
      <c r="E9" s="2" t="s">
        <v>202</v>
      </c>
    </row>
    <row r="10" customFormat="false" ht="15" hidden="false" customHeight="false" outlineLevel="0" collapsed="false">
      <c r="A10" s="12" t="n">
        <v>1</v>
      </c>
      <c r="B10" s="13" t="n">
        <f aca="false">SUMPRODUCT(Modelo_Base!G7:G83,Modelo_Base!G6:G82)/SUMSQ(Modelo_Base!G6:G83)</f>
        <v>0.58333657276529</v>
      </c>
      <c r="C10" s="13" t="n">
        <f aca="false">SUMPRODUCT(Modelo_Nuevo!L7:L83,Modelo_Nuevo!L6:L82)/SUMSQ(Modelo_Nuevo!L6:L83)</f>
        <v>0.444703962758953</v>
      </c>
    </row>
    <row r="11" customFormat="false" ht="15" hidden="false" customHeight="false" outlineLevel="0" collapsed="false">
      <c r="A11" s="12" t="n">
        <v>2</v>
      </c>
      <c r="B11" s="13" t="n">
        <f aca="false">SUMPRODUCT(Modelo_Base!G8:G83,Modelo_Base!G6:G81)/SUMSQ(Modelo_Base!G6:G83)</f>
        <v>0.266763726111005</v>
      </c>
      <c r="C11" s="13" t="n">
        <f aca="false">SUMPRODUCT(Modelo_Nuevo!L8:L83,Modelo_Nuevo!L6:L81)/SUMSQ(Modelo_Nuevo!L6:L83)</f>
        <v>0.328228787024259</v>
      </c>
    </row>
    <row r="12" customFormat="false" ht="15" hidden="false" customHeight="false" outlineLevel="0" collapsed="false">
      <c r="A12" s="12" t="n">
        <v>3</v>
      </c>
      <c r="B12" s="13" t="n">
        <f aca="false">SUMPRODUCT(Modelo_Base!G9:G83,Modelo_Base!G6:G80)/SUMSQ(Modelo_Base!G6:G83)</f>
        <v>-0.030533375135861</v>
      </c>
      <c r="C12" s="13" t="n">
        <f aca="false">SUMPRODUCT(Modelo_Nuevo!L9:L83,Modelo_Nuevo!L6:L80)/SUMSQ(Modelo_Nuevo!L6:L83)</f>
        <v>0.158752224692532</v>
      </c>
    </row>
    <row r="13" customFormat="false" ht="15" hidden="false" customHeight="false" outlineLevel="0" collapsed="false">
      <c r="A13" s="12" t="n">
        <v>4</v>
      </c>
      <c r="B13" s="13" t="n">
        <f aca="false">SUMPRODUCT(Modelo_Base!G10:G83,Modelo_Base!G6:G79)/SUMSQ(Modelo_Base!G6:G83)</f>
        <v>-0.301530340797276</v>
      </c>
      <c r="C13" s="13" t="n">
        <f aca="false">SUMPRODUCT(Modelo_Nuevo!L10:L83,Modelo_Nuevo!L6:L79)/SUMSQ(Modelo_Nuevo!L6:L83)</f>
        <v>-0.213524988046107</v>
      </c>
    </row>
    <row r="14" customFormat="false" ht="15" hidden="false" customHeight="false" outlineLevel="0" collapsed="false">
      <c r="A14" s="12" t="n">
        <v>5</v>
      </c>
      <c r="B14" s="13" t="n">
        <f aca="false">SUMPRODUCT(Modelo_Base!G11:G83,Modelo_Base!G6:G78)/SUMSQ(Modelo_Base!G6:G83)</f>
        <v>-0.198337044113442</v>
      </c>
      <c r="C14" s="13" t="n">
        <f aca="false">SUMPRODUCT(Modelo_Nuevo!L11:L83,Modelo_Nuevo!L6:L78)/SUMSQ(Modelo_Nuevo!L6:L83)</f>
        <v>-0.0240012505185032</v>
      </c>
    </row>
    <row r="15" customFormat="false" ht="15" hidden="false" customHeight="false" outlineLevel="0" collapsed="false">
      <c r="A15" s="12" t="n">
        <v>6</v>
      </c>
      <c r="B15" s="13" t="n">
        <f aca="false">SUMPRODUCT(Modelo_Base!G12:G83,Modelo_Base!G6:G77)/SUMSQ(Modelo_Base!G6:G83)</f>
        <v>-0.19738619536987</v>
      </c>
      <c r="C15" s="13" t="n">
        <f aca="false">SUMPRODUCT(Modelo_Nuevo!L12:L83,Modelo_Nuevo!L6:L77)/SUMSQ(Modelo_Nuevo!L6:L83)</f>
        <v>-0.0662054189498618</v>
      </c>
    </row>
    <row r="16" customFormat="false" ht="15" hidden="false" customHeight="false" outlineLevel="0" collapsed="false">
      <c r="A16" s="12" t="n">
        <v>7</v>
      </c>
      <c r="B16" s="13" t="n">
        <f aca="false">SUMPRODUCT(Modelo_Base!G13:G83,Modelo_Base!G6:G76)/SUMSQ(Modelo_Base!G6:G83)</f>
        <v>-0.155105876084333</v>
      </c>
      <c r="C16" s="13" t="n">
        <f aca="false">SUMPRODUCT(Modelo_Nuevo!L13:L83,Modelo_Nuevo!L6:L76)/SUMSQ(Modelo_Nuevo!L6:L83)</f>
        <v>0.0874363792826665</v>
      </c>
    </row>
    <row r="17" customFormat="false" ht="15" hidden="false" customHeight="false" outlineLevel="0" collapsed="false">
      <c r="A17" s="12" t="n">
        <v>8</v>
      </c>
      <c r="B17" s="13" t="n">
        <f aca="false">SUMPRODUCT(Modelo_Base!G14:G83,Modelo_Base!G6:G75)/SUMSQ(Modelo_Base!G6:G83)</f>
        <v>-0.163982311729199</v>
      </c>
      <c r="C17" s="13" t="n">
        <f aca="false">SUMPRODUCT(Modelo_Nuevo!L14:L83,Modelo_Nuevo!L6:L75)/SUMSQ(Modelo_Nuevo!L6:L83)</f>
        <v>0.0989624989784104</v>
      </c>
    </row>
    <row r="19" customFormat="false" ht="15" hidden="false" customHeight="false" outlineLevel="0" collapsed="false">
      <c r="A19" s="21" t="s">
        <v>203</v>
      </c>
      <c r="B19" s="22"/>
      <c r="C19" s="22"/>
      <c r="D19" s="22"/>
      <c r="E19" s="22"/>
      <c r="F19" s="22"/>
    </row>
    <row r="20" customFormat="false" ht="15" hidden="false" customHeight="false" outlineLevel="0" collapsed="false">
      <c r="A20" s="35" t="s">
        <v>204</v>
      </c>
      <c r="B20" s="35" t="s">
        <v>205</v>
      </c>
      <c r="C20" s="35" t="s">
        <v>206</v>
      </c>
      <c r="D20" s="35" t="s">
        <v>207</v>
      </c>
      <c r="E20" s="35" t="s">
        <v>24</v>
      </c>
    </row>
    <row r="21" customFormat="false" ht="15" hidden="false" customHeight="false" outlineLevel="0" collapsed="false">
      <c r="A21" s="12" t="s">
        <v>200</v>
      </c>
      <c r="B21" s="13" t="n">
        <f aca="false">INDEX(LINEST(Modelo_Base!$H$6:$H$83,Modelo_Base!$C$6:$F$83,TRUE(),TRUE()),3,1)</f>
        <v>0.310246167401993</v>
      </c>
      <c r="C21" s="13" t="n">
        <f aca="false">78*B21</f>
        <v>24.1992010573555</v>
      </c>
      <c r="D21" s="12" t="n">
        <v>4</v>
      </c>
      <c r="E21" s="36" t="n">
        <f aca="false">CHIDIST(C21,D21)</f>
        <v>7.28565008699004E-005</v>
      </c>
    </row>
    <row r="22" customFormat="false" ht="15" hidden="false" customHeight="false" outlineLevel="0" collapsed="false">
      <c r="A22" s="12" t="s">
        <v>201</v>
      </c>
      <c r="B22" s="13" t="n">
        <f aca="false">INDEX(LINEST(Modelo_Nuevo!$Q$6:$Q$83,Modelo_Nuevo!$C$6:$E$83,TRUE(),TRUE()),3,1)</f>
        <v>0.0480390802841122</v>
      </c>
      <c r="C22" s="13" t="n">
        <f aca="false">78*B22</f>
        <v>3.74704826216075</v>
      </c>
      <c r="D22" s="12" t="n">
        <v>3</v>
      </c>
      <c r="E22" s="36" t="n">
        <f aca="false">CHIDIST(C22,D22)</f>
        <v>0.290105675073836</v>
      </c>
    </row>
    <row r="23" customFormat="false" ht="15" hidden="false" customHeight="false" outlineLevel="0" collapsed="false">
      <c r="A23" s="12" t="s">
        <v>197</v>
      </c>
      <c r="B23" s="13" t="n">
        <f aca="false">INDEX(LINEST(Modelo_Nuevo!$S$6:$S$83,Modelo_Nuevo!$C$6:$J$83,TRUE(),TRUE()),3,1)</f>
        <v>0.059456430964895</v>
      </c>
      <c r="C23" s="13" t="n">
        <f aca="false">78*B23</f>
        <v>4.63760161526181</v>
      </c>
      <c r="D23" s="12" t="n">
        <v>8</v>
      </c>
      <c r="E23" s="36" t="n">
        <f aca="false">CHIDIST(C23,D23)</f>
        <v>0.795513863459962</v>
      </c>
    </row>
    <row r="26" customFormat="false" ht="15" hidden="false" customHeight="false" outlineLevel="0" collapsed="false">
      <c r="A26" s="21" t="s">
        <v>208</v>
      </c>
      <c r="B26" s="22"/>
      <c r="C26" s="22"/>
      <c r="D26" s="22"/>
      <c r="E26" s="22"/>
      <c r="F26" s="22"/>
    </row>
    <row r="27" customFormat="false" ht="15" hidden="false" customHeight="false" outlineLevel="0" collapsed="false">
      <c r="A27" s="35" t="s">
        <v>204</v>
      </c>
      <c r="B27" s="35" t="s">
        <v>209</v>
      </c>
      <c r="C27" s="35" t="s">
        <v>210</v>
      </c>
      <c r="D27" s="35" t="s">
        <v>211</v>
      </c>
      <c r="E27" s="35" t="s">
        <v>24</v>
      </c>
    </row>
    <row r="28" customFormat="false" ht="15" hidden="false" customHeight="false" outlineLevel="0" collapsed="false">
      <c r="A28" s="12" t="s">
        <v>200</v>
      </c>
      <c r="B28" s="13" t="n">
        <f aca="false">SKEW(Modelo_Base!$G$6:$G$83)</f>
        <v>-0.0297804014104074</v>
      </c>
      <c r="C28" s="13" t="n">
        <f aca="false">KURT(Modelo_Base!$G$6:$G$83)</f>
        <v>0.725796585084225</v>
      </c>
      <c r="D28" s="13" t="n">
        <f aca="false">78/6*(B28^2+C28^2/4)</f>
        <v>1.72356655949589</v>
      </c>
      <c r="E28" s="37" t="n">
        <f aca="false">CHIDIST(D28,2)</f>
        <v>0.42240813839252</v>
      </c>
    </row>
    <row r="29" customFormat="false" ht="15" hidden="false" customHeight="false" outlineLevel="0" collapsed="false">
      <c r="A29" s="12" t="s">
        <v>201</v>
      </c>
      <c r="B29" s="13" t="n">
        <f aca="false">SKEW(Modelo_Nuevo!$L$6:$L$83)</f>
        <v>0.0110865069543837</v>
      </c>
      <c r="C29" s="13" t="n">
        <f aca="false">KURT(Modelo_Nuevo!$L$6:$L$83)</f>
        <v>-0.123335062330522</v>
      </c>
      <c r="D29" s="13" t="n">
        <f aca="false">78/6*(B29^2+C29^2/4)</f>
        <v>0.0510353354740845</v>
      </c>
      <c r="E29" s="37" t="n">
        <f aca="false">CHIDIST(D29,2)</f>
        <v>0.974805156212431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2026-08-26T16:38:07Z</dcterms:created>
  <dc:creator>openpyxl</dc:creator>
  <dc:description/>
  <dc:language>en-US</dc:language>
  <cp:lastModifiedBy/>
  <dcterms:modified xsi:type="dcterms:W3CDTF">2026-08-26T16:38:07Z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