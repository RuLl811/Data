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Modelo_Base" sheetId="3" state="visible" r:id="rId5"/>
    <sheet name="Modelo_Nuevo" sheetId="4" state="visible" r:id="rId6"/>
    <sheet name="Modelo_COVID" sheetId="5" state="visible" r:id="rId7"/>
    <sheet name="Diagnostic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<sst xmlns="http://schemas.openxmlformats.org/spreadsheetml/2006/main" count="328" uniqueCount="199">
  <si>
    <t xml:space="preserve">MODELO DE PBI — PBI BR, EMBI, M1R</t>
  </si>
  <si>
    <t xml:space="preserve">Muestra comun 2007Q1-2026Q1 (n=77) en los tres modelos.</t>
  </si>
  <si>
    <t xml:space="preserve">Metrica</t>
  </si>
  <si>
    <t xml:space="preserve">BASE (EMBI en nivel)</t>
  </si>
  <si>
    <t xml:space="preserve">NUEVO (D4log)</t>
  </si>
  <si>
    <t xml:space="preserve">NUEVO + dummies COVID</t>
  </si>
  <si>
    <t xml:space="preserve">n</t>
  </si>
  <si>
    <t xml:space="preserve">k (parametros)</t>
  </si>
  <si>
    <t xml:space="preserve">R2</t>
  </si>
  <si>
    <t xml:space="preserve">R2 ajustado</t>
  </si>
  <si>
    <t xml:space="preserve">SSR</t>
  </si>
  <si>
    <t xml:space="preserve">AIC</t>
  </si>
  <si>
    <t xml:space="preserve">BIC</t>
  </si>
  <si>
    <t xml:space="preserve">Durbin-Watson</t>
  </si>
  <si>
    <t xml:space="preserve">Breusch-Pagan p</t>
  </si>
  <si>
    <t xml:space="preserve">Restriccion implicita del modelo base</t>
  </si>
  <si>
    <t xml:space="preserve">H0: beta_EMBI(t) + beta_EMBI(t-6) = 0</t>
  </si>
  <si>
    <t xml:space="preserve">F</t>
  </si>
  <si>
    <t xml:space="preserve">No rechazar implica que los dos terminos de EMBI en nivel son, de hecho, una diferencia.</t>
  </si>
  <si>
    <t xml:space="preserve">p-valor</t>
  </si>
  <si>
    <t xml:space="preserve">Test F de las dummies COVID (H0: ambas = 0)</t>
  </si>
  <si>
    <t xml:space="preserve">Caso limite: el BIC prefiere NO poner dummies, el AIC prefiere ponerlas. El argumento a favor es que sin ellas el coeficiente de M1R queda sesgado a la baja y persiste heterocedasticidad.</t>
  </si>
  <si>
    <t xml:space="preserve">Coeficientes del modelo con dummies, errores HAC (Newey-West, L=4)</t>
  </si>
  <si>
    <t xml:space="preserve">Regresor</t>
  </si>
  <si>
    <t xml:space="preserve">Coef.</t>
  </si>
  <si>
    <t xml:space="preserve">se HAC</t>
  </si>
  <si>
    <t xml:space="preserve">t HAC</t>
  </si>
  <si>
    <t xml:space="preserve">p HAC</t>
  </si>
  <si>
    <t xml:space="preserve">COMO USAR ESTE ARCHIVO</t>
  </si>
  <si>
    <t xml:space="preserve">1. Editable solo lo azul de la hoja Datos (EMBI, PBI BR, M1R, PBI). Todo lo demas es formula.</t>
  </si>
  <si>
    <t xml:space="preserve">2. Para agregar un trimestre: extender las filas de Datos y de cada hoja de modelo, y recalcular.</t>
  </si>
  <si>
    <t xml:space="preserve">3. Las regresiones usan INDEX(LINEST(...)) para devolver escalares, sin formulas matriciales.</t>
  </si>
  <si>
    <t xml:space="preserve">4. AIC y BIC siguen la convencion de statsmodels: -2logL + 2k y -2logL + ln(n)k.</t>
  </si>
  <si>
    <t xml:space="preserve">5. Cita los errores HAC, no los de LINEST.</t>
  </si>
  <si>
    <t xml:space="preserve">DATOS Y TRANSFORMACIONES</t>
  </si>
  <si>
    <t xml:space="preserve">Azul = dato original (editable). Negro = formula. Trimestral 2005Q1-2026Q1.</t>
  </si>
  <si>
    <t xml:space="preserve">PBI, PBI de Brasil y M1R ya vienen como variacion interanual (I(0)). EMBI viene en NIVEL (I(1)): se le aplica D4log(.), el mismo filtro que tiene la dependiente, para balancear la regresion.</t>
  </si>
  <si>
    <t xml:space="preserve">Periodo</t>
  </si>
  <si>
    <t xml:space="preserve">EMBI (pb)</t>
  </si>
  <si>
    <t xml:space="preserve">PBI BR</t>
  </si>
  <si>
    <t xml:space="preserve">M1R</t>
  </si>
  <si>
    <t xml:space="preserve">PBI (dep.)</t>
  </si>
  <si>
    <t xml:space="preserve">ln(EMBI)</t>
  </si>
  <si>
    <t xml:space="preserve">D4 ln EMBI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</si>
  <si>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</si>
  <si>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</si>
  <si>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</si>
  <si>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</si>
  <si>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</si>
  <si>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</si>
  <si>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</si>
  <si>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</si>
  <si>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</si>
  <si>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</si>
  <si>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</si>
  <si>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</si>
  <si>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</si>
  <si>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</si>
  <si>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</si>
  <si>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</si>
  <si>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</si>
  <si>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</si>
  <si>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</si>
  <si>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</si>
  <si>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</si>
  <si>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</si>
  <si>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</si>
  <si>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</si>
  <si>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</si>
  <si>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</si>
  <si>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</si>
  <si>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</si>
  <si>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</si>
  <si>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</si>
  <si>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</si>
  <si>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</si>
  <si>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</si>
  <si>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</si>
  <si>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</si>
  <si>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</si>
  <si>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</si>
  <si>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</si>
  <si>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</si>
  <si>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</si>
  <si>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</si>
  <si>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</si>
  <si>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</si>
  <si>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</si>
  <si>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</si>
  <si>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</si>
  <si>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</si>
  <si>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</si>
  <si>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</si>
  <si>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</si>
  <si>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</si>
  <si>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</si>
  <si>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</si>
  <si>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</si>
  <si>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</si>
  <si>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</si>
  <si>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</si>
  <si>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</si>
  <si>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</si>
  <si>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</si>
  <si>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</si>
  <si>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</si>
  <si>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</si>
  <si>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</si>
  <si>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</si>
  <si>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</si>
  <si>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</si>
  <si>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</si>
  <si>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</si>
  <si>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</si>
  <si>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</si>
  <si>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</si>
  <si>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</si>
  <si>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</si>
  <si>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</si>
  <si>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</si>
  <si>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</si>
  <si>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</si>
  <si>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</si>
  <si>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</si>
  <si>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</si>
  <si>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</si>
  <si>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</si>
  <si>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</si>
  <si>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</si>
  <si>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EMBI 2005Q1-Q2 venia codificado como 0 en el origen: es un faltante, no un dato.</t>
  </si>
  <si>
    <t xml:space="preserve">MODELO BASE  —  PBI ~ PBI BR(t) + EMBI(t) + M1R(t) + EMBI(t-6)</t>
  </si>
  <si>
    <t xml:space="preserve">EMBI entra en NIVEL en los dos terminos: regresion no balanceada (I(1) contra I(0)). Muestra comun 2007Q1-2026Q1 (n=77).</t>
  </si>
  <si>
    <t xml:space="preserve">y = PBI</t>
  </si>
  <si>
    <t xml:space="preserve">PBI BR (t)</t>
  </si>
  <si>
    <t xml:space="preserve">EMBI (t)</t>
  </si>
  <si>
    <t xml:space="preserve">M1R (t)</t>
  </si>
  <si>
    <t xml:space="preserve">EMBI (t-6)</t>
  </si>
  <si>
    <t xml:space="preserve">const=1</t>
  </si>
  <si>
    <t xml:space="preserve">residuo e</t>
  </si>
  <si>
    <t xml:space="preserve">e^2</t>
  </si>
  <si>
    <t xml:space="preserve">R: PBI BR(t)</t>
  </si>
  <si>
    <t xml:space="preserve">R: EMBI(t)-EMBI(t-6)</t>
  </si>
  <si>
    <t xml:space="preserve">R: M1R(t)</t>
  </si>
  <si>
    <t xml:space="preserve">A. ESTIMACION OLS   (LINEST devuelve los coeficientes en orden inverso; se extraen con INDEX)</t>
  </si>
  <si>
    <t xml:space="preserve">Error est.</t>
  </si>
  <si>
    <t xml:space="preserve">t</t>
  </si>
  <si>
    <t xml:space="preserve">gl resid.</t>
  </si>
  <si>
    <t xml:space="preserve">const</t>
  </si>
  <si>
    <t xml:space="preserve">B. BONDAD DE AJUSTE</t>
  </si>
  <si>
    <t xml:space="preserve">n (observaciones)</t>
  </si>
  <si>
    <t xml:space="preserve">log-verosimilitud</t>
  </si>
  <si>
    <t xml:space="preserve">C. TEST F:  H0 = beta_EMBI(t) + beta_EMBI(t-6) = 0</t>
  </si>
  <si>
    <t xml:space="preserve">Si no se rechaza, los dos terminos en nivel son de hecho UNA diferencia: EMBI(t)-EMBI(t-6).</t>
  </si>
  <si>
    <t xml:space="preserve">SSR irrestricto</t>
  </si>
  <si>
    <t xml:space="preserve">SSR restringido</t>
  </si>
  <si>
    <t xml:space="preserve">q (restricciones)</t>
  </si>
  <si>
    <t xml:space="preserve">gl residuales</t>
  </si>
  <si>
    <t xml:space="preserve">MODELO PROPUESTO  —  PBI ~ PBI BR(t) + D4lnEMBI(t-2) + M1R(t)</t>
  </si>
  <si>
    <t xml:space="preserve">EMBI bajo el mismo filtro D4log(.) que la dependiente y colapsado a un solo rezago. Minimo BIC entre 1.782 combinaciones (subconjuntos de hasta 2 rezagos de EMBI x rezagos 0-8 de PBI BR y M1R).</t>
  </si>
  <si>
    <t xml:space="preserve">D4lnEMBI (t-2)</t>
  </si>
  <si>
    <t xml:space="preserve">h_0</t>
  </si>
  <si>
    <t xml:space="preserve">h_1</t>
  </si>
  <si>
    <t xml:space="preserve">h_2</t>
  </si>
  <si>
    <t xml:space="preserve">h_3</t>
  </si>
  <si>
    <t xml:space="preserve">C. ERRORES ESTANDAR HAC (Newey-West, nucleo de Bartlett, L=4)</t>
  </si>
  <si>
    <t xml:space="preserve">V = (X'X)^-1 S (X'X)^-1 ,  S = G0 + SUM_l w_l (G_l + G_l') ,  w_l = 1 - l/5. Obligatorio: el filtro interanual induce una MA(3) mecanica en los residuos.</t>
  </si>
  <si>
    <t xml:space="preserve">X'X</t>
  </si>
  <si>
    <t xml:space="preserve">(X'X)^-1 = A</t>
  </si>
  <si>
    <t xml:space="preserve">Gamma_0</t>
  </si>
  <si>
    <t xml:space="preserve">Gamma_1  (w=0.8)</t>
  </si>
  <si>
    <t xml:space="preserve">Gamma_2  (w=0.6)</t>
  </si>
  <si>
    <t xml:space="preserve">Gamma_3  (w=0.4)</t>
  </si>
  <si>
    <t xml:space="preserve">Gamma_4  (w=0.2)</t>
  </si>
  <si>
    <t xml:space="preserve">S (meat)</t>
  </si>
  <si>
    <t xml:space="preserve">V = A S A</t>
  </si>
  <si>
    <t xml:space="preserve">MODELO PROPUESTO + DUMMIES IMPULSO COVID (2020Q2 y 2021Q2)</t>
  </si>
  <si>
    <t xml:space="preserve">Ojo: en este modelo el COVID pesa MUCHO menos que en los anteriores, porque el PBI de Brasil se derrumbo al mismo tiempo y absorbe buena parte del shock. Ver la hoja Resumen.</t>
  </si>
  <si>
    <t xml:space="preserve">D_2020Q2</t>
  </si>
  <si>
    <t xml:space="preserve">D_2021Q2</t>
  </si>
  <si>
    <t xml:space="preserve">h_4</t>
  </si>
  <si>
    <t xml:space="preserve">h_5</t>
  </si>
  <si>
    <t xml:space="preserve">D. TEST F CONJUNTO:  H0 = las dos dummies son cero</t>
  </si>
  <si>
    <t xml:space="preserve">Contrasta esta hoja contra Modelo_Nuevo (misma muestra, sin dummies).</t>
  </si>
  <si>
    <t xml:space="preserve">DIAGNOSTICOS DE RESIDUOS</t>
  </si>
  <si>
    <t xml:space="preserve">A. AUTOCORRELACION DE LOS RESIDUOS</t>
  </si>
  <si>
    <t xml:space="preserve">Rezago</t>
  </si>
  <si>
    <t xml:space="preserve">Base</t>
  </si>
  <si>
    <t xml:space="preserve">Nuevo</t>
  </si>
  <si>
    <t xml:space="preserve">Nuevo + dummies</t>
  </si>
  <si>
    <t xml:space="preserve">Los rezagos 1-3 positivos y decrecientes son la MA(3) que induce el filtro interanual de la dependiente, no mala especificacion. Por eso se reportan errores HAC y el n efectivo es ~n/4.</t>
  </si>
  <si>
    <t xml:space="preserve">B. HETEROCEDASTICIDAD — Breusch-Pagan (LM = n x R2 de e^2 sobre X)</t>
  </si>
  <si>
    <t xml:space="preserve">Modelo</t>
  </si>
  <si>
    <t xml:space="preserve">R2 auxiliar</t>
  </si>
  <si>
    <t xml:space="preserve">LM</t>
  </si>
  <si>
    <t xml:space="preserve">gl</t>
  </si>
  <si>
    <t xml:space="preserve">C. NORMALIDAD — Jarque-Bera</t>
  </si>
  <si>
    <t xml:space="preserve">Asimetria</t>
  </si>
  <si>
    <t xml:space="preserve">Curtosis exc.</t>
  </si>
  <si>
    <t xml:space="preserve">JB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</si>
</sst>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0"/>
    <numFmt numFmtId="167" formatCode="0.0000000"/>
    <numFmt numFmtId="168" formatCode="0.00000"/>
    <numFmt numFmtId="169" formatCode="0.0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Modelo_Base!B96</f>
        <v>77</v>
      </c>
      <c r="C5" s="5" t="n">
        <f aca="false">Modelo_Nuevo!B95</f>
        <v>77</v>
      </c>
      <c r="D5" s="5" t="n">
        <f aca="false">Modelo_COVID!B97</f>
        <v>77</v>
      </c>
    </row>
    <row r="6" customFormat="false" ht="15" hidden="false" customHeight="false" outlineLevel="0" collapsed="false">
      <c r="A6" s="4" t="s">
        <v>7</v>
      </c>
      <c r="B6" s="5" t="n">
        <f aca="false">Modelo_Base!B97</f>
        <v>5</v>
      </c>
      <c r="C6" s="5" t="n">
        <f aca="false">Modelo_Nuevo!B96</f>
        <v>4</v>
      </c>
      <c r="D6" s="5" t="n">
        <f aca="false">Modelo_COVID!B98</f>
        <v>6</v>
      </c>
    </row>
    <row r="7" customFormat="false" ht="15" hidden="false" customHeight="false" outlineLevel="0" collapsed="false">
      <c r="A7" s="4" t="s">
        <v>8</v>
      </c>
      <c r="B7" s="6" t="n">
        <f aca="false">Modelo_Base!B98</f>
        <v>0.661657131602592</v>
      </c>
      <c r="C7" s="6" t="n">
        <f aca="false">Modelo_Nuevo!B97</f>
        <v>0.733079568187177</v>
      </c>
      <c r="D7" s="6" t="n">
        <f aca="false">Modelo_COVID!B99</f>
        <v>0.759606530522447</v>
      </c>
    </row>
    <row r="8" customFormat="false" ht="15" hidden="false" customHeight="false" outlineLevel="0" collapsed="false">
      <c r="A8" s="4" t="s">
        <v>9</v>
      </c>
      <c r="B8" s="7" t="n">
        <f aca="false">Modelo_Base!B99</f>
        <v>0.642860305580514</v>
      </c>
      <c r="C8" s="7" t="n">
        <f aca="false">Modelo_Nuevo!B98</f>
        <v>0.722110235372952</v>
      </c>
      <c r="D8" s="7" t="n">
        <f aca="false">Modelo_COVID!B100</f>
        <v>0.742677412953605</v>
      </c>
    </row>
    <row r="9" customFormat="false" ht="15" hidden="false" customHeight="false" outlineLevel="0" collapsed="false">
      <c r="A9" s="4" t="s">
        <v>10</v>
      </c>
      <c r="B9" s="8" t="n">
        <f aca="false">Modelo_Base!B100</f>
        <v>0.0950004230584403</v>
      </c>
      <c r="C9" s="8" t="n">
        <f aca="false">Modelo_Nuevo!B99</f>
        <v>0.0749463231344822</v>
      </c>
      <c r="D9" s="8" t="n">
        <f aca="false">Modelo_COVID!B101</f>
        <v>0.0674980424710166</v>
      </c>
    </row>
    <row r="10" customFormat="false" ht="15" hidden="false" customHeight="false" outlineLevel="0" collapsed="false">
      <c r="A10" s="4" t="s">
        <v>11</v>
      </c>
      <c r="B10" s="9" t="n">
        <f aca="false">Modelo_Base!B102</f>
        <v>-287.204776298362</v>
      </c>
      <c r="C10" s="9" t="n">
        <f aca="false">Modelo_Nuevo!B101</f>
        <v>-307.462183086809</v>
      </c>
      <c r="D10" s="9" t="n">
        <f aca="false">Modelo_COVID!B103</f>
        <v>-311.522047879638</v>
      </c>
    </row>
    <row r="11" customFormat="false" ht="15" hidden="false" customHeight="false" outlineLevel="0" collapsed="false">
      <c r="A11" s="4" t="s">
        <v>12</v>
      </c>
      <c r="B11" s="9" t="n">
        <f aca="false">Modelo_Base!B103</f>
        <v>-275.485749189093</v>
      </c>
      <c r="C11" s="9" t="n">
        <f aca="false">Modelo_Nuevo!B102</f>
        <v>-298.086961399394</v>
      </c>
      <c r="D11" s="9" t="n">
        <f aca="false">Modelo_COVID!B104</f>
        <v>-297.459215348516</v>
      </c>
    </row>
    <row r="12" customFormat="false" ht="15" hidden="false" customHeight="false" outlineLevel="0" collapsed="false">
      <c r="A12" s="4" t="s">
        <v>13</v>
      </c>
      <c r="B12" s="6" t="n">
        <f aca="false">Modelo_Base!B105</f>
        <v>0.633786575292239</v>
      </c>
      <c r="C12" s="6" t="n">
        <f aca="false">Modelo_Nuevo!B104</f>
        <v>0.757268258054722</v>
      </c>
      <c r="D12" s="6" t="n">
        <f aca="false">Modelo_COVID!B106</f>
        <v>0.902464022585819</v>
      </c>
    </row>
    <row r="13" customFormat="false" ht="15" hidden="false" customHeight="false" outlineLevel="0" collapsed="false">
      <c r="A13" s="4" t="s">
        <v>14</v>
      </c>
      <c r="B13" s="6" t="n">
        <f aca="false">Diagnosticos!E19</f>
        <v>0.00499013385088959</v>
      </c>
      <c r="C13" s="6" t="n">
        <f aca="false">Diagnosticos!E20</f>
        <v>0.020126595914212</v>
      </c>
      <c r="D13" s="6" t="n">
        <f aca="false">Diagnosticos!E21</f>
        <v>0.260938596388942</v>
      </c>
    </row>
    <row r="15" customFormat="false" ht="15" hidden="false" customHeight="false" outlineLevel="0" collapsed="false">
      <c r="A15" s="10" t="s">
        <v>15</v>
      </c>
    </row>
    <row r="16" customFormat="false" ht="15" hidden="false" customHeight="false" outlineLevel="0" collapsed="false">
      <c r="A16" s="11" t="s">
        <v>16</v>
      </c>
    </row>
    <row r="17" customFormat="false" ht="15" hidden="false" customHeight="false" outlineLevel="0" collapsed="false">
      <c r="A17" s="11" t="s">
        <v>17</v>
      </c>
      <c r="B17" s="12" t="n">
        <f aca="false">Modelo_Base!B113</f>
        <v>0.400130463301863</v>
      </c>
      <c r="C17" s="2" t="s">
        <v>18</v>
      </c>
    </row>
    <row r="18" customFormat="false" ht="15" hidden="false" customHeight="false" outlineLevel="0" collapsed="false">
      <c r="A18" s="11" t="s">
        <v>19</v>
      </c>
      <c r="B18" s="13" t="n">
        <f aca="false">Modelo_Base!B114</f>
        <v>0.529025690595358</v>
      </c>
    </row>
    <row r="20" customFormat="false" ht="15" hidden="false" customHeight="false" outlineLevel="0" collapsed="false">
      <c r="A20" s="10" t="s">
        <v>20</v>
      </c>
    </row>
    <row r="21" customFormat="false" ht="15" hidden="false" customHeight="false" outlineLevel="0" collapsed="false">
      <c r="A21" s="11" t="s">
        <v>17</v>
      </c>
      <c r="B21" s="12" t="n">
        <f aca="false">Modelo_COVID!B189</f>
        <v>3.91735750953914</v>
      </c>
      <c r="C21" s="2" t="s">
        <v>21</v>
      </c>
    </row>
    <row r="22" customFormat="false" ht="15" hidden="false" customHeight="false" outlineLevel="0" collapsed="false">
      <c r="A22" s="11" t="s">
        <v>19</v>
      </c>
      <c r="B22" s="13" t="n">
        <f aca="false">Modelo_COVID!B190</f>
        <v>0.0243332466168216</v>
      </c>
    </row>
    <row r="24" customFormat="false" ht="15" hidden="false" customHeight="false" outlineLevel="0" collapsed="false">
      <c r="A24" s="10" t="s">
        <v>22</v>
      </c>
    </row>
    <row r="25" customFormat="false" ht="15" hidden="false" customHeight="false" outlineLevel="0" collapsed="false">
      <c r="A25" s="14" t="s">
        <v>23</v>
      </c>
      <c r="B25" s="14" t="s">
        <v>24</v>
      </c>
      <c r="C25" s="14" t="s">
        <v>25</v>
      </c>
      <c r="D25" s="14" t="s">
        <v>26</v>
      </c>
      <c r="E25" s="14" t="s">
        <v>27</v>
      </c>
    </row>
    <row r="26" customFormat="false" ht="15" hidden="false" customHeight="false" outlineLevel="0" collapsed="false">
      <c r="A26" s="6" t="str">
        <f aca="false">Modelo_COVID!A175</f>
        <v>const</v>
      </c>
      <c r="B26" s="8" t="n">
        <f aca="false">Modelo_COVID!B175</f>
        <v>0.000219856853433859</v>
      </c>
      <c r="C26" s="8" t="n">
        <f aca="false">Modelo_COVID!C175</f>
        <v>0.00748362317521457</v>
      </c>
      <c r="D26" s="5" t="n">
        <f aca="false">Modelo_COVID!D175</f>
        <v>0.029378397106099</v>
      </c>
      <c r="E26" s="6" t="n">
        <f aca="false">Modelo_COVID!E175</f>
        <v>0.976645226784908</v>
      </c>
    </row>
    <row r="27" customFormat="false" ht="15" hidden="false" customHeight="false" outlineLevel="0" collapsed="false">
      <c r="A27" s="6" t="str">
        <f aca="false">Modelo_COVID!A176</f>
        <v>PBI BR (t)</v>
      </c>
      <c r="B27" s="8" t="n">
        <f aca="false">Modelo_COVID!B176</f>
        <v>0.89859689971516</v>
      </c>
      <c r="C27" s="8" t="n">
        <f aca="false">Modelo_COVID!C176</f>
        <v>0.197285118366025</v>
      </c>
      <c r="D27" s="5" t="n">
        <f aca="false">Modelo_COVID!D176</f>
        <v>4.55481339473353</v>
      </c>
      <c r="E27" s="6" t="n">
        <f aca="false">Modelo_COVID!E176</f>
        <v>2.12294374307026E-005</v>
      </c>
    </row>
    <row r="28" customFormat="false" ht="15" hidden="false" customHeight="false" outlineLevel="0" collapsed="false">
      <c r="A28" s="6" t="str">
        <f aca="false">Modelo_COVID!A177</f>
        <v>D4lnEMBI (t-2)</v>
      </c>
      <c r="B28" s="8" t="n">
        <f aca="false">Modelo_COVID!B177</f>
        <v>-0.0457851735530482</v>
      </c>
      <c r="C28" s="8" t="n">
        <f aca="false">Modelo_COVID!C177</f>
        <v>0.00893577084899986</v>
      </c>
      <c r="D28" s="5" t="n">
        <f aca="false">Modelo_COVID!D177</f>
        <v>-5.12380793182188</v>
      </c>
      <c r="E28" s="6" t="n">
        <f aca="false">Modelo_COVID!E177</f>
        <v>2.47367615675496E-006</v>
      </c>
    </row>
    <row r="29" customFormat="false" ht="15" hidden="false" customHeight="false" outlineLevel="0" collapsed="false">
      <c r="A29" s="6" t="str">
        <f aca="false">Modelo_COVID!A178</f>
        <v>M1R (t)</v>
      </c>
      <c r="B29" s="8" t="n">
        <f aca="false">Modelo_COVID!B178</f>
        <v>0.108600457094523</v>
      </c>
      <c r="C29" s="8" t="n">
        <f aca="false">Modelo_COVID!C178</f>
        <v>0.0364879945208823</v>
      </c>
      <c r="D29" s="5" t="n">
        <f aca="false">Modelo_COVID!D178</f>
        <v>2.97633395642971</v>
      </c>
      <c r="E29" s="6" t="n">
        <f aca="false">Modelo_COVID!E178</f>
        <v>0.00398644330264999</v>
      </c>
    </row>
    <row r="30" customFormat="false" ht="15" hidden="false" customHeight="false" outlineLevel="0" collapsed="false">
      <c r="A30" s="6" t="str">
        <f aca="false">Modelo_COVID!A179</f>
        <v>D_2020Q2</v>
      </c>
      <c r="B30" s="8" t="n">
        <f aca="false">Modelo_COVID!B179</f>
        <v>-0.0791769413229461</v>
      </c>
      <c r="C30" s="8" t="n">
        <f aca="false">Modelo_COVID!C179</f>
        <v>0.0318807755420429</v>
      </c>
      <c r="D30" s="5" t="n">
        <f aca="false">Modelo_COVID!D179</f>
        <v>-2.48353247299556</v>
      </c>
      <c r="E30" s="6" t="n">
        <f aca="false">Modelo_COVID!E179</f>
        <v>0.0153715319887372</v>
      </c>
    </row>
    <row r="31" customFormat="false" ht="15" hidden="false" customHeight="false" outlineLevel="0" collapsed="false">
      <c r="A31" s="6" t="str">
        <f aca="false">Modelo_COVID!A180</f>
        <v>D_2021Q2</v>
      </c>
      <c r="B31" s="8" t="n">
        <f aca="false">Modelo_COVID!B180</f>
        <v>0.0701381619504032</v>
      </c>
      <c r="C31" s="8" t="n">
        <f aca="false">Modelo_COVID!C180</f>
        <v>0.0225340108124676</v>
      </c>
      <c r="D31" s="5" t="n">
        <f aca="false">Modelo_COVID!D180</f>
        <v>3.11254674252652</v>
      </c>
      <c r="E31" s="6" t="n">
        <f aca="false">Modelo_COVID!E180</f>
        <v>0.00267258245057411</v>
      </c>
    </row>
    <row r="33" customFormat="false" ht="15" hidden="false" customHeight="false" outlineLevel="0" collapsed="false">
      <c r="A33" s="10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2" t="s">
        <v>36</v>
      </c>
    </row>
    <row r="4" customFormat="false" ht="15" hidden="false" customHeight="fals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G4" s="3" t="s">
        <v>42</v>
      </c>
      <c r="H4" s="3" t="s">
        <v>43</v>
      </c>
    </row>
    <row r="5" customFormat="false" ht="15" hidden="false" customHeight="false" outlineLevel="0" collapsed="false">
      <c r="A5" s="11" t="s">
        <v>44</v>
      </c>
      <c r="B5" s="15"/>
      <c r="C5" s="16" t="n">
        <v>0.0419</v>
      </c>
      <c r="D5" s="16" t="n">
        <v>0.166001621514056</v>
      </c>
      <c r="E5" s="16" t="n">
        <v>0.0721878676041452</v>
      </c>
      <c r="G5" s="17" t="str">
        <f aca="false">IF(ISNUMBER(B5),LN(B5),"")</f>
        <v/>
      </c>
      <c r="H5" s="18"/>
    </row>
    <row r="6" customFormat="false" ht="15" hidden="false" customHeight="false" outlineLevel="0" collapsed="false">
      <c r="A6" s="11" t="s">
        <v>45</v>
      </c>
      <c r="B6" s="15"/>
      <c r="C6" s="16" t="n">
        <v>0.0447</v>
      </c>
      <c r="D6" s="16" t="n">
        <v>0.170348034361075</v>
      </c>
      <c r="E6" s="16" t="n">
        <v>0.130779807239928</v>
      </c>
      <c r="G6" s="17" t="str">
        <f aca="false">IF(ISNUMBER(B6),LN(B6),"")</f>
        <v/>
      </c>
      <c r="H6" s="18"/>
    </row>
    <row r="7" customFormat="false" ht="15" hidden="false" customHeight="false" outlineLevel="0" collapsed="false">
      <c r="A7" s="11" t="s">
        <v>46</v>
      </c>
      <c r="B7" s="15" t="n">
        <v>413.72934375</v>
      </c>
      <c r="C7" s="16" t="n">
        <v>0.0211</v>
      </c>
      <c r="D7" s="16" t="n">
        <v>0.0954696690990746</v>
      </c>
      <c r="E7" s="16" t="n">
        <v>0.0697197786983204</v>
      </c>
      <c r="G7" s="17" t="n">
        <f aca="false">IF(ISNUMBER(B7),LN(B7),"")</f>
        <v>6.02521200097371</v>
      </c>
      <c r="H7" s="18"/>
    </row>
    <row r="8" customFormat="false" ht="15" hidden="false" customHeight="false" outlineLevel="0" collapsed="false">
      <c r="A8" s="11" t="s">
        <v>47</v>
      </c>
      <c r="B8" s="15" t="n">
        <v>423.416245901639</v>
      </c>
      <c r="C8" s="16" t="n">
        <v>0.0215</v>
      </c>
      <c r="D8" s="16" t="n">
        <v>0.107539486349547</v>
      </c>
      <c r="E8" s="16" t="n">
        <v>0.0778289449927467</v>
      </c>
      <c r="G8" s="17" t="n">
        <f aca="false">IF(ISNUMBER(B8),LN(B8),"")</f>
        <v>6.04835572806772</v>
      </c>
      <c r="H8" s="18"/>
    </row>
    <row r="9" customFormat="false" ht="15" hidden="false" customHeight="false" outlineLevel="0" collapsed="false">
      <c r="A9" s="11" t="s">
        <v>48</v>
      </c>
      <c r="B9" s="15" t="n">
        <v>394.415177419355</v>
      </c>
      <c r="C9" s="16" t="n">
        <v>0.0428</v>
      </c>
      <c r="D9" s="16" t="n">
        <v>0.0655726912660659</v>
      </c>
      <c r="E9" s="16" t="n">
        <v>0.0784957106960194</v>
      </c>
      <c r="G9" s="17" t="n">
        <f aca="false">IF(ISNUMBER(B9),LN(B9),"")</f>
        <v>5.97740410428865</v>
      </c>
      <c r="H9" s="17" t="str">
        <f aca="false">IF(AND(ISNUMBER(G9),ISNUMBER(G5)),G9-G5,"")</f>
        <v/>
      </c>
    </row>
    <row r="10" customFormat="false" ht="15" hidden="false" customHeight="false" outlineLevel="0" collapsed="false">
      <c r="A10" s="11" t="s">
        <v>49</v>
      </c>
      <c r="B10" s="15" t="n">
        <v>353.71380952381</v>
      </c>
      <c r="C10" s="16" t="n">
        <v>0.0228</v>
      </c>
      <c r="D10" s="16" t="n">
        <v>0.0748260808498116</v>
      </c>
      <c r="E10" s="16" t="n">
        <v>0.0557158530410582</v>
      </c>
      <c r="G10" s="17" t="n">
        <f aca="false">IF(ISNUMBER(B10),LN(B10),"")</f>
        <v>5.86848813849086</v>
      </c>
      <c r="H10" s="17" t="str">
        <f aca="false">IF(AND(ISNUMBER(G10),ISNUMBER(G6)),G10-G6,"")</f>
        <v/>
      </c>
    </row>
    <row r="11" customFormat="false" ht="15" hidden="false" customHeight="false" outlineLevel="0" collapsed="false">
      <c r="A11" s="11" t="s">
        <v>50</v>
      </c>
      <c r="B11" s="15" t="n">
        <v>339.045285714286</v>
      </c>
      <c r="C11" s="16" t="n">
        <v>0.0449</v>
      </c>
      <c r="D11" s="16" t="n">
        <v>0.072921799772433</v>
      </c>
      <c r="E11" s="16" t="n">
        <v>0.0938049028107186</v>
      </c>
      <c r="G11" s="17" t="n">
        <f aca="false">IF(ISNUMBER(B11),LN(B11),"")</f>
        <v>5.82613368463645</v>
      </c>
      <c r="H11" s="17" t="n">
        <f aca="false">IF(AND(ISNUMBER(G11),ISNUMBER(G7)),G11-G7,"")</f>
        <v>-0.19907831633726</v>
      </c>
    </row>
    <row r="12" customFormat="false" ht="15" hidden="false" customHeight="false" outlineLevel="0" collapsed="false">
      <c r="A12" s="11" t="s">
        <v>51</v>
      </c>
      <c r="B12" s="15" t="n">
        <v>281.705258064516</v>
      </c>
      <c r="C12" s="16" t="n">
        <v>0.048</v>
      </c>
      <c r="D12" s="16" t="n">
        <v>0.0821565159349993</v>
      </c>
      <c r="E12" s="16" t="n">
        <v>0.0967704037698498</v>
      </c>
      <c r="G12" s="17" t="n">
        <f aca="false">IF(ISNUMBER(B12),LN(B12),"")</f>
        <v>5.64086134018387</v>
      </c>
      <c r="H12" s="17" t="n">
        <f aca="false">IF(AND(ISNUMBER(G12),ISNUMBER(G8)),G12-G8,"")</f>
        <v>-0.40749438788385</v>
      </c>
    </row>
    <row r="13" customFormat="false" ht="15" hidden="false" customHeight="false" outlineLevel="0" collapsed="false">
      <c r="A13" s="11" t="s">
        <v>52</v>
      </c>
      <c r="B13" s="15" t="n">
        <v>210.279435483871</v>
      </c>
      <c r="C13" s="16" t="n">
        <v>0.052</v>
      </c>
      <c r="D13" s="16" t="n">
        <v>0.10364673016758</v>
      </c>
      <c r="E13" s="16" t="n">
        <v>0.0835894113627564</v>
      </c>
      <c r="G13" s="17" t="n">
        <f aca="false">IF(ISNUMBER(B13),LN(B13),"")</f>
        <v>5.34843729135506</v>
      </c>
      <c r="H13" s="17" t="n">
        <f aca="false">IF(AND(ISNUMBER(G13),ISNUMBER(G9)),G13-G9,"")</f>
        <v>-0.628966812933593</v>
      </c>
    </row>
    <row r="14" customFormat="false" ht="15" hidden="false" customHeight="false" outlineLevel="0" collapsed="false">
      <c r="A14" s="11" t="s">
        <v>53</v>
      </c>
      <c r="B14" s="15" t="n">
        <v>268.385666666667</v>
      </c>
      <c r="C14" s="16" t="n">
        <v>0.0654</v>
      </c>
      <c r="D14" s="16" t="n">
        <v>0.108781166847409</v>
      </c>
      <c r="E14" s="16" t="n">
        <v>0.0985938738676382</v>
      </c>
      <c r="G14" s="17" t="n">
        <f aca="false">IF(ISNUMBER(B14),LN(B14),"")</f>
        <v>5.59242500079027</v>
      </c>
      <c r="H14" s="17" t="n">
        <f aca="false">IF(AND(ISNUMBER(G14),ISNUMBER(G10)),G14-G10,"")</f>
        <v>-0.276063137700592</v>
      </c>
    </row>
    <row r="15" customFormat="false" ht="15" hidden="false" customHeight="false" outlineLevel="0" collapsed="false">
      <c r="A15" s="11" t="s">
        <v>54</v>
      </c>
      <c r="B15" s="15" t="n">
        <v>415.128063492064</v>
      </c>
      <c r="C15" s="16" t="n">
        <v>0.0587</v>
      </c>
      <c r="D15" s="16" t="n">
        <v>0.0950315375576127</v>
      </c>
      <c r="E15" s="16" t="n">
        <v>0.0842779771268098</v>
      </c>
      <c r="G15" s="17" t="n">
        <f aca="false">IF(ISNUMBER(B15),LN(B15),"")</f>
        <v>6.02858705935547</v>
      </c>
      <c r="H15" s="17" t="n">
        <f aca="false">IF(AND(ISNUMBER(G15),ISNUMBER(G11)),G15-G11,"")</f>
        <v>0.202453374719026</v>
      </c>
    </row>
    <row r="16" customFormat="false" ht="15" hidden="false" customHeight="false" outlineLevel="0" collapsed="false">
      <c r="A16" s="11" t="s">
        <v>55</v>
      </c>
      <c r="B16" s="15" t="n">
        <v>386.901387096774</v>
      </c>
      <c r="C16" s="16" t="n">
        <v>0.0664</v>
      </c>
      <c r="D16" s="16" t="n">
        <v>0.0347947801855839</v>
      </c>
      <c r="E16" s="16" t="n">
        <v>0.092673486299768</v>
      </c>
      <c r="G16" s="17" t="n">
        <f aca="false">IF(ISNUMBER(B16),LN(B16),"")</f>
        <v>5.95816984685583</v>
      </c>
      <c r="H16" s="17" t="n">
        <f aca="false">IF(AND(ISNUMBER(G16),ISNUMBER(G12)),G16-G12,"")</f>
        <v>0.317308506671958</v>
      </c>
    </row>
    <row r="17" customFormat="false" ht="15" hidden="false" customHeight="false" outlineLevel="0" collapsed="false">
      <c r="A17" s="11" t="s">
        <v>56</v>
      </c>
      <c r="B17" s="15" t="n">
        <v>482.238426229508</v>
      </c>
      <c r="C17" s="16" t="n">
        <v>0.0616</v>
      </c>
      <c r="D17" s="16" t="n">
        <v>0.00609959861693343</v>
      </c>
      <c r="E17" s="16" t="n">
        <v>0.0691231457663233</v>
      </c>
      <c r="G17" s="17" t="n">
        <f aca="false">IF(ISNUMBER(B17),LN(B17),"")</f>
        <v>6.17843865197376</v>
      </c>
      <c r="H17" s="17" t="n">
        <f aca="false">IF(AND(ISNUMBER(G17),ISNUMBER(G13)),G17-G13,"")</f>
        <v>0.830001360618699</v>
      </c>
    </row>
    <row r="18" customFormat="false" ht="15" hidden="false" customHeight="false" outlineLevel="0" collapsed="false">
      <c r="A18" s="11" t="s">
        <v>57</v>
      </c>
      <c r="B18" s="15" t="n">
        <v>556.653203125</v>
      </c>
      <c r="C18" s="16" t="n">
        <v>0.0634</v>
      </c>
      <c r="D18" s="16" t="n">
        <v>-0.0328255925467914</v>
      </c>
      <c r="E18" s="16" t="n">
        <v>0.0545268547475248</v>
      </c>
      <c r="G18" s="17" t="n">
        <f aca="false">IF(ISNUMBER(B18),LN(B18),"")</f>
        <v>6.32194243044721</v>
      </c>
      <c r="H18" s="17" t="n">
        <f aca="false">IF(AND(ISNUMBER(G18),ISNUMBER(G14)),G18-G14,"")</f>
        <v>0.72951742965694</v>
      </c>
    </row>
    <row r="19" customFormat="false" ht="15" hidden="false" customHeight="false" outlineLevel="0" collapsed="false">
      <c r="A19" s="11" t="s">
        <v>58</v>
      </c>
      <c r="B19" s="15" t="n">
        <v>696.827171875</v>
      </c>
      <c r="C19" s="16" t="n">
        <v>0.0698</v>
      </c>
      <c r="D19" s="16" t="n">
        <v>-0.0126062197467198</v>
      </c>
      <c r="E19" s="16" t="n">
        <v>0.060060161436698</v>
      </c>
      <c r="G19" s="17" t="n">
        <f aca="false">IF(ISNUMBER(B19),LN(B19),"")</f>
        <v>6.54653742000618</v>
      </c>
      <c r="H19" s="17" t="n">
        <f aca="false">IF(AND(ISNUMBER(G19),ISNUMBER(G15)),G19-G15,"")</f>
        <v>0.517950360650714</v>
      </c>
    </row>
    <row r="20" customFormat="false" ht="15" hidden="false" customHeight="false" outlineLevel="0" collapsed="false">
      <c r="A20" s="11" t="s">
        <v>59</v>
      </c>
      <c r="B20" s="15" t="n">
        <v>1696.59024193548</v>
      </c>
      <c r="C20" s="16" t="n">
        <v>0.0102</v>
      </c>
      <c r="D20" s="16" t="n">
        <v>0.00821018468113888</v>
      </c>
      <c r="E20" s="16" t="n">
        <v>-0.019789908841391</v>
      </c>
      <c r="G20" s="17" t="n">
        <f aca="false">IF(ISNUMBER(B20),LN(B20),"")</f>
        <v>7.43637577581606</v>
      </c>
      <c r="H20" s="17" t="n">
        <f aca="false">IF(AND(ISNUMBER(G20),ISNUMBER(G16)),G20-G16,"")</f>
        <v>1.47820592896023</v>
      </c>
    </row>
    <row r="21" customFormat="false" ht="15" hidden="false" customHeight="false" outlineLevel="0" collapsed="false">
      <c r="A21" s="11" t="s">
        <v>60</v>
      </c>
      <c r="B21" s="15" t="n">
        <v>1700.06040983607</v>
      </c>
      <c r="C21" s="16" t="n">
        <v>-0.0242</v>
      </c>
      <c r="D21" s="16" t="n">
        <v>-0.0292286521142453</v>
      </c>
      <c r="E21" s="16" t="n">
        <v>-0.0618875514402444</v>
      </c>
      <c r="G21" s="17" t="n">
        <f aca="false">IF(ISNUMBER(B21),LN(B21),"")</f>
        <v>7.43841906461063</v>
      </c>
      <c r="H21" s="17" t="n">
        <f aca="false">IF(AND(ISNUMBER(G21),ISNUMBER(G17)),G21-G17,"")</f>
        <v>1.25998041263688</v>
      </c>
    </row>
    <row r="22" customFormat="false" ht="15" hidden="false" customHeight="false" outlineLevel="0" collapsed="false">
      <c r="A22" s="11" t="s">
        <v>61</v>
      </c>
      <c r="B22" s="15" t="n">
        <v>1455.65919047619</v>
      </c>
      <c r="C22" s="16" t="n">
        <v>-0.022</v>
      </c>
      <c r="D22" s="16" t="n">
        <v>-0.0730327330801743</v>
      </c>
      <c r="E22" s="16" t="n">
        <v>-0.112745471526209</v>
      </c>
      <c r="G22" s="17" t="n">
        <f aca="false">IF(ISNUMBER(B22),LN(B22),"")</f>
        <v>7.28321412888225</v>
      </c>
      <c r="H22" s="17" t="n">
        <f aca="false">IF(AND(ISNUMBER(G22),ISNUMBER(G18)),G22-G18,"")</f>
        <v>0.96127169843504</v>
      </c>
    </row>
    <row r="23" customFormat="false" ht="15" hidden="false" customHeight="false" outlineLevel="0" collapsed="false">
      <c r="A23" s="11" t="s">
        <v>62</v>
      </c>
      <c r="B23" s="15" t="n">
        <v>921.669609375</v>
      </c>
      <c r="C23" s="16" t="n">
        <v>-0.0116</v>
      </c>
      <c r="D23" s="16" t="n">
        <v>-0.045861530337595</v>
      </c>
      <c r="E23" s="16" t="n">
        <v>-0.0565117996405296</v>
      </c>
      <c r="G23" s="17" t="n">
        <f aca="false">IF(ISNUMBER(B23),LN(B23),"")</f>
        <v>6.82618681809516</v>
      </c>
      <c r="H23" s="17" t="n">
        <f aca="false">IF(AND(ISNUMBER(G23),ISNUMBER(G19)),G23-G19,"")</f>
        <v>0.27964939808898</v>
      </c>
    </row>
    <row r="24" customFormat="false" ht="15" hidden="false" customHeight="false" outlineLevel="0" collapsed="false">
      <c r="A24" s="11" t="s">
        <v>63</v>
      </c>
      <c r="B24" s="15" t="n">
        <v>717.923774193549</v>
      </c>
      <c r="C24" s="16" t="n">
        <v>0.0533</v>
      </c>
      <c r="D24" s="16" t="n">
        <v>-0.0516286645659259</v>
      </c>
      <c r="E24" s="16" t="n">
        <v>0.00281998226127467</v>
      </c>
      <c r="G24" s="17" t="n">
        <f aca="false">IF(ISNUMBER(B24),LN(B24),"")</f>
        <v>6.57636339933658</v>
      </c>
      <c r="H24" s="17" t="n">
        <f aca="false">IF(AND(ISNUMBER(G24),ISNUMBER(G20)),G24-G20,"")</f>
        <v>-0.86001237647948</v>
      </c>
    </row>
    <row r="25" customFormat="false" ht="15" hidden="false" customHeight="false" outlineLevel="0" collapsed="false">
      <c r="A25" s="11" t="s">
        <v>64</v>
      </c>
      <c r="B25" s="15" t="n">
        <v>733.365409836066</v>
      </c>
      <c r="C25" s="16" t="n">
        <v>0.0921</v>
      </c>
      <c r="D25" s="16" t="n">
        <v>-0.0200868501071823</v>
      </c>
      <c r="E25" s="16" t="n">
        <v>0.0571326910752132</v>
      </c>
      <c r="G25" s="17" t="n">
        <f aca="false">IF(ISNUMBER(B25),LN(B25),"")</f>
        <v>6.59764409040725</v>
      </c>
      <c r="H25" s="17" t="n">
        <f aca="false">IF(AND(ISNUMBER(G25),ISNUMBER(G21)),G25-G21,"")</f>
        <v>-0.840774974203388</v>
      </c>
    </row>
    <row r="26" customFormat="false" ht="15" hidden="false" customHeight="false" outlineLevel="0" collapsed="false">
      <c r="A26" s="11" t="s">
        <v>65</v>
      </c>
      <c r="B26" s="15" t="n">
        <v>733.829920634921</v>
      </c>
      <c r="C26" s="16" t="n">
        <v>0.0852</v>
      </c>
      <c r="D26" s="16" t="n">
        <v>0.0734871227440328</v>
      </c>
      <c r="E26" s="16" t="n">
        <v>0.162441995090574</v>
      </c>
      <c r="G26" s="17" t="n">
        <f aca="false">IF(ISNUMBER(B26),LN(B26),"")</f>
        <v>6.59827728600803</v>
      </c>
      <c r="H26" s="17" t="n">
        <f aca="false">IF(AND(ISNUMBER(G26),ISNUMBER(G22)),G26-G22,"")</f>
        <v>-0.684936842874217</v>
      </c>
    </row>
    <row r="27" customFormat="false" ht="15" hidden="false" customHeight="false" outlineLevel="0" collapsed="false">
      <c r="A27" s="11" t="s">
        <v>66</v>
      </c>
      <c r="B27" s="15" t="n">
        <v>711.107390625</v>
      </c>
      <c r="C27" s="16" t="n">
        <v>0.0691</v>
      </c>
      <c r="D27" s="16" t="n">
        <v>0.0611211881699143</v>
      </c>
      <c r="E27" s="16" t="n">
        <v>0.0950774236722809</v>
      </c>
      <c r="G27" s="17" t="n">
        <f aca="false">IF(ISNUMBER(B27),LN(B27),"")</f>
        <v>6.56682346006426</v>
      </c>
      <c r="H27" s="17" t="n">
        <f aca="false">IF(AND(ISNUMBER(G27),ISNUMBER(G23)),G27-G23,"")</f>
        <v>-0.259363358030901</v>
      </c>
    </row>
    <row r="28" customFormat="false" ht="15" hidden="false" customHeight="false" outlineLevel="0" collapsed="false">
      <c r="A28" s="11" t="s">
        <v>67</v>
      </c>
      <c r="B28" s="15" t="n">
        <v>545.358806451613</v>
      </c>
      <c r="C28" s="16" t="n">
        <v>0.0569</v>
      </c>
      <c r="D28" s="16" t="n">
        <v>0.0899428801072737</v>
      </c>
      <c r="E28" s="16" t="n">
        <v>0.0860979311042298</v>
      </c>
      <c r="G28" s="17" t="n">
        <f aca="false">IF(ISNUMBER(B28),LN(B28),"")</f>
        <v>6.30144393850074</v>
      </c>
      <c r="H28" s="17" t="n">
        <f aca="false">IF(AND(ISNUMBER(G28),ISNUMBER(G24)),G28-G24,"")</f>
        <v>-0.274919460835839</v>
      </c>
    </row>
    <row r="29" customFormat="false" ht="15" hidden="false" customHeight="false" outlineLevel="0" collapsed="false">
      <c r="A29" s="11" t="s">
        <v>68</v>
      </c>
      <c r="B29" s="15" t="n">
        <v>532.410096774194</v>
      </c>
      <c r="C29" s="16" t="n">
        <v>0.0519</v>
      </c>
      <c r="D29" s="16" t="n">
        <v>0.1251767611687</v>
      </c>
      <c r="E29" s="16" t="n">
        <v>0.0829261625044686</v>
      </c>
      <c r="G29" s="17" t="n">
        <f aca="false">IF(ISNUMBER(B29),LN(B29),"")</f>
        <v>6.27741405098086</v>
      </c>
      <c r="H29" s="17" t="n">
        <f aca="false">IF(AND(ISNUMBER(G29),ISNUMBER(G25)),G29-G25,"")</f>
        <v>-0.320230039426383</v>
      </c>
    </row>
    <row r="30" customFormat="false" ht="15" hidden="false" customHeight="false" outlineLevel="0" collapsed="false">
      <c r="A30" s="11" t="s">
        <v>69</v>
      </c>
      <c r="B30" s="15" t="n">
        <v>573.933</v>
      </c>
      <c r="C30" s="16" t="n">
        <v>0.047</v>
      </c>
      <c r="D30" s="16" t="n">
        <v>0.105783914038355</v>
      </c>
      <c r="E30" s="16" t="n">
        <v>0.0444334376577356</v>
      </c>
      <c r="G30" s="17" t="n">
        <f aca="false">IF(ISNUMBER(B30),LN(B30),"")</f>
        <v>6.35251266476803</v>
      </c>
      <c r="H30" s="17" t="n">
        <f aca="false">IF(AND(ISNUMBER(G30),ISNUMBER(G26)),G30-G26,"")</f>
        <v>-0.245764621240005</v>
      </c>
    </row>
    <row r="31" customFormat="false" ht="15" hidden="false" customHeight="false" outlineLevel="0" collapsed="false">
      <c r="A31" s="11" t="s">
        <v>70</v>
      </c>
      <c r="B31" s="15" t="n">
        <v>732.377625</v>
      </c>
      <c r="C31" s="16" t="n">
        <v>0.0353</v>
      </c>
      <c r="D31" s="16" t="n">
        <v>0.112212463576412</v>
      </c>
      <c r="E31" s="16" t="n">
        <v>0.0640936718081673</v>
      </c>
      <c r="G31" s="17" t="n">
        <f aca="false">IF(ISNUMBER(B31),LN(B31),"")</f>
        <v>6.59629626208792</v>
      </c>
      <c r="H31" s="17" t="n">
        <f aca="false">IF(AND(ISNUMBER(G31),ISNUMBER(G27)),G31-G27,"")</f>
        <v>0.0294728020236565</v>
      </c>
    </row>
    <row r="32" customFormat="false" ht="15" hidden="false" customHeight="false" outlineLevel="0" collapsed="false">
      <c r="A32" s="11" t="s">
        <v>71</v>
      </c>
      <c r="B32" s="15" t="n">
        <v>906.962666666667</v>
      </c>
      <c r="C32" s="16" t="n">
        <v>0.0257</v>
      </c>
      <c r="D32" s="16" t="n">
        <v>0.0925549924421212</v>
      </c>
      <c r="E32" s="16" t="n">
        <v>0.0521713189216535</v>
      </c>
      <c r="G32" s="17" t="n">
        <f aca="false">IF(ISNUMBER(B32),LN(B32),"")</f>
        <v>6.81010128793024</v>
      </c>
      <c r="H32" s="17" t="n">
        <f aca="false">IF(AND(ISNUMBER(G32),ISNUMBER(G28)),G32-G28,"")</f>
        <v>0.508657349429499</v>
      </c>
    </row>
    <row r="33" customFormat="false" ht="15" hidden="false" customHeight="false" outlineLevel="0" collapsed="false">
      <c r="A33" s="11" t="s">
        <v>72</v>
      </c>
      <c r="B33" s="15" t="n">
        <v>831.861633870968</v>
      </c>
      <c r="C33" s="16" t="n">
        <v>0.0171</v>
      </c>
      <c r="D33" s="16" t="n">
        <v>0.0620545390001266</v>
      </c>
      <c r="E33" s="16" t="n">
        <v>0.0156424693190642</v>
      </c>
      <c r="G33" s="17" t="n">
        <f aca="false">IF(ISNUMBER(B33),LN(B33),"")</f>
        <v>6.72366612154738</v>
      </c>
      <c r="H33" s="17" t="n">
        <f aca="false">IF(AND(ISNUMBER(G33),ISNUMBER(G29)),G33-G29,"")</f>
        <v>0.446252070566514</v>
      </c>
    </row>
    <row r="34" customFormat="false" ht="15" hidden="false" customHeight="false" outlineLevel="0" collapsed="false">
      <c r="A34" s="11" t="s">
        <v>73</v>
      </c>
      <c r="B34" s="15" t="n">
        <v>1063.70031904762</v>
      </c>
      <c r="C34" s="16" t="n">
        <v>0.0099</v>
      </c>
      <c r="D34" s="16" t="n">
        <v>0.0457795868219466</v>
      </c>
      <c r="E34" s="16" t="n">
        <v>-0.0463175722342237</v>
      </c>
      <c r="G34" s="17" t="n">
        <f aca="false">IF(ISNUMBER(B34),LN(B34),"")</f>
        <v>6.96950897519893</v>
      </c>
      <c r="H34" s="17" t="n">
        <f aca="false">IF(AND(ISNUMBER(G34),ISNUMBER(G30)),G34-G30,"")</f>
        <v>0.616996310430901</v>
      </c>
    </row>
    <row r="35" customFormat="false" ht="15" hidden="false" customHeight="false" outlineLevel="0" collapsed="false">
      <c r="A35" s="11" t="s">
        <v>74</v>
      </c>
      <c r="B35" s="15" t="n">
        <v>1019.98701587302</v>
      </c>
      <c r="C35" s="16" t="n">
        <v>0.0249</v>
      </c>
      <c r="D35" s="16" t="n">
        <v>0.112108810343498</v>
      </c>
      <c r="E35" s="16" t="n">
        <v>-0.0111829419552486</v>
      </c>
      <c r="G35" s="17" t="n">
        <f aca="false">IF(ISNUMBER(B35),LN(B35),"")</f>
        <v>6.92754517666104</v>
      </c>
      <c r="H35" s="17" t="n">
        <f aca="false">IF(AND(ISNUMBER(G35),ISNUMBER(G31)),G35-G31,"")</f>
        <v>0.331248914573117</v>
      </c>
    </row>
    <row r="36" customFormat="false" ht="15" hidden="false" customHeight="false" outlineLevel="0" collapsed="false">
      <c r="A36" s="11" t="s">
        <v>75</v>
      </c>
      <c r="B36" s="15" t="n">
        <v>1036.44275</v>
      </c>
      <c r="C36" s="16" t="n">
        <v>0.0248</v>
      </c>
      <c r="D36" s="16" t="n">
        <v>0.142539933794164</v>
      </c>
      <c r="E36" s="16" t="n">
        <v>0.00555804016441552</v>
      </c>
      <c r="G36" s="17" t="n">
        <f aca="false">IF(ISNUMBER(B36),LN(B36),"")</f>
        <v>6.94354969638994</v>
      </c>
      <c r="H36" s="17" t="n">
        <f aca="false">IF(AND(ISNUMBER(G36),ISNUMBER(G32)),G36-G32,"")</f>
        <v>0.133448408459698</v>
      </c>
    </row>
    <row r="37" customFormat="false" ht="15" hidden="false" customHeight="false" outlineLevel="0" collapsed="false">
      <c r="A37" s="11" t="s">
        <v>76</v>
      </c>
      <c r="B37" s="15" t="n">
        <v>1125.36748333333</v>
      </c>
      <c r="C37" s="16" t="n">
        <v>0.0272</v>
      </c>
      <c r="D37" s="16" t="n">
        <v>0.109151497090353</v>
      </c>
      <c r="E37" s="16" t="n">
        <v>0.00654025144614989</v>
      </c>
      <c r="G37" s="17" t="n">
        <f aca="false">IF(ISNUMBER(B37),LN(B37),"")</f>
        <v>7.02586491315127</v>
      </c>
      <c r="H37" s="17" t="n">
        <f aca="false">IF(AND(ISNUMBER(G37),ISNUMBER(G33)),G37-G33,"")</f>
        <v>0.302198791603895</v>
      </c>
    </row>
    <row r="38" customFormat="false" ht="15" hidden="false" customHeight="false" outlineLevel="0" collapsed="false">
      <c r="A38" s="11" t="s">
        <v>77</v>
      </c>
      <c r="B38" s="15" t="n">
        <v>1200.253</v>
      </c>
      <c r="C38" s="16" t="n">
        <v>0.0402</v>
      </c>
      <c r="D38" s="16" t="n">
        <v>0.110236615534545</v>
      </c>
      <c r="E38" s="16" t="n">
        <v>0.0624602349363816</v>
      </c>
      <c r="G38" s="17" t="n">
        <f aca="false">IF(ISNUMBER(B38),LN(B38),"")</f>
        <v>7.0902876468872</v>
      </c>
      <c r="H38" s="17" t="n">
        <f aca="false">IF(AND(ISNUMBER(G38),ISNUMBER(G34)),G38-G34,"")</f>
        <v>0.120778671688272</v>
      </c>
    </row>
    <row r="39" customFormat="false" ht="15" hidden="false" customHeight="false" outlineLevel="0" collapsed="false">
      <c r="A39" s="11" t="s">
        <v>78</v>
      </c>
      <c r="B39" s="15" t="n">
        <v>1090.527046875</v>
      </c>
      <c r="C39" s="16" t="n">
        <v>0.0276</v>
      </c>
      <c r="D39" s="16" t="n">
        <v>0.0325763832684258</v>
      </c>
      <c r="E39" s="16" t="n">
        <v>0.0255838987402566</v>
      </c>
      <c r="G39" s="17" t="n">
        <f aca="false">IF(ISNUMBER(B39),LN(B39),"")</f>
        <v>6.99441638760371</v>
      </c>
      <c r="H39" s="17" t="n">
        <f aca="false">IF(AND(ISNUMBER(G39),ISNUMBER(G35)),G39-G35,"")</f>
        <v>0.0668712109426766</v>
      </c>
    </row>
    <row r="40" customFormat="false" ht="15" hidden="false" customHeight="false" outlineLevel="0" collapsed="false">
      <c r="A40" s="11" t="s">
        <v>79</v>
      </c>
      <c r="B40" s="15" t="n">
        <v>854.052754098361</v>
      </c>
      <c r="C40" s="16" t="n">
        <v>0.0253</v>
      </c>
      <c r="D40" s="16" t="n">
        <v>-0.0304774941480642</v>
      </c>
      <c r="E40" s="16" t="n">
        <v>-0.000510205754616022</v>
      </c>
      <c r="G40" s="17" t="n">
        <f aca="false">IF(ISNUMBER(B40),LN(B40),"")</f>
        <v>6.7499929648296</v>
      </c>
      <c r="H40" s="17" t="n">
        <f aca="false">IF(AND(ISNUMBER(G40),ISNUMBER(G36)),G40-G36,"")</f>
        <v>-0.193556731560339</v>
      </c>
    </row>
    <row r="41" customFormat="false" ht="15" hidden="false" customHeight="false" outlineLevel="0" collapsed="false">
      <c r="A41" s="11" t="s">
        <v>80</v>
      </c>
      <c r="B41" s="15" t="n">
        <v>926.047377049181</v>
      </c>
      <c r="C41" s="16" t="n">
        <v>0.0347</v>
      </c>
      <c r="D41" s="16" t="n">
        <v>-0.114758840789371</v>
      </c>
      <c r="E41" s="16" t="n">
        <v>-0.00889028383967849</v>
      </c>
      <c r="G41" s="17" t="n">
        <f aca="false">IF(ISNUMBER(B41),LN(B41),"")</f>
        <v>6.83092539645746</v>
      </c>
      <c r="H41" s="17" t="n">
        <f aca="false">IF(AND(ISNUMBER(G41),ISNUMBER(G37)),G41-G37,"")</f>
        <v>-0.194939516693815</v>
      </c>
    </row>
    <row r="42" customFormat="false" ht="15" hidden="false" customHeight="false" outlineLevel="0" collapsed="false">
      <c r="A42" s="11" t="s">
        <v>81</v>
      </c>
      <c r="B42" s="15" t="n">
        <v>782.844825396825</v>
      </c>
      <c r="C42" s="16" t="n">
        <v>-0.0044</v>
      </c>
      <c r="D42" s="16" t="n">
        <v>-0.151433708670598</v>
      </c>
      <c r="E42" s="16" t="n">
        <v>-0.0204893869308982</v>
      </c>
      <c r="G42" s="17" t="n">
        <f aca="false">IF(ISNUMBER(B42),LN(B42),"")</f>
        <v>6.66293449678081</v>
      </c>
      <c r="H42" s="17" t="n">
        <f aca="false">IF(AND(ISNUMBER(G42),ISNUMBER(G38)),G42-G38,"")</f>
        <v>-0.427353150106391</v>
      </c>
    </row>
    <row r="43" customFormat="false" ht="15" hidden="false" customHeight="false" outlineLevel="0" collapsed="false">
      <c r="A43" s="11" t="s">
        <v>82</v>
      </c>
      <c r="B43" s="15" t="n">
        <v>709.32415625</v>
      </c>
      <c r="C43" s="16" t="n">
        <v>-0.0064</v>
      </c>
      <c r="D43" s="16" t="n">
        <v>-0.138372355737692</v>
      </c>
      <c r="E43" s="16" t="n">
        <v>-0.0423851505475772</v>
      </c>
      <c r="G43" s="17" t="n">
        <f aca="false">IF(ISNUMBER(B43),LN(B43),"")</f>
        <v>6.56431262409225</v>
      </c>
      <c r="H43" s="17" t="n">
        <f aca="false">IF(AND(ISNUMBER(G43),ISNUMBER(G39)),G43-G39,"")</f>
        <v>-0.430103763511462</v>
      </c>
    </row>
    <row r="44" customFormat="false" ht="15" hidden="false" customHeight="false" outlineLevel="0" collapsed="false">
      <c r="A44" s="11" t="s">
        <v>83</v>
      </c>
      <c r="B44" s="15" t="n">
        <v>730.34393442623</v>
      </c>
      <c r="C44" s="16" t="n">
        <v>-0.0023</v>
      </c>
      <c r="D44" s="16" t="n">
        <v>-0.0907464994660634</v>
      </c>
      <c r="E44" s="16" t="n">
        <v>-0.0281573013880524</v>
      </c>
      <c r="G44" s="17" t="n">
        <f aca="false">IF(ISNUMBER(B44),LN(B44),"")</f>
        <v>6.59351556623903</v>
      </c>
      <c r="H44" s="17" t="n">
        <f aca="false">IF(AND(ISNUMBER(G44),ISNUMBER(G40)),G44-G40,"")</f>
        <v>-0.156477398590572</v>
      </c>
    </row>
    <row r="45" customFormat="false" ht="15" hidden="false" customHeight="false" outlineLevel="0" collapsed="false">
      <c r="A45" s="11" t="s">
        <v>84</v>
      </c>
      <c r="B45" s="15" t="n">
        <v>667.094442622951</v>
      </c>
      <c r="C45" s="16" t="n">
        <v>-0.0161</v>
      </c>
      <c r="D45" s="16" t="n">
        <v>0.00628195685987731</v>
      </c>
      <c r="E45" s="16" t="n">
        <v>0.00250908947797246</v>
      </c>
      <c r="G45" s="17" t="n">
        <f aca="false">IF(ISNUMBER(B45),LN(B45),"")</f>
        <v>6.50293162903012</v>
      </c>
      <c r="H45" s="17" t="n">
        <f aca="false">IF(AND(ISNUMBER(G45),ISNUMBER(G41)),G45-G41,"")</f>
        <v>-0.327993767427338</v>
      </c>
    </row>
    <row r="46" customFormat="false" ht="15" hidden="false" customHeight="false" outlineLevel="0" collapsed="false">
      <c r="A46" s="11" t="s">
        <v>85</v>
      </c>
      <c r="B46" s="15" t="n">
        <v>597.646153846154</v>
      </c>
      <c r="C46" s="16" t="n">
        <v>-0.0273</v>
      </c>
      <c r="D46" s="16" t="n">
        <v>0.101200094474078</v>
      </c>
      <c r="E46" s="16" t="n">
        <v>0.0403103203233863</v>
      </c>
      <c r="G46" s="17" t="n">
        <f aca="false">IF(ISNUMBER(B46),LN(B46),"")</f>
        <v>6.39299886284131</v>
      </c>
      <c r="H46" s="17" t="n">
        <f aca="false">IF(AND(ISNUMBER(G46),ISNUMBER(G42)),G46-G42,"")</f>
        <v>-0.269935633939498</v>
      </c>
    </row>
    <row r="47" customFormat="false" ht="15" hidden="false" customHeight="false" outlineLevel="0" collapsed="false">
      <c r="A47" s="11" t="s">
        <v>86</v>
      </c>
      <c r="B47" s="15" t="n">
        <v>585.257575757576</v>
      </c>
      <c r="C47" s="16" t="n">
        <v>-0.0426</v>
      </c>
      <c r="D47" s="16" t="n">
        <v>0.0560260007251707</v>
      </c>
      <c r="E47" s="16" t="n">
        <v>0.0396616998607275</v>
      </c>
      <c r="G47" s="17" t="n">
        <f aca="false">IF(ISNUMBER(B47),LN(B47),"")</f>
        <v>6.37205205076836</v>
      </c>
      <c r="H47" s="17" t="n">
        <f aca="false">IF(AND(ISNUMBER(G47),ISNUMBER(G43)),G47-G43,"")</f>
        <v>-0.192260573323891</v>
      </c>
    </row>
    <row r="48" customFormat="false" ht="15" hidden="false" customHeight="false" outlineLevel="0" collapsed="false">
      <c r="A48" s="11" t="s">
        <v>87</v>
      </c>
      <c r="B48" s="15" t="n">
        <v>506.984615384615</v>
      </c>
      <c r="C48" s="16" t="n">
        <v>-0.0553</v>
      </c>
      <c r="D48" s="16" t="n">
        <v>0.0484206303604911</v>
      </c>
      <c r="E48" s="16" t="n">
        <v>0.0247270091543546</v>
      </c>
      <c r="G48" s="17" t="n">
        <f aca="false">IF(ISNUMBER(B48),LN(B48),"")</f>
        <v>6.22848065872174</v>
      </c>
      <c r="H48" s="17" t="n">
        <f aca="false">IF(AND(ISNUMBER(G48),ISNUMBER(G44)),G48-G44,"")</f>
        <v>-0.365034907517289</v>
      </c>
    </row>
    <row r="49" customFormat="false" ht="15" hidden="false" customHeight="false" outlineLevel="0" collapsed="false">
      <c r="A49" s="11" t="s">
        <v>88</v>
      </c>
      <c r="B49" s="15" t="n">
        <v>468.698412698413</v>
      </c>
      <c r="C49" s="16" t="n">
        <v>-0.0516</v>
      </c>
      <c r="D49" s="16" t="n">
        <v>-0.0433211464470484</v>
      </c>
      <c r="E49" s="16" t="n">
        <v>0.00728692545281007</v>
      </c>
      <c r="G49" s="17" t="n">
        <f aca="false">IF(ISNUMBER(B49),LN(B49),"")</f>
        <v>6.1499595183183</v>
      </c>
      <c r="H49" s="17" t="n">
        <f aca="false">IF(AND(ISNUMBER(G49),ISNUMBER(G45)),G49-G45,"")</f>
        <v>-0.352972110711817</v>
      </c>
    </row>
    <row r="50" customFormat="false" ht="15" hidden="false" customHeight="false" outlineLevel="0" collapsed="false">
      <c r="A50" s="11" t="s">
        <v>89</v>
      </c>
      <c r="B50" s="15" t="n">
        <v>448.541666666667</v>
      </c>
      <c r="C50" s="16" t="n">
        <v>-0.0324</v>
      </c>
      <c r="D50" s="16" t="n">
        <v>-0.148910975388297</v>
      </c>
      <c r="E50" s="16" t="n">
        <v>-0.0385885964740134</v>
      </c>
      <c r="G50" s="17" t="n">
        <f aca="false">IF(ISNUMBER(B50),LN(B50),"")</f>
        <v>6.10600157945052</v>
      </c>
      <c r="H50" s="17" t="n">
        <f aca="false">IF(AND(ISNUMBER(G50),ISNUMBER(G46)),G50-G46,"")</f>
        <v>-0.286997283390795</v>
      </c>
    </row>
    <row r="51" customFormat="false" ht="15" hidden="false" customHeight="false" outlineLevel="0" collapsed="false">
      <c r="A51" s="11" t="s">
        <v>90</v>
      </c>
      <c r="B51" s="15" t="n">
        <v>500.06976744186</v>
      </c>
      <c r="C51" s="16" t="n">
        <v>-0.0245</v>
      </c>
      <c r="D51" s="16" t="n">
        <v>-0.139819367126712</v>
      </c>
      <c r="E51" s="16" t="n">
        <v>-0.0332721885187776</v>
      </c>
      <c r="G51" s="17" t="n">
        <f aca="false">IF(ISNUMBER(B51),LN(B51),"")</f>
        <v>6.21474762357183</v>
      </c>
      <c r="H51" s="17" t="n">
        <f aca="false">IF(AND(ISNUMBER(G51),ISNUMBER(G47)),G51-G47,"")</f>
        <v>-0.157304427196535</v>
      </c>
    </row>
    <row r="52" customFormat="false" ht="15" hidden="false" customHeight="false" outlineLevel="0" collapsed="false">
      <c r="A52" s="11" t="s">
        <v>91</v>
      </c>
      <c r="B52" s="15" t="n">
        <v>473.569230769231</v>
      </c>
      <c r="C52" s="16" t="n">
        <v>-0.0221</v>
      </c>
      <c r="D52" s="16" t="n">
        <v>-0.11418596424082</v>
      </c>
      <c r="E52" s="16" t="n">
        <v>-0.0149328839288507</v>
      </c>
      <c r="G52" s="17" t="n">
        <f aca="false">IF(ISNUMBER(B52),LN(B52),"")</f>
        <v>6.16029811264426</v>
      </c>
      <c r="H52" s="17" t="n">
        <f aca="false">IF(AND(ISNUMBER(G52),ISNUMBER(G48)),G52-G48,"")</f>
        <v>-0.0681825460774777</v>
      </c>
    </row>
    <row r="53" customFormat="false" ht="15" hidden="false" customHeight="false" outlineLevel="0" collapsed="false">
      <c r="A53" s="11" t="s">
        <v>92</v>
      </c>
      <c r="B53" s="15" t="n">
        <v>457.661538461538</v>
      </c>
      <c r="C53" s="16" t="n">
        <v>0.0039</v>
      </c>
      <c r="D53" s="16" t="n">
        <v>-0.0321393526652914</v>
      </c>
      <c r="E53" s="16" t="n">
        <v>0.00559679082443165</v>
      </c>
      <c r="G53" s="17" t="n">
        <f aca="false">IF(ISNUMBER(B53),LN(B53),"")</f>
        <v>6.12612991192755</v>
      </c>
      <c r="H53" s="17" t="n">
        <f aca="false">IF(AND(ISNUMBER(G53),ISNUMBER(G49)),G53-G49,"")</f>
        <v>-0.0238296063907484</v>
      </c>
    </row>
    <row r="54" customFormat="false" ht="15" hidden="false" customHeight="false" outlineLevel="0" collapsed="false">
      <c r="A54" s="11" t="s">
        <v>93</v>
      </c>
      <c r="B54" s="15" t="n">
        <v>417.265625</v>
      </c>
      <c r="C54" s="16" t="n">
        <v>0.0088</v>
      </c>
      <c r="D54" s="16" t="n">
        <v>0.0586655897650446</v>
      </c>
      <c r="E54" s="16" t="n">
        <v>0.0232658340767662</v>
      </c>
      <c r="G54" s="17" t="n">
        <f aca="false">IF(ISNUMBER(B54),LN(B54),"")</f>
        <v>6.0337230094142</v>
      </c>
      <c r="H54" s="17" t="n">
        <f aca="false">IF(AND(ISNUMBER(G54),ISNUMBER(G50)),G54-G50,"")</f>
        <v>-0.0722785700363193</v>
      </c>
    </row>
    <row r="55" customFormat="false" ht="15" hidden="false" customHeight="false" outlineLevel="0" collapsed="false">
      <c r="A55" s="11" t="s">
        <v>94</v>
      </c>
      <c r="B55" s="15" t="n">
        <v>417.764390625</v>
      </c>
      <c r="C55" s="16" t="n">
        <v>0.0163</v>
      </c>
      <c r="D55" s="16" t="n">
        <v>0.0331389887053348</v>
      </c>
      <c r="E55" s="16" t="n">
        <v>0.0385060856362685</v>
      </c>
      <c r="G55" s="17" t="n">
        <f aca="false">IF(ISNUMBER(B55),LN(B55),"")</f>
        <v>6.03491761481755</v>
      </c>
      <c r="H55" s="17" t="n">
        <f aca="false">IF(AND(ISNUMBER(G55),ISNUMBER(G51)),G55-G51,"")</f>
        <v>-0.179830008754272</v>
      </c>
    </row>
    <row r="56" customFormat="false" ht="15" hidden="false" customHeight="false" outlineLevel="0" collapsed="false">
      <c r="A56" s="11" t="s">
        <v>95</v>
      </c>
      <c r="B56" s="15" t="n">
        <v>363.1925625</v>
      </c>
      <c r="C56" s="16" t="n">
        <v>0.0238</v>
      </c>
      <c r="D56" s="16" t="n">
        <v>0.0175797079620306</v>
      </c>
      <c r="E56" s="16" t="n">
        <v>0.0453268482640472</v>
      </c>
      <c r="G56" s="17" t="n">
        <f aca="false">IF(ISNUMBER(B56),LN(B56),"")</f>
        <v>5.89493316881923</v>
      </c>
      <c r="H56" s="17" t="n">
        <f aca="false">IF(AND(ISNUMBER(G56),ISNUMBER(G52)),G56-G52,"")</f>
        <v>-0.265364943825032</v>
      </c>
    </row>
    <row r="57" customFormat="false" ht="15" hidden="false" customHeight="false" outlineLevel="0" collapsed="false">
      <c r="A57" s="11" t="s">
        <v>96</v>
      </c>
      <c r="B57" s="15" t="n">
        <v>391.724661290322</v>
      </c>
      <c r="C57" s="16" t="n">
        <v>0.0145</v>
      </c>
      <c r="D57" s="16" t="n">
        <v>-0.0145618881352685</v>
      </c>
      <c r="E57" s="16" t="n">
        <v>0.0379774021814201</v>
      </c>
      <c r="G57" s="17" t="n">
        <f aca="false">IF(ISNUMBER(B57),LN(B57),"")</f>
        <v>5.97055919832821</v>
      </c>
      <c r="H57" s="17" t="n">
        <f aca="false">IF(AND(ISNUMBER(G57),ISNUMBER(G53)),G57-G53,"")</f>
        <v>-0.155570713599342</v>
      </c>
    </row>
    <row r="58" customFormat="false" ht="15" hidden="false" customHeight="false" outlineLevel="0" collapsed="false">
      <c r="A58" s="11" t="s">
        <v>97</v>
      </c>
      <c r="B58" s="15" t="n">
        <v>468.946476923077</v>
      </c>
      <c r="C58" s="16" t="n">
        <v>0.0105</v>
      </c>
      <c r="D58" s="16" t="n">
        <v>-0.10076918517865</v>
      </c>
      <c r="E58" s="16" t="n">
        <v>-0.039790994073943</v>
      </c>
      <c r="G58" s="17" t="n">
        <f aca="false">IF(ISNUMBER(B58),LN(B58),"")</f>
        <v>6.15048864023471</v>
      </c>
      <c r="H58" s="17" t="n">
        <f aca="false">IF(AND(ISNUMBER(G58),ISNUMBER(G54)),G58-G54,"")</f>
        <v>0.116765630820508</v>
      </c>
    </row>
    <row r="59" customFormat="false" ht="15" hidden="false" customHeight="false" outlineLevel="0" collapsed="false">
      <c r="A59" s="11" t="s">
        <v>98</v>
      </c>
      <c r="B59" s="15" t="n">
        <v>635.11576119403</v>
      </c>
      <c r="C59" s="16" t="n">
        <v>0.0154</v>
      </c>
      <c r="D59" s="16" t="n">
        <v>-0.107955814358483</v>
      </c>
      <c r="E59" s="16" t="n">
        <v>-0.0346944038739507</v>
      </c>
      <c r="G59" s="17" t="n">
        <f aca="false">IF(ISNUMBER(B59),LN(B59),"")</f>
        <v>6.45380728337083</v>
      </c>
      <c r="H59" s="17" t="n">
        <f aca="false">IF(AND(ISNUMBER(G59),ISNUMBER(G55)),G59-G55,"")</f>
        <v>0.418889668553273</v>
      </c>
    </row>
    <row r="60" customFormat="false" ht="15" hidden="false" customHeight="false" outlineLevel="0" collapsed="false">
      <c r="A60" s="11" t="s">
        <v>99</v>
      </c>
      <c r="B60" s="15" t="n">
        <v>691.6339375</v>
      </c>
      <c r="C60" s="16" t="n">
        <v>0.0122</v>
      </c>
      <c r="D60" s="16" t="n">
        <v>-0.250802935114858</v>
      </c>
      <c r="E60" s="16" t="n">
        <v>-0.0633973916700751</v>
      </c>
      <c r="G60" s="17" t="n">
        <f aca="false">IF(ISNUMBER(B60),LN(B60),"")</f>
        <v>6.53905682359999</v>
      </c>
      <c r="H60" s="17" t="n">
        <f aca="false">IF(AND(ISNUMBER(G60),ISNUMBER(G56)),G60-G56,"")</f>
        <v>0.644123654780759</v>
      </c>
    </row>
    <row r="61" customFormat="false" ht="15" hidden="false" customHeight="false" outlineLevel="0" collapsed="false">
      <c r="A61" s="11" t="s">
        <v>100</v>
      </c>
      <c r="B61" s="15" t="n">
        <v>710.835638888889</v>
      </c>
      <c r="C61" s="16" t="n">
        <v>0.0059</v>
      </c>
      <c r="D61" s="16" t="n">
        <v>-0.253878367581224</v>
      </c>
      <c r="E61" s="16" t="n">
        <v>-0.0586372539873753</v>
      </c>
      <c r="G61" s="17" t="n">
        <f aca="false">IF(ISNUMBER(B61),LN(B61),"")</f>
        <v>6.56644123414694</v>
      </c>
      <c r="H61" s="17" t="n">
        <f aca="false">IF(AND(ISNUMBER(G61),ISNUMBER(G57)),G61-G57,"")</f>
        <v>0.595882035818727</v>
      </c>
    </row>
    <row r="62" customFormat="false" ht="15" hidden="false" customHeight="false" outlineLevel="0" collapsed="false">
      <c r="A62" s="11" t="s">
        <v>101</v>
      </c>
      <c r="B62" s="15" t="n">
        <v>873.625898550725</v>
      </c>
      <c r="C62" s="16" t="n">
        <v>0.0108</v>
      </c>
      <c r="D62" s="16" t="n">
        <v>-0.236108996995008</v>
      </c>
      <c r="E62" s="16" t="n">
        <v>0.00582819893603537</v>
      </c>
      <c r="G62" s="17" t="n">
        <f aca="false">IF(ISNUMBER(B62),LN(B62),"")</f>
        <v>6.77265225032814</v>
      </c>
      <c r="H62" s="17" t="n">
        <f aca="false">IF(AND(ISNUMBER(G62),ISNUMBER(G58)),G62-G58,"")</f>
        <v>0.622163610093435</v>
      </c>
    </row>
    <row r="63" customFormat="false" ht="15" hidden="false" customHeight="false" outlineLevel="0" collapsed="false">
      <c r="A63" s="11" t="s">
        <v>102</v>
      </c>
      <c r="B63" s="15" t="n">
        <v>1553.24458536585</v>
      </c>
      <c r="C63" s="16" t="n">
        <v>0.0119</v>
      </c>
      <c r="D63" s="16" t="n">
        <v>-0.20557363698353</v>
      </c>
      <c r="E63" s="16" t="n">
        <v>-0.0175271616356651</v>
      </c>
      <c r="G63" s="17" t="n">
        <f aca="false">IF(ISNUMBER(B63),LN(B63),"")</f>
        <v>7.34810130293474</v>
      </c>
      <c r="H63" s="17" t="n">
        <f aca="false">IF(AND(ISNUMBER(G63),ISNUMBER(G59)),G63-G59,"")</f>
        <v>0.894294019563908</v>
      </c>
    </row>
    <row r="64" customFormat="false" ht="15" hidden="false" customHeight="false" outlineLevel="0" collapsed="false">
      <c r="A64" s="11" t="s">
        <v>103</v>
      </c>
      <c r="B64" s="15" t="n">
        <v>2152.12583695652</v>
      </c>
      <c r="C64" s="16" t="n">
        <v>0.0167</v>
      </c>
      <c r="D64" s="16" t="n">
        <v>-0.0926086528016115</v>
      </c>
      <c r="E64" s="16" t="n">
        <v>-0.0107484273951806</v>
      </c>
      <c r="G64" s="17" t="n">
        <f aca="false">IF(ISNUMBER(B64),LN(B64),"")</f>
        <v>7.67421139399429</v>
      </c>
      <c r="H64" s="17" t="n">
        <f aca="false">IF(AND(ISNUMBER(G64),ISNUMBER(G60)),G64-G60,"")</f>
        <v>1.1351545703943</v>
      </c>
    </row>
    <row r="65" customFormat="false" ht="15" hidden="false" customHeight="false" outlineLevel="0" collapsed="false">
      <c r="A65" s="11" t="s">
        <v>104</v>
      </c>
      <c r="B65" s="15" t="n">
        <v>2339.24403614458</v>
      </c>
      <c r="C65" s="16" t="n">
        <v>0.0041</v>
      </c>
      <c r="D65" s="16" t="n">
        <v>0.0122906221442038</v>
      </c>
      <c r="E65" s="16" t="n">
        <v>-0.0502506965865937</v>
      </c>
      <c r="G65" s="17" t="n">
        <f aca="false">IF(ISNUMBER(B65),LN(B65),"")</f>
        <v>7.75758309467947</v>
      </c>
      <c r="H65" s="17" t="n">
        <f aca="false">IF(AND(ISNUMBER(G65),ISNUMBER(G61)),G65-G61,"")</f>
        <v>1.19114186053253</v>
      </c>
    </row>
    <row r="66" customFormat="false" ht="15" hidden="false" customHeight="false" outlineLevel="0" collapsed="false">
      <c r="A66" s="11" t="s">
        <v>105</v>
      </c>
      <c r="B66" s="15" t="n">
        <v>3096.11088888889</v>
      </c>
      <c r="C66" s="16" t="n">
        <v>-0.1014</v>
      </c>
      <c r="D66" s="16" t="n">
        <v>0.300423401546326</v>
      </c>
      <c r="E66" s="16" t="n">
        <v>-0.189421940385846</v>
      </c>
      <c r="G66" s="17" t="n">
        <f aca="false">IF(ISNUMBER(B66),LN(B66),"")</f>
        <v>8.03790205089279</v>
      </c>
      <c r="H66" s="17" t="n">
        <f aca="false">IF(AND(ISNUMBER(G66),ISNUMBER(G62)),G66-G62,"")</f>
        <v>1.26524980056465</v>
      </c>
    </row>
    <row r="67" customFormat="false" ht="15" hidden="false" customHeight="false" outlineLevel="0" collapsed="false">
      <c r="A67" s="11" t="s">
        <v>106</v>
      </c>
      <c r="B67" s="15" t="n">
        <v>1998.70695454545</v>
      </c>
      <c r="C67" s="16" t="n">
        <v>-0.0304</v>
      </c>
      <c r="D67" s="16" t="n">
        <v>0.333534308594002</v>
      </c>
      <c r="E67" s="16" t="n">
        <v>-0.101927662759163</v>
      </c>
      <c r="G67" s="17" t="n">
        <f aca="false">IF(ISNUMBER(B67),LN(B67),"")</f>
        <v>7.60025572772887</v>
      </c>
      <c r="H67" s="17" t="n">
        <f aca="false">IF(AND(ISNUMBER(G67),ISNUMBER(G63)),G67-G63,"")</f>
        <v>0.252154424794131</v>
      </c>
    </row>
    <row r="68" customFormat="false" ht="15" hidden="false" customHeight="false" outlineLevel="0" collapsed="false">
      <c r="A68" s="11" t="s">
        <v>107</v>
      </c>
      <c r="B68" s="15" t="n">
        <v>1391.81681538462</v>
      </c>
      <c r="C68" s="16" t="n">
        <v>-0.0033</v>
      </c>
      <c r="D68" s="16" t="n">
        <v>0.310601242607967</v>
      </c>
      <c r="E68" s="16" t="n">
        <v>-0.0431329947641036</v>
      </c>
      <c r="G68" s="17" t="n">
        <f aca="false">IF(ISNUMBER(B68),LN(B68),"")</f>
        <v>7.23836523409133</v>
      </c>
      <c r="H68" s="17" t="n">
        <f aca="false">IF(AND(ISNUMBER(G68),ISNUMBER(G64)),G68-G64,"")</f>
        <v>-0.435846159902956</v>
      </c>
    </row>
    <row r="69" customFormat="false" ht="15" hidden="false" customHeight="false" outlineLevel="0" collapsed="false">
      <c r="A69" s="11" t="s">
        <v>108</v>
      </c>
      <c r="B69" s="15" t="n">
        <v>1492.04128571429</v>
      </c>
      <c r="C69" s="16" t="n">
        <v>0.0175</v>
      </c>
      <c r="D69" s="16" t="n">
        <v>0.133348854537539</v>
      </c>
      <c r="E69" s="16" t="n">
        <v>0.0323260077948051</v>
      </c>
      <c r="G69" s="17" t="n">
        <f aca="false">IF(ISNUMBER(B69),LN(B69),"")</f>
        <v>7.30790045177113</v>
      </c>
      <c r="H69" s="17" t="n">
        <f aca="false">IF(AND(ISNUMBER(G69),ISNUMBER(G65)),G69-G65,"")</f>
        <v>-0.449682642908338</v>
      </c>
    </row>
    <row r="70" customFormat="false" ht="15" hidden="false" customHeight="false" outlineLevel="0" collapsed="false">
      <c r="A70" s="11" t="s">
        <v>109</v>
      </c>
      <c r="B70" s="15" t="n">
        <v>1543.4644</v>
      </c>
      <c r="C70" s="16" t="n">
        <v>0.124</v>
      </c>
      <c r="D70" s="16" t="n">
        <v>-0.132961858833637</v>
      </c>
      <c r="E70" s="16" t="n">
        <v>0.187299607796633</v>
      </c>
      <c r="G70" s="17" t="n">
        <f aca="false">IF(ISNUMBER(B70),LN(B70),"")</f>
        <v>7.34178477921234</v>
      </c>
      <c r="H70" s="17" t="n">
        <f aca="false">IF(AND(ISNUMBER(G70),ISNUMBER(G66)),G70-G66,"")</f>
        <v>-0.696117271680444</v>
      </c>
    </row>
    <row r="71" customFormat="false" ht="15" hidden="false" customHeight="false" outlineLevel="0" collapsed="false">
      <c r="A71" s="11" t="s">
        <v>110</v>
      </c>
      <c r="B71" s="15" t="n">
        <v>1568.15139130435</v>
      </c>
      <c r="C71" s="16" t="n">
        <v>0.0421</v>
      </c>
      <c r="D71" s="16" t="n">
        <v>-0.0957517156450476</v>
      </c>
      <c r="E71" s="16" t="n">
        <v>0.118145356665691</v>
      </c>
      <c r="G71" s="17" t="n">
        <f aca="false">IF(ISNUMBER(B71),LN(B71),"")</f>
        <v>7.3576527468264</v>
      </c>
      <c r="H71" s="17" t="n">
        <f aca="false">IF(AND(ISNUMBER(G71),ISNUMBER(G67)),G71-G67,"")</f>
        <v>-0.242602980902468</v>
      </c>
    </row>
    <row r="72" customFormat="false" ht="15" hidden="false" customHeight="false" outlineLevel="0" collapsed="false">
      <c r="A72" s="11" t="s">
        <v>111</v>
      </c>
      <c r="B72" s="15" t="n">
        <v>1712.31386956522</v>
      </c>
      <c r="C72" s="16" t="n">
        <v>0.0146</v>
      </c>
      <c r="D72" s="16" t="n">
        <v>-0.0404740937876135</v>
      </c>
      <c r="E72" s="16" t="n">
        <v>0.08364113941174</v>
      </c>
      <c r="G72" s="17" t="n">
        <f aca="false">IF(ISNUMBER(B72),LN(B72),"")</f>
        <v>7.44560087492429</v>
      </c>
      <c r="H72" s="17" t="n">
        <f aca="false">IF(AND(ISNUMBER(G72),ISNUMBER(G68)),G72-G68,"")</f>
        <v>0.207235640832954</v>
      </c>
    </row>
    <row r="73" customFormat="false" ht="15" hidden="false" customHeight="false" outlineLevel="0" collapsed="false">
      <c r="A73" s="11" t="s">
        <v>112</v>
      </c>
      <c r="B73" s="15" t="n">
        <v>1807.04372222222</v>
      </c>
      <c r="C73" s="16" t="n">
        <v>0.0148</v>
      </c>
      <c r="D73" s="16" t="n">
        <v>0.0113625688003993</v>
      </c>
      <c r="E73" s="16" t="n">
        <v>0.0686138387185451</v>
      </c>
      <c r="G73" s="17" t="n">
        <f aca="false">IF(ISNUMBER(B73),LN(B73),"")</f>
        <v>7.4994474863273</v>
      </c>
      <c r="H73" s="17" t="n">
        <f aca="false">IF(AND(ISNUMBER(G73),ISNUMBER(G69)),G73-G69,"")</f>
        <v>0.191547034556169</v>
      </c>
    </row>
    <row r="74" customFormat="false" ht="15" hidden="false" customHeight="false" outlineLevel="0" collapsed="false">
      <c r="A74" s="11" t="s">
        <v>113</v>
      </c>
      <c r="B74" s="15" t="n">
        <v>1918.61072527473</v>
      </c>
      <c r="C74" s="16" t="n">
        <v>0.0354</v>
      </c>
      <c r="D74" s="16" t="n">
        <v>-0.0258001512588706</v>
      </c>
      <c r="E74" s="16" t="n">
        <v>0.0813001446194395</v>
      </c>
      <c r="G74" s="17" t="n">
        <f aca="false">IF(ISNUMBER(B74),LN(B74),"")</f>
        <v>7.55935662252496</v>
      </c>
      <c r="H74" s="17" t="n">
        <f aca="false">IF(AND(ISNUMBER(G74),ISNUMBER(G70)),G74-G70,"")</f>
        <v>0.21757184331262</v>
      </c>
    </row>
    <row r="75" customFormat="false" ht="15" hidden="false" customHeight="false" outlineLevel="0" collapsed="false">
      <c r="A75" s="11" t="s">
        <v>114</v>
      </c>
      <c r="B75" s="15" t="n">
        <v>2532.03854666667</v>
      </c>
      <c r="C75" s="16" t="n">
        <v>0.0432</v>
      </c>
      <c r="D75" s="16" t="n">
        <v>-0.0831824560773343</v>
      </c>
      <c r="E75" s="16" t="n">
        <v>0.066844213632383</v>
      </c>
      <c r="G75" s="17" t="n">
        <f aca="false">IF(ISNUMBER(B75),LN(B75),"")</f>
        <v>7.83678000695019</v>
      </c>
      <c r="H75" s="17" t="n">
        <f aca="false">IF(AND(ISNUMBER(G75),ISNUMBER(G71)),G75-G71,"")</f>
        <v>0.479127260123788</v>
      </c>
    </row>
    <row r="76" customFormat="false" ht="15" hidden="false" customHeight="false" outlineLevel="0" collapsed="false">
      <c r="A76" s="11" t="s">
        <v>115</v>
      </c>
      <c r="B76" s="15" t="n">
        <v>2462.75393478261</v>
      </c>
      <c r="C76" s="16" t="n">
        <v>0.027</v>
      </c>
      <c r="D76" s="16" t="n">
        <v>-0.163911151341187</v>
      </c>
      <c r="E76" s="16" t="n">
        <v>0.023854276267842</v>
      </c>
      <c r="G76" s="17" t="n">
        <f aca="false">IF(ISNUMBER(B76),LN(B76),"")</f>
        <v>7.80903548845357</v>
      </c>
      <c r="H76" s="17" t="n">
        <f aca="false">IF(AND(ISNUMBER(G76),ISNUMBER(G72)),G76-G72,"")</f>
        <v>0.363434613529283</v>
      </c>
    </row>
    <row r="77" customFormat="false" ht="15" hidden="false" customHeight="false" outlineLevel="0" collapsed="false">
      <c r="A77" s="11" t="s">
        <v>116</v>
      </c>
      <c r="B77" s="15" t="n">
        <v>2085.99497777778</v>
      </c>
      <c r="C77" s="16" t="n">
        <v>0.0444</v>
      </c>
      <c r="D77" s="16" t="n">
        <v>-0.176790692165209</v>
      </c>
      <c r="E77" s="16" t="n">
        <v>0.00911982377224452</v>
      </c>
      <c r="G77" s="17" t="n">
        <f aca="false">IF(ISNUMBER(B77),LN(B77),"")</f>
        <v>7.64300122797286</v>
      </c>
      <c r="H77" s="17" t="n">
        <f aca="false">IF(AND(ISNUMBER(G77),ISNUMBER(G73)),G77-G73,"")</f>
        <v>0.14355374164556</v>
      </c>
    </row>
    <row r="78" customFormat="false" ht="15" hidden="false" customHeight="false" outlineLevel="0" collapsed="false">
      <c r="A78" s="11" t="s">
        <v>117</v>
      </c>
      <c r="B78" s="15" t="n">
        <v>2482.34095061728</v>
      </c>
      <c r="C78" s="16" t="n">
        <v>0.0385</v>
      </c>
      <c r="D78" s="16" t="n">
        <v>-0.230734676239312</v>
      </c>
      <c r="E78" s="16" t="n">
        <v>-0.0567487243252599</v>
      </c>
      <c r="G78" s="17" t="n">
        <f aca="false">IF(ISNUMBER(B78),LN(B78),"")</f>
        <v>7.81695732563617</v>
      </c>
      <c r="H78" s="17" t="n">
        <f aca="false">IF(AND(ISNUMBER(G78),ISNUMBER(G74)),G78-G74,"")</f>
        <v>0.257600703111206</v>
      </c>
    </row>
    <row r="79" customFormat="false" ht="15" hidden="false" customHeight="false" outlineLevel="0" collapsed="false">
      <c r="A79" s="11" t="s">
        <v>118</v>
      </c>
      <c r="B79" s="15" t="n">
        <v>2088.37973417722</v>
      </c>
      <c r="C79" s="16" t="n">
        <v>0.0235</v>
      </c>
      <c r="D79" s="16" t="n">
        <v>-0.2598328892436</v>
      </c>
      <c r="E79" s="16" t="n">
        <v>-0.00549172525238073</v>
      </c>
      <c r="G79" s="17" t="n">
        <f aca="false">IF(ISNUMBER(B79),LN(B79),"")</f>
        <v>7.64414379749449</v>
      </c>
      <c r="H79" s="17" t="n">
        <f aca="false">IF(AND(ISNUMBER(G79),ISNUMBER(G75)),G79-G75,"")</f>
        <v>-0.192636209455695</v>
      </c>
    </row>
    <row r="80" customFormat="false" ht="15" hidden="false" customHeight="false" outlineLevel="0" collapsed="false">
      <c r="A80" s="11" t="s">
        <v>119</v>
      </c>
      <c r="B80" s="15" t="n">
        <v>2210.46063380282</v>
      </c>
      <c r="C80" s="16" t="n">
        <v>0.0238</v>
      </c>
      <c r="D80" s="16" t="n">
        <v>-0.252313761190249</v>
      </c>
      <c r="E80" s="16" t="n">
        <v>-0.0171598554874708</v>
      </c>
      <c r="G80" s="17" t="n">
        <f aca="false">IF(ISNUMBER(B80),LN(B80),"")</f>
        <v>7.70095620437794</v>
      </c>
      <c r="H80" s="17" t="n">
        <f aca="false">IF(AND(ISNUMBER(G80),ISNUMBER(G76)),G80-G76,"")</f>
        <v>-0.108079284075631</v>
      </c>
    </row>
    <row r="81" customFormat="false" ht="15" hidden="false" customHeight="false" outlineLevel="0" collapsed="false">
      <c r="A81" s="11" t="s">
        <v>120</v>
      </c>
      <c r="B81" s="15" t="n">
        <v>1755.52208</v>
      </c>
      <c r="C81" s="16" t="n">
        <v>0.0246</v>
      </c>
      <c r="D81" s="16" t="n">
        <v>-0.326696830055503</v>
      </c>
      <c r="E81" s="16" t="n">
        <v>-0.0496170325779741</v>
      </c>
      <c r="G81" s="17" t="n">
        <f aca="false">IF(ISNUMBER(B81),LN(B81),"")</f>
        <v>7.47052157314261</v>
      </c>
      <c r="H81" s="17" t="n">
        <f aca="false">IF(AND(ISNUMBER(G81),ISNUMBER(G77)),G81-G77,"")</f>
        <v>-0.172479654830256</v>
      </c>
    </row>
    <row r="82" customFormat="false" ht="15" hidden="false" customHeight="false" outlineLevel="0" collapsed="false">
      <c r="A82" s="11" t="s">
        <v>121</v>
      </c>
      <c r="B82" s="15" t="n">
        <v>1343.77188059702</v>
      </c>
      <c r="C82" s="16" t="n">
        <v>0.0347</v>
      </c>
      <c r="D82" s="16" t="n">
        <v>-0.191082261820379</v>
      </c>
      <c r="E82" s="16" t="n">
        <v>-0.0108329991805178</v>
      </c>
      <c r="G82" s="17" t="n">
        <f aca="false">IF(ISNUMBER(B82),LN(B82),"")</f>
        <v>7.20323577497839</v>
      </c>
      <c r="H82" s="17" t="n">
        <f aca="false">IF(AND(ISNUMBER(G82),ISNUMBER(G78)),G82-G78,"")</f>
        <v>-0.61372155065778</v>
      </c>
    </row>
    <row r="83" customFormat="false" ht="15" hidden="false" customHeight="false" outlineLevel="0" collapsed="false">
      <c r="A83" s="11" t="s">
        <v>122</v>
      </c>
      <c r="B83" s="15" t="n">
        <v>1484.54545454546</v>
      </c>
      <c r="C83" s="16" t="n">
        <v>0.0414</v>
      </c>
      <c r="D83" s="16" t="n">
        <v>-0.0855806865756779</v>
      </c>
      <c r="E83" s="16" t="n">
        <v>-0.0193706719869603</v>
      </c>
      <c r="G83" s="17" t="n">
        <f aca="false">IF(ISNUMBER(B83),LN(B83),"")</f>
        <v>7.30286391316614</v>
      </c>
      <c r="H83" s="17" t="n">
        <f aca="false">IF(AND(ISNUMBER(G83),ISNUMBER(G79)),G83-G79,"")</f>
        <v>-0.341279884328352</v>
      </c>
    </row>
    <row r="84" customFormat="false" ht="15" hidden="false" customHeight="false" outlineLevel="0" collapsed="false">
      <c r="A84" s="11" t="s">
        <v>123</v>
      </c>
      <c r="B84" s="15" t="n">
        <v>920.4</v>
      </c>
      <c r="C84" s="16" t="n">
        <v>0.0358</v>
      </c>
      <c r="D84" s="16" t="n">
        <v>0.055546860701615</v>
      </c>
      <c r="E84" s="16" t="n">
        <v>0.0263829611146622</v>
      </c>
      <c r="G84" s="17" t="n">
        <f aca="false">IF(ISNUMBER(B84),LN(B84),"")</f>
        <v>6.82480835816121</v>
      </c>
      <c r="H84" s="17" t="n">
        <f aca="false">IF(AND(ISNUMBER(G84),ISNUMBER(G80)),G84-G80,"")</f>
        <v>-0.876147846216728</v>
      </c>
    </row>
    <row r="85" customFormat="false" ht="15" hidden="false" customHeight="false" outlineLevel="0" collapsed="false">
      <c r="A85" s="11" t="s">
        <v>124</v>
      </c>
      <c r="B85" s="15" t="n">
        <v>684.538461538462</v>
      </c>
      <c r="C85" s="16" t="n">
        <v>0.0315</v>
      </c>
      <c r="D85" s="16" t="n">
        <v>0.260662333761717</v>
      </c>
      <c r="E85" s="16" t="n">
        <v>0.0583747415748432</v>
      </c>
      <c r="G85" s="17" t="n">
        <f aca="false">IF(ISNUMBER(B85),LN(B85),"")</f>
        <v>6.52874483239533</v>
      </c>
      <c r="H85" s="17" t="n">
        <f aca="false">IF(AND(ISNUMBER(G85),ISNUMBER(G81)),G85-G81,"")</f>
        <v>-0.94177674074728</v>
      </c>
    </row>
    <row r="86" customFormat="false" ht="15" hidden="false" customHeight="false" outlineLevel="0" collapsed="false">
      <c r="A86" s="11" t="s">
        <v>125</v>
      </c>
      <c r="B86" s="15" t="n">
        <v>723.846153846154</v>
      </c>
      <c r="C86" s="16" t="n">
        <v>0.0236</v>
      </c>
      <c r="D86" s="16" t="n">
        <v>0.289256985193463</v>
      </c>
      <c r="E86" s="16" t="n">
        <v>0.0638141408959982</v>
      </c>
      <c r="G86" s="17" t="n">
        <f aca="false">IF(ISNUMBER(B86),LN(B86),"")</f>
        <v>6.58457887511789</v>
      </c>
      <c r="H86" s="17" t="n">
        <f aca="false">IF(AND(ISNUMBER(G86),ISNUMBER(G82)),G86-G82,"")</f>
        <v>-0.618656899860501</v>
      </c>
    </row>
    <row r="87" customFormat="false" ht="15" hidden="false" customHeight="false" outlineLevel="0" collapsed="false">
      <c r="A87" s="11" t="s">
        <v>126</v>
      </c>
      <c r="B87" s="15" t="n">
        <v>866.153846153846</v>
      </c>
      <c r="C87" s="16" t="n">
        <v>0.0182</v>
      </c>
      <c r="D87" s="16" t="n">
        <v>0.166412356112257</v>
      </c>
      <c r="E87" s="16" t="n">
        <v>0.0325690447876617</v>
      </c>
      <c r="G87" s="17" t="n">
        <f aca="false">IF(ISNUMBER(B87),LN(B87),"")</f>
        <v>6.76406254423215</v>
      </c>
      <c r="H87" s="17" t="n">
        <f aca="false">IF(AND(ISNUMBER(G87),ISNUMBER(G83)),G87-G83,"")</f>
        <v>-0.538801368933996</v>
      </c>
    </row>
    <row r="88" customFormat="false" ht="15" hidden="false" customHeight="false" outlineLevel="0" collapsed="false">
      <c r="A88" s="11" t="s">
        <v>127</v>
      </c>
      <c r="B88" s="15" t="n">
        <v>753</v>
      </c>
      <c r="C88" s="16" t="n">
        <v>0.0182</v>
      </c>
      <c r="D88" s="16" t="n">
        <v>0.0721765345604324</v>
      </c>
      <c r="E88" s="16" t="n">
        <v>0.0205805070747371</v>
      </c>
      <c r="G88" s="17" t="n">
        <f aca="false">IF(ISNUMBER(B88),LN(B88),"")</f>
        <v>6.62406522779989</v>
      </c>
      <c r="H88" s="17" t="n">
        <f aca="false">IF(AND(ISNUMBER(G88),ISNUMBER(G84)),G88-G84,"")</f>
        <v>-0.200743130361317</v>
      </c>
    </row>
    <row r="89" customFormat="false" ht="15" hidden="false" customHeight="false" outlineLevel="0" collapsed="false">
      <c r="A89" s="11" t="s">
        <v>128</v>
      </c>
      <c r="B89" s="15" t="n">
        <v>536.222222222222</v>
      </c>
      <c r="C89" s="16" t="n">
        <v>0.0182</v>
      </c>
      <c r="D89" s="16" t="n">
        <v>-0.0302608259736679</v>
      </c>
      <c r="E89" s="16" t="n">
        <v>0.024694045208276</v>
      </c>
      <c r="G89" s="17" t="n">
        <f aca="false">IF(ISNUMBER(B89),LN(B89),"")</f>
        <v>6.28454866884876</v>
      </c>
      <c r="H89" s="17" t="n">
        <f aca="false">IF(AND(ISNUMBER(G89),ISNUMBER(G85)),G89-G85,"")</f>
        <v>-0.244196163546568</v>
      </c>
    </row>
    <row r="91" customFormat="false" ht="15" hidden="false" customHeight="false" outlineLevel="0" collapsed="false">
      <c r="B91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5" min="2" style="0" width="13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5" customFormat="false" ht="23.85" hidden="false" customHeight="false" outlineLevel="0" collapsed="false">
      <c r="A5" s="3" t="s">
        <v>37</v>
      </c>
      <c r="B5" s="3" t="s">
        <v>132</v>
      </c>
      <c r="C5" s="3" t="s">
        <v>133</v>
      </c>
      <c r="D5" s="3" t="s">
        <v>134</v>
      </c>
      <c r="E5" s="3" t="s">
        <v>135</v>
      </c>
      <c r="F5" s="3" t="s">
        <v>136</v>
      </c>
      <c r="G5" s="3" t="s">
        <v>137</v>
      </c>
      <c r="H5" s="3" t="s">
        <v>138</v>
      </c>
      <c r="I5" s="3" t="s">
        <v>139</v>
      </c>
      <c r="L5" s="3" t="s">
        <v>140</v>
      </c>
      <c r="M5" s="3" t="s">
        <v>141</v>
      </c>
      <c r="N5" s="3" t="s">
        <v>142</v>
      </c>
    </row>
    <row r="6" customFormat="false" ht="15" hidden="false" customHeight="false" outlineLevel="0" collapsed="false">
      <c r="A6" s="19" t="str">
        <f aca="false">Datos!A13</f>
        <v>2007Q1</v>
      </c>
      <c r="B6" s="20" t="n">
        <f aca="false">Datos!E13</f>
        <v>0.0835894113627564</v>
      </c>
      <c r="C6" s="20" t="n">
        <f aca="false">Datos!C13</f>
        <v>0.052</v>
      </c>
      <c r="D6" s="20" t="n">
        <f aca="false">Datos!B13</f>
        <v>210.279435483871</v>
      </c>
      <c r="E6" s="20" t="n">
        <f aca="false">Datos!D13</f>
        <v>0.10364673016758</v>
      </c>
      <c r="F6" s="20" t="n">
        <f aca="false">Datos!B7</f>
        <v>413.72934375</v>
      </c>
      <c r="G6" s="17" t="n">
        <v>1</v>
      </c>
      <c r="H6" s="17" t="n">
        <f aca="false">B6-($B$89+$B$90*C6+$B$91*D6+$B$92*E6+$B$93*F6)</f>
        <v>0.0141803594753446</v>
      </c>
      <c r="I6" s="17" t="n">
        <f aca="false">H6^2</f>
        <v>0.000201082594849995</v>
      </c>
      <c r="L6" s="17" t="n">
        <f aca="false">C6</f>
        <v>0.052</v>
      </c>
      <c r="M6" s="17" t="n">
        <f aca="false">D6-F6</f>
        <v>-203.449908266129</v>
      </c>
      <c r="N6" s="17" t="n">
        <f aca="false">E6</f>
        <v>0.10364673016758</v>
      </c>
    </row>
    <row r="7" customFormat="false" ht="15" hidden="false" customHeight="false" outlineLevel="0" collapsed="false">
      <c r="A7" s="19" t="str">
        <f aca="false">Datos!A14</f>
        <v>2007Q2</v>
      </c>
      <c r="B7" s="20" t="n">
        <f aca="false">Datos!E14</f>
        <v>0.0985938738676382</v>
      </c>
      <c r="C7" s="20" t="n">
        <f aca="false">Datos!C14</f>
        <v>0.0654</v>
      </c>
      <c r="D7" s="20" t="n">
        <f aca="false">Datos!B14</f>
        <v>268.385666666667</v>
      </c>
      <c r="E7" s="20" t="n">
        <f aca="false">Datos!D14</f>
        <v>0.108781166847409</v>
      </c>
      <c r="F7" s="20" t="n">
        <f aca="false">Datos!B8</f>
        <v>423.416245901639</v>
      </c>
      <c r="G7" s="17" t="n">
        <v>1</v>
      </c>
      <c r="H7" s="17" t="n">
        <f aca="false">B7-($B$89+$B$90*C7+$B$91*D7+$B$92*E7+$B$93*F7)</f>
        <v>0.015792797779628</v>
      </c>
      <c r="I7" s="17" t="n">
        <f aca="false">H7^2</f>
        <v>0.000249412461708223</v>
      </c>
      <c r="L7" s="17" t="n">
        <f aca="false">C7</f>
        <v>0.0654</v>
      </c>
      <c r="M7" s="17" t="n">
        <f aca="false">D7-F7</f>
        <v>-155.030579234973</v>
      </c>
      <c r="N7" s="17" t="n">
        <f aca="false">E7</f>
        <v>0.108781166847409</v>
      </c>
    </row>
    <row r="8" customFormat="false" ht="15" hidden="false" customHeight="false" outlineLevel="0" collapsed="false">
      <c r="A8" s="19" t="str">
        <f aca="false">Datos!A15</f>
        <v>2007Q3</v>
      </c>
      <c r="B8" s="20" t="n">
        <f aca="false">Datos!E15</f>
        <v>0.0842779771268098</v>
      </c>
      <c r="C8" s="20" t="n">
        <f aca="false">Datos!C15</f>
        <v>0.0587</v>
      </c>
      <c r="D8" s="20" t="n">
        <f aca="false">Datos!B15</f>
        <v>415.128063492064</v>
      </c>
      <c r="E8" s="20" t="n">
        <f aca="false">Datos!D15</f>
        <v>0.0950315375576127</v>
      </c>
      <c r="F8" s="20" t="n">
        <f aca="false">Datos!B9</f>
        <v>394.415177419355</v>
      </c>
      <c r="G8" s="17" t="n">
        <v>1</v>
      </c>
      <c r="H8" s="17" t="n">
        <f aca="false">B8-($B$89+$B$90*C8+$B$91*D8+$B$92*E8+$B$93*F8)</f>
        <v>0.0149753248268298</v>
      </c>
      <c r="I8" s="17" t="n">
        <f aca="false">H8^2</f>
        <v>0.000224260353669064</v>
      </c>
      <c r="L8" s="17" t="n">
        <f aca="false">C8</f>
        <v>0.0587</v>
      </c>
      <c r="M8" s="17" t="n">
        <f aca="false">D8-F8</f>
        <v>20.7128860727087</v>
      </c>
      <c r="N8" s="17" t="n">
        <f aca="false">E8</f>
        <v>0.0950315375576127</v>
      </c>
    </row>
    <row r="9" customFormat="false" ht="15" hidden="false" customHeight="false" outlineLevel="0" collapsed="false">
      <c r="A9" s="19" t="str">
        <f aca="false">Datos!A16</f>
        <v>2007Q4</v>
      </c>
      <c r="B9" s="20" t="n">
        <f aca="false">Datos!E16</f>
        <v>0.092673486299768</v>
      </c>
      <c r="C9" s="20" t="n">
        <f aca="false">Datos!C16</f>
        <v>0.0664</v>
      </c>
      <c r="D9" s="20" t="n">
        <f aca="false">Datos!B16</f>
        <v>386.901387096774</v>
      </c>
      <c r="E9" s="20" t="n">
        <f aca="false">Datos!D16</f>
        <v>0.0347947801855839</v>
      </c>
      <c r="F9" s="20" t="n">
        <f aca="false">Datos!B10</f>
        <v>353.71380952381</v>
      </c>
      <c r="G9" s="17" t="n">
        <v>1</v>
      </c>
      <c r="H9" s="17" t="n">
        <f aca="false">B9-($B$89+$B$90*C9+$B$91*D9+$B$92*E9+$B$93*F9)</f>
        <v>0.0203682101795768</v>
      </c>
      <c r="I9" s="17" t="n">
        <f aca="false">H9^2</f>
        <v>0.000414863985919418</v>
      </c>
      <c r="L9" s="17" t="n">
        <f aca="false">C9</f>
        <v>0.0664</v>
      </c>
      <c r="M9" s="17" t="n">
        <f aca="false">D9-F9</f>
        <v>33.1875775729647</v>
      </c>
      <c r="N9" s="17" t="n">
        <f aca="false">E9</f>
        <v>0.0347947801855839</v>
      </c>
    </row>
    <row r="10" customFormat="false" ht="15" hidden="false" customHeight="false" outlineLevel="0" collapsed="false">
      <c r="A10" s="19" t="str">
        <f aca="false">Datos!A17</f>
        <v>2008Q1</v>
      </c>
      <c r="B10" s="20" t="n">
        <f aca="false">Datos!E17</f>
        <v>0.0691231457663233</v>
      </c>
      <c r="C10" s="20" t="n">
        <f aca="false">Datos!C17</f>
        <v>0.0616</v>
      </c>
      <c r="D10" s="20" t="n">
        <f aca="false">Datos!B17</f>
        <v>482.238426229508</v>
      </c>
      <c r="E10" s="20" t="n">
        <f aca="false">Datos!D17</f>
        <v>0.00609959861693343</v>
      </c>
      <c r="F10" s="20" t="n">
        <f aca="false">Datos!B11</f>
        <v>339.045285714286</v>
      </c>
      <c r="G10" s="17" t="n">
        <v>1</v>
      </c>
      <c r="H10" s="17" t="n">
        <f aca="false">B10-($B$89+$B$90*C10+$B$91*D10+$B$92*E10+$B$93*F10)</f>
        <v>0.00764696080330541</v>
      </c>
      <c r="I10" s="17" t="n">
        <f aca="false">H10^2</f>
        <v>5.84760095272893E-005</v>
      </c>
      <c r="L10" s="17" t="n">
        <f aca="false">C10</f>
        <v>0.0616</v>
      </c>
      <c r="M10" s="17" t="n">
        <f aca="false">D10-F10</f>
        <v>143.193140515223</v>
      </c>
      <c r="N10" s="17" t="n">
        <f aca="false">E10</f>
        <v>0.00609959861693343</v>
      </c>
    </row>
    <row r="11" customFormat="false" ht="15" hidden="false" customHeight="false" outlineLevel="0" collapsed="false">
      <c r="A11" s="19" t="str">
        <f aca="false">Datos!A18</f>
        <v>2008Q2</v>
      </c>
      <c r="B11" s="20" t="n">
        <f aca="false">Datos!E18</f>
        <v>0.0545268547475248</v>
      </c>
      <c r="C11" s="20" t="n">
        <f aca="false">Datos!C18</f>
        <v>0.0634</v>
      </c>
      <c r="D11" s="20" t="n">
        <f aca="false">Datos!B18</f>
        <v>556.653203125</v>
      </c>
      <c r="E11" s="20" t="n">
        <f aca="false">Datos!D18</f>
        <v>-0.0328255925467914</v>
      </c>
      <c r="F11" s="20" t="n">
        <f aca="false">Datos!B12</f>
        <v>281.705258064516</v>
      </c>
      <c r="G11" s="17" t="n">
        <v>1</v>
      </c>
      <c r="H11" s="17" t="n">
        <f aca="false">B11-($B$89+$B$90*C11+$B$91*D11+$B$92*E11+$B$93*F11)</f>
        <v>-0.00192453399673447</v>
      </c>
      <c r="I11" s="17" t="n">
        <f aca="false">H11^2</f>
        <v>3.70383110458673E-006</v>
      </c>
      <c r="L11" s="17" t="n">
        <f aca="false">C11</f>
        <v>0.0634</v>
      </c>
      <c r="M11" s="17" t="n">
        <f aca="false">D11-F11</f>
        <v>274.947945060484</v>
      </c>
      <c r="N11" s="17" t="n">
        <f aca="false">E11</f>
        <v>-0.0328255925467914</v>
      </c>
    </row>
    <row r="12" customFormat="false" ht="15" hidden="false" customHeight="false" outlineLevel="0" collapsed="false">
      <c r="A12" s="19" t="str">
        <f aca="false">Datos!A19</f>
        <v>2008Q3</v>
      </c>
      <c r="B12" s="20" t="n">
        <f aca="false">Datos!E19</f>
        <v>0.060060161436698</v>
      </c>
      <c r="C12" s="20" t="n">
        <f aca="false">Datos!C19</f>
        <v>0.0698</v>
      </c>
      <c r="D12" s="20" t="n">
        <f aca="false">Datos!B19</f>
        <v>696.827171875</v>
      </c>
      <c r="E12" s="20" t="n">
        <f aca="false">Datos!D19</f>
        <v>-0.0126062197467198</v>
      </c>
      <c r="F12" s="20" t="n">
        <f aca="false">Datos!B13</f>
        <v>210.279435483871</v>
      </c>
      <c r="G12" s="17" t="n">
        <v>1</v>
      </c>
      <c r="H12" s="17" t="n">
        <f aca="false">B12-($B$89+$B$90*C12+$B$91*D12+$B$92*E12+$B$93*F12)</f>
        <v>0.000956239874545836</v>
      </c>
      <c r="I12" s="17" t="n">
        <f aca="false">H12^2</f>
        <v>9.14394697671437E-007</v>
      </c>
      <c r="L12" s="17" t="n">
        <f aca="false">C12</f>
        <v>0.0698</v>
      </c>
      <c r="M12" s="17" t="n">
        <f aca="false">D12-F12</f>
        <v>486.547736391129</v>
      </c>
      <c r="N12" s="17" t="n">
        <f aca="false">E12</f>
        <v>-0.0126062197467198</v>
      </c>
    </row>
    <row r="13" customFormat="false" ht="15" hidden="false" customHeight="false" outlineLevel="0" collapsed="false">
      <c r="A13" s="19" t="str">
        <f aca="false">Datos!A20</f>
        <v>2008Q4</v>
      </c>
      <c r="B13" s="20" t="n">
        <f aca="false">Datos!E20</f>
        <v>-0.019789908841391</v>
      </c>
      <c r="C13" s="20" t="n">
        <f aca="false">Datos!C20</f>
        <v>0.0102</v>
      </c>
      <c r="D13" s="20" t="n">
        <f aca="false">Datos!B20</f>
        <v>1696.59024193548</v>
      </c>
      <c r="E13" s="20" t="n">
        <f aca="false">Datos!D20</f>
        <v>0.00821018468113888</v>
      </c>
      <c r="F13" s="20" t="n">
        <f aca="false">Datos!B14</f>
        <v>268.385666666667</v>
      </c>
      <c r="G13" s="17" t="n">
        <v>1</v>
      </c>
      <c r="H13" s="17" t="n">
        <f aca="false">B13-($B$89+$B$90*C13+$B$91*D13+$B$92*E13+$B$93*F13)</f>
        <v>0.0119866461511203</v>
      </c>
      <c r="I13" s="17" t="n">
        <f aca="false">H13^2</f>
        <v>0.000143679685952167</v>
      </c>
      <c r="L13" s="17" t="n">
        <f aca="false">C13</f>
        <v>0.0102</v>
      </c>
      <c r="M13" s="17" t="n">
        <f aca="false">D13-F13</f>
        <v>1428.20457526882</v>
      </c>
      <c r="N13" s="17" t="n">
        <f aca="false">E13</f>
        <v>0.00821018468113888</v>
      </c>
    </row>
    <row r="14" customFormat="false" ht="15" hidden="false" customHeight="false" outlineLevel="0" collapsed="false">
      <c r="A14" s="19" t="str">
        <f aca="false">Datos!A21</f>
        <v>2009Q1</v>
      </c>
      <c r="B14" s="20" t="n">
        <f aca="false">Datos!E21</f>
        <v>-0.0618875514402444</v>
      </c>
      <c r="C14" s="20" t="n">
        <f aca="false">Datos!C21</f>
        <v>-0.0242</v>
      </c>
      <c r="D14" s="20" t="n">
        <f aca="false">Datos!B21</f>
        <v>1700.06040983607</v>
      </c>
      <c r="E14" s="20" t="n">
        <f aca="false">Datos!D21</f>
        <v>-0.0292286521142453</v>
      </c>
      <c r="F14" s="20" t="n">
        <f aca="false">Datos!B15</f>
        <v>415.128063492064</v>
      </c>
      <c r="G14" s="17" t="n">
        <v>1</v>
      </c>
      <c r="H14" s="17" t="n">
        <f aca="false">B14-($B$89+$B$90*C14+$B$91*D14+$B$92*E14+$B$93*F14)</f>
        <v>0.00660247938010423</v>
      </c>
      <c r="I14" s="17" t="n">
        <f aca="false">H14^2</f>
        <v>4.35927339647016E-005</v>
      </c>
      <c r="L14" s="17" t="n">
        <f aca="false">C14</f>
        <v>-0.0242</v>
      </c>
      <c r="M14" s="17" t="n">
        <f aca="false">D14-F14</f>
        <v>1284.932346344</v>
      </c>
      <c r="N14" s="17" t="n">
        <f aca="false">E14</f>
        <v>-0.0292286521142453</v>
      </c>
    </row>
    <row r="15" customFormat="false" ht="15" hidden="false" customHeight="false" outlineLevel="0" collapsed="false">
      <c r="A15" s="19" t="str">
        <f aca="false">Datos!A22</f>
        <v>2009Q2</v>
      </c>
      <c r="B15" s="20" t="n">
        <f aca="false">Datos!E22</f>
        <v>-0.112745471526209</v>
      </c>
      <c r="C15" s="20" t="n">
        <f aca="false">Datos!C22</f>
        <v>-0.022</v>
      </c>
      <c r="D15" s="20" t="n">
        <f aca="false">Datos!B22</f>
        <v>1455.65919047619</v>
      </c>
      <c r="E15" s="20" t="n">
        <f aca="false">Datos!D22</f>
        <v>-0.0730327330801743</v>
      </c>
      <c r="F15" s="20" t="n">
        <f aca="false">Datos!B16</f>
        <v>386.901387096774</v>
      </c>
      <c r="G15" s="17" t="n">
        <v>1</v>
      </c>
      <c r="H15" s="17" t="n">
        <f aca="false">B15-($B$89+$B$90*C15+$B$91*D15+$B$92*E15+$B$93*F15)</f>
        <v>-0.0494907016876182</v>
      </c>
      <c r="I15" s="17" t="n">
        <f aca="false">H15^2</f>
        <v>0.00244932955353282</v>
      </c>
      <c r="L15" s="17" t="n">
        <f aca="false">C15</f>
        <v>-0.022</v>
      </c>
      <c r="M15" s="17" t="n">
        <f aca="false">D15-F15</f>
        <v>1068.75780337942</v>
      </c>
      <c r="N15" s="17" t="n">
        <f aca="false">E15</f>
        <v>-0.0730327330801743</v>
      </c>
    </row>
    <row r="16" customFormat="false" ht="15" hidden="false" customHeight="false" outlineLevel="0" collapsed="false">
      <c r="A16" s="19" t="str">
        <f aca="false">Datos!A23</f>
        <v>2009Q3</v>
      </c>
      <c r="B16" s="20" t="n">
        <f aca="false">Datos!E23</f>
        <v>-0.0565117996405296</v>
      </c>
      <c r="C16" s="20" t="n">
        <f aca="false">Datos!C23</f>
        <v>-0.0116</v>
      </c>
      <c r="D16" s="20" t="n">
        <f aca="false">Datos!B23</f>
        <v>921.669609375</v>
      </c>
      <c r="E16" s="20" t="n">
        <f aca="false">Datos!D23</f>
        <v>-0.045861530337595</v>
      </c>
      <c r="F16" s="20" t="n">
        <f aca="false">Datos!B17</f>
        <v>482.238426229508</v>
      </c>
      <c r="G16" s="17" t="n">
        <v>1</v>
      </c>
      <c r="H16" s="17" t="n">
        <f aca="false">B16-($B$89+$B$90*C16+$B$91*D16+$B$92*E16+$B$93*F16)</f>
        <v>-0.0251030647258919</v>
      </c>
      <c r="I16" s="17" t="n">
        <f aca="false">H16^2</f>
        <v>0.000630163858632319</v>
      </c>
      <c r="L16" s="17" t="n">
        <f aca="false">C16</f>
        <v>-0.0116</v>
      </c>
      <c r="M16" s="17" t="n">
        <f aca="false">D16-F16</f>
        <v>439.431183145492</v>
      </c>
      <c r="N16" s="17" t="n">
        <f aca="false">E16</f>
        <v>-0.045861530337595</v>
      </c>
    </row>
    <row r="17" customFormat="false" ht="15" hidden="false" customHeight="false" outlineLevel="0" collapsed="false">
      <c r="A17" s="19" t="str">
        <f aca="false">Datos!A24</f>
        <v>2009Q4</v>
      </c>
      <c r="B17" s="20" t="n">
        <f aca="false">Datos!E24</f>
        <v>0.00281998226127467</v>
      </c>
      <c r="C17" s="20" t="n">
        <f aca="false">Datos!C24</f>
        <v>0.0533</v>
      </c>
      <c r="D17" s="20" t="n">
        <f aca="false">Datos!B24</f>
        <v>717.923774193549</v>
      </c>
      <c r="E17" s="20" t="n">
        <f aca="false">Datos!D24</f>
        <v>-0.0516286645659259</v>
      </c>
      <c r="F17" s="20" t="n">
        <f aca="false">Datos!B18</f>
        <v>556.653203125</v>
      </c>
      <c r="G17" s="17" t="n">
        <v>1</v>
      </c>
      <c r="H17" s="17" t="n">
        <f aca="false">B17-($B$89+$B$90*C17+$B$91*D17+$B$92*E17+$B$93*F17)</f>
        <v>-0.0431953503092337</v>
      </c>
      <c r="I17" s="17" t="n">
        <f aca="false">H17^2</f>
        <v>0.00186583828833741</v>
      </c>
      <c r="L17" s="17" t="n">
        <f aca="false">C17</f>
        <v>0.0533</v>
      </c>
      <c r="M17" s="17" t="n">
        <f aca="false">D17-F17</f>
        <v>161.270571068549</v>
      </c>
      <c r="N17" s="17" t="n">
        <f aca="false">E17</f>
        <v>-0.0516286645659259</v>
      </c>
    </row>
    <row r="18" customFormat="false" ht="15" hidden="false" customHeight="false" outlineLevel="0" collapsed="false">
      <c r="A18" s="19" t="str">
        <f aca="false">Datos!A25</f>
        <v>2010Q1</v>
      </c>
      <c r="B18" s="20" t="n">
        <f aca="false">Datos!E25</f>
        <v>0.0571326910752132</v>
      </c>
      <c r="C18" s="20" t="n">
        <f aca="false">Datos!C25</f>
        <v>0.0921</v>
      </c>
      <c r="D18" s="20" t="n">
        <f aca="false">Datos!B25</f>
        <v>733.365409836066</v>
      </c>
      <c r="E18" s="20" t="n">
        <f aca="false">Datos!D25</f>
        <v>-0.0200868501071823</v>
      </c>
      <c r="F18" s="20" t="n">
        <f aca="false">Datos!B19</f>
        <v>696.827171875</v>
      </c>
      <c r="G18" s="17" t="n">
        <v>1</v>
      </c>
      <c r="H18" s="17" t="n">
        <f aca="false">B18-($B$89+$B$90*C18+$B$91*D18+$B$92*E18+$B$93*F18)</f>
        <v>-0.0364402691989433</v>
      </c>
      <c r="I18" s="17" t="n">
        <f aca="false">H18^2</f>
        <v>0.00132789321929146</v>
      </c>
      <c r="L18" s="17" t="n">
        <f aca="false">C18</f>
        <v>0.0921</v>
      </c>
      <c r="M18" s="17" t="n">
        <f aca="false">D18-F18</f>
        <v>36.5382379610657</v>
      </c>
      <c r="N18" s="17" t="n">
        <f aca="false">E18</f>
        <v>-0.0200868501071823</v>
      </c>
    </row>
    <row r="19" customFormat="false" ht="15" hidden="false" customHeight="false" outlineLevel="0" collapsed="false">
      <c r="A19" s="19" t="str">
        <f aca="false">Datos!A26</f>
        <v>2010Q2</v>
      </c>
      <c r="B19" s="20" t="n">
        <f aca="false">Datos!E26</f>
        <v>0.162441995090574</v>
      </c>
      <c r="C19" s="20" t="n">
        <f aca="false">Datos!C26</f>
        <v>0.0852</v>
      </c>
      <c r="D19" s="20" t="n">
        <f aca="false">Datos!B26</f>
        <v>733.829920634921</v>
      </c>
      <c r="E19" s="20" t="n">
        <f aca="false">Datos!D26</f>
        <v>0.0734871227440328</v>
      </c>
      <c r="F19" s="20" t="n">
        <f aca="false">Datos!B20</f>
        <v>1696.59024193548</v>
      </c>
      <c r="G19" s="17" t="n">
        <v>1</v>
      </c>
      <c r="H19" s="17" t="n">
        <f aca="false">B19-($B$89+$B$90*C19+$B$91*D19+$B$92*E19+$B$93*F19)</f>
        <v>0.043388993841006</v>
      </c>
      <c r="I19" s="17" t="n">
        <f aca="false">H19^2</f>
        <v>0.00188260478653485</v>
      </c>
      <c r="L19" s="17" t="n">
        <f aca="false">C19</f>
        <v>0.0852</v>
      </c>
      <c r="M19" s="17" t="n">
        <f aca="false">D19-F19</f>
        <v>-962.760321300563</v>
      </c>
      <c r="N19" s="17" t="n">
        <f aca="false">E19</f>
        <v>0.0734871227440328</v>
      </c>
    </row>
    <row r="20" customFormat="false" ht="15" hidden="false" customHeight="false" outlineLevel="0" collapsed="false">
      <c r="A20" s="19" t="str">
        <f aca="false">Datos!A27</f>
        <v>2010Q3</v>
      </c>
      <c r="B20" s="20" t="n">
        <f aca="false">Datos!E27</f>
        <v>0.0950774236722809</v>
      </c>
      <c r="C20" s="20" t="n">
        <f aca="false">Datos!C27</f>
        <v>0.0691</v>
      </c>
      <c r="D20" s="20" t="n">
        <f aca="false">Datos!B27</f>
        <v>711.107390625</v>
      </c>
      <c r="E20" s="20" t="n">
        <f aca="false">Datos!D27</f>
        <v>0.0611211881699143</v>
      </c>
      <c r="F20" s="20" t="n">
        <f aca="false">Datos!B21</f>
        <v>1700.06040983607</v>
      </c>
      <c r="G20" s="17" t="n">
        <v>1</v>
      </c>
      <c r="H20" s="17" t="n">
        <f aca="false">B20-($B$89+$B$90*C20+$B$91*D20+$B$92*E20+$B$93*F20)</f>
        <v>-0.00632956361971486</v>
      </c>
      <c r="I20" s="17" t="n">
        <f aca="false">H20^2</f>
        <v>4.00633756160179E-005</v>
      </c>
      <c r="L20" s="17" t="n">
        <f aca="false">C20</f>
        <v>0.0691</v>
      </c>
      <c r="M20" s="17" t="n">
        <f aca="false">D20-F20</f>
        <v>-988.953019211066</v>
      </c>
      <c r="N20" s="17" t="n">
        <f aca="false">E20</f>
        <v>0.0611211881699143</v>
      </c>
    </row>
    <row r="21" customFormat="false" ht="15" hidden="false" customHeight="false" outlineLevel="0" collapsed="false">
      <c r="A21" s="19" t="str">
        <f aca="false">Datos!A28</f>
        <v>2010Q4</v>
      </c>
      <c r="B21" s="20" t="n">
        <f aca="false">Datos!E28</f>
        <v>0.0860979311042298</v>
      </c>
      <c r="C21" s="20" t="n">
        <f aca="false">Datos!C28</f>
        <v>0.0569</v>
      </c>
      <c r="D21" s="20" t="n">
        <f aca="false">Datos!B28</f>
        <v>545.358806451613</v>
      </c>
      <c r="E21" s="20" t="n">
        <f aca="false">Datos!D28</f>
        <v>0.0899428801072737</v>
      </c>
      <c r="F21" s="20" t="n">
        <f aca="false">Datos!B22</f>
        <v>1455.65919047619</v>
      </c>
      <c r="G21" s="17" t="n">
        <v>1</v>
      </c>
      <c r="H21" s="17" t="n">
        <f aca="false">B21-($B$89+$B$90*C21+$B$91*D21+$B$92*E21+$B$93*F21)</f>
        <v>-0.00345068142090785</v>
      </c>
      <c r="I21" s="17" t="n">
        <f aca="false">H21^2</f>
        <v>1.19072022685986E-005</v>
      </c>
      <c r="L21" s="17" t="n">
        <f aca="false">C21</f>
        <v>0.0569</v>
      </c>
      <c r="M21" s="17" t="n">
        <f aca="false">D21-F21</f>
        <v>-910.300384024578</v>
      </c>
      <c r="N21" s="17" t="n">
        <f aca="false">E21</f>
        <v>0.0899428801072737</v>
      </c>
    </row>
    <row r="22" customFormat="false" ht="15" hidden="false" customHeight="false" outlineLevel="0" collapsed="false">
      <c r="A22" s="19" t="str">
        <f aca="false">Datos!A29</f>
        <v>2011Q1</v>
      </c>
      <c r="B22" s="20" t="n">
        <f aca="false">Datos!E29</f>
        <v>0.0829261625044686</v>
      </c>
      <c r="C22" s="20" t="n">
        <f aca="false">Datos!C29</f>
        <v>0.0519</v>
      </c>
      <c r="D22" s="20" t="n">
        <f aca="false">Datos!B29</f>
        <v>532.410096774194</v>
      </c>
      <c r="E22" s="20" t="n">
        <f aca="false">Datos!D29</f>
        <v>0.1251767611687</v>
      </c>
      <c r="F22" s="20" t="n">
        <f aca="false">Datos!B23</f>
        <v>921.669609375</v>
      </c>
      <c r="G22" s="17" t="n">
        <v>1</v>
      </c>
      <c r="H22" s="17" t="n">
        <f aca="false">B22-($B$89+$B$90*C22+$B$91*D22+$B$92*E22+$B$93*F22)</f>
        <v>0.00872166967631852</v>
      </c>
      <c r="I22" s="17" t="n">
        <f aca="false">H22^2</f>
        <v>7.60675219428139E-005</v>
      </c>
      <c r="L22" s="17" t="n">
        <f aca="false">C22</f>
        <v>0.0519</v>
      </c>
      <c r="M22" s="17" t="n">
        <f aca="false">D22-F22</f>
        <v>-389.259512600807</v>
      </c>
      <c r="N22" s="17" t="n">
        <f aca="false">E22</f>
        <v>0.1251767611687</v>
      </c>
    </row>
    <row r="23" customFormat="false" ht="15" hidden="false" customHeight="false" outlineLevel="0" collapsed="false">
      <c r="A23" s="19" t="str">
        <f aca="false">Datos!A30</f>
        <v>2011Q2</v>
      </c>
      <c r="B23" s="20" t="n">
        <f aca="false">Datos!E30</f>
        <v>0.0444334376577356</v>
      </c>
      <c r="C23" s="20" t="n">
        <f aca="false">Datos!C30</f>
        <v>0.047</v>
      </c>
      <c r="D23" s="20" t="n">
        <f aca="false">Datos!B30</f>
        <v>573.933</v>
      </c>
      <c r="E23" s="20" t="n">
        <f aca="false">Datos!D30</f>
        <v>0.105783914038355</v>
      </c>
      <c r="F23" s="20" t="n">
        <f aca="false">Datos!B24</f>
        <v>717.923774193549</v>
      </c>
      <c r="G23" s="17" t="n">
        <v>1</v>
      </c>
      <c r="H23" s="17" t="n">
        <f aca="false">B23-($B$89+$B$90*C23+$B$91*D23+$B$92*E23+$B$93*F23)</f>
        <v>-0.016509362963403</v>
      </c>
      <c r="I23" s="17" t="n">
        <f aca="false">H23^2</f>
        <v>0.000272559065457383</v>
      </c>
      <c r="L23" s="17" t="n">
        <f aca="false">C23</f>
        <v>0.047</v>
      </c>
      <c r="M23" s="17" t="n">
        <f aca="false">D23-F23</f>
        <v>-143.990774193549</v>
      </c>
      <c r="N23" s="17" t="n">
        <f aca="false">E23</f>
        <v>0.105783914038355</v>
      </c>
    </row>
    <row r="24" customFormat="false" ht="15" hidden="false" customHeight="false" outlineLevel="0" collapsed="false">
      <c r="A24" s="19" t="str">
        <f aca="false">Datos!A31</f>
        <v>2011Q3</v>
      </c>
      <c r="B24" s="20" t="n">
        <f aca="false">Datos!E31</f>
        <v>0.0640936718081673</v>
      </c>
      <c r="C24" s="20" t="n">
        <f aca="false">Datos!C31</f>
        <v>0.0353</v>
      </c>
      <c r="D24" s="20" t="n">
        <f aca="false">Datos!B31</f>
        <v>732.377625</v>
      </c>
      <c r="E24" s="20" t="n">
        <f aca="false">Datos!D31</f>
        <v>0.112212463576412</v>
      </c>
      <c r="F24" s="20" t="n">
        <f aca="false">Datos!B25</f>
        <v>733.365409836066</v>
      </c>
      <c r="G24" s="17" t="n">
        <v>1</v>
      </c>
      <c r="H24" s="17" t="n">
        <f aca="false">B24-($B$89+$B$90*C24+$B$91*D24+$B$92*E24+$B$93*F24)</f>
        <v>0.0195625736601886</v>
      </c>
      <c r="I24" s="17" t="n">
        <f aca="false">H24^2</f>
        <v>0.000382694288210305</v>
      </c>
      <c r="L24" s="17" t="n">
        <f aca="false">C24</f>
        <v>0.0353</v>
      </c>
      <c r="M24" s="17" t="n">
        <f aca="false">D24-F24</f>
        <v>-0.987784836065657</v>
      </c>
      <c r="N24" s="17" t="n">
        <f aca="false">E24</f>
        <v>0.112212463576412</v>
      </c>
    </row>
    <row r="25" customFormat="false" ht="15" hidden="false" customHeight="false" outlineLevel="0" collapsed="false">
      <c r="A25" s="19" t="str">
        <f aca="false">Datos!A32</f>
        <v>2011Q4</v>
      </c>
      <c r="B25" s="20" t="n">
        <f aca="false">Datos!E32</f>
        <v>0.0521713189216535</v>
      </c>
      <c r="C25" s="20" t="n">
        <f aca="false">Datos!C32</f>
        <v>0.0257</v>
      </c>
      <c r="D25" s="20" t="n">
        <f aca="false">Datos!B32</f>
        <v>906.962666666667</v>
      </c>
      <c r="E25" s="20" t="n">
        <f aca="false">Datos!D32</f>
        <v>0.0925549924421212</v>
      </c>
      <c r="F25" s="20" t="n">
        <f aca="false">Datos!B26</f>
        <v>733.829920634921</v>
      </c>
      <c r="G25" s="17" t="n">
        <v>1</v>
      </c>
      <c r="H25" s="17" t="n">
        <f aca="false">B25-($B$89+$B$90*C25+$B$91*D25+$B$92*E25+$B$93*F25)</f>
        <v>0.0248631992720167</v>
      </c>
      <c r="I25" s="17" t="n">
        <f aca="false">H25^2</f>
        <v>0.00061817867804001</v>
      </c>
      <c r="L25" s="17" t="n">
        <f aca="false">C25</f>
        <v>0.0257</v>
      </c>
      <c r="M25" s="17" t="n">
        <f aca="false">D25-F25</f>
        <v>173.132746031746</v>
      </c>
      <c r="N25" s="17" t="n">
        <f aca="false">E25</f>
        <v>0.0925549924421212</v>
      </c>
    </row>
    <row r="26" customFormat="false" ht="15" hidden="false" customHeight="false" outlineLevel="0" collapsed="false">
      <c r="A26" s="19" t="str">
        <f aca="false">Datos!A33</f>
        <v>2012Q1</v>
      </c>
      <c r="B26" s="20" t="n">
        <f aca="false">Datos!E33</f>
        <v>0.0156424693190642</v>
      </c>
      <c r="C26" s="20" t="n">
        <f aca="false">Datos!C33</f>
        <v>0.0171</v>
      </c>
      <c r="D26" s="20" t="n">
        <f aca="false">Datos!B33</f>
        <v>831.861633870968</v>
      </c>
      <c r="E26" s="20" t="n">
        <f aca="false">Datos!D33</f>
        <v>0.0620545390001266</v>
      </c>
      <c r="F26" s="20" t="n">
        <f aca="false">Datos!B27</f>
        <v>711.107390625</v>
      </c>
      <c r="G26" s="17" t="n">
        <v>1</v>
      </c>
      <c r="H26" s="17" t="n">
        <f aca="false">B26-($B$89+$B$90*C26+$B$91*D26+$B$92*E26+$B$93*F26)</f>
        <v>-0.0014723014375843</v>
      </c>
      <c r="I26" s="17" t="n">
        <f aca="false">H26^2</f>
        <v>2.1676715231128E-006</v>
      </c>
      <c r="L26" s="17" t="n">
        <f aca="false">C26</f>
        <v>0.0171</v>
      </c>
      <c r="M26" s="17" t="n">
        <f aca="false">D26-F26</f>
        <v>120.754243245968</v>
      </c>
      <c r="N26" s="17" t="n">
        <f aca="false">E26</f>
        <v>0.0620545390001266</v>
      </c>
    </row>
    <row r="27" customFormat="false" ht="15" hidden="false" customHeight="false" outlineLevel="0" collapsed="false">
      <c r="A27" s="19" t="str">
        <f aca="false">Datos!A34</f>
        <v>2012Q2</v>
      </c>
      <c r="B27" s="20" t="n">
        <f aca="false">Datos!E34</f>
        <v>-0.0463175722342237</v>
      </c>
      <c r="C27" s="20" t="n">
        <f aca="false">Datos!C34</f>
        <v>0.0099</v>
      </c>
      <c r="D27" s="20" t="n">
        <f aca="false">Datos!B34</f>
        <v>1063.70031904762</v>
      </c>
      <c r="E27" s="20" t="n">
        <f aca="false">Datos!D34</f>
        <v>0.0457795868219466</v>
      </c>
      <c r="F27" s="20" t="n">
        <f aca="false">Datos!B28</f>
        <v>545.358806451613</v>
      </c>
      <c r="G27" s="17" t="n">
        <v>1</v>
      </c>
      <c r="H27" s="17" t="n">
        <f aca="false">B27-($B$89+$B$90*C27+$B$91*D27+$B$92*E27+$B$93*F27)</f>
        <v>-0.0432242144871051</v>
      </c>
      <c r="I27" s="17" t="n">
        <f aca="false">H27^2</f>
        <v>0.00186833271802727</v>
      </c>
      <c r="L27" s="17" t="n">
        <f aca="false">C27</f>
        <v>0.0099</v>
      </c>
      <c r="M27" s="17" t="n">
        <f aca="false">D27-F27</f>
        <v>518.341512596006</v>
      </c>
      <c r="N27" s="17" t="n">
        <f aca="false">E27</f>
        <v>0.0457795868219466</v>
      </c>
    </row>
    <row r="28" customFormat="false" ht="15" hidden="false" customHeight="false" outlineLevel="0" collapsed="false">
      <c r="A28" s="19" t="str">
        <f aca="false">Datos!A35</f>
        <v>2012Q3</v>
      </c>
      <c r="B28" s="20" t="n">
        <f aca="false">Datos!E35</f>
        <v>-0.0111829419552486</v>
      </c>
      <c r="C28" s="20" t="n">
        <f aca="false">Datos!C35</f>
        <v>0.0249</v>
      </c>
      <c r="D28" s="20" t="n">
        <f aca="false">Datos!B35</f>
        <v>1019.98701587302</v>
      </c>
      <c r="E28" s="20" t="n">
        <f aca="false">Datos!D35</f>
        <v>0.112108810343498</v>
      </c>
      <c r="F28" s="20" t="n">
        <f aca="false">Datos!B29</f>
        <v>532.410096774194</v>
      </c>
      <c r="G28" s="17" t="n">
        <v>1</v>
      </c>
      <c r="H28" s="17" t="n">
        <f aca="false">B28-($B$89+$B$90*C28+$B$91*D28+$B$92*E28+$B$93*F28)</f>
        <v>-0.0308875440393751</v>
      </c>
      <c r="I28" s="17" t="n">
        <f aca="false">H28^2</f>
        <v>0.000954040376784338</v>
      </c>
      <c r="L28" s="17" t="n">
        <f aca="false">C28</f>
        <v>0.0249</v>
      </c>
      <c r="M28" s="17" t="n">
        <f aca="false">D28-F28</f>
        <v>487.576919098823</v>
      </c>
      <c r="N28" s="17" t="n">
        <f aca="false">E28</f>
        <v>0.112108810343498</v>
      </c>
    </row>
    <row r="29" customFormat="false" ht="15" hidden="false" customHeight="false" outlineLevel="0" collapsed="false">
      <c r="A29" s="19" t="str">
        <f aca="false">Datos!A36</f>
        <v>2012Q4</v>
      </c>
      <c r="B29" s="20" t="n">
        <f aca="false">Datos!E36</f>
        <v>0.00555804016441552</v>
      </c>
      <c r="C29" s="20" t="n">
        <f aca="false">Datos!C36</f>
        <v>0.0248</v>
      </c>
      <c r="D29" s="20" t="n">
        <f aca="false">Datos!B36</f>
        <v>1036.44275</v>
      </c>
      <c r="E29" s="20" t="n">
        <f aca="false">Datos!D36</f>
        <v>0.142539933794164</v>
      </c>
      <c r="F29" s="20" t="n">
        <f aca="false">Datos!B30</f>
        <v>573.933</v>
      </c>
      <c r="G29" s="17" t="n">
        <v>1</v>
      </c>
      <c r="H29" s="17" t="n">
        <f aca="false">B29-($B$89+$B$90*C29+$B$91*D29+$B$92*E29+$B$93*F29)</f>
        <v>-0.0171739607365754</v>
      </c>
      <c r="I29" s="17" t="n">
        <f aca="false">H29^2</f>
        <v>0.000294944927381432</v>
      </c>
      <c r="L29" s="17" t="n">
        <f aca="false">C29</f>
        <v>0.0248</v>
      </c>
      <c r="M29" s="17" t="n">
        <f aca="false">D29-F29</f>
        <v>462.50975</v>
      </c>
      <c r="N29" s="17" t="n">
        <f aca="false">E29</f>
        <v>0.142539933794164</v>
      </c>
    </row>
    <row r="30" customFormat="false" ht="15" hidden="false" customHeight="false" outlineLevel="0" collapsed="false">
      <c r="A30" s="19" t="str">
        <f aca="false">Datos!A37</f>
        <v>2013Q1</v>
      </c>
      <c r="B30" s="20" t="n">
        <f aca="false">Datos!E37</f>
        <v>0.00654025144614989</v>
      </c>
      <c r="C30" s="20" t="n">
        <f aca="false">Datos!C37</f>
        <v>0.0272</v>
      </c>
      <c r="D30" s="20" t="n">
        <f aca="false">Datos!B37</f>
        <v>1125.36748333333</v>
      </c>
      <c r="E30" s="20" t="n">
        <f aca="false">Datos!D37</f>
        <v>0.109151497090353</v>
      </c>
      <c r="F30" s="20" t="n">
        <f aca="false">Datos!B31</f>
        <v>732.377625</v>
      </c>
      <c r="G30" s="17" t="n">
        <v>1</v>
      </c>
      <c r="H30" s="17" t="n">
        <f aca="false">B30-($B$89+$B$90*C30+$B$91*D30+$B$92*E30+$B$93*F30)</f>
        <v>-0.0172415789708625</v>
      </c>
      <c r="I30" s="17" t="n">
        <f aca="false">H30^2</f>
        <v>0.000297272045408487</v>
      </c>
      <c r="L30" s="17" t="n">
        <f aca="false">C30</f>
        <v>0.0272</v>
      </c>
      <c r="M30" s="17" t="n">
        <f aca="false">D30-F30</f>
        <v>392.989858333333</v>
      </c>
      <c r="N30" s="17" t="n">
        <f aca="false">E30</f>
        <v>0.109151497090353</v>
      </c>
    </row>
    <row r="31" customFormat="false" ht="15" hidden="false" customHeight="false" outlineLevel="0" collapsed="false">
      <c r="A31" s="19" t="str">
        <f aca="false">Datos!A38</f>
        <v>2013Q2</v>
      </c>
      <c r="B31" s="20" t="n">
        <f aca="false">Datos!E38</f>
        <v>0.0624602349363816</v>
      </c>
      <c r="C31" s="20" t="n">
        <f aca="false">Datos!C38</f>
        <v>0.0402</v>
      </c>
      <c r="D31" s="20" t="n">
        <f aca="false">Datos!B38</f>
        <v>1200.253</v>
      </c>
      <c r="E31" s="20" t="n">
        <f aca="false">Datos!D38</f>
        <v>0.110236615534545</v>
      </c>
      <c r="F31" s="20" t="n">
        <f aca="false">Datos!B32</f>
        <v>906.962666666667</v>
      </c>
      <c r="G31" s="17" t="n">
        <v>1</v>
      </c>
      <c r="H31" s="17" t="n">
        <f aca="false">B31-($B$89+$B$90*C31+$B$91*D31+$B$92*E31+$B$93*F31)</f>
        <v>0.02244434140018</v>
      </c>
      <c r="I31" s="17" t="n">
        <f aca="false">H31^2</f>
        <v>0.000503748460887832</v>
      </c>
      <c r="L31" s="17" t="n">
        <f aca="false">C31</f>
        <v>0.0402</v>
      </c>
      <c r="M31" s="17" t="n">
        <f aca="false">D31-F31</f>
        <v>293.290333333333</v>
      </c>
      <c r="N31" s="17" t="n">
        <f aca="false">E31</f>
        <v>0.110236615534545</v>
      </c>
    </row>
    <row r="32" customFormat="false" ht="15" hidden="false" customHeight="false" outlineLevel="0" collapsed="false">
      <c r="A32" s="19" t="str">
        <f aca="false">Datos!A39</f>
        <v>2013Q3</v>
      </c>
      <c r="B32" s="20" t="n">
        <f aca="false">Datos!E39</f>
        <v>0.0255838987402566</v>
      </c>
      <c r="C32" s="20" t="n">
        <f aca="false">Datos!C39</f>
        <v>0.0276</v>
      </c>
      <c r="D32" s="20" t="n">
        <f aca="false">Datos!B39</f>
        <v>1090.527046875</v>
      </c>
      <c r="E32" s="20" t="n">
        <f aca="false">Datos!D39</f>
        <v>0.0325763832684258</v>
      </c>
      <c r="F32" s="20" t="n">
        <f aca="false">Datos!B33</f>
        <v>831.861633870968</v>
      </c>
      <c r="G32" s="17" t="n">
        <v>1</v>
      </c>
      <c r="H32" s="17" t="n">
        <f aca="false">B32-($B$89+$B$90*C32+$B$91*D32+$B$92*E32+$B$93*F32)</f>
        <v>0.00436149270364129</v>
      </c>
      <c r="I32" s="17" t="n">
        <f aca="false">H32^2</f>
        <v>1.90226186039162E-005</v>
      </c>
      <c r="L32" s="17" t="n">
        <f aca="false">C32</f>
        <v>0.0276</v>
      </c>
      <c r="M32" s="17" t="n">
        <f aca="false">D32-F32</f>
        <v>258.665413004032</v>
      </c>
      <c r="N32" s="17" t="n">
        <f aca="false">E32</f>
        <v>0.0325763832684258</v>
      </c>
    </row>
    <row r="33" customFormat="false" ht="15" hidden="false" customHeight="false" outlineLevel="0" collapsed="false">
      <c r="A33" s="19" t="str">
        <f aca="false">Datos!A40</f>
        <v>2013Q4</v>
      </c>
      <c r="B33" s="20" t="n">
        <f aca="false">Datos!E40</f>
        <v>-0.000510205754616022</v>
      </c>
      <c r="C33" s="20" t="n">
        <f aca="false">Datos!C40</f>
        <v>0.0253</v>
      </c>
      <c r="D33" s="20" t="n">
        <f aca="false">Datos!B40</f>
        <v>854.052754098361</v>
      </c>
      <c r="E33" s="20" t="n">
        <f aca="false">Datos!D40</f>
        <v>-0.0304774941480642</v>
      </c>
      <c r="F33" s="20" t="n">
        <f aca="false">Datos!B34</f>
        <v>1063.70031904762</v>
      </c>
      <c r="G33" s="17" t="n">
        <v>1</v>
      </c>
      <c r="H33" s="17" t="n">
        <f aca="false">B33-($B$89+$B$90*C33+$B$91*D33+$B$92*E33+$B$93*F33)</f>
        <v>-0.0267372622848102</v>
      </c>
      <c r="I33" s="17" t="n">
        <f aca="false">H33^2</f>
        <v>0.000714881194486733</v>
      </c>
      <c r="L33" s="17" t="n">
        <f aca="false">C33</f>
        <v>0.0253</v>
      </c>
      <c r="M33" s="17" t="n">
        <f aca="false">D33-F33</f>
        <v>-209.647564949258</v>
      </c>
      <c r="N33" s="17" t="n">
        <f aca="false">E33</f>
        <v>-0.0304774941480642</v>
      </c>
    </row>
    <row r="34" customFormat="false" ht="15" hidden="false" customHeight="false" outlineLevel="0" collapsed="false">
      <c r="A34" s="19" t="str">
        <f aca="false">Datos!A41</f>
        <v>2014Q1</v>
      </c>
      <c r="B34" s="20" t="n">
        <f aca="false">Datos!E41</f>
        <v>-0.00889028383967849</v>
      </c>
      <c r="C34" s="20" t="n">
        <f aca="false">Datos!C41</f>
        <v>0.0347</v>
      </c>
      <c r="D34" s="20" t="n">
        <f aca="false">Datos!B41</f>
        <v>926.047377049181</v>
      </c>
      <c r="E34" s="20" t="n">
        <f aca="false">Datos!D41</f>
        <v>-0.114758840789371</v>
      </c>
      <c r="F34" s="20" t="n">
        <f aca="false">Datos!B35</f>
        <v>1019.98701587302</v>
      </c>
      <c r="G34" s="17" t="n">
        <v>1</v>
      </c>
      <c r="H34" s="17" t="n">
        <f aca="false">B34-($B$89+$B$90*C34+$B$91*D34+$B$92*E34+$B$93*F34)</f>
        <v>-0.0348401367744912</v>
      </c>
      <c r="I34" s="17" t="n">
        <f aca="false">H34^2</f>
        <v>0.00121383513046526</v>
      </c>
      <c r="L34" s="17" t="n">
        <f aca="false">C34</f>
        <v>0.0347</v>
      </c>
      <c r="M34" s="17" t="n">
        <f aca="false">D34-F34</f>
        <v>-93.9396388238356</v>
      </c>
      <c r="N34" s="17" t="n">
        <f aca="false">E34</f>
        <v>-0.114758840789371</v>
      </c>
    </row>
    <row r="35" customFormat="false" ht="15" hidden="false" customHeight="false" outlineLevel="0" collapsed="false">
      <c r="A35" s="19" t="str">
        <f aca="false">Datos!A42</f>
        <v>2014Q2</v>
      </c>
      <c r="B35" s="20" t="n">
        <f aca="false">Datos!E42</f>
        <v>-0.0204893869308982</v>
      </c>
      <c r="C35" s="20" t="n">
        <f aca="false">Datos!C42</f>
        <v>-0.0044</v>
      </c>
      <c r="D35" s="20" t="n">
        <f aca="false">Datos!B42</f>
        <v>782.844825396825</v>
      </c>
      <c r="E35" s="20" t="n">
        <f aca="false">Datos!D42</f>
        <v>-0.151433708670598</v>
      </c>
      <c r="F35" s="20" t="n">
        <f aca="false">Datos!B36</f>
        <v>1036.44275</v>
      </c>
      <c r="G35" s="17" t="n">
        <v>1</v>
      </c>
      <c r="H35" s="17" t="n">
        <f aca="false">B35-($B$89+$B$90*C35+$B$91*D35+$B$92*E35+$B$93*F35)</f>
        <v>-0.00584729544781218</v>
      </c>
      <c r="I35" s="17" t="n">
        <f aca="false">H35^2</f>
        <v>3.4190864054005E-005</v>
      </c>
      <c r="L35" s="17" t="n">
        <f aca="false">C35</f>
        <v>-0.0044</v>
      </c>
      <c r="M35" s="17" t="n">
        <f aca="false">D35-F35</f>
        <v>-253.597924603175</v>
      </c>
      <c r="N35" s="17" t="n">
        <f aca="false">E35</f>
        <v>-0.151433708670598</v>
      </c>
    </row>
    <row r="36" customFormat="false" ht="15" hidden="false" customHeight="false" outlineLevel="0" collapsed="false">
      <c r="A36" s="19" t="str">
        <f aca="false">Datos!A43</f>
        <v>2014Q3</v>
      </c>
      <c r="B36" s="20" t="n">
        <f aca="false">Datos!E43</f>
        <v>-0.0423851505475772</v>
      </c>
      <c r="C36" s="20" t="n">
        <f aca="false">Datos!C43</f>
        <v>-0.0064</v>
      </c>
      <c r="D36" s="20" t="n">
        <f aca="false">Datos!B43</f>
        <v>709.32415625</v>
      </c>
      <c r="E36" s="20" t="n">
        <f aca="false">Datos!D43</f>
        <v>-0.138372355737692</v>
      </c>
      <c r="F36" s="20" t="n">
        <f aca="false">Datos!B37</f>
        <v>1125.36748333333</v>
      </c>
      <c r="G36" s="17" t="n">
        <v>1</v>
      </c>
      <c r="H36" s="17" t="n">
        <f aca="false">B36-($B$89+$B$90*C36+$B$91*D36+$B$92*E36+$B$93*F36)</f>
        <v>-0.0311137565308529</v>
      </c>
      <c r="I36" s="17" t="n">
        <f aca="false">H36^2</f>
        <v>0.000968065845461189</v>
      </c>
      <c r="L36" s="17" t="n">
        <f aca="false">C36</f>
        <v>-0.0064</v>
      </c>
      <c r="M36" s="17" t="n">
        <f aca="false">D36-F36</f>
        <v>-416.043327083333</v>
      </c>
      <c r="N36" s="17" t="n">
        <f aca="false">E36</f>
        <v>-0.138372355737692</v>
      </c>
    </row>
    <row r="37" customFormat="false" ht="15" hidden="false" customHeight="false" outlineLevel="0" collapsed="false">
      <c r="A37" s="19" t="str">
        <f aca="false">Datos!A44</f>
        <v>2014Q4</v>
      </c>
      <c r="B37" s="20" t="n">
        <f aca="false">Datos!E44</f>
        <v>-0.0281573013880524</v>
      </c>
      <c r="C37" s="20" t="n">
        <f aca="false">Datos!C44</f>
        <v>-0.0023</v>
      </c>
      <c r="D37" s="20" t="n">
        <f aca="false">Datos!B44</f>
        <v>730.34393442623</v>
      </c>
      <c r="E37" s="20" t="n">
        <f aca="false">Datos!D44</f>
        <v>-0.0907464994660634</v>
      </c>
      <c r="F37" s="20" t="n">
        <f aca="false">Datos!B38</f>
        <v>1200.253</v>
      </c>
      <c r="G37" s="17" t="n">
        <v>1</v>
      </c>
      <c r="H37" s="17" t="n">
        <f aca="false">B37-($B$89+$B$90*C37+$B$91*D37+$B$92*E37+$B$93*F37)</f>
        <v>-0.0266018047322485</v>
      </c>
      <c r="I37" s="17" t="n">
        <f aca="false">H37^2</f>
        <v>0.00070765601501268</v>
      </c>
      <c r="L37" s="17" t="n">
        <f aca="false">C37</f>
        <v>-0.0023</v>
      </c>
      <c r="M37" s="17" t="n">
        <f aca="false">D37-F37</f>
        <v>-469.909065573771</v>
      </c>
      <c r="N37" s="17" t="n">
        <f aca="false">E37</f>
        <v>-0.0907464994660634</v>
      </c>
    </row>
    <row r="38" customFormat="false" ht="15" hidden="false" customHeight="false" outlineLevel="0" collapsed="false">
      <c r="A38" s="19" t="str">
        <f aca="false">Datos!A45</f>
        <v>2015Q1</v>
      </c>
      <c r="B38" s="20" t="n">
        <f aca="false">Datos!E45</f>
        <v>0.00250908947797246</v>
      </c>
      <c r="C38" s="20" t="n">
        <f aca="false">Datos!C45</f>
        <v>-0.0161</v>
      </c>
      <c r="D38" s="20" t="n">
        <f aca="false">Datos!B45</f>
        <v>667.094442622951</v>
      </c>
      <c r="E38" s="20" t="n">
        <f aca="false">Datos!D45</f>
        <v>0.00628195685987731</v>
      </c>
      <c r="F38" s="20" t="n">
        <f aca="false">Datos!B39</f>
        <v>1090.527046875</v>
      </c>
      <c r="G38" s="17" t="n">
        <v>1</v>
      </c>
      <c r="H38" s="17" t="n">
        <f aca="false">B38-($B$89+$B$90*C38+$B$91*D38+$B$92*E38+$B$93*F38)</f>
        <v>0.0115403395615267</v>
      </c>
      <c r="I38" s="17" t="n">
        <f aca="false">H38^2</f>
        <v>0.000133179437195337</v>
      </c>
      <c r="L38" s="17" t="n">
        <f aca="false">C38</f>
        <v>-0.0161</v>
      </c>
      <c r="M38" s="17" t="n">
        <f aca="false">D38-F38</f>
        <v>-423.432604252049</v>
      </c>
      <c r="N38" s="17" t="n">
        <f aca="false">E38</f>
        <v>0.00628195685987731</v>
      </c>
    </row>
    <row r="39" customFormat="false" ht="15" hidden="false" customHeight="false" outlineLevel="0" collapsed="false">
      <c r="A39" s="19" t="str">
        <f aca="false">Datos!A46</f>
        <v>2015Q2</v>
      </c>
      <c r="B39" s="20" t="n">
        <f aca="false">Datos!E46</f>
        <v>0.0403103203233863</v>
      </c>
      <c r="C39" s="20" t="n">
        <f aca="false">Datos!C46</f>
        <v>-0.0273</v>
      </c>
      <c r="D39" s="20" t="n">
        <f aca="false">Datos!B46</f>
        <v>597.646153846154</v>
      </c>
      <c r="E39" s="20" t="n">
        <f aca="false">Datos!D46</f>
        <v>0.101200094474078</v>
      </c>
      <c r="F39" s="20" t="n">
        <f aca="false">Datos!B40</f>
        <v>854.052754098361</v>
      </c>
      <c r="G39" s="17" t="n">
        <v>1</v>
      </c>
      <c r="H39" s="17" t="n">
        <f aca="false">B39-($B$89+$B$90*C39+$B$91*D39+$B$92*E39+$B$93*F39)</f>
        <v>0.0571744082229735</v>
      </c>
      <c r="I39" s="17" t="n">
        <f aca="false">H39^2</f>
        <v>0.00326891295564722</v>
      </c>
      <c r="L39" s="17" t="n">
        <f aca="false">C39</f>
        <v>-0.0273</v>
      </c>
      <c r="M39" s="17" t="n">
        <f aca="false">D39-F39</f>
        <v>-256.406600252207</v>
      </c>
      <c r="N39" s="17" t="n">
        <f aca="false">E39</f>
        <v>0.101200094474078</v>
      </c>
    </row>
    <row r="40" customFormat="false" ht="15" hidden="false" customHeight="false" outlineLevel="0" collapsed="false">
      <c r="A40" s="19" t="str">
        <f aca="false">Datos!A47</f>
        <v>2015Q3</v>
      </c>
      <c r="B40" s="20" t="n">
        <f aca="false">Datos!E47</f>
        <v>0.0396616998607275</v>
      </c>
      <c r="C40" s="20" t="n">
        <f aca="false">Datos!C47</f>
        <v>-0.0426</v>
      </c>
      <c r="D40" s="20" t="n">
        <f aca="false">Datos!B47</f>
        <v>585.257575757576</v>
      </c>
      <c r="E40" s="20" t="n">
        <f aca="false">Datos!D47</f>
        <v>0.0560260007251707</v>
      </c>
      <c r="F40" s="20" t="n">
        <f aca="false">Datos!B41</f>
        <v>926.047377049181</v>
      </c>
      <c r="G40" s="17" t="n">
        <v>1</v>
      </c>
      <c r="H40" s="17" t="n">
        <f aca="false">B40-($B$89+$B$90*C40+$B$91*D40+$B$92*E40+$B$93*F40)</f>
        <v>0.074697710026961</v>
      </c>
      <c r="I40" s="17" t="n">
        <f aca="false">H40^2</f>
        <v>0.00557974788327194</v>
      </c>
      <c r="L40" s="17" t="n">
        <f aca="false">C40</f>
        <v>-0.0426</v>
      </c>
      <c r="M40" s="17" t="n">
        <f aca="false">D40-F40</f>
        <v>-340.789801291605</v>
      </c>
      <c r="N40" s="17" t="n">
        <f aca="false">E40</f>
        <v>0.0560260007251707</v>
      </c>
    </row>
    <row r="41" customFormat="false" ht="15" hidden="false" customHeight="false" outlineLevel="0" collapsed="false">
      <c r="A41" s="19" t="str">
        <f aca="false">Datos!A48</f>
        <v>2015Q4</v>
      </c>
      <c r="B41" s="20" t="n">
        <f aca="false">Datos!E48</f>
        <v>0.0247270091543546</v>
      </c>
      <c r="C41" s="20" t="n">
        <f aca="false">Datos!C48</f>
        <v>-0.0553</v>
      </c>
      <c r="D41" s="20" t="n">
        <f aca="false">Datos!B48</f>
        <v>506.984615384615</v>
      </c>
      <c r="E41" s="20" t="n">
        <f aca="false">Datos!D48</f>
        <v>0.0484206303604911</v>
      </c>
      <c r="F41" s="20" t="n">
        <f aca="false">Datos!B42</f>
        <v>782.844825396825</v>
      </c>
      <c r="G41" s="17" t="n">
        <v>1</v>
      </c>
      <c r="H41" s="17" t="n">
        <f aca="false">B41-($B$89+$B$90*C41+$B$91*D41+$B$92*E41+$B$93*F41)</f>
        <v>0.075343446939534</v>
      </c>
      <c r="I41" s="17" t="n">
        <f aca="false">H41^2</f>
        <v>0.00567663499673037</v>
      </c>
      <c r="L41" s="17" t="n">
        <f aca="false">C41</f>
        <v>-0.0553</v>
      </c>
      <c r="M41" s="17" t="n">
        <f aca="false">D41-F41</f>
        <v>-275.86021001221</v>
      </c>
      <c r="N41" s="17" t="n">
        <f aca="false">E41</f>
        <v>0.0484206303604911</v>
      </c>
    </row>
    <row r="42" customFormat="false" ht="15" hidden="false" customHeight="false" outlineLevel="0" collapsed="false">
      <c r="A42" s="19" t="str">
        <f aca="false">Datos!A49</f>
        <v>2016Q1</v>
      </c>
      <c r="B42" s="20" t="n">
        <f aca="false">Datos!E49</f>
        <v>0.00728692545281007</v>
      </c>
      <c r="C42" s="20" t="n">
        <f aca="false">Datos!C49</f>
        <v>-0.0516</v>
      </c>
      <c r="D42" s="20" t="n">
        <f aca="false">Datos!B49</f>
        <v>468.698412698413</v>
      </c>
      <c r="E42" s="20" t="n">
        <f aca="false">Datos!D49</f>
        <v>-0.0433211464470484</v>
      </c>
      <c r="F42" s="20" t="n">
        <f aca="false">Datos!B43</f>
        <v>709.32415625</v>
      </c>
      <c r="G42" s="17" t="n">
        <v>1</v>
      </c>
      <c r="H42" s="17" t="n">
        <f aca="false">B42-($B$89+$B$90*C42+$B$91*D42+$B$92*E42+$B$93*F42)</f>
        <v>0.0624136077078683</v>
      </c>
      <c r="I42" s="17" t="n">
        <f aca="false">H42^2</f>
        <v>0.00389545842711167</v>
      </c>
      <c r="L42" s="17" t="n">
        <f aca="false">C42</f>
        <v>-0.0516</v>
      </c>
      <c r="M42" s="17" t="n">
        <f aca="false">D42-F42</f>
        <v>-240.625743551587</v>
      </c>
      <c r="N42" s="17" t="n">
        <f aca="false">E42</f>
        <v>-0.0433211464470484</v>
      </c>
    </row>
    <row r="43" customFormat="false" ht="15" hidden="false" customHeight="false" outlineLevel="0" collapsed="false">
      <c r="A43" s="19" t="str">
        <f aca="false">Datos!A50</f>
        <v>2016Q2</v>
      </c>
      <c r="B43" s="20" t="n">
        <f aca="false">Datos!E50</f>
        <v>-0.0385885964740134</v>
      </c>
      <c r="C43" s="20" t="n">
        <f aca="false">Datos!C50</f>
        <v>-0.0324</v>
      </c>
      <c r="D43" s="20" t="n">
        <f aca="false">Datos!B50</f>
        <v>448.541666666667</v>
      </c>
      <c r="E43" s="20" t="n">
        <f aca="false">Datos!D50</f>
        <v>-0.148910975388297</v>
      </c>
      <c r="F43" s="20" t="n">
        <f aca="false">Datos!B44</f>
        <v>730.34393442623</v>
      </c>
      <c r="G43" s="17" t="n">
        <v>1</v>
      </c>
      <c r="H43" s="17" t="n">
        <f aca="false">B43-($B$89+$B$90*C43+$B$91*D43+$B$92*E43+$B$93*F43)</f>
        <v>0.00369454345323803</v>
      </c>
      <c r="I43" s="17" t="n">
        <f aca="false">H43^2</f>
        <v>1.3649651327864E-005</v>
      </c>
      <c r="L43" s="17" t="n">
        <f aca="false">C43</f>
        <v>-0.0324</v>
      </c>
      <c r="M43" s="17" t="n">
        <f aca="false">D43-F43</f>
        <v>-281.802267759563</v>
      </c>
      <c r="N43" s="17" t="n">
        <f aca="false">E43</f>
        <v>-0.148910975388297</v>
      </c>
    </row>
    <row r="44" customFormat="false" ht="15" hidden="false" customHeight="false" outlineLevel="0" collapsed="false">
      <c r="A44" s="19" t="str">
        <f aca="false">Datos!A51</f>
        <v>2016Q3</v>
      </c>
      <c r="B44" s="20" t="n">
        <f aca="false">Datos!E51</f>
        <v>-0.0332721885187776</v>
      </c>
      <c r="C44" s="20" t="n">
        <f aca="false">Datos!C51</f>
        <v>-0.0245</v>
      </c>
      <c r="D44" s="20" t="n">
        <f aca="false">Datos!B51</f>
        <v>500.06976744186</v>
      </c>
      <c r="E44" s="20" t="n">
        <f aca="false">Datos!D51</f>
        <v>-0.139819367126712</v>
      </c>
      <c r="F44" s="20" t="n">
        <f aca="false">Datos!B45</f>
        <v>667.094442622951</v>
      </c>
      <c r="G44" s="17" t="n">
        <v>1</v>
      </c>
      <c r="H44" s="17" t="n">
        <f aca="false">B44-($B$89+$B$90*C44+$B$91*D44+$B$92*E44+$B$93*F44)</f>
        <v>0.0028376435669199</v>
      </c>
      <c r="I44" s="17" t="n">
        <f aca="false">H44^2</f>
        <v>8.0522210128819E-006</v>
      </c>
      <c r="L44" s="17" t="n">
        <f aca="false">C44</f>
        <v>-0.0245</v>
      </c>
      <c r="M44" s="17" t="n">
        <f aca="false">D44-F44</f>
        <v>-167.02467518109</v>
      </c>
      <c r="N44" s="17" t="n">
        <f aca="false">E44</f>
        <v>-0.139819367126712</v>
      </c>
    </row>
    <row r="45" customFormat="false" ht="15" hidden="false" customHeight="false" outlineLevel="0" collapsed="false">
      <c r="A45" s="19" t="str">
        <f aca="false">Datos!A52</f>
        <v>2016Q4</v>
      </c>
      <c r="B45" s="20" t="n">
        <f aca="false">Datos!E52</f>
        <v>-0.0149328839288507</v>
      </c>
      <c r="C45" s="20" t="n">
        <f aca="false">Datos!C52</f>
        <v>-0.0221</v>
      </c>
      <c r="D45" s="20" t="n">
        <f aca="false">Datos!B52</f>
        <v>473.569230769231</v>
      </c>
      <c r="E45" s="20" t="n">
        <f aca="false">Datos!D52</f>
        <v>-0.11418596424082</v>
      </c>
      <c r="F45" s="20" t="n">
        <f aca="false">Datos!B46</f>
        <v>597.646153846154</v>
      </c>
      <c r="G45" s="17" t="n">
        <v>1</v>
      </c>
      <c r="H45" s="17" t="n">
        <f aca="false">B45-($B$89+$B$90*C45+$B$91*D45+$B$92*E45+$B$93*F45)</f>
        <v>0.017351823487458</v>
      </c>
      <c r="I45" s="17" t="n">
        <f aca="false">H45^2</f>
        <v>0.000301085778339898</v>
      </c>
      <c r="L45" s="17" t="n">
        <f aca="false">C45</f>
        <v>-0.0221</v>
      </c>
      <c r="M45" s="17" t="n">
        <f aca="false">D45-F45</f>
        <v>-124.076923076923</v>
      </c>
      <c r="N45" s="17" t="n">
        <f aca="false">E45</f>
        <v>-0.11418596424082</v>
      </c>
    </row>
    <row r="46" customFormat="false" ht="15" hidden="false" customHeight="false" outlineLevel="0" collapsed="false">
      <c r="A46" s="19" t="str">
        <f aca="false">Datos!A53</f>
        <v>2017Q1</v>
      </c>
      <c r="B46" s="20" t="n">
        <f aca="false">Datos!E53</f>
        <v>0.00559679082443165</v>
      </c>
      <c r="C46" s="20" t="n">
        <f aca="false">Datos!C53</f>
        <v>0.0039</v>
      </c>
      <c r="D46" s="20" t="n">
        <f aca="false">Datos!B53</f>
        <v>457.661538461538</v>
      </c>
      <c r="E46" s="20" t="n">
        <f aca="false">Datos!D53</f>
        <v>-0.0321393526652914</v>
      </c>
      <c r="F46" s="20" t="n">
        <f aca="false">Datos!B47</f>
        <v>585.257575757576</v>
      </c>
      <c r="G46" s="17" t="n">
        <v>1</v>
      </c>
      <c r="H46" s="17" t="n">
        <f aca="false">B46-($B$89+$B$90*C46+$B$91*D46+$B$92*E46+$B$93*F46)</f>
        <v>0.0027021693272376</v>
      </c>
      <c r="I46" s="17" t="n">
        <f aca="false">H46^2</f>
        <v>7.30171907306373E-006</v>
      </c>
      <c r="L46" s="17" t="n">
        <f aca="false">C46</f>
        <v>0.0039</v>
      </c>
      <c r="M46" s="17" t="n">
        <f aca="false">D46-F46</f>
        <v>-127.596037296037</v>
      </c>
      <c r="N46" s="17" t="n">
        <f aca="false">E46</f>
        <v>-0.0321393526652914</v>
      </c>
    </row>
    <row r="47" customFormat="false" ht="15" hidden="false" customHeight="false" outlineLevel="0" collapsed="false">
      <c r="A47" s="19" t="str">
        <f aca="false">Datos!A54</f>
        <v>2017Q2</v>
      </c>
      <c r="B47" s="20" t="n">
        <f aca="false">Datos!E54</f>
        <v>0.0232658340767662</v>
      </c>
      <c r="C47" s="20" t="n">
        <f aca="false">Datos!C54</f>
        <v>0.0088</v>
      </c>
      <c r="D47" s="20" t="n">
        <f aca="false">Datos!B54</f>
        <v>417.265625</v>
      </c>
      <c r="E47" s="20" t="n">
        <f aca="false">Datos!D54</f>
        <v>0.0586655897650446</v>
      </c>
      <c r="F47" s="20" t="n">
        <f aca="false">Datos!B48</f>
        <v>506.984615384615</v>
      </c>
      <c r="G47" s="17" t="n">
        <v>1</v>
      </c>
      <c r="H47" s="17" t="n">
        <f aca="false">B47-($B$89+$B$90*C47+$B$91*D47+$B$92*E47+$B$93*F47)</f>
        <v>0.00811101289918696</v>
      </c>
      <c r="I47" s="17" t="n">
        <f aca="false">H47^2</f>
        <v>6.57885302507773E-005</v>
      </c>
      <c r="L47" s="17" t="n">
        <f aca="false">C47</f>
        <v>0.0088</v>
      </c>
      <c r="M47" s="17" t="n">
        <f aca="false">D47-F47</f>
        <v>-89.7189903846154</v>
      </c>
      <c r="N47" s="17" t="n">
        <f aca="false">E47</f>
        <v>0.0586655897650446</v>
      </c>
    </row>
    <row r="48" customFormat="false" ht="15" hidden="false" customHeight="false" outlineLevel="0" collapsed="false">
      <c r="A48" s="19" t="str">
        <f aca="false">Datos!A55</f>
        <v>2017Q3</v>
      </c>
      <c r="B48" s="20" t="n">
        <f aca="false">Datos!E55</f>
        <v>0.0385060856362685</v>
      </c>
      <c r="C48" s="20" t="n">
        <f aca="false">Datos!C55</f>
        <v>0.0163</v>
      </c>
      <c r="D48" s="20" t="n">
        <f aca="false">Datos!B55</f>
        <v>417.764390625</v>
      </c>
      <c r="E48" s="20" t="n">
        <f aca="false">Datos!D55</f>
        <v>0.0331389887053348</v>
      </c>
      <c r="F48" s="20" t="n">
        <f aca="false">Datos!B49</f>
        <v>468.698412698413</v>
      </c>
      <c r="G48" s="17" t="n">
        <v>1</v>
      </c>
      <c r="H48" s="17" t="n">
        <f aca="false">B48-($B$89+$B$90*C48+$B$91*D48+$B$92*E48+$B$93*F48)</f>
        <v>0.0184080330536295</v>
      </c>
      <c r="I48" s="17" t="n">
        <f aca="false">H48^2</f>
        <v>0.000338855680903516</v>
      </c>
      <c r="L48" s="17" t="n">
        <f aca="false">C48</f>
        <v>0.0163</v>
      </c>
      <c r="M48" s="17" t="n">
        <f aca="false">D48-F48</f>
        <v>-50.9340220734129</v>
      </c>
      <c r="N48" s="17" t="n">
        <f aca="false">E48</f>
        <v>0.0331389887053348</v>
      </c>
    </row>
    <row r="49" customFormat="false" ht="15" hidden="false" customHeight="false" outlineLevel="0" collapsed="false">
      <c r="A49" s="19" t="str">
        <f aca="false">Datos!A56</f>
        <v>2017Q4</v>
      </c>
      <c r="B49" s="20" t="n">
        <f aca="false">Datos!E56</f>
        <v>0.0453268482640472</v>
      </c>
      <c r="C49" s="20" t="n">
        <f aca="false">Datos!C56</f>
        <v>0.0238</v>
      </c>
      <c r="D49" s="20" t="n">
        <f aca="false">Datos!B56</f>
        <v>363.1925625</v>
      </c>
      <c r="E49" s="20" t="n">
        <f aca="false">Datos!D56</f>
        <v>0.0175797079620306</v>
      </c>
      <c r="F49" s="20" t="n">
        <f aca="false">Datos!B50</f>
        <v>448.541666666667</v>
      </c>
      <c r="G49" s="17" t="n">
        <v>1</v>
      </c>
      <c r="H49" s="17" t="n">
        <f aca="false">B49-($B$89+$B$90*C49+$B$91*D49+$B$92*E49+$B$93*F49)</f>
        <v>0.0173407778578484</v>
      </c>
      <c r="I49" s="17" t="n">
        <f aca="false">H49^2</f>
        <v>0.000300702576715244</v>
      </c>
      <c r="L49" s="17" t="n">
        <f aca="false">C49</f>
        <v>0.0238</v>
      </c>
      <c r="M49" s="17" t="n">
        <f aca="false">D49-F49</f>
        <v>-85.3491041666666</v>
      </c>
      <c r="N49" s="17" t="n">
        <f aca="false">E49</f>
        <v>0.0175797079620306</v>
      </c>
    </row>
    <row r="50" customFormat="false" ht="15" hidden="false" customHeight="false" outlineLevel="0" collapsed="false">
      <c r="A50" s="19" t="str">
        <f aca="false">Datos!A57</f>
        <v>2018Q1</v>
      </c>
      <c r="B50" s="20" t="n">
        <f aca="false">Datos!E57</f>
        <v>0.0379774021814201</v>
      </c>
      <c r="C50" s="20" t="n">
        <f aca="false">Datos!C57</f>
        <v>0.0145</v>
      </c>
      <c r="D50" s="20" t="n">
        <f aca="false">Datos!B57</f>
        <v>391.724661290322</v>
      </c>
      <c r="E50" s="20" t="n">
        <f aca="false">Datos!D57</f>
        <v>-0.0145618881352685</v>
      </c>
      <c r="F50" s="20" t="n">
        <f aca="false">Datos!B51</f>
        <v>500.06976744186</v>
      </c>
      <c r="G50" s="17" t="n">
        <v>1</v>
      </c>
      <c r="H50" s="17" t="n">
        <f aca="false">B50-($B$89+$B$90*C50+$B$91*D50+$B$92*E50+$B$93*F50)</f>
        <v>0.0223179392520024</v>
      </c>
      <c r="I50" s="17" t="n">
        <f aca="false">H50^2</f>
        <v>0.000498090412456071</v>
      </c>
      <c r="L50" s="17" t="n">
        <f aca="false">C50</f>
        <v>0.0145</v>
      </c>
      <c r="M50" s="17" t="n">
        <f aca="false">D50-F50</f>
        <v>-108.345106151538</v>
      </c>
      <c r="N50" s="17" t="n">
        <f aca="false">E50</f>
        <v>-0.0145618881352685</v>
      </c>
    </row>
    <row r="51" customFormat="false" ht="15" hidden="false" customHeight="false" outlineLevel="0" collapsed="false">
      <c r="A51" s="19" t="str">
        <f aca="false">Datos!A58</f>
        <v>2018Q2</v>
      </c>
      <c r="B51" s="20" t="n">
        <f aca="false">Datos!E58</f>
        <v>-0.039790994073943</v>
      </c>
      <c r="C51" s="20" t="n">
        <f aca="false">Datos!C58</f>
        <v>0.0105</v>
      </c>
      <c r="D51" s="20" t="n">
        <f aca="false">Datos!B58</f>
        <v>468.946476923077</v>
      </c>
      <c r="E51" s="20" t="n">
        <f aca="false">Datos!D58</f>
        <v>-0.10076918517865</v>
      </c>
      <c r="F51" s="20" t="n">
        <f aca="false">Datos!B52</f>
        <v>473.569230769231</v>
      </c>
      <c r="G51" s="17" t="n">
        <v>1</v>
      </c>
      <c r="H51" s="17" t="n">
        <f aca="false">B51-($B$89+$B$90*C51+$B$91*D51+$B$92*E51+$B$93*F51)</f>
        <v>-0.040835594087683</v>
      </c>
      <c r="I51" s="17" t="n">
        <f aca="false">H51^2</f>
        <v>0.00166754574449401</v>
      </c>
      <c r="L51" s="17" t="n">
        <f aca="false">C51</f>
        <v>0.0105</v>
      </c>
      <c r="M51" s="17" t="n">
        <f aca="false">D51-F51</f>
        <v>-4.6227538461539</v>
      </c>
      <c r="N51" s="17" t="n">
        <f aca="false">E51</f>
        <v>-0.10076918517865</v>
      </c>
    </row>
    <row r="52" customFormat="false" ht="15" hidden="false" customHeight="false" outlineLevel="0" collapsed="false">
      <c r="A52" s="19" t="str">
        <f aca="false">Datos!A59</f>
        <v>2018Q3</v>
      </c>
      <c r="B52" s="20" t="n">
        <f aca="false">Datos!E59</f>
        <v>-0.0346944038739507</v>
      </c>
      <c r="C52" s="20" t="n">
        <f aca="false">Datos!C59</f>
        <v>0.0154</v>
      </c>
      <c r="D52" s="20" t="n">
        <f aca="false">Datos!B59</f>
        <v>635.11576119403</v>
      </c>
      <c r="E52" s="20" t="n">
        <f aca="false">Datos!D59</f>
        <v>-0.107955814358483</v>
      </c>
      <c r="F52" s="20" t="n">
        <f aca="false">Datos!B53</f>
        <v>457.661538461538</v>
      </c>
      <c r="G52" s="17" t="n">
        <v>1</v>
      </c>
      <c r="H52" s="17" t="n">
        <f aca="false">B52-($B$89+$B$90*C52+$B$91*D52+$B$92*E52+$B$93*F52)</f>
        <v>-0.0350530958625594</v>
      </c>
      <c r="I52" s="17" t="n">
        <f aca="false">H52^2</f>
        <v>0.00122871952954978</v>
      </c>
      <c r="L52" s="17" t="n">
        <f aca="false">C52</f>
        <v>0.0154</v>
      </c>
      <c r="M52" s="17" t="n">
        <f aca="false">D52-F52</f>
        <v>177.454222732492</v>
      </c>
      <c r="N52" s="17" t="n">
        <f aca="false">E52</f>
        <v>-0.107955814358483</v>
      </c>
    </row>
    <row r="53" customFormat="false" ht="15" hidden="false" customHeight="false" outlineLevel="0" collapsed="false">
      <c r="A53" s="19" t="str">
        <f aca="false">Datos!A60</f>
        <v>2018Q4</v>
      </c>
      <c r="B53" s="20" t="n">
        <f aca="false">Datos!E60</f>
        <v>-0.0633973916700751</v>
      </c>
      <c r="C53" s="20" t="n">
        <f aca="false">Datos!C60</f>
        <v>0.0122</v>
      </c>
      <c r="D53" s="20" t="n">
        <f aca="false">Datos!B60</f>
        <v>691.6339375</v>
      </c>
      <c r="E53" s="20" t="n">
        <f aca="false">Datos!D60</f>
        <v>-0.250802935114858</v>
      </c>
      <c r="F53" s="20" t="n">
        <f aca="false">Datos!B54</f>
        <v>417.265625</v>
      </c>
      <c r="G53" s="17" t="n">
        <v>1</v>
      </c>
      <c r="H53" s="17" t="n">
        <f aca="false">B53-($B$89+$B$90*C53+$B$91*D53+$B$92*E53+$B$93*F53)</f>
        <v>-0.0454553970869585</v>
      </c>
      <c r="I53" s="17" t="n">
        <f aca="false">H53^2</f>
        <v>0.00206619312433308</v>
      </c>
      <c r="L53" s="17" t="n">
        <f aca="false">C53</f>
        <v>0.0122</v>
      </c>
      <c r="M53" s="17" t="n">
        <f aca="false">D53-F53</f>
        <v>274.3683125</v>
      </c>
      <c r="N53" s="17" t="n">
        <f aca="false">E53</f>
        <v>-0.250802935114858</v>
      </c>
    </row>
    <row r="54" customFormat="false" ht="15" hidden="false" customHeight="false" outlineLevel="0" collapsed="false">
      <c r="A54" s="19" t="str">
        <f aca="false">Datos!A61</f>
        <v>2019Q1</v>
      </c>
      <c r="B54" s="20" t="n">
        <f aca="false">Datos!E61</f>
        <v>-0.0586372539873753</v>
      </c>
      <c r="C54" s="20" t="n">
        <f aca="false">Datos!C61</f>
        <v>0.0059</v>
      </c>
      <c r="D54" s="20" t="n">
        <f aca="false">Datos!B61</f>
        <v>710.835638888889</v>
      </c>
      <c r="E54" s="20" t="n">
        <f aca="false">Datos!D61</f>
        <v>-0.253878367581224</v>
      </c>
      <c r="F54" s="20" t="n">
        <f aca="false">Datos!B55</f>
        <v>417.764390625</v>
      </c>
      <c r="G54" s="17" t="n">
        <v>1</v>
      </c>
      <c r="H54" s="17" t="n">
        <f aca="false">B54-($B$89+$B$90*C54+$B$91*D54+$B$92*E54+$B$93*F54)</f>
        <v>-0.0330802951369054</v>
      </c>
      <c r="I54" s="17" t="n">
        <f aca="false">H54^2</f>
        <v>0.00109430592634476</v>
      </c>
      <c r="L54" s="17" t="n">
        <f aca="false">C54</f>
        <v>0.0059</v>
      </c>
      <c r="M54" s="17" t="n">
        <f aca="false">D54-F54</f>
        <v>293.071248263889</v>
      </c>
      <c r="N54" s="17" t="n">
        <f aca="false">E54</f>
        <v>-0.253878367581224</v>
      </c>
    </row>
    <row r="55" customFormat="false" ht="15" hidden="false" customHeight="false" outlineLevel="0" collapsed="false">
      <c r="A55" s="19" t="str">
        <f aca="false">Datos!A62</f>
        <v>2019Q2</v>
      </c>
      <c r="B55" s="20" t="n">
        <f aca="false">Datos!E62</f>
        <v>0.00582819893603537</v>
      </c>
      <c r="C55" s="20" t="n">
        <f aca="false">Datos!C62</f>
        <v>0.0108</v>
      </c>
      <c r="D55" s="20" t="n">
        <f aca="false">Datos!B62</f>
        <v>873.625898550725</v>
      </c>
      <c r="E55" s="20" t="n">
        <f aca="false">Datos!D62</f>
        <v>-0.236108996995008</v>
      </c>
      <c r="F55" s="20" t="n">
        <f aca="false">Datos!B56</f>
        <v>363.1925625</v>
      </c>
      <c r="G55" s="17" t="n">
        <v>1</v>
      </c>
      <c r="H55" s="17" t="n">
        <f aca="false">B55-($B$89+$B$90*C55+$B$91*D55+$B$92*E55+$B$93*F55)</f>
        <v>0.0308124995415122</v>
      </c>
      <c r="I55" s="17" t="n">
        <f aca="false">H55^2</f>
        <v>0.000949410127995687</v>
      </c>
      <c r="L55" s="17" t="n">
        <f aca="false">C55</f>
        <v>0.0108</v>
      </c>
      <c r="M55" s="17" t="n">
        <f aca="false">D55-F55</f>
        <v>510.433336050724</v>
      </c>
      <c r="N55" s="17" t="n">
        <f aca="false">E55</f>
        <v>-0.236108996995008</v>
      </c>
    </row>
    <row r="56" customFormat="false" ht="15" hidden="false" customHeight="false" outlineLevel="0" collapsed="false">
      <c r="A56" s="19" t="str">
        <f aca="false">Datos!A63</f>
        <v>2019Q3</v>
      </c>
      <c r="B56" s="20" t="n">
        <f aca="false">Datos!E63</f>
        <v>-0.0175271616356651</v>
      </c>
      <c r="C56" s="20" t="n">
        <f aca="false">Datos!C63</f>
        <v>0.0119</v>
      </c>
      <c r="D56" s="20" t="n">
        <f aca="false">Datos!B63</f>
        <v>1553.24458536585</v>
      </c>
      <c r="E56" s="20" t="n">
        <f aca="false">Datos!D63</f>
        <v>-0.20557363698353</v>
      </c>
      <c r="F56" s="20" t="n">
        <f aca="false">Datos!B57</f>
        <v>391.724661290322</v>
      </c>
      <c r="G56" s="17" t="n">
        <v>1</v>
      </c>
      <c r="H56" s="17" t="n">
        <f aca="false">B56-($B$89+$B$90*C56+$B$91*D56+$B$92*E56+$B$93*F56)</f>
        <v>0.0232471061386931</v>
      </c>
      <c r="I56" s="17" t="n">
        <f aca="false">H56^2</f>
        <v>0.000540427943823662</v>
      </c>
      <c r="L56" s="17" t="n">
        <f aca="false">C56</f>
        <v>0.0119</v>
      </c>
      <c r="M56" s="17" t="n">
        <f aca="false">D56-F56</f>
        <v>1161.51992407553</v>
      </c>
      <c r="N56" s="17" t="n">
        <f aca="false">E56</f>
        <v>-0.20557363698353</v>
      </c>
    </row>
    <row r="57" customFormat="false" ht="15" hidden="false" customHeight="false" outlineLevel="0" collapsed="false">
      <c r="A57" s="19" t="str">
        <f aca="false">Datos!A64</f>
        <v>2019Q4</v>
      </c>
      <c r="B57" s="20" t="n">
        <f aca="false">Datos!E64</f>
        <v>-0.0107484273951806</v>
      </c>
      <c r="C57" s="20" t="n">
        <f aca="false">Datos!C64</f>
        <v>0.0167</v>
      </c>
      <c r="D57" s="20" t="n">
        <f aca="false">Datos!B64</f>
        <v>2152.12583695652</v>
      </c>
      <c r="E57" s="20" t="n">
        <f aca="false">Datos!D64</f>
        <v>-0.0926086528016115</v>
      </c>
      <c r="F57" s="20" t="n">
        <f aca="false">Datos!B58</f>
        <v>468.946476923077</v>
      </c>
      <c r="G57" s="17" t="n">
        <v>1</v>
      </c>
      <c r="H57" s="17" t="n">
        <f aca="false">B57-($B$89+$B$90*C57+$B$91*D57+$B$92*E57+$B$93*F57)</f>
        <v>0.0311866612674579</v>
      </c>
      <c r="I57" s="17" t="n">
        <f aca="false">H57^2</f>
        <v>0.000972607841011161</v>
      </c>
      <c r="L57" s="17" t="n">
        <f aca="false">C57</f>
        <v>0.0167</v>
      </c>
      <c r="M57" s="17" t="n">
        <f aca="false">D57-F57</f>
        <v>1683.17936003345</v>
      </c>
      <c r="N57" s="17" t="n">
        <f aca="false">E57</f>
        <v>-0.0926086528016115</v>
      </c>
    </row>
    <row r="58" customFormat="false" ht="15" hidden="false" customHeight="false" outlineLevel="0" collapsed="false">
      <c r="A58" s="19" t="str">
        <f aca="false">Datos!A65</f>
        <v>2020Q1</v>
      </c>
      <c r="B58" s="20" t="n">
        <f aca="false">Datos!E65</f>
        <v>-0.0502506965865937</v>
      </c>
      <c r="C58" s="20" t="n">
        <f aca="false">Datos!C65</f>
        <v>0.0041</v>
      </c>
      <c r="D58" s="20" t="n">
        <f aca="false">Datos!B65</f>
        <v>2339.24403614458</v>
      </c>
      <c r="E58" s="20" t="n">
        <f aca="false">Datos!D65</f>
        <v>0.0122906221442038</v>
      </c>
      <c r="F58" s="20" t="n">
        <f aca="false">Datos!B59</f>
        <v>635.11576119403</v>
      </c>
      <c r="G58" s="17" t="n">
        <v>1</v>
      </c>
      <c r="H58" s="17" t="n">
        <f aca="false">B58-($B$89+$B$90*C58+$B$91*D58+$B$92*E58+$B$93*F58)</f>
        <v>-0.00222098180242988</v>
      </c>
      <c r="I58" s="17" t="n">
        <f aca="false">H58^2</f>
        <v>4.93276016672466E-006</v>
      </c>
      <c r="L58" s="17" t="n">
        <f aca="false">C58</f>
        <v>0.0041</v>
      </c>
      <c r="M58" s="17" t="n">
        <f aca="false">D58-F58</f>
        <v>1704.12827495055</v>
      </c>
      <c r="N58" s="17" t="n">
        <f aca="false">E58</f>
        <v>0.0122906221442038</v>
      </c>
    </row>
    <row r="59" customFormat="false" ht="15" hidden="false" customHeight="false" outlineLevel="0" collapsed="false">
      <c r="A59" s="19" t="str">
        <f aca="false">Datos!A66</f>
        <v>2020Q2</v>
      </c>
      <c r="B59" s="20" t="n">
        <f aca="false">Datos!E66</f>
        <v>-0.189421940385846</v>
      </c>
      <c r="C59" s="20" t="n">
        <f aca="false">Datos!C66</f>
        <v>-0.1014</v>
      </c>
      <c r="D59" s="20" t="n">
        <f aca="false">Datos!B66</f>
        <v>3096.11088888889</v>
      </c>
      <c r="E59" s="20" t="n">
        <f aca="false">Datos!D66</f>
        <v>0.300423401546326</v>
      </c>
      <c r="F59" s="20" t="n">
        <f aca="false">Datos!B60</f>
        <v>691.6339375</v>
      </c>
      <c r="G59" s="17" t="n">
        <v>1</v>
      </c>
      <c r="H59" s="17" t="n">
        <f aca="false">B59-($B$89+$B$90*C59+$B$91*D59+$B$92*E59+$B$93*F59)</f>
        <v>-0.0309790312426365</v>
      </c>
      <c r="I59" s="17" t="n">
        <f aca="false">H59^2</f>
        <v>0.000959700376732247</v>
      </c>
      <c r="L59" s="17" t="n">
        <f aca="false">C59</f>
        <v>-0.1014</v>
      </c>
      <c r="M59" s="17" t="n">
        <f aca="false">D59-F59</f>
        <v>2404.47695138889</v>
      </c>
      <c r="N59" s="17" t="n">
        <f aca="false">E59</f>
        <v>0.300423401546326</v>
      </c>
    </row>
    <row r="60" customFormat="false" ht="15" hidden="false" customHeight="false" outlineLevel="0" collapsed="false">
      <c r="A60" s="19" t="str">
        <f aca="false">Datos!A67</f>
        <v>2020Q3</v>
      </c>
      <c r="B60" s="20" t="n">
        <f aca="false">Datos!E67</f>
        <v>-0.101927662759163</v>
      </c>
      <c r="C60" s="20" t="n">
        <f aca="false">Datos!C67</f>
        <v>-0.0304</v>
      </c>
      <c r="D60" s="20" t="n">
        <f aca="false">Datos!B67</f>
        <v>1998.70695454545</v>
      </c>
      <c r="E60" s="20" t="n">
        <f aca="false">Datos!D67</f>
        <v>0.333534308594002</v>
      </c>
      <c r="F60" s="20" t="n">
        <f aca="false">Datos!B61</f>
        <v>710.835638888889</v>
      </c>
      <c r="G60" s="17" t="n">
        <v>1</v>
      </c>
      <c r="H60" s="17" t="n">
        <f aca="false">B60-($B$89+$B$90*C60+$B$91*D60+$B$92*E60+$B$93*F60)</f>
        <v>-0.056090607475333</v>
      </c>
      <c r="I60" s="17" t="n">
        <f aca="false">H60^2</f>
        <v>0.00314615624695189</v>
      </c>
      <c r="L60" s="17" t="n">
        <f aca="false">C60</f>
        <v>-0.0304</v>
      </c>
      <c r="M60" s="17" t="n">
        <f aca="false">D60-F60</f>
        <v>1287.87131565657</v>
      </c>
      <c r="N60" s="17" t="n">
        <f aca="false">E60</f>
        <v>0.333534308594002</v>
      </c>
    </row>
    <row r="61" customFormat="false" ht="15" hidden="false" customHeight="false" outlineLevel="0" collapsed="false">
      <c r="A61" s="19" t="str">
        <f aca="false">Datos!A68</f>
        <v>2020Q4</v>
      </c>
      <c r="B61" s="20" t="n">
        <f aca="false">Datos!E68</f>
        <v>-0.0431329947641036</v>
      </c>
      <c r="C61" s="20" t="n">
        <f aca="false">Datos!C68</f>
        <v>-0.0033</v>
      </c>
      <c r="D61" s="20" t="n">
        <f aca="false">Datos!B68</f>
        <v>1391.81681538462</v>
      </c>
      <c r="E61" s="20" t="n">
        <f aca="false">Datos!D68</f>
        <v>0.310601242607967</v>
      </c>
      <c r="F61" s="20" t="n">
        <f aca="false">Datos!B62</f>
        <v>873.625898550725</v>
      </c>
      <c r="G61" s="17" t="n">
        <v>1</v>
      </c>
      <c r="H61" s="17" t="n">
        <f aca="false">B61-($B$89+$B$90*C61+$B$91*D61+$B$92*E61+$B$93*F61)</f>
        <v>-0.046745353118275</v>
      </c>
      <c r="I61" s="17" t="n">
        <f aca="false">H61^2</f>
        <v>0.00218512803815222</v>
      </c>
      <c r="L61" s="17" t="n">
        <f aca="false">C61</f>
        <v>-0.0033</v>
      </c>
      <c r="M61" s="17" t="n">
        <f aca="false">D61-F61</f>
        <v>518.190916833891</v>
      </c>
      <c r="N61" s="17" t="n">
        <f aca="false">E61</f>
        <v>0.310601242607967</v>
      </c>
    </row>
    <row r="62" customFormat="false" ht="15" hidden="false" customHeight="false" outlineLevel="0" collapsed="false">
      <c r="A62" s="19" t="str">
        <f aca="false">Datos!A69</f>
        <v>2021Q1</v>
      </c>
      <c r="B62" s="20" t="n">
        <f aca="false">Datos!E69</f>
        <v>0.0323260077948051</v>
      </c>
      <c r="C62" s="20" t="n">
        <f aca="false">Datos!C69</f>
        <v>0.0175</v>
      </c>
      <c r="D62" s="20" t="n">
        <f aca="false">Datos!B69</f>
        <v>1492.04128571429</v>
      </c>
      <c r="E62" s="20" t="n">
        <f aca="false">Datos!D69</f>
        <v>0.133348854537539</v>
      </c>
      <c r="F62" s="20" t="n">
        <f aca="false">Datos!B63</f>
        <v>1553.24458536585</v>
      </c>
      <c r="G62" s="17" t="n">
        <v>1</v>
      </c>
      <c r="H62" s="17" t="n">
        <f aca="false">B62-($B$89+$B$90*C62+$B$91*D62+$B$92*E62+$B$93*F62)</f>
        <v>0.00738589615950316</v>
      </c>
      <c r="I62" s="17" t="n">
        <f aca="false">H62^2</f>
        <v>5.45514620789635E-005</v>
      </c>
      <c r="L62" s="17" t="n">
        <f aca="false">C62</f>
        <v>0.0175</v>
      </c>
      <c r="M62" s="17" t="n">
        <f aca="false">D62-F62</f>
        <v>-61.2032996515679</v>
      </c>
      <c r="N62" s="17" t="n">
        <f aca="false">E62</f>
        <v>0.133348854537539</v>
      </c>
    </row>
    <row r="63" customFormat="false" ht="15" hidden="false" customHeight="false" outlineLevel="0" collapsed="false">
      <c r="A63" s="19" t="str">
        <f aca="false">Datos!A70</f>
        <v>2021Q2</v>
      </c>
      <c r="B63" s="20" t="n">
        <f aca="false">Datos!E70</f>
        <v>0.187299607796633</v>
      </c>
      <c r="C63" s="20" t="n">
        <f aca="false">Datos!C70</f>
        <v>0.124</v>
      </c>
      <c r="D63" s="20" t="n">
        <f aca="false">Datos!B70</f>
        <v>1543.4644</v>
      </c>
      <c r="E63" s="20" t="n">
        <f aca="false">Datos!D70</f>
        <v>-0.132961858833637</v>
      </c>
      <c r="F63" s="20" t="n">
        <f aca="false">Datos!B64</f>
        <v>2152.12583695652</v>
      </c>
      <c r="G63" s="17" t="n">
        <v>1</v>
      </c>
      <c r="H63" s="17" t="n">
        <f aca="false">B63-($B$89+$B$90*C63+$B$91*D63+$B$92*E63+$B$93*F63)</f>
        <v>0.0567688432681696</v>
      </c>
      <c r="I63" s="17" t="n">
        <f aca="false">H63^2</f>
        <v>0.00322270156600601</v>
      </c>
      <c r="L63" s="17" t="n">
        <f aca="false">C63</f>
        <v>0.124</v>
      </c>
      <c r="M63" s="17" t="n">
        <f aca="false">D63-F63</f>
        <v>-608.661436956523</v>
      </c>
      <c r="N63" s="17" t="n">
        <f aca="false">E63</f>
        <v>-0.132961858833637</v>
      </c>
    </row>
    <row r="64" customFormat="false" ht="15" hidden="false" customHeight="false" outlineLevel="0" collapsed="false">
      <c r="A64" s="19" t="str">
        <f aca="false">Datos!A71</f>
        <v>2021Q3</v>
      </c>
      <c r="B64" s="20" t="n">
        <f aca="false">Datos!E71</f>
        <v>0.118145356665691</v>
      </c>
      <c r="C64" s="20" t="n">
        <f aca="false">Datos!C71</f>
        <v>0.0421</v>
      </c>
      <c r="D64" s="20" t="n">
        <f aca="false">Datos!B71</f>
        <v>1568.15139130435</v>
      </c>
      <c r="E64" s="20" t="n">
        <f aca="false">Datos!D71</f>
        <v>-0.0957517156450476</v>
      </c>
      <c r="F64" s="20" t="n">
        <f aca="false">Datos!B65</f>
        <v>2339.24403614458</v>
      </c>
      <c r="G64" s="17" t="n">
        <v>1</v>
      </c>
      <c r="H64" s="17" t="n">
        <f aca="false">B64-($B$89+$B$90*C64+$B$91*D64+$B$92*E64+$B$93*F64)</f>
        <v>0.0688150596960004</v>
      </c>
      <c r="I64" s="17" t="n">
        <f aca="false">H64^2</f>
        <v>0.0047355124409641</v>
      </c>
      <c r="L64" s="17" t="n">
        <f aca="false">C64</f>
        <v>0.0421</v>
      </c>
      <c r="M64" s="17" t="n">
        <f aca="false">D64-F64</f>
        <v>-771.092644840231</v>
      </c>
      <c r="N64" s="17" t="n">
        <f aca="false">E64</f>
        <v>-0.0957517156450476</v>
      </c>
    </row>
    <row r="65" customFormat="false" ht="15" hidden="false" customHeight="false" outlineLevel="0" collapsed="false">
      <c r="A65" s="19" t="str">
        <f aca="false">Datos!A72</f>
        <v>2021Q4</v>
      </c>
      <c r="B65" s="20" t="n">
        <f aca="false">Datos!E72</f>
        <v>0.08364113941174</v>
      </c>
      <c r="C65" s="20" t="n">
        <f aca="false">Datos!C72</f>
        <v>0.0146</v>
      </c>
      <c r="D65" s="20" t="n">
        <f aca="false">Datos!B72</f>
        <v>1712.31386956522</v>
      </c>
      <c r="E65" s="20" t="n">
        <f aca="false">Datos!D72</f>
        <v>-0.0404740937876135</v>
      </c>
      <c r="F65" s="20" t="n">
        <f aca="false">Datos!B66</f>
        <v>3096.11088888889</v>
      </c>
      <c r="G65" s="17" t="n">
        <v>1</v>
      </c>
      <c r="H65" s="17" t="n">
        <f aca="false">B65-($B$89+$B$90*C65+$B$91*D65+$B$92*E65+$B$93*F65)</f>
        <v>0.0446562696877116</v>
      </c>
      <c r="I65" s="17" t="n">
        <f aca="false">H65^2</f>
        <v>0.00199418242242163</v>
      </c>
      <c r="L65" s="17" t="n">
        <f aca="false">C65</f>
        <v>0.0146</v>
      </c>
      <c r="M65" s="17" t="n">
        <f aca="false">D65-F65</f>
        <v>-1383.79701932367</v>
      </c>
      <c r="N65" s="17" t="n">
        <f aca="false">E65</f>
        <v>-0.0404740937876135</v>
      </c>
    </row>
    <row r="66" customFormat="false" ht="15" hidden="false" customHeight="false" outlineLevel="0" collapsed="false">
      <c r="A66" s="19" t="str">
        <f aca="false">Datos!A73</f>
        <v>2022Q1</v>
      </c>
      <c r="B66" s="20" t="n">
        <f aca="false">Datos!E73</f>
        <v>0.0686138387185451</v>
      </c>
      <c r="C66" s="20" t="n">
        <f aca="false">Datos!C73</f>
        <v>0.0148</v>
      </c>
      <c r="D66" s="20" t="n">
        <f aca="false">Datos!B73</f>
        <v>1807.04372222222</v>
      </c>
      <c r="E66" s="20" t="n">
        <f aca="false">Datos!D73</f>
        <v>0.0113625688003993</v>
      </c>
      <c r="F66" s="20" t="n">
        <f aca="false">Datos!B67</f>
        <v>1998.70695454545</v>
      </c>
      <c r="G66" s="17" t="n">
        <v>1</v>
      </c>
      <c r="H66" s="17" t="n">
        <f aca="false">B66-($B$89+$B$90*C66+$B$91*D66+$B$92*E66+$B$93*F66)</f>
        <v>0.0552406903175159</v>
      </c>
      <c r="I66" s="17" t="n">
        <f aca="false">H66^2</f>
        <v>0.0030515338667557</v>
      </c>
      <c r="L66" s="17" t="n">
        <f aca="false">C66</f>
        <v>0.0148</v>
      </c>
      <c r="M66" s="17" t="n">
        <f aca="false">D66-F66</f>
        <v>-191.663232323232</v>
      </c>
      <c r="N66" s="17" t="n">
        <f aca="false">E66</f>
        <v>0.0113625688003993</v>
      </c>
    </row>
    <row r="67" customFormat="false" ht="15" hidden="false" customHeight="false" outlineLevel="0" collapsed="false">
      <c r="A67" s="19" t="str">
        <f aca="false">Datos!A74</f>
        <v>2022Q2</v>
      </c>
      <c r="B67" s="20" t="n">
        <f aca="false">Datos!E74</f>
        <v>0.0813001446194395</v>
      </c>
      <c r="C67" s="20" t="n">
        <f aca="false">Datos!C74</f>
        <v>0.0354</v>
      </c>
      <c r="D67" s="20" t="n">
        <f aca="false">Datos!B74</f>
        <v>1918.61072527473</v>
      </c>
      <c r="E67" s="20" t="n">
        <f aca="false">Datos!D74</f>
        <v>-0.0258001512588706</v>
      </c>
      <c r="F67" s="20" t="n">
        <f aca="false">Datos!B68</f>
        <v>1391.81681538462</v>
      </c>
      <c r="G67" s="17" t="n">
        <v>1</v>
      </c>
      <c r="H67" s="17" t="n">
        <f aca="false">B67-($B$89+$B$90*C67+$B$91*D67+$B$92*E67+$B$93*F67)</f>
        <v>0.0673672698570675</v>
      </c>
      <c r="I67" s="17" t="n">
        <f aca="false">H67^2</f>
        <v>0.00453834904799496</v>
      </c>
      <c r="L67" s="17" t="n">
        <f aca="false">C67</f>
        <v>0.0354</v>
      </c>
      <c r="M67" s="17" t="n">
        <f aca="false">D67-F67</f>
        <v>526.79390989011</v>
      </c>
      <c r="N67" s="17" t="n">
        <f aca="false">E67</f>
        <v>-0.0258001512588706</v>
      </c>
    </row>
    <row r="68" customFormat="false" ht="15" hidden="false" customHeight="false" outlineLevel="0" collapsed="false">
      <c r="A68" s="19" t="str">
        <f aca="false">Datos!A75</f>
        <v>2022Q3</v>
      </c>
      <c r="B68" s="20" t="n">
        <f aca="false">Datos!E75</f>
        <v>0.066844213632383</v>
      </c>
      <c r="C68" s="20" t="n">
        <f aca="false">Datos!C75</f>
        <v>0.0432</v>
      </c>
      <c r="D68" s="20" t="n">
        <f aca="false">Datos!B75</f>
        <v>2532.03854666667</v>
      </c>
      <c r="E68" s="20" t="n">
        <f aca="false">Datos!D75</f>
        <v>-0.0831824560773343</v>
      </c>
      <c r="F68" s="20" t="n">
        <f aca="false">Datos!B69</f>
        <v>1492.04128571429</v>
      </c>
      <c r="G68" s="17" t="n">
        <v>1</v>
      </c>
      <c r="H68" s="17" t="n">
        <f aca="false">B68-($B$89+$B$90*C68+$B$91*D68+$B$92*E68+$B$93*F68)</f>
        <v>0.0651916103851692</v>
      </c>
      <c r="I68" s="17" t="n">
        <f aca="false">H68^2</f>
        <v>0.0042499460646117</v>
      </c>
      <c r="L68" s="17" t="n">
        <f aca="false">C68</f>
        <v>0.0432</v>
      </c>
      <c r="M68" s="17" t="n">
        <f aca="false">D68-F68</f>
        <v>1039.99726095238</v>
      </c>
      <c r="N68" s="17" t="n">
        <f aca="false">E68</f>
        <v>-0.0831824560773343</v>
      </c>
    </row>
    <row r="69" customFormat="false" ht="15" hidden="false" customHeight="false" outlineLevel="0" collapsed="false">
      <c r="A69" s="19" t="str">
        <f aca="false">Datos!A76</f>
        <v>2022Q4</v>
      </c>
      <c r="B69" s="20" t="n">
        <f aca="false">Datos!E76</f>
        <v>0.023854276267842</v>
      </c>
      <c r="C69" s="20" t="n">
        <f aca="false">Datos!C76</f>
        <v>0.027</v>
      </c>
      <c r="D69" s="20" t="n">
        <f aca="false">Datos!B76</f>
        <v>2462.75393478261</v>
      </c>
      <c r="E69" s="20" t="n">
        <f aca="false">Datos!D76</f>
        <v>-0.163911151341187</v>
      </c>
      <c r="F69" s="20" t="n">
        <f aca="false">Datos!B70</f>
        <v>1543.4644</v>
      </c>
      <c r="G69" s="17" t="n">
        <v>1</v>
      </c>
      <c r="H69" s="17" t="n">
        <f aca="false">B69-($B$89+$B$90*C69+$B$91*D69+$B$92*E69+$B$93*F69)</f>
        <v>0.0431846565487398</v>
      </c>
      <c r="I69" s="17" t="n">
        <f aca="false">H69^2</f>
        <v>0.00186491456123262</v>
      </c>
      <c r="L69" s="17" t="n">
        <f aca="false">C69</f>
        <v>0.027</v>
      </c>
      <c r="M69" s="17" t="n">
        <f aca="false">D69-F69</f>
        <v>919.28953478261</v>
      </c>
      <c r="N69" s="17" t="n">
        <f aca="false">E69</f>
        <v>-0.163911151341187</v>
      </c>
    </row>
    <row r="70" customFormat="false" ht="15" hidden="false" customHeight="false" outlineLevel="0" collapsed="false">
      <c r="A70" s="19" t="str">
        <f aca="false">Datos!A77</f>
        <v>2023Q1</v>
      </c>
      <c r="B70" s="20" t="n">
        <f aca="false">Datos!E77</f>
        <v>0.00911982377224452</v>
      </c>
      <c r="C70" s="20" t="n">
        <f aca="false">Datos!C77</f>
        <v>0.0444</v>
      </c>
      <c r="D70" s="20" t="n">
        <f aca="false">Datos!B77</f>
        <v>2085.99497777778</v>
      </c>
      <c r="E70" s="20" t="n">
        <f aca="false">Datos!D77</f>
        <v>-0.176790692165209</v>
      </c>
      <c r="F70" s="20" t="n">
        <f aca="false">Datos!B71</f>
        <v>1568.15139130435</v>
      </c>
      <c r="G70" s="17" t="n">
        <v>1</v>
      </c>
      <c r="H70" s="17" t="n">
        <f aca="false">B70-($B$89+$B$90*C70+$B$91*D70+$B$92*E70+$B$93*F70)</f>
        <v>-0.00107730497687441</v>
      </c>
      <c r="I70" s="17" t="n">
        <f aca="false">H70^2</f>
        <v>1.16058601319836E-006</v>
      </c>
      <c r="L70" s="17" t="n">
        <f aca="false">C70</f>
        <v>0.0444</v>
      </c>
      <c r="M70" s="17" t="n">
        <f aca="false">D70-F70</f>
        <v>517.84358647343</v>
      </c>
      <c r="N70" s="17" t="n">
        <f aca="false">E70</f>
        <v>-0.176790692165209</v>
      </c>
    </row>
    <row r="71" customFormat="false" ht="15" hidden="false" customHeight="false" outlineLevel="0" collapsed="false">
      <c r="A71" s="19" t="str">
        <f aca="false">Datos!A78</f>
        <v>2023Q2</v>
      </c>
      <c r="B71" s="20" t="n">
        <f aca="false">Datos!E78</f>
        <v>-0.0567487243252599</v>
      </c>
      <c r="C71" s="20" t="n">
        <f aca="false">Datos!C78</f>
        <v>0.0385</v>
      </c>
      <c r="D71" s="20" t="n">
        <f aca="false">Datos!B78</f>
        <v>2482.34095061728</v>
      </c>
      <c r="E71" s="20" t="n">
        <f aca="false">Datos!D78</f>
        <v>-0.230734676239312</v>
      </c>
      <c r="F71" s="20" t="n">
        <f aca="false">Datos!B72</f>
        <v>1712.31386956522</v>
      </c>
      <c r="G71" s="17" t="n">
        <v>1</v>
      </c>
      <c r="H71" s="17" t="n">
        <f aca="false">B71-($B$89+$B$90*C71+$B$91*D71+$B$92*E71+$B$93*F71)</f>
        <v>-0.047764403560581</v>
      </c>
      <c r="I71" s="17" t="n">
        <f aca="false">H71^2</f>
        <v>0.00228143824749804</v>
      </c>
      <c r="L71" s="17" t="n">
        <f aca="false">C71</f>
        <v>0.0385</v>
      </c>
      <c r="M71" s="17" t="n">
        <f aca="false">D71-F71</f>
        <v>770.027081052067</v>
      </c>
      <c r="N71" s="17" t="n">
        <f aca="false">E71</f>
        <v>-0.230734676239312</v>
      </c>
    </row>
    <row r="72" customFormat="false" ht="15" hidden="false" customHeight="false" outlineLevel="0" collapsed="false">
      <c r="A72" s="19" t="str">
        <f aca="false">Datos!A79</f>
        <v>2023Q3</v>
      </c>
      <c r="B72" s="20" t="n">
        <f aca="false">Datos!E79</f>
        <v>-0.00549172525238073</v>
      </c>
      <c r="C72" s="20" t="n">
        <f aca="false">Datos!C79</f>
        <v>0.0235</v>
      </c>
      <c r="D72" s="20" t="n">
        <f aca="false">Datos!B79</f>
        <v>2088.37973417722</v>
      </c>
      <c r="E72" s="20" t="n">
        <f aca="false">Datos!D79</f>
        <v>-0.2598328892436</v>
      </c>
      <c r="F72" s="20" t="n">
        <f aca="false">Datos!B73</f>
        <v>1807.04372222222</v>
      </c>
      <c r="G72" s="17" t="n">
        <v>1</v>
      </c>
      <c r="H72" s="17" t="n">
        <f aca="false">B72-($B$89+$B$90*C72+$B$91*D72+$B$92*E72+$B$93*F72)</f>
        <v>0.00801530846213725</v>
      </c>
      <c r="I72" s="17" t="n">
        <f aca="false">H72^2</f>
        <v>6.4245169743209E-005</v>
      </c>
      <c r="L72" s="17" t="n">
        <f aca="false">C72</f>
        <v>0.0235</v>
      </c>
      <c r="M72" s="17" t="n">
        <f aca="false">D72-F72</f>
        <v>281.336011954993</v>
      </c>
      <c r="N72" s="17" t="n">
        <f aca="false">E72</f>
        <v>-0.2598328892436</v>
      </c>
    </row>
    <row r="73" customFormat="false" ht="15" hidden="false" customHeight="false" outlineLevel="0" collapsed="false">
      <c r="A73" s="19" t="str">
        <f aca="false">Datos!A80</f>
        <v>2023Q4</v>
      </c>
      <c r="B73" s="20" t="n">
        <f aca="false">Datos!E80</f>
        <v>-0.0171598554874708</v>
      </c>
      <c r="C73" s="20" t="n">
        <f aca="false">Datos!C80</f>
        <v>0.0238</v>
      </c>
      <c r="D73" s="20" t="n">
        <f aca="false">Datos!B80</f>
        <v>2210.46063380282</v>
      </c>
      <c r="E73" s="20" t="n">
        <f aca="false">Datos!D80</f>
        <v>-0.252313761190249</v>
      </c>
      <c r="F73" s="20" t="n">
        <f aca="false">Datos!B74</f>
        <v>1918.61072527473</v>
      </c>
      <c r="G73" s="17" t="n">
        <v>1</v>
      </c>
      <c r="H73" s="17" t="n">
        <f aca="false">B73-($B$89+$B$90*C73+$B$91*D73+$B$92*E73+$B$93*F73)</f>
        <v>-0.00375856270255168</v>
      </c>
      <c r="I73" s="17" t="n">
        <f aca="false">H73^2</f>
        <v>1.41267935890126E-005</v>
      </c>
      <c r="L73" s="17" t="n">
        <f aca="false">C73</f>
        <v>0.0238</v>
      </c>
      <c r="M73" s="17" t="n">
        <f aca="false">D73-F73</f>
        <v>291.849908528093</v>
      </c>
      <c r="N73" s="17" t="n">
        <f aca="false">E73</f>
        <v>-0.252313761190249</v>
      </c>
    </row>
    <row r="74" customFormat="false" ht="15" hidden="false" customHeight="false" outlineLevel="0" collapsed="false">
      <c r="A74" s="19" t="str">
        <f aca="false">Datos!A81</f>
        <v>2024Q1</v>
      </c>
      <c r="B74" s="20" t="n">
        <f aca="false">Datos!E81</f>
        <v>-0.0496170325779741</v>
      </c>
      <c r="C74" s="20" t="n">
        <f aca="false">Datos!C81</f>
        <v>0.0246</v>
      </c>
      <c r="D74" s="20" t="n">
        <f aca="false">Datos!B81</f>
        <v>1755.52208</v>
      </c>
      <c r="E74" s="20" t="n">
        <f aca="false">Datos!D81</f>
        <v>-0.326696830055503</v>
      </c>
      <c r="F74" s="20" t="n">
        <f aca="false">Datos!B75</f>
        <v>2532.03854666667</v>
      </c>
      <c r="G74" s="17" t="n">
        <v>1</v>
      </c>
      <c r="H74" s="17" t="n">
        <f aca="false">B74-($B$89+$B$90*C74+$B$91*D74+$B$92*E74+$B$93*F74)</f>
        <v>-0.0596511074247329</v>
      </c>
      <c r="I74" s="17" t="n">
        <f aca="false">H74^2</f>
        <v>0.00355825461699702</v>
      </c>
      <c r="L74" s="17" t="n">
        <f aca="false">C74</f>
        <v>0.0246</v>
      </c>
      <c r="M74" s="17" t="n">
        <f aca="false">D74-F74</f>
        <v>-776.516466666665</v>
      </c>
      <c r="N74" s="17" t="n">
        <f aca="false">E74</f>
        <v>-0.326696830055503</v>
      </c>
    </row>
    <row r="75" customFormat="false" ht="15" hidden="false" customHeight="false" outlineLevel="0" collapsed="false">
      <c r="A75" s="19" t="str">
        <f aca="false">Datos!A82</f>
        <v>2024Q2</v>
      </c>
      <c r="B75" s="20" t="n">
        <f aca="false">Datos!E82</f>
        <v>-0.0108329991805178</v>
      </c>
      <c r="C75" s="20" t="n">
        <f aca="false">Datos!C82</f>
        <v>0.0347</v>
      </c>
      <c r="D75" s="20" t="n">
        <f aca="false">Datos!B82</f>
        <v>1343.77188059702</v>
      </c>
      <c r="E75" s="20" t="n">
        <f aca="false">Datos!D82</f>
        <v>-0.191082261820379</v>
      </c>
      <c r="F75" s="20" t="n">
        <f aca="false">Datos!B76</f>
        <v>2462.75393478261</v>
      </c>
      <c r="G75" s="17" t="n">
        <v>1</v>
      </c>
      <c r="H75" s="17" t="n">
        <f aca="false">B75-($B$89+$B$90*C75+$B$91*D75+$B$92*E75+$B$93*F75)</f>
        <v>-0.0538560766141654</v>
      </c>
      <c r="I75" s="17" t="n">
        <f aca="false">H75^2</f>
        <v>0.00290047698827086</v>
      </c>
      <c r="L75" s="17" t="n">
        <f aca="false">C75</f>
        <v>0.0347</v>
      </c>
      <c r="M75" s="17" t="n">
        <f aca="false">D75-F75</f>
        <v>-1118.9820541856</v>
      </c>
      <c r="N75" s="17" t="n">
        <f aca="false">E75</f>
        <v>-0.191082261820379</v>
      </c>
    </row>
    <row r="76" customFormat="false" ht="15" hidden="false" customHeight="false" outlineLevel="0" collapsed="false">
      <c r="A76" s="19" t="str">
        <f aca="false">Datos!A83</f>
        <v>2024Q3</v>
      </c>
      <c r="B76" s="20" t="n">
        <f aca="false">Datos!E83</f>
        <v>-0.0193706719869603</v>
      </c>
      <c r="C76" s="20" t="n">
        <f aca="false">Datos!C83</f>
        <v>0.0414</v>
      </c>
      <c r="D76" s="20" t="n">
        <f aca="false">Datos!B83</f>
        <v>1484.54545454546</v>
      </c>
      <c r="E76" s="20" t="n">
        <f aca="false">Datos!D83</f>
        <v>-0.0855806865756779</v>
      </c>
      <c r="F76" s="20" t="n">
        <f aca="false">Datos!B77</f>
        <v>2085.99497777778</v>
      </c>
      <c r="G76" s="17" t="n">
        <v>1</v>
      </c>
      <c r="H76" s="17" t="n">
        <f aca="false">B76-($B$89+$B$90*C76+$B$91*D76+$B$92*E76+$B$93*F76)</f>
        <v>-0.0649818221207345</v>
      </c>
      <c r="I76" s="17" t="n">
        <f aca="false">H76^2</f>
        <v>0.00422263720613078</v>
      </c>
      <c r="L76" s="17" t="n">
        <f aca="false">C76</f>
        <v>0.0414</v>
      </c>
      <c r="M76" s="17" t="n">
        <f aca="false">D76-F76</f>
        <v>-601.449523232323</v>
      </c>
      <c r="N76" s="17" t="n">
        <f aca="false">E76</f>
        <v>-0.0855806865756779</v>
      </c>
    </row>
    <row r="77" customFormat="false" ht="15" hidden="false" customHeight="false" outlineLevel="0" collapsed="false">
      <c r="A77" s="19" t="str">
        <f aca="false">Datos!A84</f>
        <v>2024Q4</v>
      </c>
      <c r="B77" s="20" t="n">
        <f aca="false">Datos!E84</f>
        <v>0.0263829611146622</v>
      </c>
      <c r="C77" s="20" t="n">
        <f aca="false">Datos!C84</f>
        <v>0.0358</v>
      </c>
      <c r="D77" s="20" t="n">
        <f aca="false">Datos!B84</f>
        <v>920.4</v>
      </c>
      <c r="E77" s="20" t="n">
        <f aca="false">Datos!D84</f>
        <v>0.055546860701615</v>
      </c>
      <c r="F77" s="20" t="n">
        <f aca="false">Datos!B78</f>
        <v>2482.34095061728</v>
      </c>
      <c r="G77" s="17" t="n">
        <v>1</v>
      </c>
      <c r="H77" s="17" t="n">
        <f aca="false">B77-($B$89+$B$90*C77+$B$91*D77+$B$92*E77+$B$93*F77)</f>
        <v>-0.0519380331057164</v>
      </c>
      <c r="I77" s="17" t="n">
        <f aca="false">H77^2</f>
        <v>0.00269755928289049</v>
      </c>
      <c r="L77" s="17" t="n">
        <f aca="false">C77</f>
        <v>0.0358</v>
      </c>
      <c r="M77" s="17" t="n">
        <f aca="false">D77-F77</f>
        <v>-1561.94095061728</v>
      </c>
      <c r="N77" s="17" t="n">
        <f aca="false">E77</f>
        <v>0.055546860701615</v>
      </c>
    </row>
    <row r="78" customFormat="false" ht="15" hidden="false" customHeight="false" outlineLevel="0" collapsed="false">
      <c r="A78" s="19" t="str">
        <f aca="false">Datos!A85</f>
        <v>2025Q1</v>
      </c>
      <c r="B78" s="20" t="n">
        <f aca="false">Datos!E85</f>
        <v>0.0583747415748432</v>
      </c>
      <c r="C78" s="20" t="n">
        <f aca="false">Datos!C85</f>
        <v>0.0315</v>
      </c>
      <c r="D78" s="20" t="n">
        <f aca="false">Datos!B85</f>
        <v>684.538461538462</v>
      </c>
      <c r="E78" s="20" t="n">
        <f aca="false">Datos!D85</f>
        <v>0.260662333761717</v>
      </c>
      <c r="F78" s="20" t="n">
        <f aca="false">Datos!B79</f>
        <v>2088.37973417722</v>
      </c>
      <c r="G78" s="17" t="n">
        <v>1</v>
      </c>
      <c r="H78" s="17" t="n">
        <f aca="false">B78-($B$89+$B$90*C78+$B$91*D78+$B$92*E78+$B$93*F78)</f>
        <v>-0.0299631170868138</v>
      </c>
      <c r="I78" s="17" t="n">
        <f aca="false">H78^2</f>
        <v>0.000897788385558111</v>
      </c>
      <c r="L78" s="17" t="n">
        <f aca="false">C78</f>
        <v>0.0315</v>
      </c>
      <c r="M78" s="17" t="n">
        <f aca="false">D78-F78</f>
        <v>-1403.84127263875</v>
      </c>
      <c r="N78" s="17" t="n">
        <f aca="false">E78</f>
        <v>0.260662333761717</v>
      </c>
    </row>
    <row r="79" customFormat="false" ht="15" hidden="false" customHeight="false" outlineLevel="0" collapsed="false">
      <c r="A79" s="19" t="str">
        <f aca="false">Datos!A86</f>
        <v>2025Q2</v>
      </c>
      <c r="B79" s="20" t="n">
        <f aca="false">Datos!E86</f>
        <v>0.0638141408959982</v>
      </c>
      <c r="C79" s="20" t="n">
        <f aca="false">Datos!C86</f>
        <v>0.0236</v>
      </c>
      <c r="D79" s="20" t="n">
        <f aca="false">Datos!B86</f>
        <v>723.846153846154</v>
      </c>
      <c r="E79" s="20" t="n">
        <f aca="false">Datos!D86</f>
        <v>0.289256985193463</v>
      </c>
      <c r="F79" s="20" t="n">
        <f aca="false">Datos!B80</f>
        <v>2210.46063380282</v>
      </c>
      <c r="G79" s="17" t="n">
        <v>1</v>
      </c>
      <c r="H79" s="17" t="n">
        <f aca="false">B79-($B$89+$B$90*C79+$B$91*D79+$B$92*E79+$B$93*F79)</f>
        <v>-0.0203150023411628</v>
      </c>
      <c r="I79" s="17" t="n">
        <f aca="false">H79^2</f>
        <v>0.000412699320121448</v>
      </c>
      <c r="L79" s="17" t="n">
        <f aca="false">C79</f>
        <v>0.0236</v>
      </c>
      <c r="M79" s="17" t="n">
        <f aca="false">D79-F79</f>
        <v>-1486.61447995666</v>
      </c>
      <c r="N79" s="17" t="n">
        <f aca="false">E79</f>
        <v>0.289256985193463</v>
      </c>
    </row>
    <row r="80" customFormat="false" ht="15" hidden="false" customHeight="false" outlineLevel="0" collapsed="false">
      <c r="A80" s="19" t="str">
        <f aca="false">Datos!A87</f>
        <v>2025Q3</v>
      </c>
      <c r="B80" s="20" t="n">
        <f aca="false">Datos!E87</f>
        <v>0.0325690447876617</v>
      </c>
      <c r="C80" s="20" t="n">
        <f aca="false">Datos!C87</f>
        <v>0.0182</v>
      </c>
      <c r="D80" s="20" t="n">
        <f aca="false">Datos!B87</f>
        <v>866.153846153846</v>
      </c>
      <c r="E80" s="20" t="n">
        <f aca="false">Datos!D87</f>
        <v>0.166412356112257</v>
      </c>
      <c r="F80" s="20" t="n">
        <f aca="false">Datos!B81</f>
        <v>1755.52208</v>
      </c>
      <c r="G80" s="17" t="n">
        <v>1</v>
      </c>
      <c r="H80" s="17" t="n">
        <f aca="false">B80-($B$89+$B$90*C80+$B$91*D80+$B$92*E80+$B$93*F80)</f>
        <v>-0.0196743287351708</v>
      </c>
      <c r="I80" s="17" t="n">
        <f aca="false">H80^2</f>
        <v>0.000387079211179568</v>
      </c>
      <c r="L80" s="17" t="n">
        <f aca="false">C80</f>
        <v>0.0182</v>
      </c>
      <c r="M80" s="17" t="n">
        <f aca="false">D80-F80</f>
        <v>-889.368233846155</v>
      </c>
      <c r="N80" s="17" t="n">
        <f aca="false">E80</f>
        <v>0.166412356112257</v>
      </c>
    </row>
    <row r="81" customFormat="false" ht="15" hidden="false" customHeight="false" outlineLevel="0" collapsed="false">
      <c r="A81" s="19" t="str">
        <f aca="false">Datos!A88</f>
        <v>2025Q4</v>
      </c>
      <c r="B81" s="20" t="n">
        <f aca="false">Datos!E88</f>
        <v>0.0205805070747371</v>
      </c>
      <c r="C81" s="20" t="n">
        <f aca="false">Datos!C88</f>
        <v>0.0182</v>
      </c>
      <c r="D81" s="20" t="n">
        <f aca="false">Datos!B88</f>
        <v>753</v>
      </c>
      <c r="E81" s="20" t="n">
        <f aca="false">Datos!D88</f>
        <v>0.0721765345604324</v>
      </c>
      <c r="F81" s="20" t="n">
        <f aca="false">Datos!B82</f>
        <v>1343.77188059702</v>
      </c>
      <c r="G81" s="17" t="n">
        <v>1</v>
      </c>
      <c r="H81" s="17" t="n">
        <f aca="false">B81-($B$89+$B$90*C81+$B$91*D81+$B$92*E81+$B$93*F81)</f>
        <v>-0.0167378569992505</v>
      </c>
      <c r="I81" s="17" t="n">
        <f aca="false">H81^2</f>
        <v>0.000280155856927358</v>
      </c>
      <c r="L81" s="17" t="n">
        <f aca="false">C81</f>
        <v>0.0182</v>
      </c>
      <c r="M81" s="17" t="n">
        <f aca="false">D81-F81</f>
        <v>-590.771880597015</v>
      </c>
      <c r="N81" s="17" t="n">
        <f aca="false">E81</f>
        <v>0.0721765345604324</v>
      </c>
    </row>
    <row r="82" customFormat="false" ht="15" hidden="false" customHeight="false" outlineLevel="0" collapsed="false">
      <c r="A82" s="19" t="str">
        <f aca="false">Datos!A89</f>
        <v>2026Q1</v>
      </c>
      <c r="B82" s="20" t="n">
        <f aca="false">Datos!E89</f>
        <v>0.024694045208276</v>
      </c>
      <c r="C82" s="20" t="n">
        <f aca="false">Datos!C89</f>
        <v>0.0182</v>
      </c>
      <c r="D82" s="20" t="n">
        <f aca="false">Datos!B89</f>
        <v>536.222222222222</v>
      </c>
      <c r="E82" s="20" t="n">
        <f aca="false">Datos!D89</f>
        <v>-0.0302608259736679</v>
      </c>
      <c r="F82" s="20" t="n">
        <f aca="false">Datos!B83</f>
        <v>1484.54545454546</v>
      </c>
      <c r="G82" s="17" t="n">
        <v>1</v>
      </c>
      <c r="H82" s="17" t="n">
        <f aca="false">B82-($B$89+$B$90*C82+$B$91*D82+$B$92*E82+$B$93*F82)</f>
        <v>-0.0138952608651685</v>
      </c>
      <c r="I82" s="17" t="n">
        <f aca="false">H82^2</f>
        <v>0.000193078274511083</v>
      </c>
      <c r="L82" s="17" t="n">
        <f aca="false">C82</f>
        <v>0.0182</v>
      </c>
      <c r="M82" s="17" t="n">
        <f aca="false">D82-F82</f>
        <v>-948.323232323233</v>
      </c>
      <c r="N82" s="17" t="n">
        <f aca="false">E82</f>
        <v>-0.0302608259736679</v>
      </c>
    </row>
    <row r="87" customFormat="false" ht="15" hidden="false" customHeight="false" outlineLevel="0" collapsed="false">
      <c r="A87" s="21" t="s">
        <v>143</v>
      </c>
      <c r="B87" s="22"/>
      <c r="C87" s="22"/>
      <c r="D87" s="22"/>
      <c r="E87" s="22"/>
      <c r="F87" s="22"/>
      <c r="G87" s="22"/>
      <c r="H87" s="22"/>
    </row>
    <row r="88" customFormat="false" ht="15" hidden="false" customHeight="false" outlineLevel="0" collapsed="false">
      <c r="A88" s="14" t="s">
        <v>23</v>
      </c>
      <c r="B88" s="14" t="s">
        <v>24</v>
      </c>
      <c r="C88" s="14" t="s">
        <v>144</v>
      </c>
      <c r="D88" s="14" t="s">
        <v>145</v>
      </c>
      <c r="E88" s="14" t="s">
        <v>19</v>
      </c>
      <c r="G88" s="11" t="s">
        <v>146</v>
      </c>
      <c r="H88" s="23" t="n">
        <f aca="false">INDEX(LINEST($B$6:$B$82,$C$6:$F$82,TRUE(),TRUE()),4,2)</f>
        <v>72</v>
      </c>
    </row>
    <row r="89" customFormat="false" ht="15" hidden="false" customHeight="false" outlineLevel="0" collapsed="false">
      <c r="A89" s="24" t="s">
        <v>147</v>
      </c>
      <c r="B89" s="25" t="n">
        <f aca="false">INDEX(LINEST($B$6:$B$82,$C$6:$F$82,TRUE(),TRUE()),1,5)</f>
        <v>0.000467451529437354</v>
      </c>
      <c r="C89" s="8" t="n">
        <f aca="false">INDEX(LINEST($B$6:$B$82,$C$6:$F$82,TRUE(),TRUE()),2,5)</f>
        <v>0.00929010890004124</v>
      </c>
      <c r="D89" s="5" t="n">
        <f aca="false">B89/C89</f>
        <v>0.050317120549069</v>
      </c>
      <c r="E89" s="7" t="n">
        <f aca="false">TDIST(ABS(D89),$H$88,2)</f>
        <v>0.960009010230632</v>
      </c>
    </row>
    <row r="90" customFormat="false" ht="15" hidden="false" customHeight="false" outlineLevel="0" collapsed="false">
      <c r="A90" s="24" t="s">
        <v>133</v>
      </c>
      <c r="B90" s="25" t="n">
        <f aca="false">INDEX(LINEST($B$6:$B$82,$C$6:$F$82,TRUE(),TRUE()),1,4)</f>
        <v>1.07818528358963</v>
      </c>
      <c r="C90" s="8" t="n">
        <f aca="false">INDEX(LINEST($B$6:$B$82,$C$6:$F$82,TRUE(),TRUE()),2,4)</f>
        <v>0.124154679383346</v>
      </c>
      <c r="D90" s="5" t="n">
        <f aca="false">B90/C90</f>
        <v>8.68420980139273</v>
      </c>
      <c r="E90" s="7" t="n">
        <f aca="false">TDIST(ABS(D90),$H$88,2)</f>
        <v>8.096287395638E-013</v>
      </c>
    </row>
    <row r="91" customFormat="false" ht="15" hidden="false" customHeight="false" outlineLevel="0" collapsed="false">
      <c r="A91" s="24" t="s">
        <v>134</v>
      </c>
      <c r="B91" s="25" t="n">
        <f aca="false">INDEX(LINEST($B$6:$B$82,$C$6:$F$82,TRUE(),TRUE()),1,3)</f>
        <v>-2.98502520203712E-005</v>
      </c>
      <c r="C91" s="8" t="n">
        <f aca="false">INDEX(LINEST($B$6:$B$82,$C$6:$F$82,TRUE(),TRUE()),2,3)</f>
        <v>7.08100403927686E-006</v>
      </c>
      <c r="D91" s="5" t="n">
        <f aca="false">B91/C91</f>
        <v>-4.21553947078664</v>
      </c>
      <c r="E91" s="7" t="n">
        <f aca="false">TDIST(ABS(D91),$H$88,2)</f>
        <v>7.13451677224394E-005</v>
      </c>
    </row>
    <row r="92" customFormat="false" ht="15" hidden="false" customHeight="false" outlineLevel="0" collapsed="false">
      <c r="A92" s="24" t="s">
        <v>135</v>
      </c>
      <c r="B92" s="25" t="n">
        <f aca="false">INDEX(LINEST($B$6:$B$82,$C$6:$F$82,TRUE(),TRUE()),1,2)</f>
        <v>0.0850869643115178</v>
      </c>
      <c r="C92" s="8" t="n">
        <f aca="false">INDEX(LINEST($B$6:$B$82,$C$6:$F$82,TRUE(),TRUE()),2,2)</f>
        <v>0.0302090723310385</v>
      </c>
      <c r="D92" s="5" t="n">
        <f aca="false">B92/C92</f>
        <v>2.81660301842817</v>
      </c>
      <c r="E92" s="7" t="n">
        <f aca="false">TDIST(ABS(D92),$H$88,2)</f>
        <v>0.00625881782532045</v>
      </c>
    </row>
    <row r="93" customFormat="false" ht="15" hidden="false" customHeight="false" outlineLevel="0" collapsed="false">
      <c r="A93" s="24" t="s">
        <v>136</v>
      </c>
      <c r="B93" s="25" t="n">
        <f aca="false">INDEX(LINEST($B$6:$B$82,$C$6:$F$82,TRUE(),TRUE()),1,1)</f>
        <v>2.49773777967241E-005</v>
      </c>
      <c r="C93" s="8" t="n">
        <f aca="false">INDEX(LINEST($B$6:$B$82,$C$6:$F$82,TRUE(),TRUE()),2,1)</f>
        <v>6.89444616320299E-006</v>
      </c>
      <c r="D93" s="5" t="n">
        <f aca="false">B93/C93</f>
        <v>3.62282585221032</v>
      </c>
      <c r="E93" s="7" t="n">
        <f aca="false">TDIST(ABS(D93),$H$88,2)</f>
        <v>0.000539377013969406</v>
      </c>
    </row>
    <row r="95" customFormat="false" ht="15" hidden="false" customHeight="false" outlineLevel="0" collapsed="false">
      <c r="A95" s="21" t="s">
        <v>148</v>
      </c>
      <c r="B95" s="22"/>
      <c r="C95" s="22"/>
      <c r="D95" s="22"/>
      <c r="E95" s="22"/>
      <c r="F95" s="22"/>
      <c r="G95" s="22"/>
      <c r="H95" s="22"/>
    </row>
    <row r="96" customFormat="false" ht="15" hidden="false" customHeight="false" outlineLevel="0" collapsed="false">
      <c r="A96" s="24" t="s">
        <v>149</v>
      </c>
      <c r="B96" s="5" t="n">
        <f aca="false">COUNT($B$6:$B$82)</f>
        <v>77</v>
      </c>
    </row>
    <row r="97" customFormat="false" ht="15" hidden="false" customHeight="false" outlineLevel="0" collapsed="false">
      <c r="A97" s="24" t="s">
        <v>7</v>
      </c>
      <c r="B97" s="5" t="n">
        <v>5</v>
      </c>
    </row>
    <row r="98" customFormat="false" ht="15" hidden="false" customHeight="false" outlineLevel="0" collapsed="false">
      <c r="A98" s="24" t="s">
        <v>8</v>
      </c>
      <c r="B98" s="6" t="n">
        <f aca="false">INDEX(LINEST($B$6:$B$82,$C$6:$F$82,TRUE(),TRUE()),3,1)</f>
        <v>0.661657131602592</v>
      </c>
    </row>
    <row r="99" customFormat="false" ht="15" hidden="false" customHeight="false" outlineLevel="0" collapsed="false">
      <c r="A99" s="24" t="s">
        <v>9</v>
      </c>
      <c r="B99" s="26" t="n">
        <f aca="false">1-(1-B98)*(B96-1)/(B96-B97)</f>
        <v>0.642860305580514</v>
      </c>
    </row>
    <row r="100" customFormat="false" ht="15" hidden="false" customHeight="false" outlineLevel="0" collapsed="false">
      <c r="A100" s="24" t="s">
        <v>10</v>
      </c>
      <c r="B100" s="8" t="n">
        <f aca="false">INDEX(LINEST($B$6:$B$82,$C$6:$F$82,TRUE(),TRUE()),5,2)</f>
        <v>0.0950004230584403</v>
      </c>
    </row>
    <row r="101" customFormat="false" ht="15" hidden="false" customHeight="false" outlineLevel="0" collapsed="false">
      <c r="A101" s="24" t="s">
        <v>150</v>
      </c>
      <c r="B101" s="6" t="n">
        <f aca="false">-B96/2*(LN(2*PI())+LN(B100/B96)+1)</f>
        <v>148.602388149181</v>
      </c>
    </row>
    <row r="102" customFormat="false" ht="15" hidden="false" customHeight="false" outlineLevel="0" collapsed="false">
      <c r="A102" s="24" t="s">
        <v>11</v>
      </c>
      <c r="B102" s="27" t="n">
        <f aca="false">-2*B101+2*B97</f>
        <v>-287.204776298362</v>
      </c>
    </row>
    <row r="103" customFormat="false" ht="15" hidden="false" customHeight="false" outlineLevel="0" collapsed="false">
      <c r="A103" s="24" t="s">
        <v>12</v>
      </c>
      <c r="B103" s="27" t="n">
        <f aca="false">-2*B101+LN(B96)*B97</f>
        <v>-275.485749189093</v>
      </c>
    </row>
    <row r="105" customFormat="false" ht="15" hidden="false" customHeight="false" outlineLevel="0" collapsed="false">
      <c r="A105" s="10" t="s">
        <v>13</v>
      </c>
      <c r="B105" s="28" t="n">
        <f aca="false">SUMXMY2(H7:H82,H6:H81)/SUMSQ(H6:H82)</f>
        <v>0.633786575292239</v>
      </c>
    </row>
    <row r="107" customFormat="false" ht="15" hidden="false" customHeight="false" outlineLevel="0" collapsed="false">
      <c r="A107" s="21" t="s">
        <v>151</v>
      </c>
      <c r="B107" s="22"/>
      <c r="C107" s="22"/>
      <c r="D107" s="22"/>
      <c r="E107" s="22"/>
      <c r="F107" s="22"/>
      <c r="G107" s="22"/>
      <c r="H107" s="22"/>
      <c r="I107" s="22"/>
    </row>
    <row r="108" customFormat="false" ht="15" hidden="false" customHeight="false" outlineLevel="0" collapsed="false">
      <c r="A108" s="2" t="s">
        <v>152</v>
      </c>
    </row>
    <row r="109" customFormat="false" ht="15" hidden="false" customHeight="false" outlineLevel="0" collapsed="false">
      <c r="A109" s="24" t="s">
        <v>153</v>
      </c>
      <c r="B109" s="8" t="n">
        <f aca="false">B100</f>
        <v>0.0950004230584403</v>
      </c>
    </row>
    <row r="110" customFormat="false" ht="15" hidden="false" customHeight="false" outlineLevel="0" collapsed="false">
      <c r="A110" s="24" t="s">
        <v>154</v>
      </c>
      <c r="B110" s="8" t="n">
        <f aca="false">INDEX(LINEST($B$6:$B$82,$L$6:$N$82,TRUE(),TRUE()),5,2)</f>
        <v>0.0955283753263882</v>
      </c>
    </row>
    <row r="111" customFormat="false" ht="15" hidden="false" customHeight="false" outlineLevel="0" collapsed="false">
      <c r="A111" s="24" t="s">
        <v>155</v>
      </c>
      <c r="B111" s="5" t="n">
        <v>1</v>
      </c>
    </row>
    <row r="112" customFormat="false" ht="15" hidden="false" customHeight="false" outlineLevel="0" collapsed="false">
      <c r="A112" s="24" t="s">
        <v>156</v>
      </c>
      <c r="B112" s="5" t="n">
        <f aca="false">$H$88</f>
        <v>72</v>
      </c>
    </row>
    <row r="113" customFormat="false" ht="15" hidden="false" customHeight="false" outlineLevel="0" collapsed="false">
      <c r="A113" s="24" t="s">
        <v>17</v>
      </c>
      <c r="B113" s="29" t="n">
        <f aca="false">((B110-B109)/B111)/(B109/B112)</f>
        <v>0.400130463301863</v>
      </c>
    </row>
    <row r="114" customFormat="false" ht="15" hidden="false" customHeight="false" outlineLevel="0" collapsed="false">
      <c r="A114" s="24" t="s">
        <v>19</v>
      </c>
      <c r="B114" s="26" t="n">
        <f aca="false">FDIST(B113,B111,B112)</f>
        <v>0.529025690595358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5" customFormat="false" ht="15" hidden="false" customHeight="false" outlineLevel="0" collapsed="false">
      <c r="A5" s="3" t="s">
        <v>37</v>
      </c>
      <c r="B5" s="3" t="s">
        <v>132</v>
      </c>
      <c r="C5" s="3" t="s">
        <v>133</v>
      </c>
      <c r="D5" s="3" t="s">
        <v>159</v>
      </c>
      <c r="E5" s="3" t="s">
        <v>135</v>
      </c>
      <c r="F5" s="3" t="s">
        <v>137</v>
      </c>
      <c r="G5" s="3" t="s">
        <v>138</v>
      </c>
      <c r="H5" s="3" t="s">
        <v>139</v>
      </c>
      <c r="I5" s="3" t="s">
        <v>160</v>
      </c>
      <c r="J5" s="3" t="s">
        <v>161</v>
      </c>
      <c r="K5" s="3" t="s">
        <v>162</v>
      </c>
      <c r="L5" s="3" t="s">
        <v>163</v>
      </c>
    </row>
    <row r="6" customFormat="false" ht="15" hidden="false" customHeight="false" outlineLevel="0" collapsed="false">
      <c r="A6" s="19" t="str">
        <f aca="false">Datos!A13</f>
        <v>2007Q1</v>
      </c>
      <c r="B6" s="20" t="n">
        <f aca="false">Datos!E13</f>
        <v>0.0835894113627564</v>
      </c>
      <c r="C6" s="20" t="n">
        <f aca="false">Datos!C13</f>
        <v>0.052</v>
      </c>
      <c r="D6" s="20" t="n">
        <f aca="false">Datos!H11</f>
        <v>-0.19907831633726</v>
      </c>
      <c r="E6" s="20" t="n">
        <f aca="false">Datos!D13</f>
        <v>0.10364673016758</v>
      </c>
      <c r="F6" s="17" t="n">
        <v>1</v>
      </c>
      <c r="G6" s="17" t="n">
        <f aca="false">B6-($B$89+$B$90*C6+$B$91*D6+$B$92*E6)</f>
        <v>0.0128132836658093</v>
      </c>
      <c r="H6" s="17" t="n">
        <f aca="false">G6^2</f>
        <v>0.000164180238300496</v>
      </c>
      <c r="I6" s="17" t="n">
        <f aca="false">F6*$G6</f>
        <v>0.0128132836658093</v>
      </c>
      <c r="J6" s="17" t="n">
        <f aca="false">C6*$G6</f>
        <v>0.000666290750622085</v>
      </c>
      <c r="K6" s="17" t="n">
        <f aca="false">D6*$G6</f>
        <v>-0.00255084693894104</v>
      </c>
      <c r="L6" s="17" t="n">
        <f aca="false">E6*$G6</f>
        <v>0.0013280549546708</v>
      </c>
    </row>
    <row r="7" customFormat="false" ht="15" hidden="false" customHeight="false" outlineLevel="0" collapsed="false">
      <c r="A7" s="19" t="str">
        <f aca="false">Datos!A14</f>
        <v>2007Q2</v>
      </c>
      <c r="B7" s="20" t="n">
        <f aca="false">Datos!E14</f>
        <v>0.0985938738676382</v>
      </c>
      <c r="C7" s="20" t="n">
        <f aca="false">Datos!C14</f>
        <v>0.0654</v>
      </c>
      <c r="D7" s="20" t="n">
        <f aca="false">Datos!H12</f>
        <v>-0.40749438788385</v>
      </c>
      <c r="E7" s="20" t="n">
        <f aca="false">Datos!D14</f>
        <v>0.108781166847409</v>
      </c>
      <c r="F7" s="17" t="n">
        <v>1</v>
      </c>
      <c r="G7" s="17" t="n">
        <f aca="false">B7-($B$89+$B$90*C7+$B$91*D7+$B$92*E7)</f>
        <v>0.00300921723770631</v>
      </c>
      <c r="H7" s="17" t="n">
        <f aca="false">G7^2</f>
        <v>9.05538838370878E-006</v>
      </c>
      <c r="I7" s="17" t="n">
        <f aca="false">F7*$G7</f>
        <v>0.00300921723770631</v>
      </c>
      <c r="J7" s="17" t="n">
        <f aca="false">C7*$G7</f>
        <v>0.000196802807345993</v>
      </c>
      <c r="K7" s="17" t="n">
        <f aca="false">D7*$G7</f>
        <v>-0.00122623913628866</v>
      </c>
      <c r="L7" s="17" t="n">
        <f aca="false">E7*$G7</f>
        <v>0.00032734616241503</v>
      </c>
    </row>
    <row r="8" customFormat="false" ht="15" hidden="false" customHeight="false" outlineLevel="0" collapsed="false">
      <c r="A8" s="19" t="str">
        <f aca="false">Datos!A15</f>
        <v>2007Q3</v>
      </c>
      <c r="B8" s="20" t="n">
        <f aca="false">Datos!E15</f>
        <v>0.0842779771268098</v>
      </c>
      <c r="C8" s="20" t="n">
        <f aca="false">Datos!C15</f>
        <v>0.0587</v>
      </c>
      <c r="D8" s="20" t="n">
        <f aca="false">Datos!H13</f>
        <v>-0.628966812933593</v>
      </c>
      <c r="E8" s="20" t="n">
        <f aca="false">Datos!D15</f>
        <v>0.0950315375576127</v>
      </c>
      <c r="F8" s="17" t="n">
        <v>1</v>
      </c>
      <c r="G8" s="17" t="n">
        <f aca="false">B8-($B$89+$B$90*C8+$B$91*D8+$B$92*E8)</f>
        <v>-0.0137501711315623</v>
      </c>
      <c r="H8" s="17" t="n">
        <f aca="false">G8^2</f>
        <v>0.000189067206147249</v>
      </c>
      <c r="I8" s="17" t="n">
        <f aca="false">F8*$G8</f>
        <v>-0.0137501711315623</v>
      </c>
      <c r="J8" s="17" t="n">
        <f aca="false">C8*$G8</f>
        <v>-0.000807135045422708</v>
      </c>
      <c r="K8" s="17" t="n">
        <f aca="false">D8*$G8</f>
        <v>0.00864840131391024</v>
      </c>
      <c r="L8" s="17" t="n">
        <f aca="false">E8*$G8</f>
        <v>-0.00130669990431267</v>
      </c>
    </row>
    <row r="9" customFormat="false" ht="15" hidden="false" customHeight="false" outlineLevel="0" collapsed="false">
      <c r="A9" s="19" t="str">
        <f aca="false">Datos!A16</f>
        <v>2007Q4</v>
      </c>
      <c r="B9" s="20" t="n">
        <f aca="false">Datos!E16</f>
        <v>0.092673486299768</v>
      </c>
      <c r="C9" s="20" t="n">
        <f aca="false">Datos!C16</f>
        <v>0.0664</v>
      </c>
      <c r="D9" s="20" t="n">
        <f aca="false">Datos!H14</f>
        <v>-0.276063137700592</v>
      </c>
      <c r="E9" s="20" t="n">
        <f aca="false">Datos!D16</f>
        <v>0.0347947801855839</v>
      </c>
      <c r="F9" s="17" t="n">
        <v>1</v>
      </c>
      <c r="G9" s="17" t="n">
        <f aca="false">B9-($B$89+$B$90*C9+$B$91*D9+$B$92*E9)</f>
        <v>0.00899928529490268</v>
      </c>
      <c r="H9" s="17" t="n">
        <f aca="false">G9^2</f>
        <v>8.09871358190517E-005</v>
      </c>
      <c r="I9" s="17" t="n">
        <f aca="false">F9*$G9</f>
        <v>0.00899928529490268</v>
      </c>
      <c r="J9" s="17" t="n">
        <f aca="false">C9*$G9</f>
        <v>0.000597552543581538</v>
      </c>
      <c r="K9" s="17" t="n">
        <f aca="false">D9*$G9</f>
        <v>-0.00248437093557363</v>
      </c>
      <c r="L9" s="17" t="n">
        <f aca="false">E9*$G9</f>
        <v>0.000313128153663496</v>
      </c>
    </row>
    <row r="10" customFormat="false" ht="15" hidden="false" customHeight="false" outlineLevel="0" collapsed="false">
      <c r="A10" s="19" t="str">
        <f aca="false">Datos!A17</f>
        <v>2008Q1</v>
      </c>
      <c r="B10" s="20" t="n">
        <f aca="false">Datos!E17</f>
        <v>0.0691231457663233</v>
      </c>
      <c r="C10" s="20" t="n">
        <f aca="false">Datos!C17</f>
        <v>0.0616</v>
      </c>
      <c r="D10" s="20" t="n">
        <f aca="false">Datos!H15</f>
        <v>0.202453374719026</v>
      </c>
      <c r="E10" s="20" t="n">
        <f aca="false">Datos!D17</f>
        <v>0.00609959861693343</v>
      </c>
      <c r="F10" s="17" t="n">
        <v>1</v>
      </c>
      <c r="G10" s="17" t="n">
        <f aca="false">B10-($B$89+$B$90*C10+$B$91*D10+$B$92*E10)</f>
        <v>0.0163681493152031</v>
      </c>
      <c r="H10" s="17" t="n">
        <f aca="false">G10^2</f>
        <v>0.000267916312004783</v>
      </c>
      <c r="I10" s="17" t="n">
        <f aca="false">F10*$G10</f>
        <v>0.0163681493152031</v>
      </c>
      <c r="J10" s="17" t="n">
        <f aca="false">C10*$G10</f>
        <v>0.00100827799781651</v>
      </c>
      <c r="K10" s="17" t="n">
        <f aca="false">D10*$G10</f>
        <v>0.00331378706676778</v>
      </c>
      <c r="L10" s="17" t="n">
        <f aca="false">E10*$G10</f>
        <v>9.98391409247727E-005</v>
      </c>
    </row>
    <row r="11" customFormat="false" ht="15" hidden="false" customHeight="false" outlineLevel="0" collapsed="false">
      <c r="A11" s="19" t="str">
        <f aca="false">Datos!A18</f>
        <v>2008Q2</v>
      </c>
      <c r="B11" s="20" t="n">
        <f aca="false">Datos!E18</f>
        <v>0.0545268547475248</v>
      </c>
      <c r="C11" s="20" t="n">
        <f aca="false">Datos!C18</f>
        <v>0.0634</v>
      </c>
      <c r="D11" s="20" t="n">
        <f aca="false">Datos!H16</f>
        <v>0.317308506671958</v>
      </c>
      <c r="E11" s="20" t="n">
        <f aca="false">Datos!D18</f>
        <v>-0.0328255925467914</v>
      </c>
      <c r="F11" s="17" t="n">
        <v>1</v>
      </c>
      <c r="G11" s="17" t="n">
        <f aca="false">B11-($B$89+$B$90*C11+$B$91*D11+$B$92*E11)</f>
        <v>0.00891015377883817</v>
      </c>
      <c r="H11" s="17" t="n">
        <f aca="false">G11^2</f>
        <v>7.9390840362544E-005</v>
      </c>
      <c r="I11" s="17" t="n">
        <f aca="false">F11*$G11</f>
        <v>0.00891015377883817</v>
      </c>
      <c r="J11" s="17" t="n">
        <f aca="false">C11*$G11</f>
        <v>0.00056490374957834</v>
      </c>
      <c r="K11" s="17" t="n">
        <f aca="false">D11*$G11</f>
        <v>0.00282726758978064</v>
      </c>
      <c r="L11" s="17" t="n">
        <f aca="false">E11*$G11</f>
        <v>-0.000292481077473395</v>
      </c>
    </row>
    <row r="12" customFormat="false" ht="15" hidden="false" customHeight="false" outlineLevel="0" collapsed="false">
      <c r="A12" s="19" t="str">
        <f aca="false">Datos!A19</f>
        <v>2008Q3</v>
      </c>
      <c r="B12" s="20" t="n">
        <f aca="false">Datos!E19</f>
        <v>0.060060161436698</v>
      </c>
      <c r="C12" s="20" t="n">
        <f aca="false">Datos!C19</f>
        <v>0.0698</v>
      </c>
      <c r="D12" s="20" t="n">
        <f aca="false">Datos!H17</f>
        <v>0.830001360618699</v>
      </c>
      <c r="E12" s="20" t="n">
        <f aca="false">Datos!D19</f>
        <v>-0.0126062197467198</v>
      </c>
      <c r="F12" s="17" t="n">
        <v>1</v>
      </c>
      <c r="G12" s="17" t="n">
        <f aca="false">B12-($B$89+$B$90*C12+$B$91*D12+$B$92*E12)</f>
        <v>0.0307957039760975</v>
      </c>
      <c r="H12" s="17" t="n">
        <f aca="false">G12^2</f>
        <v>0.000948375383383428</v>
      </c>
      <c r="I12" s="17" t="n">
        <f aca="false">F12*$G12</f>
        <v>0.0307957039760975</v>
      </c>
      <c r="J12" s="17" t="n">
        <f aca="false">C12*$G12</f>
        <v>0.00214954013753161</v>
      </c>
      <c r="K12" s="17" t="n">
        <f aca="false">D12*$G12</f>
        <v>0.0255604762013716</v>
      </c>
      <c r="L12" s="17" t="n">
        <f aca="false">E12*$G12</f>
        <v>-0.000388217411577619</v>
      </c>
    </row>
    <row r="13" customFormat="false" ht="15" hidden="false" customHeight="false" outlineLevel="0" collapsed="false">
      <c r="A13" s="19" t="str">
        <f aca="false">Datos!A20</f>
        <v>2008Q4</v>
      </c>
      <c r="B13" s="20" t="n">
        <f aca="false">Datos!E20</f>
        <v>-0.019789908841391</v>
      </c>
      <c r="C13" s="20" t="n">
        <f aca="false">Datos!C20</f>
        <v>0.0102</v>
      </c>
      <c r="D13" s="20" t="n">
        <f aca="false">Datos!H18</f>
        <v>0.72951742965694</v>
      </c>
      <c r="E13" s="20" t="n">
        <f aca="false">Datos!D20</f>
        <v>0.00821018468113888</v>
      </c>
      <c r="F13" s="17" t="n">
        <v>1</v>
      </c>
      <c r="G13" s="17" t="n">
        <f aca="false">B13-($B$89+$B$90*C13+$B$91*D13+$B$92*E13)</f>
        <v>0.00742805573665829</v>
      </c>
      <c r="H13" s="17" t="n">
        <f aca="false">G13^2</f>
        <v>5.51760120269021E-005</v>
      </c>
      <c r="I13" s="17" t="n">
        <f aca="false">F13*$G13</f>
        <v>0.00742805573665829</v>
      </c>
      <c r="J13" s="17" t="n">
        <f aca="false">C13*$G13</f>
        <v>7.57661685139145E-005</v>
      </c>
      <c r="K13" s="17" t="n">
        <f aca="false">D13*$G13</f>
        <v>0.00541889612835544</v>
      </c>
      <c r="L13" s="17" t="n">
        <f aca="false">E13*$G13</f>
        <v>6.09857094197576E-005</v>
      </c>
    </row>
    <row r="14" customFormat="false" ht="15" hidden="false" customHeight="false" outlineLevel="0" collapsed="false">
      <c r="A14" s="19" t="str">
        <f aca="false">Datos!A21</f>
        <v>2009Q1</v>
      </c>
      <c r="B14" s="20" t="n">
        <f aca="false">Datos!E21</f>
        <v>-0.0618875514402444</v>
      </c>
      <c r="C14" s="20" t="n">
        <f aca="false">Datos!C21</f>
        <v>-0.0242</v>
      </c>
      <c r="D14" s="20" t="n">
        <f aca="false">Datos!H19</f>
        <v>0.517950360650714</v>
      </c>
      <c r="E14" s="20" t="n">
        <f aca="false">Datos!D21</f>
        <v>-0.0292286521142453</v>
      </c>
      <c r="F14" s="17" t="n">
        <v>1</v>
      </c>
      <c r="G14" s="17" t="n">
        <f aca="false">B14-($B$89+$B$90*C14+$B$91*D14+$B$92*E14)</f>
        <v>-0.00514216540291315</v>
      </c>
      <c r="H14" s="17" t="n">
        <f aca="false">G14^2</f>
        <v>2.6441865030917E-005</v>
      </c>
      <c r="I14" s="17" t="n">
        <f aca="false">F14*$G14</f>
        <v>-0.00514216540291315</v>
      </c>
      <c r="J14" s="17" t="n">
        <f aca="false">C14*$G14</f>
        <v>0.000124440402750498</v>
      </c>
      <c r="K14" s="17" t="n">
        <f aca="false">D14*$G14</f>
        <v>-0.00266338642496449</v>
      </c>
      <c r="L14" s="17" t="n">
        <f aca="false">E14*$G14</f>
        <v>0.000150298563675657</v>
      </c>
    </row>
    <row r="15" customFormat="false" ht="15" hidden="false" customHeight="false" outlineLevel="0" collapsed="false">
      <c r="A15" s="19" t="str">
        <f aca="false">Datos!A22</f>
        <v>2009Q2</v>
      </c>
      <c r="B15" s="20" t="n">
        <f aca="false">Datos!E22</f>
        <v>-0.112745471526209</v>
      </c>
      <c r="C15" s="20" t="n">
        <f aca="false">Datos!C22</f>
        <v>-0.022</v>
      </c>
      <c r="D15" s="20" t="n">
        <f aca="false">Datos!H20</f>
        <v>1.47820592896023</v>
      </c>
      <c r="E15" s="20" t="n">
        <f aca="false">Datos!D22</f>
        <v>-0.0730327330801743</v>
      </c>
      <c r="F15" s="17" t="n">
        <v>1</v>
      </c>
      <c r="G15" s="17" t="n">
        <f aca="false">B15-($B$89+$B$90*C15+$B$91*D15+$B$92*E15)</f>
        <v>-0.00772977125770136</v>
      </c>
      <c r="H15" s="17" t="n">
        <f aca="false">G15^2</f>
        <v>5.9749363696386E-005</v>
      </c>
      <c r="I15" s="17" t="n">
        <f aca="false">F15*$G15</f>
        <v>-0.00772977125770136</v>
      </c>
      <c r="J15" s="17" t="n">
        <f aca="false">C15*$G15</f>
        <v>0.00017005496766943</v>
      </c>
      <c r="K15" s="17" t="n">
        <f aca="false">D15*$G15</f>
        <v>-0.0114261937026406</v>
      </c>
      <c r="L15" s="17" t="n">
        <f aca="false">E15*$G15</f>
        <v>0.000564526321034507</v>
      </c>
    </row>
    <row r="16" customFormat="false" ht="15" hidden="false" customHeight="false" outlineLevel="0" collapsed="false">
      <c r="A16" s="19" t="str">
        <f aca="false">Datos!A23</f>
        <v>2009Q3</v>
      </c>
      <c r="B16" s="20" t="n">
        <f aca="false">Datos!E23</f>
        <v>-0.0565117996405296</v>
      </c>
      <c r="C16" s="20" t="n">
        <f aca="false">Datos!C23</f>
        <v>-0.0116</v>
      </c>
      <c r="D16" s="20" t="n">
        <f aca="false">Datos!H21</f>
        <v>1.25998041263688</v>
      </c>
      <c r="E16" s="20" t="n">
        <f aca="false">Datos!D23</f>
        <v>-0.045861530337595</v>
      </c>
      <c r="F16" s="17" t="n">
        <v>1</v>
      </c>
      <c r="G16" s="17" t="n">
        <f aca="false">B16-($B$89+$B$90*C16+$B$91*D16+$B$92*E16)</f>
        <v>0.0244412159008861</v>
      </c>
      <c r="H16" s="17" t="n">
        <f aca="false">G16^2</f>
        <v>0.000597373034713726</v>
      </c>
      <c r="I16" s="17" t="n">
        <f aca="false">F16*$G16</f>
        <v>0.0244412159008861</v>
      </c>
      <c r="J16" s="17" t="n">
        <f aca="false">C16*$G16</f>
        <v>-0.000283518104450278</v>
      </c>
      <c r="K16" s="17" t="n">
        <f aca="false">D16*$G16</f>
        <v>0.0307954532961454</v>
      </c>
      <c r="L16" s="17" t="n">
        <f aca="false">E16*$G16</f>
        <v>-0.0011209115645262</v>
      </c>
    </row>
    <row r="17" customFormat="false" ht="15" hidden="false" customHeight="false" outlineLevel="0" collapsed="false">
      <c r="A17" s="19" t="str">
        <f aca="false">Datos!A24</f>
        <v>2009Q4</v>
      </c>
      <c r="B17" s="20" t="n">
        <f aca="false">Datos!E24</f>
        <v>0.00281998226127467</v>
      </c>
      <c r="C17" s="20" t="n">
        <f aca="false">Datos!C24</f>
        <v>0.0533</v>
      </c>
      <c r="D17" s="20" t="n">
        <f aca="false">Datos!H22</f>
        <v>0.96127169843504</v>
      </c>
      <c r="E17" s="20" t="n">
        <f aca="false">Datos!D24</f>
        <v>-0.0516286645659259</v>
      </c>
      <c r="F17" s="17" t="n">
        <v>1</v>
      </c>
      <c r="G17" s="17" t="n">
        <f aca="false">B17-($B$89+$B$90*C17+$B$91*D17+$B$92*E17)</f>
        <v>0.000912761217969652</v>
      </c>
      <c r="H17" s="17" t="n">
        <f aca="false">G17^2</f>
        <v>8.33133041029443E-007</v>
      </c>
      <c r="I17" s="17" t="n">
        <f aca="false">F17*$G17</f>
        <v>0.000912761217969652</v>
      </c>
      <c r="J17" s="17" t="n">
        <f aca="false">C17*$G17</f>
        <v>4.86501729177825E-005</v>
      </c>
      <c r="K17" s="17" t="n">
        <f aca="false">D17*$G17</f>
        <v>0.000877411526263323</v>
      </c>
      <c r="L17" s="17" t="n">
        <f aca="false">E17*$G17</f>
        <v>-4.71246427513411E-005</v>
      </c>
    </row>
    <row r="18" customFormat="false" ht="15" hidden="false" customHeight="false" outlineLevel="0" collapsed="false">
      <c r="A18" s="19" t="str">
        <f aca="false">Datos!A25</f>
        <v>2010Q1</v>
      </c>
      <c r="B18" s="20" t="n">
        <f aca="false">Datos!E25</f>
        <v>0.0571326910752132</v>
      </c>
      <c r="C18" s="20" t="n">
        <f aca="false">Datos!C25</f>
        <v>0.0921</v>
      </c>
      <c r="D18" s="20" t="n">
        <f aca="false">Datos!H23</f>
        <v>0.27964939808898</v>
      </c>
      <c r="E18" s="20" t="n">
        <f aca="false">Datos!D25</f>
        <v>-0.0200868501071823</v>
      </c>
      <c r="F18" s="17" t="n">
        <v>1</v>
      </c>
      <c r="G18" s="17" t="n">
        <f aca="false">B18-($B$89+$B$90*C18+$B$91*D18+$B$92*E18)</f>
        <v>-0.0218921019450467</v>
      </c>
      <c r="H18" s="17" t="n">
        <f aca="false">G18^2</f>
        <v>0.000479264127572316</v>
      </c>
      <c r="I18" s="17" t="n">
        <f aca="false">F18*$G18</f>
        <v>-0.0218921019450467</v>
      </c>
      <c r="J18" s="17" t="n">
        <f aca="false">C18*$G18</f>
        <v>-0.0020162625891388</v>
      </c>
      <c r="K18" s="17" t="n">
        <f aca="false">D18*$G18</f>
        <v>-0.00612211313183488</v>
      </c>
      <c r="L18" s="17" t="n">
        <f aca="false">E18*$G18</f>
        <v>0.000439743370301305</v>
      </c>
    </row>
    <row r="19" customFormat="false" ht="15" hidden="false" customHeight="false" outlineLevel="0" collapsed="false">
      <c r="A19" s="19" t="str">
        <f aca="false">Datos!A26</f>
        <v>2010Q2</v>
      </c>
      <c r="B19" s="20" t="n">
        <f aca="false">Datos!E26</f>
        <v>0.162441995090574</v>
      </c>
      <c r="C19" s="20" t="n">
        <f aca="false">Datos!C26</f>
        <v>0.0852</v>
      </c>
      <c r="D19" s="20" t="n">
        <f aca="false">Datos!H24</f>
        <v>-0.86001237647948</v>
      </c>
      <c r="E19" s="20" t="n">
        <f aca="false">Datos!D26</f>
        <v>0.0734871227440328</v>
      </c>
      <c r="F19" s="17" t="n">
        <v>1</v>
      </c>
      <c r="G19" s="17" t="n">
        <f aca="false">B19-($B$89+$B$90*C19+$B$91*D19+$B$92*E19)</f>
        <v>0.0269806546874019</v>
      </c>
      <c r="H19" s="17" t="n">
        <f aca="false">G19^2</f>
        <v>0.000727955727360824</v>
      </c>
      <c r="I19" s="17" t="n">
        <f aca="false">F19*$G19</f>
        <v>0.0269806546874019</v>
      </c>
      <c r="J19" s="17" t="n">
        <f aca="false">C19*$G19</f>
        <v>0.00229875177936664</v>
      </c>
      <c r="K19" s="17" t="n">
        <f aca="false">D19*$G19</f>
        <v>-0.0232036969566848</v>
      </c>
      <c r="L19" s="17" t="n">
        <f aca="false">E19*$G19</f>
        <v>0.00198273068272747</v>
      </c>
    </row>
    <row r="20" customFormat="false" ht="15" hidden="false" customHeight="false" outlineLevel="0" collapsed="false">
      <c r="A20" s="19" t="str">
        <f aca="false">Datos!A27</f>
        <v>2010Q3</v>
      </c>
      <c r="B20" s="20" t="n">
        <f aca="false">Datos!E27</f>
        <v>0.0950774236722809</v>
      </c>
      <c r="C20" s="20" t="n">
        <f aca="false">Datos!C27</f>
        <v>0.0691</v>
      </c>
      <c r="D20" s="20" t="n">
        <f aca="false">Datos!H25</f>
        <v>-0.840774974203388</v>
      </c>
      <c r="E20" s="20" t="n">
        <f aca="false">Datos!D27</f>
        <v>0.0611211881699143</v>
      </c>
      <c r="F20" s="17" t="n">
        <v>1</v>
      </c>
      <c r="G20" s="17" t="n">
        <f aca="false">B20-($B$89+$B$90*C20+$B$91*D20+$B$92*E20)</f>
        <v>-0.0212705634694177</v>
      </c>
      <c r="H20" s="17" t="n">
        <f aca="false">G20^2</f>
        <v>0.000452436870306529</v>
      </c>
      <c r="I20" s="17" t="n">
        <f aca="false">F20*$G20</f>
        <v>-0.0212705634694177</v>
      </c>
      <c r="J20" s="17" t="n">
        <f aca="false">C20*$G20</f>
        <v>-0.00146979593573677</v>
      </c>
      <c r="K20" s="17" t="n">
        <f aca="false">D20*$G20</f>
        <v>0.0178837574522912</v>
      </c>
      <c r="L20" s="17" t="n">
        <f aca="false">E20*$G20</f>
        <v>-0.00130008211229439</v>
      </c>
    </row>
    <row r="21" customFormat="false" ht="15" hidden="false" customHeight="false" outlineLevel="0" collapsed="false">
      <c r="A21" s="19" t="str">
        <f aca="false">Datos!A28</f>
        <v>2010Q4</v>
      </c>
      <c r="B21" s="20" t="n">
        <f aca="false">Datos!E28</f>
        <v>0.0860979311042298</v>
      </c>
      <c r="C21" s="20" t="n">
        <f aca="false">Datos!C28</f>
        <v>0.0569</v>
      </c>
      <c r="D21" s="20" t="n">
        <f aca="false">Datos!H26</f>
        <v>-0.684936842874217</v>
      </c>
      <c r="E21" s="20" t="n">
        <f aca="false">Datos!D28</f>
        <v>0.0899428801072737</v>
      </c>
      <c r="F21" s="17" t="n">
        <v>1</v>
      </c>
      <c r="G21" s="17" t="n">
        <f aca="false">B21-($B$89+$B$90*C21+$B$91*D21+$B$92*E21)</f>
        <v>-0.0122909641872879</v>
      </c>
      <c r="H21" s="17" t="n">
        <f aca="false">G21^2</f>
        <v>0.000151067800653193</v>
      </c>
      <c r="I21" s="17" t="n">
        <f aca="false">F21*$G21</f>
        <v>-0.0122909641872879</v>
      </c>
      <c r="J21" s="17" t="n">
        <f aca="false">C21*$G21</f>
        <v>-0.00069935586225668</v>
      </c>
      <c r="K21" s="17" t="n">
        <f aca="false">D21*$G21</f>
        <v>0.00841853420632103</v>
      </c>
      <c r="L21" s="17" t="n">
        <f aca="false">E21*$G21</f>
        <v>-0.00110548471830003</v>
      </c>
    </row>
    <row r="22" customFormat="false" ht="15" hidden="false" customHeight="false" outlineLevel="0" collapsed="false">
      <c r="A22" s="19" t="str">
        <f aca="false">Datos!A29</f>
        <v>2011Q1</v>
      </c>
      <c r="B22" s="20" t="n">
        <f aca="false">Datos!E29</f>
        <v>0.0829261625044686</v>
      </c>
      <c r="C22" s="20" t="n">
        <f aca="false">Datos!C29</f>
        <v>0.0519</v>
      </c>
      <c r="D22" s="20" t="n">
        <f aca="false">Datos!H27</f>
        <v>-0.259363358030901</v>
      </c>
      <c r="E22" s="20" t="n">
        <f aca="false">Datos!D29</f>
        <v>0.1251767611687</v>
      </c>
      <c r="F22" s="17" t="n">
        <v>1</v>
      </c>
      <c r="G22" s="17" t="n">
        <f aca="false">B22-($B$89+$B$90*C22+$B$91*D22+$B$92*E22)</f>
        <v>0.00740947463228055</v>
      </c>
      <c r="H22" s="17" t="n">
        <f aca="false">G22^2</f>
        <v>5.49003143264089E-005</v>
      </c>
      <c r="I22" s="17" t="n">
        <f aca="false">F22*$G22</f>
        <v>0.00740947463228055</v>
      </c>
      <c r="J22" s="17" t="n">
        <f aca="false">C22*$G22</f>
        <v>0.00038455173341536</v>
      </c>
      <c r="K22" s="17" t="n">
        <f aca="false">D22*$G22</f>
        <v>-0.00192174622187305</v>
      </c>
      <c r="L22" s="17" t="n">
        <f aca="false">E22*$G22</f>
        <v>0.000927494036430523</v>
      </c>
    </row>
    <row r="23" customFormat="false" ht="15" hidden="false" customHeight="false" outlineLevel="0" collapsed="false">
      <c r="A23" s="19" t="str">
        <f aca="false">Datos!A30</f>
        <v>2011Q2</v>
      </c>
      <c r="B23" s="20" t="n">
        <f aca="false">Datos!E30</f>
        <v>0.0444334376577356</v>
      </c>
      <c r="C23" s="20" t="n">
        <f aca="false">Datos!C30</f>
        <v>0.047</v>
      </c>
      <c r="D23" s="20" t="n">
        <f aca="false">Datos!H28</f>
        <v>-0.274919460835839</v>
      </c>
      <c r="E23" s="20" t="n">
        <f aca="false">Datos!D30</f>
        <v>0.105783914038355</v>
      </c>
      <c r="F23" s="17" t="n">
        <v>1</v>
      </c>
      <c r="G23" s="17" t="n">
        <f aca="false">B23-($B$89+$B$90*C23+$B$91*D23+$B$92*E23)</f>
        <v>-0.0249180467047171</v>
      </c>
      <c r="H23" s="17" t="n">
        <f aca="false">G23^2</f>
        <v>0.000620909051578463</v>
      </c>
      <c r="I23" s="17" t="n">
        <f aca="false">F23*$G23</f>
        <v>-0.0249180467047171</v>
      </c>
      <c r="J23" s="17" t="n">
        <f aca="false">C23*$G23</f>
        <v>-0.0011711481951217</v>
      </c>
      <c r="K23" s="17" t="n">
        <f aca="false">D23*$G23</f>
        <v>0.00685045596514309</v>
      </c>
      <c r="L23" s="17" t="n">
        <f aca="false">E23*$G23</f>
        <v>-0.00263592851061551</v>
      </c>
    </row>
    <row r="24" customFormat="false" ht="15" hidden="false" customHeight="false" outlineLevel="0" collapsed="false">
      <c r="A24" s="19" t="str">
        <f aca="false">Datos!A31</f>
        <v>2011Q3</v>
      </c>
      <c r="B24" s="20" t="n">
        <f aca="false">Datos!E31</f>
        <v>0.0640936718081673</v>
      </c>
      <c r="C24" s="20" t="n">
        <f aca="false">Datos!C31</f>
        <v>0.0353</v>
      </c>
      <c r="D24" s="20" t="n">
        <f aca="false">Datos!H29</f>
        <v>-0.320230039426383</v>
      </c>
      <c r="E24" s="20" t="n">
        <f aca="false">Datos!D31</f>
        <v>0.112212463576412</v>
      </c>
      <c r="F24" s="17" t="n">
        <v>1</v>
      </c>
      <c r="G24" s="17" t="n">
        <f aca="false">B24-($B$89+$B$90*C24+$B$91*D24+$B$92*E24)</f>
        <v>0.00437743694263249</v>
      </c>
      <c r="H24" s="17" t="n">
        <f aca="false">G24^2</f>
        <v>1.91619541867237E-005</v>
      </c>
      <c r="I24" s="17" t="n">
        <f aca="false">F24*$G24</f>
        <v>0.00437743694263249</v>
      </c>
      <c r="J24" s="17" t="n">
        <f aca="false">C24*$G24</f>
        <v>0.000154523524074927</v>
      </c>
      <c r="K24" s="17" t="n">
        <f aca="false">D24*$G24</f>
        <v>-0.00140178680472571</v>
      </c>
      <c r="L24" s="17" t="n">
        <f aca="false">E24*$G24</f>
        <v>0.000491202983483188</v>
      </c>
    </row>
    <row r="25" customFormat="false" ht="15" hidden="false" customHeight="false" outlineLevel="0" collapsed="false">
      <c r="A25" s="19" t="str">
        <f aca="false">Datos!A32</f>
        <v>2011Q4</v>
      </c>
      <c r="B25" s="20" t="n">
        <f aca="false">Datos!E32</f>
        <v>0.0521713189216535</v>
      </c>
      <c r="C25" s="20" t="n">
        <f aca="false">Datos!C32</f>
        <v>0.0257</v>
      </c>
      <c r="D25" s="20" t="n">
        <f aca="false">Datos!H30</f>
        <v>-0.245764621240005</v>
      </c>
      <c r="E25" s="20" t="n">
        <f aca="false">Datos!D32</f>
        <v>0.0925549924421212</v>
      </c>
      <c r="F25" s="17" t="n">
        <v>1</v>
      </c>
      <c r="G25" s="17" t="n">
        <f aca="false">B25-($B$89+$B$90*C25+$B$91*D25+$B$92*E25)</f>
        <v>0.00800825118057651</v>
      </c>
      <c r="H25" s="17" t="n">
        <f aca="false">G25^2</f>
        <v>6.41320869712051E-005</v>
      </c>
      <c r="I25" s="17" t="n">
        <f aca="false">F25*$G25</f>
        <v>0.00800825118057651</v>
      </c>
      <c r="J25" s="17" t="n">
        <f aca="false">C25*$G25</f>
        <v>0.000205812055340816</v>
      </c>
      <c r="K25" s="17" t="n">
        <f aca="false">D25*$G25</f>
        <v>-0.00196814481818921</v>
      </c>
      <c r="L25" s="17" t="n">
        <f aca="false">E25*$G25</f>
        <v>0.000741203627492867</v>
      </c>
    </row>
    <row r="26" customFormat="false" ht="15" hidden="false" customHeight="false" outlineLevel="0" collapsed="false">
      <c r="A26" s="19" t="str">
        <f aca="false">Datos!A33</f>
        <v>2012Q1</v>
      </c>
      <c r="B26" s="20" t="n">
        <f aca="false">Datos!E33</f>
        <v>0.0156424693190642</v>
      </c>
      <c r="C26" s="20" t="n">
        <f aca="false">Datos!C33</f>
        <v>0.0171</v>
      </c>
      <c r="D26" s="20" t="n">
        <f aca="false">Datos!H31</f>
        <v>0.0294728020236565</v>
      </c>
      <c r="E26" s="20" t="n">
        <f aca="false">Datos!D33</f>
        <v>0.0620545390001266</v>
      </c>
      <c r="F26" s="17" t="n">
        <v>1</v>
      </c>
      <c r="G26" s="17" t="n">
        <f aca="false">B26-($B$89+$B$90*C26+$B$91*D26+$B$92*E26)</f>
        <v>-0.00329806072299135</v>
      </c>
      <c r="H26" s="17" t="n">
        <f aca="false">G26^2</f>
        <v>1.08772045325382E-005</v>
      </c>
      <c r="I26" s="17" t="n">
        <f aca="false">F26*$G26</f>
        <v>-0.00329806072299135</v>
      </c>
      <c r="J26" s="17" t="n">
        <f aca="false">C26*$G26</f>
        <v>-5.6396838363152E-005</v>
      </c>
      <c r="K26" s="17" t="n">
        <f aca="false">D26*$G26</f>
        <v>-9.72030907507215E-005</v>
      </c>
      <c r="L26" s="17" t="n">
        <f aca="false">E26*$G26</f>
        <v>-0.000204659637759652</v>
      </c>
    </row>
    <row r="27" customFormat="false" ht="15" hidden="false" customHeight="false" outlineLevel="0" collapsed="false">
      <c r="A27" s="19" t="str">
        <f aca="false">Datos!A34</f>
        <v>2012Q2</v>
      </c>
      <c r="B27" s="20" t="n">
        <f aca="false">Datos!E34</f>
        <v>-0.0463175722342237</v>
      </c>
      <c r="C27" s="20" t="n">
        <f aca="false">Datos!C34</f>
        <v>0.0099</v>
      </c>
      <c r="D27" s="20" t="n">
        <f aca="false">Datos!H32</f>
        <v>0.508657349429499</v>
      </c>
      <c r="E27" s="20" t="n">
        <f aca="false">Datos!D34</f>
        <v>0.0457795868219466</v>
      </c>
      <c r="F27" s="17" t="n">
        <v>1</v>
      </c>
      <c r="G27" s="17" t="n">
        <f aca="false">B27-($B$89+$B$90*C27+$B$91*D27+$B$92*E27)</f>
        <v>-0.0328648588499724</v>
      </c>
      <c r="H27" s="17" t="n">
        <f aca="false">G27^2</f>
        <v>0.00108009894722861</v>
      </c>
      <c r="I27" s="17" t="n">
        <f aca="false">F27*$G27</f>
        <v>-0.0328648588499724</v>
      </c>
      <c r="J27" s="17" t="n">
        <f aca="false">C27*$G27</f>
        <v>-0.000325362102614727</v>
      </c>
      <c r="K27" s="17" t="n">
        <f aca="false">D27*$G27</f>
        <v>-0.0167169519920016</v>
      </c>
      <c r="L27" s="17" t="n">
        <f aca="false">E27*$G27</f>
        <v>-0.00150453965911333</v>
      </c>
    </row>
    <row r="28" customFormat="false" ht="15" hidden="false" customHeight="false" outlineLevel="0" collapsed="false">
      <c r="A28" s="19" t="str">
        <f aca="false">Datos!A35</f>
        <v>2012Q3</v>
      </c>
      <c r="B28" s="20" t="n">
        <f aca="false">Datos!E35</f>
        <v>-0.0111829419552486</v>
      </c>
      <c r="C28" s="20" t="n">
        <f aca="false">Datos!C35</f>
        <v>0.0249</v>
      </c>
      <c r="D28" s="20" t="n">
        <f aca="false">Datos!H33</f>
        <v>0.446252070566514</v>
      </c>
      <c r="E28" s="20" t="n">
        <f aca="false">Datos!D35</f>
        <v>0.112108810343498</v>
      </c>
      <c r="F28" s="17" t="n">
        <v>1</v>
      </c>
      <c r="G28" s="17" t="n">
        <f aca="false">B28-($B$89+$B$90*C28+$B$91*D28+$B$92*E28)</f>
        <v>-0.0225743648624722</v>
      </c>
      <c r="H28" s="17" t="n">
        <f aca="false">G28^2</f>
        <v>0.000509601948944018</v>
      </c>
      <c r="I28" s="17" t="n">
        <f aca="false">F28*$G28</f>
        <v>-0.0225743648624722</v>
      </c>
      <c r="J28" s="17" t="n">
        <f aca="false">C28*$G28</f>
        <v>-0.000562101685075557</v>
      </c>
      <c r="K28" s="17" t="n">
        <f aca="false">D28*$G28</f>
        <v>-0.0100738570616022</v>
      </c>
      <c r="L28" s="17" t="n">
        <f aca="false">E28*$G28</f>
        <v>-0.00253078518899182</v>
      </c>
    </row>
    <row r="29" customFormat="false" ht="15" hidden="false" customHeight="false" outlineLevel="0" collapsed="false">
      <c r="A29" s="19" t="str">
        <f aca="false">Datos!A36</f>
        <v>2012Q4</v>
      </c>
      <c r="B29" s="20" t="n">
        <f aca="false">Datos!E36</f>
        <v>0.00555804016441552</v>
      </c>
      <c r="C29" s="20" t="n">
        <f aca="false">Datos!C36</f>
        <v>0.0248</v>
      </c>
      <c r="D29" s="20" t="n">
        <f aca="false">Datos!H34</f>
        <v>0.616996310430901</v>
      </c>
      <c r="E29" s="20" t="n">
        <f aca="false">Datos!D36</f>
        <v>0.142539933794164</v>
      </c>
      <c r="F29" s="17" t="n">
        <v>1</v>
      </c>
      <c r="G29" s="17" t="n">
        <f aca="false">B29-($B$89+$B$90*C29+$B$91*D29+$B$92*E29)</f>
        <v>-0.000127444687967165</v>
      </c>
      <c r="H29" s="17" t="n">
        <f aca="false">G29^2</f>
        <v>1.62421484910481E-008</v>
      </c>
      <c r="I29" s="17" t="n">
        <f aca="false">F29*$G29</f>
        <v>-0.000127444687967165</v>
      </c>
      <c r="J29" s="17" t="n">
        <f aca="false">C29*$G29</f>
        <v>-3.16062826158569E-006</v>
      </c>
      <c r="K29" s="17" t="n">
        <f aca="false">D29*$G29</f>
        <v>-7.86329022597582E-005</v>
      </c>
      <c r="L29" s="17" t="n">
        <f aca="false">E29*$G29</f>
        <v>-1.81659573852576E-005</v>
      </c>
    </row>
    <row r="30" customFormat="false" ht="15" hidden="false" customHeight="false" outlineLevel="0" collapsed="false">
      <c r="A30" s="19" t="str">
        <f aca="false">Datos!A37</f>
        <v>2013Q1</v>
      </c>
      <c r="B30" s="20" t="n">
        <f aca="false">Datos!E37</f>
        <v>0.00654025144614989</v>
      </c>
      <c r="C30" s="20" t="n">
        <f aca="false">Datos!C37</f>
        <v>0.0272</v>
      </c>
      <c r="D30" s="20" t="n">
        <f aca="false">Datos!H35</f>
        <v>0.331248914573117</v>
      </c>
      <c r="E30" s="20" t="n">
        <f aca="false">Datos!D37</f>
        <v>0.109151497090353</v>
      </c>
      <c r="F30" s="17" t="n">
        <v>1</v>
      </c>
      <c r="G30" s="17" t="n">
        <f aca="false">B30-($B$89+$B$90*C30+$B$91*D30+$B$92*E30)</f>
        <v>-0.0126220384203611</v>
      </c>
      <c r="H30" s="17" t="n">
        <f aca="false">G30^2</f>
        <v>0.000159315853885073</v>
      </c>
      <c r="I30" s="17" t="n">
        <f aca="false">F30*$G30</f>
        <v>-0.0126220384203611</v>
      </c>
      <c r="J30" s="17" t="n">
        <f aca="false">C30*$G30</f>
        <v>-0.000343319445033823</v>
      </c>
      <c r="K30" s="17" t="n">
        <f aca="false">D30*$G30</f>
        <v>-0.00418103652644481</v>
      </c>
      <c r="L30" s="17" t="n">
        <f aca="false">E30*$G30</f>
        <v>-0.00137771438991437</v>
      </c>
    </row>
    <row r="31" customFormat="false" ht="15" hidden="false" customHeight="false" outlineLevel="0" collapsed="false">
      <c r="A31" s="19" t="str">
        <f aca="false">Datos!A38</f>
        <v>2013Q2</v>
      </c>
      <c r="B31" s="20" t="n">
        <f aca="false">Datos!E38</f>
        <v>0.0624602349363816</v>
      </c>
      <c r="C31" s="20" t="n">
        <f aca="false">Datos!C38</f>
        <v>0.0402</v>
      </c>
      <c r="D31" s="20" t="n">
        <f aca="false">Datos!H36</f>
        <v>0.133448408459698</v>
      </c>
      <c r="E31" s="20" t="n">
        <f aca="false">Datos!D38</f>
        <v>0.110236615534545</v>
      </c>
      <c r="F31" s="17" t="n">
        <v>1</v>
      </c>
      <c r="G31" s="17" t="n">
        <f aca="false">B31-($B$89+$B$90*C31+$B$91*D31+$B$92*E31)</f>
        <v>0.0197901077565839</v>
      </c>
      <c r="H31" s="17" t="n">
        <f aca="false">G31^2</f>
        <v>0.000391648365017203</v>
      </c>
      <c r="I31" s="17" t="n">
        <f aca="false">F31*$G31</f>
        <v>0.0197901077565839</v>
      </c>
      <c r="J31" s="17" t="n">
        <f aca="false">C31*$G31</f>
        <v>0.000795562331814673</v>
      </c>
      <c r="K31" s="17" t="n">
        <f aca="false">D31*$G31</f>
        <v>0.00264095838336204</v>
      </c>
      <c r="L31" s="17" t="n">
        <f aca="false">E31*$G31</f>
        <v>0.00218159450014976</v>
      </c>
    </row>
    <row r="32" customFormat="false" ht="15" hidden="false" customHeight="false" outlineLevel="0" collapsed="false">
      <c r="A32" s="19" t="str">
        <f aca="false">Datos!A39</f>
        <v>2013Q3</v>
      </c>
      <c r="B32" s="20" t="n">
        <f aca="false">Datos!E39</f>
        <v>0.0255838987402566</v>
      </c>
      <c r="C32" s="20" t="n">
        <f aca="false">Datos!C39</f>
        <v>0.0276</v>
      </c>
      <c r="D32" s="20" t="n">
        <f aca="false">Datos!H37</f>
        <v>0.302198791603895</v>
      </c>
      <c r="E32" s="20" t="n">
        <f aca="false">Datos!D39</f>
        <v>0.0325763832684258</v>
      </c>
      <c r="F32" s="17" t="n">
        <v>1</v>
      </c>
      <c r="G32" s="17" t="n">
        <f aca="false">B32-($B$89+$B$90*C32+$B$91*D32+$B$92*E32)</f>
        <v>0.011392433739518</v>
      </c>
      <c r="H32" s="17" t="n">
        <f aca="false">G32^2</f>
        <v>0.000129787546509308</v>
      </c>
      <c r="I32" s="17" t="n">
        <f aca="false">F32*$G32</f>
        <v>0.011392433739518</v>
      </c>
      <c r="J32" s="17" t="n">
        <f aca="false">C32*$G32</f>
        <v>0.000314431171210696</v>
      </c>
      <c r="K32" s="17" t="n">
        <f aca="false">D32*$G32</f>
        <v>0.00344277970950978</v>
      </c>
      <c r="L32" s="17" t="n">
        <f aca="false">E32*$G32</f>
        <v>0.000371124287858683</v>
      </c>
    </row>
    <row r="33" customFormat="false" ht="15" hidden="false" customHeight="false" outlineLevel="0" collapsed="false">
      <c r="A33" s="19" t="str">
        <f aca="false">Datos!A40</f>
        <v>2013Q4</v>
      </c>
      <c r="B33" s="20" t="n">
        <f aca="false">Datos!E40</f>
        <v>-0.000510205754616022</v>
      </c>
      <c r="C33" s="20" t="n">
        <f aca="false">Datos!C40</f>
        <v>0.0253</v>
      </c>
      <c r="D33" s="20" t="n">
        <f aca="false">Datos!H38</f>
        <v>0.120778671688272</v>
      </c>
      <c r="E33" s="20" t="n">
        <f aca="false">Datos!D40</f>
        <v>-0.0304774941480642</v>
      </c>
      <c r="F33" s="17" t="n">
        <v>1</v>
      </c>
      <c r="G33" s="17" t="n">
        <f aca="false">B33-($B$89+$B$90*C33+$B$91*D33+$B$92*E33)</f>
        <v>-0.0154806500639559</v>
      </c>
      <c r="H33" s="17" t="n">
        <f aca="false">G33^2</f>
        <v>0.000239650526402658</v>
      </c>
      <c r="I33" s="17" t="n">
        <f aca="false">F33*$G33</f>
        <v>-0.0154806500639559</v>
      </c>
      <c r="J33" s="17" t="n">
        <f aca="false">C33*$G33</f>
        <v>-0.000391660446618085</v>
      </c>
      <c r="K33" s="17" t="n">
        <f aca="false">D33*$G33</f>
        <v>-0.00186973235159555</v>
      </c>
      <c r="L33" s="17" t="n">
        <f aca="false">E33*$G33</f>
        <v>0.000471811421732447</v>
      </c>
    </row>
    <row r="34" customFormat="false" ht="15" hidden="false" customHeight="false" outlineLevel="0" collapsed="false">
      <c r="A34" s="19" t="str">
        <f aca="false">Datos!A41</f>
        <v>2014Q1</v>
      </c>
      <c r="B34" s="20" t="n">
        <f aca="false">Datos!E41</f>
        <v>-0.00889028383967849</v>
      </c>
      <c r="C34" s="20" t="n">
        <f aca="false">Datos!C41</f>
        <v>0.0347</v>
      </c>
      <c r="D34" s="20" t="n">
        <f aca="false">Datos!H39</f>
        <v>0.0668712109426766</v>
      </c>
      <c r="E34" s="20" t="n">
        <f aca="false">Datos!D41</f>
        <v>-0.114758840789371</v>
      </c>
      <c r="F34" s="17" t="n">
        <v>1</v>
      </c>
      <c r="G34" s="17" t="n">
        <f aca="false">B34-($B$89+$B$90*C34+$B$91*D34+$B$92*E34)</f>
        <v>-0.0289606728797808</v>
      </c>
      <c r="H34" s="17" t="n">
        <f aca="false">G34^2</f>
        <v>0.000838720573649672</v>
      </c>
      <c r="I34" s="17" t="n">
        <f aca="false">F34*$G34</f>
        <v>-0.0289606728797808</v>
      </c>
      <c r="J34" s="17" t="n">
        <f aca="false">C34*$G34</f>
        <v>-0.00100493534892839</v>
      </c>
      <c r="K34" s="17" t="n">
        <f aca="false">D34*$G34</f>
        <v>-0.00193663526518568</v>
      </c>
      <c r="L34" s="17" t="n">
        <f aca="false">E34*$G34</f>
        <v>0.00332349324816382</v>
      </c>
    </row>
    <row r="35" customFormat="false" ht="15" hidden="false" customHeight="false" outlineLevel="0" collapsed="false">
      <c r="A35" s="19" t="str">
        <f aca="false">Datos!A42</f>
        <v>2014Q2</v>
      </c>
      <c r="B35" s="20" t="n">
        <f aca="false">Datos!E42</f>
        <v>-0.0204893869308982</v>
      </c>
      <c r="C35" s="20" t="n">
        <f aca="false">Datos!C42</f>
        <v>-0.0044</v>
      </c>
      <c r="D35" s="20" t="n">
        <f aca="false">Datos!H40</f>
        <v>-0.193556731560339</v>
      </c>
      <c r="E35" s="20" t="n">
        <f aca="false">Datos!D42</f>
        <v>-0.151433708670598</v>
      </c>
      <c r="F35" s="17" t="n">
        <v>1</v>
      </c>
      <c r="G35" s="17" t="n">
        <f aca="false">B35-($B$89+$B$90*C35+$B$91*D35+$B$92*E35)</f>
        <v>-0.00849145399362669</v>
      </c>
      <c r="H35" s="17" t="n">
        <f aca="false">G35^2</f>
        <v>7.21047909258787E-005</v>
      </c>
      <c r="I35" s="17" t="n">
        <f aca="false">F35*$G35</f>
        <v>-0.00849145399362669</v>
      </c>
      <c r="J35" s="17" t="n">
        <f aca="false">C35*$G35</f>
        <v>3.73623975719574E-005</v>
      </c>
      <c r="K35" s="17" t="n">
        <f aca="false">D35*$G35</f>
        <v>0.00164357808120137</v>
      </c>
      <c r="L35" s="17" t="n">
        <f aca="false">E35*$G35</f>
        <v>0.00128589237026065</v>
      </c>
    </row>
    <row r="36" customFormat="false" ht="15" hidden="false" customHeight="false" outlineLevel="0" collapsed="false">
      <c r="A36" s="19" t="str">
        <f aca="false">Datos!A43</f>
        <v>2014Q3</v>
      </c>
      <c r="B36" s="20" t="n">
        <f aca="false">Datos!E43</f>
        <v>-0.0423851505475772</v>
      </c>
      <c r="C36" s="20" t="n">
        <f aca="false">Datos!C43</f>
        <v>-0.0064</v>
      </c>
      <c r="D36" s="20" t="n">
        <f aca="false">Datos!H41</f>
        <v>-0.194939516693815</v>
      </c>
      <c r="E36" s="20" t="n">
        <f aca="false">Datos!D43</f>
        <v>-0.138372355737692</v>
      </c>
      <c r="F36" s="17" t="n">
        <v>1</v>
      </c>
      <c r="G36" s="17" t="n">
        <f aca="false">B36-($B$89+$B$90*C36+$B$91*D36+$B$92*E36)</f>
        <v>-0.0294942396216116</v>
      </c>
      <c r="H36" s="17" t="n">
        <f aca="false">G36^2</f>
        <v>0.000869910170857044</v>
      </c>
      <c r="I36" s="17" t="n">
        <f aca="false">F36*$G36</f>
        <v>-0.0294942396216116</v>
      </c>
      <c r="J36" s="17" t="n">
        <f aca="false">C36*$G36</f>
        <v>0.000188763133578314</v>
      </c>
      <c r="K36" s="17" t="n">
        <f aca="false">D36*$G36</f>
        <v>0.00574959281708852</v>
      </c>
      <c r="L36" s="17" t="n">
        <f aca="false">E36*$G36</f>
        <v>0.00408118741713437</v>
      </c>
    </row>
    <row r="37" customFormat="false" ht="15" hidden="false" customHeight="false" outlineLevel="0" collapsed="false">
      <c r="A37" s="19" t="str">
        <f aca="false">Datos!A44</f>
        <v>2014Q4</v>
      </c>
      <c r="B37" s="20" t="n">
        <f aca="false">Datos!E44</f>
        <v>-0.0281573013880524</v>
      </c>
      <c r="C37" s="20" t="n">
        <f aca="false">Datos!C44</f>
        <v>-0.0023</v>
      </c>
      <c r="D37" s="20" t="n">
        <f aca="false">Datos!H42</f>
        <v>-0.427353150106391</v>
      </c>
      <c r="E37" s="20" t="n">
        <f aca="false">Datos!D44</f>
        <v>-0.0907464994660634</v>
      </c>
      <c r="F37" s="17" t="n">
        <v>1</v>
      </c>
      <c r="G37" s="17" t="n">
        <f aca="false">B37-($B$89+$B$90*C37+$B$91*D37+$B$92*E37)</f>
        <v>-0.035155066438834</v>
      </c>
      <c r="H37" s="17" t="n">
        <f aca="false">G37^2</f>
        <v>0.00123587869631883</v>
      </c>
      <c r="I37" s="17" t="n">
        <f aca="false">F37*$G37</f>
        <v>-0.035155066438834</v>
      </c>
      <c r="J37" s="17" t="n">
        <f aca="false">C37*$G37</f>
        <v>8.08566528093181E-005</v>
      </c>
      <c r="K37" s="17" t="n">
        <f aca="false">D37*$G37</f>
        <v>0.0150236283848351</v>
      </c>
      <c r="L37" s="17" t="n">
        <f aca="false">E37*$G37</f>
        <v>0.00319019921782107</v>
      </c>
    </row>
    <row r="38" customFormat="false" ht="15" hidden="false" customHeight="false" outlineLevel="0" collapsed="false">
      <c r="A38" s="19" t="str">
        <f aca="false">Datos!A45</f>
        <v>2015Q1</v>
      </c>
      <c r="B38" s="20" t="n">
        <f aca="false">Datos!E45</f>
        <v>0.00250908947797246</v>
      </c>
      <c r="C38" s="20" t="n">
        <f aca="false">Datos!C45</f>
        <v>-0.0161</v>
      </c>
      <c r="D38" s="20" t="n">
        <f aca="false">Datos!H43</f>
        <v>-0.430103763511462</v>
      </c>
      <c r="E38" s="20" t="n">
        <f aca="false">Datos!D45</f>
        <v>0.00628195685987731</v>
      </c>
      <c r="F38" s="17" t="n">
        <v>1</v>
      </c>
      <c r="G38" s="17" t="n">
        <f aca="false">B38-($B$89+$B$90*C38+$B$91*D38+$B$92*E38)</f>
        <v>0.00138925959843914</v>
      </c>
      <c r="H38" s="17" t="n">
        <f aca="false">G38^2</f>
        <v>1.93004223185529E-006</v>
      </c>
      <c r="I38" s="17" t="n">
        <f aca="false">F38*$G38</f>
        <v>0.00138925959843914</v>
      </c>
      <c r="J38" s="17" t="n">
        <f aca="false">C38*$G38</f>
        <v>-2.23670795348702E-005</v>
      </c>
      <c r="K38" s="17" t="n">
        <f aca="false">D38*$G38</f>
        <v>-0.000597525781783097</v>
      </c>
      <c r="L38" s="17" t="n">
        <f aca="false">E38*$G38</f>
        <v>8.72726886456517E-006</v>
      </c>
    </row>
    <row r="39" customFormat="false" ht="15" hidden="false" customHeight="false" outlineLevel="0" collapsed="false">
      <c r="A39" s="19" t="str">
        <f aca="false">Datos!A46</f>
        <v>2015Q2</v>
      </c>
      <c r="B39" s="20" t="n">
        <f aca="false">Datos!E46</f>
        <v>0.0403103203233863</v>
      </c>
      <c r="C39" s="20" t="n">
        <f aca="false">Datos!C46</f>
        <v>-0.0273</v>
      </c>
      <c r="D39" s="20" t="n">
        <f aca="false">Datos!H44</f>
        <v>-0.156477398590572</v>
      </c>
      <c r="E39" s="20" t="n">
        <f aca="false">Datos!D46</f>
        <v>0.101200094474078</v>
      </c>
      <c r="F39" s="17" t="n">
        <v>1</v>
      </c>
      <c r="G39" s="17" t="n">
        <f aca="false">B39-($B$89+$B$90*C39+$B$91*D39+$B$92*E39)</f>
        <v>0.0559418062286125</v>
      </c>
      <c r="H39" s="17" t="n">
        <f aca="false">G39^2</f>
        <v>0.00312948568411963</v>
      </c>
      <c r="I39" s="17" t="n">
        <f aca="false">F39*$G39</f>
        <v>0.0559418062286125</v>
      </c>
      <c r="J39" s="17" t="n">
        <f aca="false">C39*$G39</f>
        <v>-0.00152721131004112</v>
      </c>
      <c r="K39" s="17" t="n">
        <f aca="false">D39*$G39</f>
        <v>-0.00875362831111113</v>
      </c>
      <c r="L39" s="17" t="n">
        <f aca="false">E39*$G39</f>
        <v>0.00566131607538613</v>
      </c>
    </row>
    <row r="40" customFormat="false" ht="15" hidden="false" customHeight="false" outlineLevel="0" collapsed="false">
      <c r="A40" s="19" t="str">
        <f aca="false">Datos!A47</f>
        <v>2015Q3</v>
      </c>
      <c r="B40" s="20" t="n">
        <f aca="false">Datos!E47</f>
        <v>0.0396616998607275</v>
      </c>
      <c r="C40" s="20" t="n">
        <f aca="false">Datos!C47</f>
        <v>-0.0426</v>
      </c>
      <c r="D40" s="20" t="n">
        <f aca="false">Datos!H45</f>
        <v>-0.327993767427338</v>
      </c>
      <c r="E40" s="20" t="n">
        <f aca="false">Datos!D47</f>
        <v>0.0560260007251707</v>
      </c>
      <c r="F40" s="17" t="n">
        <v>1</v>
      </c>
      <c r="G40" s="17" t="n">
        <f aca="false">B40-($B$89+$B$90*C40+$B$91*D40+$B$92*E40)</f>
        <v>0.0671960947167392</v>
      </c>
      <c r="H40" s="17" t="n">
        <f aca="false">G40^2</f>
        <v>0.00451531514518099</v>
      </c>
      <c r="I40" s="17" t="n">
        <f aca="false">F40*$G40</f>
        <v>0.0671960947167392</v>
      </c>
      <c r="J40" s="17" t="n">
        <f aca="false">C40*$G40</f>
        <v>-0.00286255363493309</v>
      </c>
      <c r="K40" s="17" t="n">
        <f aca="false">D40*$G40</f>
        <v>-0.0220399002625475</v>
      </c>
      <c r="L40" s="17" t="n">
        <f aca="false">E40*$G40</f>
        <v>0.00376472845132867</v>
      </c>
    </row>
    <row r="41" customFormat="false" ht="15" hidden="false" customHeight="false" outlineLevel="0" collapsed="false">
      <c r="A41" s="19" t="str">
        <f aca="false">Datos!A48</f>
        <v>2015Q4</v>
      </c>
      <c r="B41" s="20" t="n">
        <f aca="false">Datos!E48</f>
        <v>0.0247270091543546</v>
      </c>
      <c r="C41" s="20" t="n">
        <f aca="false">Datos!C48</f>
        <v>-0.0553</v>
      </c>
      <c r="D41" s="20" t="n">
        <f aca="false">Datos!H46</f>
        <v>-0.269935633939498</v>
      </c>
      <c r="E41" s="20" t="n">
        <f aca="false">Datos!D48</f>
        <v>0.0484206303604911</v>
      </c>
      <c r="F41" s="17" t="n">
        <v>1</v>
      </c>
      <c r="G41" s="17" t="n">
        <f aca="false">B41-($B$89+$B$90*C41+$B$91*D41+$B$92*E41)</f>
        <v>0.0692332789727809</v>
      </c>
      <c r="H41" s="17" t="n">
        <f aca="false">G41^2</f>
        <v>0.00479324691732291</v>
      </c>
      <c r="I41" s="17" t="n">
        <f aca="false">F41*$G41</f>
        <v>0.0692332789727809</v>
      </c>
      <c r="J41" s="17" t="n">
        <f aca="false">C41*$G41</f>
        <v>-0.00382860032719478</v>
      </c>
      <c r="K41" s="17" t="n">
        <f aca="false">D41*$G41</f>
        <v>-0.0186885290492277</v>
      </c>
      <c r="L41" s="17" t="n">
        <f aca="false">E41*$G41</f>
        <v>0.00335231900978578</v>
      </c>
    </row>
    <row r="42" customFormat="false" ht="15" hidden="false" customHeight="false" outlineLevel="0" collapsed="false">
      <c r="A42" s="19" t="str">
        <f aca="false">Datos!A49</f>
        <v>2016Q1</v>
      </c>
      <c r="B42" s="20" t="n">
        <f aca="false">Datos!E49</f>
        <v>0.00728692545281007</v>
      </c>
      <c r="C42" s="20" t="n">
        <f aca="false">Datos!C49</f>
        <v>-0.0516</v>
      </c>
      <c r="D42" s="20" t="n">
        <f aca="false">Datos!H47</f>
        <v>-0.192260573323891</v>
      </c>
      <c r="E42" s="20" t="n">
        <f aca="false">Datos!D49</f>
        <v>-0.0433211464470484</v>
      </c>
      <c r="F42" s="17" t="n">
        <v>1</v>
      </c>
      <c r="G42" s="17" t="n">
        <f aca="false">B42-($B$89+$B$90*C42+$B$91*D42+$B$92*E42)</f>
        <v>0.0598033781724702</v>
      </c>
      <c r="H42" s="17" t="n">
        <f aca="false">G42^2</f>
        <v>0.00357644404083948</v>
      </c>
      <c r="I42" s="17" t="n">
        <f aca="false">F42*$G42</f>
        <v>0.0598033781724702</v>
      </c>
      <c r="J42" s="17" t="n">
        <f aca="false">C42*$G42</f>
        <v>-0.00308585431369946</v>
      </c>
      <c r="K42" s="17" t="n">
        <f aca="false">D42*$G42</f>
        <v>-0.0114978317741446</v>
      </c>
      <c r="L42" s="17" t="n">
        <f aca="false">E42*$G42</f>
        <v>-0.0025907509038378</v>
      </c>
    </row>
    <row r="43" customFormat="false" ht="15" hidden="false" customHeight="false" outlineLevel="0" collapsed="false">
      <c r="A43" s="19" t="str">
        <f aca="false">Datos!A50</f>
        <v>2016Q2</v>
      </c>
      <c r="B43" s="20" t="n">
        <f aca="false">Datos!E50</f>
        <v>-0.0385885964740134</v>
      </c>
      <c r="C43" s="20" t="n">
        <f aca="false">Datos!C50</f>
        <v>-0.0324</v>
      </c>
      <c r="D43" s="20" t="n">
        <f aca="false">Datos!H48</f>
        <v>-0.365034907517289</v>
      </c>
      <c r="E43" s="20" t="n">
        <f aca="false">Datos!D50</f>
        <v>-0.148910975388297</v>
      </c>
      <c r="F43" s="17" t="n">
        <v>1</v>
      </c>
      <c r="G43" s="17" t="n">
        <f aca="false">B43-($B$89+$B$90*C43+$B$91*D43+$B$92*E43)</f>
        <v>-0.00545497802763234</v>
      </c>
      <c r="H43" s="17" t="n">
        <f aca="false">G43^2</f>
        <v>2.97567852819516E-005</v>
      </c>
      <c r="I43" s="17" t="n">
        <f aca="false">F43*$G43</f>
        <v>-0.00545497802763234</v>
      </c>
      <c r="J43" s="17" t="n">
        <f aca="false">C43*$G43</f>
        <v>0.000176741288095288</v>
      </c>
      <c r="K43" s="17" t="n">
        <f aca="false">D43*$G43</f>
        <v>0.00199125739982561</v>
      </c>
      <c r="L43" s="17" t="n">
        <f aca="false">E43*$G43</f>
        <v>0.000812306098816459</v>
      </c>
    </row>
    <row r="44" customFormat="false" ht="15" hidden="false" customHeight="false" outlineLevel="0" collapsed="false">
      <c r="A44" s="19" t="str">
        <f aca="false">Datos!A51</f>
        <v>2016Q3</v>
      </c>
      <c r="B44" s="20" t="n">
        <f aca="false">Datos!E51</f>
        <v>-0.0332721885187776</v>
      </c>
      <c r="C44" s="20" t="n">
        <f aca="false">Datos!C51</f>
        <v>-0.0245</v>
      </c>
      <c r="D44" s="20" t="n">
        <f aca="false">Datos!H49</f>
        <v>-0.352972110711817</v>
      </c>
      <c r="E44" s="20" t="n">
        <f aca="false">Datos!D51</f>
        <v>-0.139819367126712</v>
      </c>
      <c r="F44" s="17" t="n">
        <v>1</v>
      </c>
      <c r="G44" s="17" t="n">
        <f aca="false">B44-($B$89+$B$90*C44+$B$91*D44+$B$92*E44)</f>
        <v>-0.00874009108952147</v>
      </c>
      <c r="H44" s="17" t="n">
        <f aca="false">G44^2</f>
        <v>7.63891922531325E-005</v>
      </c>
      <c r="I44" s="17" t="n">
        <f aca="false">F44*$G44</f>
        <v>-0.00874009108952147</v>
      </c>
      <c r="J44" s="17" t="n">
        <f aca="false">C44*$G44</f>
        <v>0.000214132231693276</v>
      </c>
      <c r="K44" s="17" t="n">
        <f aca="false">D44*$G44</f>
        <v>0.00308500839968194</v>
      </c>
      <c r="L44" s="17" t="n">
        <f aca="false">E44*$G44</f>
        <v>0.0012220340047667</v>
      </c>
    </row>
    <row r="45" customFormat="false" ht="15" hidden="false" customHeight="false" outlineLevel="0" collapsed="false">
      <c r="A45" s="19" t="str">
        <f aca="false">Datos!A52</f>
        <v>2016Q4</v>
      </c>
      <c r="B45" s="20" t="n">
        <f aca="false">Datos!E52</f>
        <v>-0.0149328839288507</v>
      </c>
      <c r="C45" s="20" t="n">
        <f aca="false">Datos!C52</f>
        <v>-0.0221</v>
      </c>
      <c r="D45" s="20" t="n">
        <f aca="false">Datos!H50</f>
        <v>-0.286997283390795</v>
      </c>
      <c r="E45" s="20" t="n">
        <f aca="false">Datos!D52</f>
        <v>-0.11418596424082</v>
      </c>
      <c r="F45" s="17" t="n">
        <v>1</v>
      </c>
      <c r="G45" s="17" t="n">
        <f aca="false">B45-($B$89+$B$90*C45+$B$91*D45+$B$92*E45)</f>
        <v>0.00798355877790352</v>
      </c>
      <c r="H45" s="17" t="n">
        <f aca="false">G45^2</f>
        <v>6.37372107602403E-005</v>
      </c>
      <c r="I45" s="17" t="n">
        <f aca="false">F45*$G45</f>
        <v>0.00798355877790352</v>
      </c>
      <c r="J45" s="17" t="n">
        <f aca="false">C45*$G45</f>
        <v>-0.000176436648991668</v>
      </c>
      <c r="K45" s="17" t="n">
        <f aca="false">D45*$G45</f>
        <v>-0.00229125968104904</v>
      </c>
      <c r="L45" s="17" t="n">
        <f aca="false">E45*$G45</f>
        <v>-0.000911610357128175</v>
      </c>
    </row>
    <row r="46" customFormat="false" ht="15" hidden="false" customHeight="false" outlineLevel="0" collapsed="false">
      <c r="A46" s="19" t="str">
        <f aca="false">Datos!A53</f>
        <v>2017Q1</v>
      </c>
      <c r="B46" s="20" t="n">
        <f aca="false">Datos!E53</f>
        <v>0.00559679082443165</v>
      </c>
      <c r="C46" s="20" t="n">
        <f aca="false">Datos!C53</f>
        <v>0.0039</v>
      </c>
      <c r="D46" s="20" t="n">
        <f aca="false">Datos!H51</f>
        <v>-0.157304427196535</v>
      </c>
      <c r="E46" s="20" t="n">
        <f aca="false">Datos!D53</f>
        <v>-0.0321393526652914</v>
      </c>
      <c r="F46" s="17" t="n">
        <v>1</v>
      </c>
      <c r="G46" s="17" t="n">
        <f aca="false">B46-($B$89+$B$90*C46+$B$91*D46+$B$92*E46)</f>
        <v>-5.24525259223592E-005</v>
      </c>
      <c r="H46" s="17" t="n">
        <f aca="false">G46^2</f>
        <v>2.75126747563576E-009</v>
      </c>
      <c r="I46" s="17" t="n">
        <f aca="false">F46*$G46</f>
        <v>-5.24525259223592E-005</v>
      </c>
      <c r="J46" s="17" t="n">
        <f aca="false">C46*$G46</f>
        <v>-2.04564851097201E-007</v>
      </c>
      <c r="K46" s="17" t="n">
        <f aca="false">D46*$G46</f>
        <v>8.25101454522811E-006</v>
      </c>
      <c r="L46" s="17" t="n">
        <f aca="false">E46*$G46</f>
        <v>1.68579022880404E-006</v>
      </c>
    </row>
    <row r="47" customFormat="false" ht="15" hidden="false" customHeight="false" outlineLevel="0" collapsed="false">
      <c r="A47" s="19" t="str">
        <f aca="false">Datos!A54</f>
        <v>2017Q2</v>
      </c>
      <c r="B47" s="20" t="n">
        <f aca="false">Datos!E54</f>
        <v>0.0232658340767662</v>
      </c>
      <c r="C47" s="20" t="n">
        <f aca="false">Datos!C54</f>
        <v>0.0088</v>
      </c>
      <c r="D47" s="20" t="n">
        <f aca="false">Datos!H52</f>
        <v>-0.0681825460774777</v>
      </c>
      <c r="E47" s="20" t="n">
        <f aca="false">Datos!D54</f>
        <v>0.0586655897650446</v>
      </c>
      <c r="F47" s="17" t="n">
        <v>1</v>
      </c>
      <c r="G47" s="17" t="n">
        <f aca="false">B47-($B$89+$B$90*C47+$B$91*D47+$B$92*E47)</f>
        <v>0.00868065911334097</v>
      </c>
      <c r="H47" s="17" t="n">
        <f aca="false">G47^2</f>
        <v>7.53538426420296E-005</v>
      </c>
      <c r="I47" s="17" t="n">
        <f aca="false">F47*$G47</f>
        <v>0.00868065911334097</v>
      </c>
      <c r="J47" s="17" t="n">
        <f aca="false">C47*$G47</f>
        <v>7.63898001974005E-005</v>
      </c>
      <c r="K47" s="17" t="n">
        <f aca="false">D47*$G47</f>
        <v>-0.000591869439978247</v>
      </c>
      <c r="L47" s="17" t="n">
        <f aca="false">E47*$G47</f>
        <v>0.000509255986433457</v>
      </c>
    </row>
    <row r="48" customFormat="false" ht="15" hidden="false" customHeight="false" outlineLevel="0" collapsed="false">
      <c r="A48" s="19" t="str">
        <f aca="false">Datos!A55</f>
        <v>2017Q3</v>
      </c>
      <c r="B48" s="20" t="n">
        <f aca="false">Datos!E55</f>
        <v>0.0385060856362685</v>
      </c>
      <c r="C48" s="20" t="n">
        <f aca="false">Datos!C55</f>
        <v>0.0163</v>
      </c>
      <c r="D48" s="20" t="n">
        <f aca="false">Datos!H53</f>
        <v>-0.0238296063907484</v>
      </c>
      <c r="E48" s="20" t="n">
        <f aca="false">Datos!D55</f>
        <v>0.0331389887053348</v>
      </c>
      <c r="F48" s="17" t="n">
        <v>1</v>
      </c>
      <c r="G48" s="17" t="n">
        <f aca="false">B48-($B$89+$B$90*C48+$B$91*D48+$B$92*E48)</f>
        <v>0.0203922347638919</v>
      </c>
      <c r="H48" s="17" t="n">
        <f aca="false">G48^2</f>
        <v>0.00041584323866568</v>
      </c>
      <c r="I48" s="17" t="n">
        <f aca="false">F48*$G48</f>
        <v>0.0203922347638919</v>
      </c>
      <c r="J48" s="17" t="n">
        <f aca="false">C48*$G48</f>
        <v>0.000332393426651437</v>
      </c>
      <c r="K48" s="17" t="n">
        <f aca="false">D48*$G48</f>
        <v>-0.000485938927851279</v>
      </c>
      <c r="L48" s="17" t="n">
        <f aca="false">E48*$G48</f>
        <v>0.000675778037517149</v>
      </c>
    </row>
    <row r="49" customFormat="false" ht="15" hidden="false" customHeight="false" outlineLevel="0" collapsed="false">
      <c r="A49" s="19" t="str">
        <f aca="false">Datos!A56</f>
        <v>2017Q4</v>
      </c>
      <c r="B49" s="20" t="n">
        <f aca="false">Datos!E56</f>
        <v>0.0453268482640472</v>
      </c>
      <c r="C49" s="20" t="n">
        <f aca="false">Datos!C56</f>
        <v>0.0238</v>
      </c>
      <c r="D49" s="20" t="n">
        <f aca="false">Datos!H54</f>
        <v>-0.0722785700363193</v>
      </c>
      <c r="E49" s="20" t="n">
        <f aca="false">Datos!D56</f>
        <v>0.0175797079620306</v>
      </c>
      <c r="F49" s="17" t="n">
        <v>1</v>
      </c>
      <c r="G49" s="17" t="n">
        <f aca="false">B49-($B$89+$B$90*C49+$B$91*D49+$B$92*E49)</f>
        <v>0.0182840053827976</v>
      </c>
      <c r="H49" s="17" t="n">
        <f aca="false">G49^2</f>
        <v>0.000334304852838171</v>
      </c>
      <c r="I49" s="17" t="n">
        <f aca="false">F49*$G49</f>
        <v>0.0182840053827976</v>
      </c>
      <c r="J49" s="17" t="n">
        <f aca="false">C49*$G49</f>
        <v>0.000435159328110583</v>
      </c>
      <c r="K49" s="17" t="n">
        <f aca="false">D49*$G49</f>
        <v>-0.00132154176360498</v>
      </c>
      <c r="L49" s="17" t="n">
        <f aca="false">E49*$G49</f>
        <v>0.000321427475005777</v>
      </c>
    </row>
    <row r="50" customFormat="false" ht="15" hidden="false" customHeight="false" outlineLevel="0" collapsed="false">
      <c r="A50" s="19" t="str">
        <f aca="false">Datos!A57</f>
        <v>2018Q1</v>
      </c>
      <c r="B50" s="20" t="n">
        <f aca="false">Datos!E57</f>
        <v>0.0379774021814201</v>
      </c>
      <c r="C50" s="20" t="n">
        <f aca="false">Datos!C57</f>
        <v>0.0145</v>
      </c>
      <c r="D50" s="20" t="n">
        <f aca="false">Datos!H55</f>
        <v>-0.179830008754272</v>
      </c>
      <c r="E50" s="20" t="n">
        <f aca="false">Datos!D57</f>
        <v>-0.0145618881352685</v>
      </c>
      <c r="F50" s="17" t="n">
        <v>1</v>
      </c>
      <c r="G50" s="17" t="n">
        <f aca="false">B50-($B$89+$B$90*C50+$B$91*D50+$B$92*E50)</f>
        <v>0.018425660679592</v>
      </c>
      <c r="H50" s="17" t="n">
        <f aca="false">G50^2</f>
        <v>0.000339504971479463</v>
      </c>
      <c r="I50" s="17" t="n">
        <f aca="false">F50*$G50</f>
        <v>0.018425660679592</v>
      </c>
      <c r="J50" s="17" t="n">
        <f aca="false">C50*$G50</f>
        <v>0.000267172079854084</v>
      </c>
      <c r="K50" s="17" t="n">
        <f aca="false">D50*$G50</f>
        <v>-0.00331348672131427</v>
      </c>
      <c r="L50" s="17" t="n">
        <f aca="false">E50*$G50</f>
        <v>-0.000268312409634634</v>
      </c>
    </row>
    <row r="51" customFormat="false" ht="15" hidden="false" customHeight="false" outlineLevel="0" collapsed="false">
      <c r="A51" s="19" t="str">
        <f aca="false">Datos!A58</f>
        <v>2018Q2</v>
      </c>
      <c r="B51" s="20" t="n">
        <f aca="false">Datos!E58</f>
        <v>-0.039790994073943</v>
      </c>
      <c r="C51" s="20" t="n">
        <f aca="false">Datos!C58</f>
        <v>0.0105</v>
      </c>
      <c r="D51" s="20" t="n">
        <f aca="false">Datos!H56</f>
        <v>-0.265364943825032</v>
      </c>
      <c r="E51" s="20" t="n">
        <f aca="false">Datos!D58</f>
        <v>-0.10076918517865</v>
      </c>
      <c r="F51" s="17" t="n">
        <v>1</v>
      </c>
      <c r="G51" s="17" t="n">
        <f aca="false">B51-($B$89+$B$90*C51+$B$91*D51+$B$92*E51)</f>
        <v>-0.0515957759018507</v>
      </c>
      <c r="H51" s="17" t="n">
        <f aca="false">G51^2</f>
        <v>0.002662124090914</v>
      </c>
      <c r="I51" s="17" t="n">
        <f aca="false">F51*$G51</f>
        <v>-0.0515957759018507</v>
      </c>
      <c r="J51" s="17" t="n">
        <f aca="false">C51*$G51</f>
        <v>-0.000541755646969433</v>
      </c>
      <c r="K51" s="17" t="n">
        <f aca="false">D51*$G51</f>
        <v>0.0136917101738036</v>
      </c>
      <c r="L51" s="17" t="n">
        <f aca="false">E51*$G51</f>
        <v>0.00519926429628972</v>
      </c>
    </row>
    <row r="52" customFormat="false" ht="15" hidden="false" customHeight="false" outlineLevel="0" collapsed="false">
      <c r="A52" s="19" t="str">
        <f aca="false">Datos!A59</f>
        <v>2018Q3</v>
      </c>
      <c r="B52" s="20" t="n">
        <f aca="false">Datos!E59</f>
        <v>-0.0346944038739507</v>
      </c>
      <c r="C52" s="20" t="n">
        <f aca="false">Datos!C59</f>
        <v>0.0154</v>
      </c>
      <c r="D52" s="20" t="n">
        <f aca="false">Datos!H57</f>
        <v>-0.155570713599342</v>
      </c>
      <c r="E52" s="20" t="n">
        <f aca="false">Datos!D59</f>
        <v>-0.107955814358483</v>
      </c>
      <c r="F52" s="17" t="n">
        <v>1</v>
      </c>
      <c r="G52" s="17" t="n">
        <f aca="false">B52-($B$89+$B$90*C52+$B$91*D52+$B$92*E52)</f>
        <v>-0.0457172441984821</v>
      </c>
      <c r="H52" s="17" t="n">
        <f aca="false">G52^2</f>
        <v>0.00209006641710364</v>
      </c>
      <c r="I52" s="17" t="n">
        <f aca="false">F52*$G52</f>
        <v>-0.0457172441984821</v>
      </c>
      <c r="J52" s="17" t="n">
        <f aca="false">C52*$G52</f>
        <v>-0.000704045560656624</v>
      </c>
      <c r="K52" s="17" t="n">
        <f aca="false">D52*$G52</f>
        <v>0.00711226430375325</v>
      </c>
      <c r="L52" s="17" t="n">
        <f aca="false">E52*$G52</f>
        <v>0.00493544232767276</v>
      </c>
    </row>
    <row r="53" customFormat="false" ht="15" hidden="false" customHeight="false" outlineLevel="0" collapsed="false">
      <c r="A53" s="19" t="str">
        <f aca="false">Datos!A60</f>
        <v>2018Q4</v>
      </c>
      <c r="B53" s="20" t="n">
        <f aca="false">Datos!E60</f>
        <v>-0.0633973916700751</v>
      </c>
      <c r="C53" s="20" t="n">
        <f aca="false">Datos!C60</f>
        <v>0.0122</v>
      </c>
      <c r="D53" s="20" t="n">
        <f aca="false">Datos!H58</f>
        <v>0.116765630820508</v>
      </c>
      <c r="E53" s="20" t="n">
        <f aca="false">Datos!D60</f>
        <v>-0.250802935114858</v>
      </c>
      <c r="F53" s="17" t="n">
        <v>1</v>
      </c>
      <c r="G53" s="17" t="n">
        <f aca="false">B53-($B$89+$B$90*C53+$B$91*D53+$B$92*E53)</f>
        <v>-0.0450782778064735</v>
      </c>
      <c r="H53" s="17" t="n">
        <f aca="false">G53^2</f>
        <v>0.0020320511299976</v>
      </c>
      <c r="I53" s="17" t="n">
        <f aca="false">F53*$G53</f>
        <v>-0.0450782778064735</v>
      </c>
      <c r="J53" s="17" t="n">
        <f aca="false">C53*$G53</f>
        <v>-0.000549954989238977</v>
      </c>
      <c r="K53" s="17" t="n">
        <f aca="false">D53*$G53</f>
        <v>-0.00526359354437498</v>
      </c>
      <c r="L53" s="17" t="n">
        <f aca="false">E53*$G53</f>
        <v>0.0113057643837865</v>
      </c>
    </row>
    <row r="54" customFormat="false" ht="15" hidden="false" customHeight="false" outlineLevel="0" collapsed="false">
      <c r="A54" s="19" t="str">
        <f aca="false">Datos!A61</f>
        <v>2019Q1</v>
      </c>
      <c r="B54" s="20" t="n">
        <f aca="false">Datos!E61</f>
        <v>-0.0586372539873753</v>
      </c>
      <c r="C54" s="20" t="n">
        <f aca="false">Datos!C61</f>
        <v>0.0059</v>
      </c>
      <c r="D54" s="20" t="n">
        <f aca="false">Datos!H59</f>
        <v>0.418889668553273</v>
      </c>
      <c r="E54" s="20" t="n">
        <f aca="false">Datos!D61</f>
        <v>-0.253878367581224</v>
      </c>
      <c r="F54" s="17" t="n">
        <v>1</v>
      </c>
      <c r="G54" s="17" t="n">
        <f aca="false">B54-($B$89+$B$90*C54+$B$91*D54+$B$92*E54)</f>
        <v>-0.0186658277994773</v>
      </c>
      <c r="H54" s="17" t="n">
        <f aca="false">G54^2</f>
        <v>0.000348413127439741</v>
      </c>
      <c r="I54" s="17" t="n">
        <f aca="false">F54*$G54</f>
        <v>-0.0186658277994773</v>
      </c>
      <c r="J54" s="17" t="n">
        <f aca="false">C54*$G54</f>
        <v>-0.000110128384016916</v>
      </c>
      <c r="K54" s="17" t="n">
        <f aca="false">D54*$G54</f>
        <v>-0.00781892242019553</v>
      </c>
      <c r="L54" s="17" t="n">
        <f aca="false">E54*$G54</f>
        <v>0.00473884989128353</v>
      </c>
    </row>
    <row r="55" customFormat="false" ht="15" hidden="false" customHeight="false" outlineLevel="0" collapsed="false">
      <c r="A55" s="19" t="str">
        <f aca="false">Datos!A62</f>
        <v>2019Q2</v>
      </c>
      <c r="B55" s="20" t="n">
        <f aca="false">Datos!E62</f>
        <v>0.00582819893603537</v>
      </c>
      <c r="C55" s="20" t="n">
        <f aca="false">Datos!C62</f>
        <v>0.0108</v>
      </c>
      <c r="D55" s="20" t="n">
        <f aca="false">Datos!H60</f>
        <v>0.644123654780759</v>
      </c>
      <c r="E55" s="20" t="n">
        <f aca="false">Datos!D62</f>
        <v>-0.236108996995008</v>
      </c>
      <c r="F55" s="17" t="n">
        <v>1</v>
      </c>
      <c r="G55" s="17" t="n">
        <f aca="false">B55-($B$89+$B$90*C55+$B$91*D55+$B$92*E55)</f>
        <v>0.049978057548465</v>
      </c>
      <c r="H55" s="17" t="n">
        <f aca="false">G55^2</f>
        <v>0.00249780623631768</v>
      </c>
      <c r="I55" s="17" t="n">
        <f aca="false">F55*$G55</f>
        <v>0.049978057548465</v>
      </c>
      <c r="J55" s="17" t="n">
        <f aca="false">C55*$G55</f>
        <v>0.000539763021523422</v>
      </c>
      <c r="K55" s="17" t="n">
        <f aca="false">D55*$G55</f>
        <v>0.0321920490869604</v>
      </c>
      <c r="L55" s="17" t="n">
        <f aca="false">E55*$G55</f>
        <v>-0.0118002690395269</v>
      </c>
    </row>
    <row r="56" customFormat="false" ht="15" hidden="false" customHeight="false" outlineLevel="0" collapsed="false">
      <c r="A56" s="19" t="str">
        <f aca="false">Datos!A63</f>
        <v>2019Q3</v>
      </c>
      <c r="B56" s="20" t="n">
        <f aca="false">Datos!E63</f>
        <v>-0.0175271616356651</v>
      </c>
      <c r="C56" s="20" t="n">
        <f aca="false">Datos!C63</f>
        <v>0.0119</v>
      </c>
      <c r="D56" s="20" t="n">
        <f aca="false">Datos!H61</f>
        <v>0.595882035818727</v>
      </c>
      <c r="E56" s="20" t="n">
        <f aca="false">Datos!D63</f>
        <v>-0.20557363698353</v>
      </c>
      <c r="F56" s="17" t="n">
        <v>1</v>
      </c>
      <c r="G56" s="17" t="n">
        <f aca="false">B56-($B$89+$B$90*C56+$B$91*D56+$B$92*E56)</f>
        <v>0.0203944021652112</v>
      </c>
      <c r="H56" s="17" t="n">
        <f aca="false">G56^2</f>
        <v>0.000415931639676372</v>
      </c>
      <c r="I56" s="17" t="n">
        <f aca="false">F56*$G56</f>
        <v>0.0203944021652112</v>
      </c>
      <c r="J56" s="17" t="n">
        <f aca="false">C56*$G56</f>
        <v>0.000242693385766014</v>
      </c>
      <c r="K56" s="17" t="n">
        <f aca="false">D56*$G56</f>
        <v>0.0121526578815119</v>
      </c>
      <c r="L56" s="17" t="n">
        <f aca="false">E56*$G56</f>
        <v>-0.00419255142720725</v>
      </c>
    </row>
    <row r="57" customFormat="false" ht="15" hidden="false" customHeight="false" outlineLevel="0" collapsed="false">
      <c r="A57" s="19" t="str">
        <f aca="false">Datos!A64</f>
        <v>2019Q4</v>
      </c>
      <c r="B57" s="20" t="n">
        <f aca="false">Datos!E64</f>
        <v>-0.0107484273951806</v>
      </c>
      <c r="C57" s="20" t="n">
        <f aca="false">Datos!C64</f>
        <v>0.0167</v>
      </c>
      <c r="D57" s="20" t="n">
        <f aca="false">Datos!H62</f>
        <v>0.622163610093435</v>
      </c>
      <c r="E57" s="20" t="n">
        <f aca="false">Datos!D64</f>
        <v>-0.0926086528016115</v>
      </c>
      <c r="F57" s="17" t="n">
        <v>1</v>
      </c>
      <c r="G57" s="17" t="n">
        <f aca="false">B57-($B$89+$B$90*C57+$B$91*D57+$B$92*E57)</f>
        <v>0.0133163361578886</v>
      </c>
      <c r="H57" s="17" t="n">
        <f aca="false">G57^2</f>
        <v>0.000177324808669892</v>
      </c>
      <c r="I57" s="17" t="n">
        <f aca="false">F57*$G57</f>
        <v>0.0133163361578886</v>
      </c>
      <c r="J57" s="17" t="n">
        <f aca="false">C57*$G57</f>
        <v>0.00022238281383674</v>
      </c>
      <c r="K57" s="17" t="n">
        <f aca="false">D57*$G57</f>
        <v>0.00828493977720972</v>
      </c>
      <c r="L57" s="17" t="n">
        <f aca="false">E57*$G57</f>
        <v>-0.00123320795183545</v>
      </c>
    </row>
    <row r="58" customFormat="false" ht="15" hidden="false" customHeight="false" outlineLevel="0" collapsed="false">
      <c r="A58" s="19" t="str">
        <f aca="false">Datos!A65</f>
        <v>2020Q1</v>
      </c>
      <c r="B58" s="20" t="n">
        <f aca="false">Datos!E65</f>
        <v>-0.0502506965865937</v>
      </c>
      <c r="C58" s="20" t="n">
        <f aca="false">Datos!C65</f>
        <v>0.0041</v>
      </c>
      <c r="D58" s="20" t="n">
        <f aca="false">Datos!H63</f>
        <v>0.894294019563908</v>
      </c>
      <c r="E58" s="20" t="n">
        <f aca="false">Datos!D65</f>
        <v>0.0122906221442038</v>
      </c>
      <c r="F58" s="17" t="n">
        <v>1</v>
      </c>
      <c r="G58" s="17" t="n">
        <f aca="false">B58-($B$89+$B$90*C58+$B$91*D58+$B$92*E58)</f>
        <v>-0.00890973878286808</v>
      </c>
      <c r="H58" s="17" t="n">
        <f aca="false">G58^2</f>
        <v>7.93834451789435E-005</v>
      </c>
      <c r="I58" s="17" t="n">
        <f aca="false">F58*$G58</f>
        <v>-0.00890973878286808</v>
      </c>
      <c r="J58" s="17" t="n">
        <f aca="false">C58*$G58</f>
        <v>-3.65299290097591E-005</v>
      </c>
      <c r="K58" s="17" t="n">
        <f aca="false">D58*$G58</f>
        <v>-0.00796792610939553</v>
      </c>
      <c r="L58" s="17" t="n">
        <f aca="false">E58*$G58</f>
        <v>-0.00010950623278379</v>
      </c>
    </row>
    <row r="59" customFormat="false" ht="15" hidden="false" customHeight="false" outlineLevel="0" collapsed="false">
      <c r="A59" s="19" t="str">
        <f aca="false">Datos!A66</f>
        <v>2020Q2</v>
      </c>
      <c r="B59" s="20" t="n">
        <f aca="false">Datos!E66</f>
        <v>-0.189421940385846</v>
      </c>
      <c r="C59" s="20" t="n">
        <f aca="false">Datos!C66</f>
        <v>-0.1014</v>
      </c>
      <c r="D59" s="20" t="n">
        <f aca="false">Datos!H64</f>
        <v>1.1351545703943</v>
      </c>
      <c r="E59" s="20" t="n">
        <f aca="false">Datos!D66</f>
        <v>0.300423401546326</v>
      </c>
      <c r="F59" s="17" t="n">
        <v>1</v>
      </c>
      <c r="G59" s="17" t="n">
        <f aca="false">B59-($B$89+$B$90*C59+$B$91*D59+$B$92*E59)</f>
        <v>-0.0500727822444025</v>
      </c>
      <c r="H59" s="17" t="n">
        <f aca="false">G59^2</f>
        <v>0.00250728352169535</v>
      </c>
      <c r="I59" s="17" t="n">
        <f aca="false">F59*$G59</f>
        <v>-0.0500727822444025</v>
      </c>
      <c r="J59" s="17" t="n">
        <f aca="false">C59*$G59</f>
        <v>0.00507738011958241</v>
      </c>
      <c r="K59" s="17" t="n">
        <f aca="false">D59*$G59</f>
        <v>-0.056840347617092</v>
      </c>
      <c r="L59" s="17" t="n">
        <f aca="false">E59*$G59</f>
        <v>-0.0150430355667519</v>
      </c>
    </row>
    <row r="60" customFormat="false" ht="15" hidden="false" customHeight="false" outlineLevel="0" collapsed="false">
      <c r="A60" s="19" t="str">
        <f aca="false">Datos!A67</f>
        <v>2020Q3</v>
      </c>
      <c r="B60" s="20" t="n">
        <f aca="false">Datos!E67</f>
        <v>-0.101927662759163</v>
      </c>
      <c r="C60" s="20" t="n">
        <f aca="false">Datos!C67</f>
        <v>-0.0304</v>
      </c>
      <c r="D60" s="20" t="n">
        <f aca="false">Datos!H65</f>
        <v>1.19114186053253</v>
      </c>
      <c r="E60" s="20" t="n">
        <f aca="false">Datos!D67</f>
        <v>0.333534308594002</v>
      </c>
      <c r="F60" s="17" t="n">
        <v>1</v>
      </c>
      <c r="G60" s="17" t="n">
        <f aca="false">B60-($B$89+$B$90*C60+$B$91*D60+$B$92*E60)</f>
        <v>-0.0381125818249399</v>
      </c>
      <c r="H60" s="17" t="n">
        <f aca="false">G60^2</f>
        <v>0.00145256889336274</v>
      </c>
      <c r="I60" s="17" t="n">
        <f aca="false">F60*$G60</f>
        <v>-0.0381125818249399</v>
      </c>
      <c r="J60" s="17" t="n">
        <f aca="false">C60*$G60</f>
        <v>0.00115862248747817</v>
      </c>
      <c r="K60" s="17" t="n">
        <f aca="false">D60*$G60</f>
        <v>-0.0453974916246573</v>
      </c>
      <c r="L60" s="17" t="n">
        <f aca="false">E60*$G60</f>
        <v>-0.0127118536277137</v>
      </c>
    </row>
    <row r="61" customFormat="false" ht="15" hidden="false" customHeight="false" outlineLevel="0" collapsed="false">
      <c r="A61" s="19" t="str">
        <f aca="false">Datos!A68</f>
        <v>2020Q4</v>
      </c>
      <c r="B61" s="20" t="n">
        <f aca="false">Datos!E68</f>
        <v>-0.0431329947641036</v>
      </c>
      <c r="C61" s="20" t="n">
        <f aca="false">Datos!C68</f>
        <v>-0.0033</v>
      </c>
      <c r="D61" s="20" t="n">
        <f aca="false">Datos!H66</f>
        <v>1.26524980056465</v>
      </c>
      <c r="E61" s="20" t="n">
        <f aca="false">Datos!D68</f>
        <v>0.310601242607967</v>
      </c>
      <c r="F61" s="17" t="n">
        <v>1</v>
      </c>
      <c r="G61" s="17" t="n">
        <f aca="false">B61-($B$89+$B$90*C61+$B$91*D61+$B$92*E61)</f>
        <v>-0.00242061081597292</v>
      </c>
      <c r="H61" s="17" t="n">
        <f aca="false">G61^2</f>
        <v>5.85935672240511E-006</v>
      </c>
      <c r="I61" s="17" t="n">
        <f aca="false">F61*$G61</f>
        <v>-0.00242061081597292</v>
      </c>
      <c r="J61" s="17" t="n">
        <f aca="false">C61*$G61</f>
        <v>7.98801569271065E-006</v>
      </c>
      <c r="K61" s="17" t="n">
        <f aca="false">D61*$G61</f>
        <v>-0.00306267735215437</v>
      </c>
      <c r="L61" s="17" t="n">
        <f aca="false">E61*$G61</f>
        <v>-0.000751844727311474</v>
      </c>
    </row>
    <row r="62" customFormat="false" ht="15" hidden="false" customHeight="false" outlineLevel="0" collapsed="false">
      <c r="A62" s="19" t="str">
        <f aca="false">Datos!A69</f>
        <v>2021Q1</v>
      </c>
      <c r="B62" s="20" t="n">
        <f aca="false">Datos!E69</f>
        <v>0.0323260077948051</v>
      </c>
      <c r="C62" s="20" t="n">
        <f aca="false">Datos!C69</f>
        <v>0.0175</v>
      </c>
      <c r="D62" s="20" t="n">
        <f aca="false">Datos!H67</f>
        <v>0.252154424794131</v>
      </c>
      <c r="E62" s="20" t="n">
        <f aca="false">Datos!D69</f>
        <v>0.133348854537539</v>
      </c>
      <c r="F62" s="17" t="n">
        <v>1</v>
      </c>
      <c r="G62" s="17" t="n">
        <f aca="false">B62-($B$89+$B$90*C62+$B$91*D62+$B$92*E62)</f>
        <v>0.0174543139185903</v>
      </c>
      <c r="H62" s="17" t="n">
        <f aca="false">G62^2</f>
        <v>0.000304653074368694</v>
      </c>
      <c r="I62" s="17" t="n">
        <f aca="false">F62*$G62</f>
        <v>0.0174543139185903</v>
      </c>
      <c r="J62" s="17" t="n">
        <f aca="false">C62*$G62</f>
        <v>0.00030545049357533</v>
      </c>
      <c r="K62" s="17" t="n">
        <f aca="false">D62*$G62</f>
        <v>0.00440118248631833</v>
      </c>
      <c r="L62" s="17" t="n">
        <f aca="false">E62*$G62</f>
        <v>0.00232751276778263</v>
      </c>
    </row>
    <row r="63" customFormat="false" ht="15" hidden="false" customHeight="false" outlineLevel="0" collapsed="false">
      <c r="A63" s="19" t="str">
        <f aca="false">Datos!A70</f>
        <v>2021Q2</v>
      </c>
      <c r="B63" s="20" t="n">
        <f aca="false">Datos!E70</f>
        <v>0.187299607796633</v>
      </c>
      <c r="C63" s="20" t="n">
        <f aca="false">Datos!C70</f>
        <v>0.124</v>
      </c>
      <c r="D63" s="20" t="n">
        <f aca="false">Datos!H68</f>
        <v>-0.435846159902956</v>
      </c>
      <c r="E63" s="20" t="n">
        <f aca="false">Datos!D70</f>
        <v>-0.132961858833637</v>
      </c>
      <c r="F63" s="17" t="n">
        <v>1</v>
      </c>
      <c r="G63" s="17" t="n">
        <f aca="false">B63-($B$89+$B$90*C63+$B$91*D63+$B$92*E63)</f>
        <v>0.0496686942593007</v>
      </c>
      <c r="H63" s="17" t="n">
        <f aca="false">G63^2</f>
        <v>0.00246697918942389</v>
      </c>
      <c r="I63" s="17" t="n">
        <f aca="false">F63*$G63</f>
        <v>0.0496686942593007</v>
      </c>
      <c r="J63" s="17" t="n">
        <f aca="false">C63*$G63</f>
        <v>0.00615891808815328</v>
      </c>
      <c r="K63" s="17" t="n">
        <f aca="false">D63*$G63</f>
        <v>-0.0216479096603102</v>
      </c>
      <c r="L63" s="17" t="n">
        <f aca="false">E63*$G63</f>
        <v>-0.0066040419145562</v>
      </c>
    </row>
    <row r="64" customFormat="false" ht="15" hidden="false" customHeight="false" outlineLevel="0" collapsed="false">
      <c r="A64" s="19" t="str">
        <f aca="false">Datos!A71</f>
        <v>2021Q3</v>
      </c>
      <c r="B64" s="20" t="n">
        <f aca="false">Datos!E71</f>
        <v>0.118145356665691</v>
      </c>
      <c r="C64" s="20" t="n">
        <f aca="false">Datos!C71</f>
        <v>0.0421</v>
      </c>
      <c r="D64" s="20" t="n">
        <f aca="false">Datos!H69</f>
        <v>-0.449682642908338</v>
      </c>
      <c r="E64" s="20" t="n">
        <f aca="false">Datos!D71</f>
        <v>-0.0957517156450476</v>
      </c>
      <c r="F64" s="17" t="n">
        <v>1</v>
      </c>
      <c r="G64" s="17" t="n">
        <f aca="false">B64-($B$89+$B$90*C64+$B$91*D64+$B$92*E64)</f>
        <v>0.0634089156751398</v>
      </c>
      <c r="H64" s="17" t="n">
        <f aca="false">G64^2</f>
        <v>0.00402069058709699</v>
      </c>
      <c r="I64" s="17" t="n">
        <f aca="false">F64*$G64</f>
        <v>0.0634089156751398</v>
      </c>
      <c r="J64" s="17" t="n">
        <f aca="false">C64*$G64</f>
        <v>0.00266951534992339</v>
      </c>
      <c r="K64" s="17" t="n">
        <f aca="false">D64*$G64</f>
        <v>-0.0285138887847488</v>
      </c>
      <c r="L64" s="17" t="n">
        <f aca="false">E64*$G64</f>
        <v>-0.00607151246308679</v>
      </c>
    </row>
    <row r="65" customFormat="false" ht="15" hidden="false" customHeight="false" outlineLevel="0" collapsed="false">
      <c r="A65" s="19" t="str">
        <f aca="false">Datos!A72</f>
        <v>2021Q4</v>
      </c>
      <c r="B65" s="20" t="n">
        <f aca="false">Datos!E72</f>
        <v>0.08364113941174</v>
      </c>
      <c r="C65" s="20" t="n">
        <f aca="false">Datos!C72</f>
        <v>0.0146</v>
      </c>
      <c r="D65" s="20" t="n">
        <f aca="false">Datos!H70</f>
        <v>-0.696117271680444</v>
      </c>
      <c r="E65" s="20" t="n">
        <f aca="false">Datos!D72</f>
        <v>-0.0404740937876135</v>
      </c>
      <c r="F65" s="17" t="n">
        <v>1</v>
      </c>
      <c r="G65" s="17" t="n">
        <f aca="false">B65-($B$89+$B$90*C65+$B$91*D65+$B$92*E65)</f>
        <v>0.0411735489162366</v>
      </c>
      <c r="H65" s="17" t="n">
        <f aca="false">G65^2</f>
        <v>0.00169526113035773</v>
      </c>
      <c r="I65" s="17" t="n">
        <f aca="false">F65*$G65</f>
        <v>0.0411735489162366</v>
      </c>
      <c r="J65" s="17" t="n">
        <f aca="false">C65*$G65</f>
        <v>0.000601133814177054</v>
      </c>
      <c r="K65" s="17" t="n">
        <f aca="false">D65*$G65</f>
        <v>-0.0286616185369719</v>
      </c>
      <c r="L65" s="17" t="n">
        <f aca="false">E65*$G65</f>
        <v>-0.00166646208040465</v>
      </c>
    </row>
    <row r="66" customFormat="false" ht="15" hidden="false" customHeight="false" outlineLevel="0" collapsed="false">
      <c r="A66" s="19" t="str">
        <f aca="false">Datos!A73</f>
        <v>2022Q1</v>
      </c>
      <c r="B66" s="20" t="n">
        <f aca="false">Datos!E73</f>
        <v>0.0686138387185451</v>
      </c>
      <c r="C66" s="20" t="n">
        <f aca="false">Datos!C73</f>
        <v>0.0148</v>
      </c>
      <c r="D66" s="20" t="n">
        <f aca="false">Datos!H71</f>
        <v>-0.242602980902468</v>
      </c>
      <c r="E66" s="20" t="n">
        <f aca="false">Datos!D73</f>
        <v>0.0113625688003993</v>
      </c>
      <c r="F66" s="17" t="n">
        <v>1</v>
      </c>
      <c r="G66" s="17" t="n">
        <f aca="false">B66-($B$89+$B$90*C66+$B$91*D66+$B$92*E66)</f>
        <v>0.0433855122666275</v>
      </c>
      <c r="H66" s="17" t="n">
        <f aca="false">G66^2</f>
        <v>0.00188230267463769</v>
      </c>
      <c r="I66" s="17" t="n">
        <f aca="false">F66*$G66</f>
        <v>0.0433855122666275</v>
      </c>
      <c r="J66" s="17" t="n">
        <f aca="false">C66*$G66</f>
        <v>0.000642105581546087</v>
      </c>
      <c r="K66" s="17" t="n">
        <f aca="false">D66*$G66</f>
        <v>-0.0105254546038644</v>
      </c>
      <c r="L66" s="17" t="n">
        <f aca="false">E66*$G66</f>
        <v>0.000492970868070124</v>
      </c>
    </row>
    <row r="67" customFormat="false" ht="15" hidden="false" customHeight="false" outlineLevel="0" collapsed="false">
      <c r="A67" s="19" t="str">
        <f aca="false">Datos!A74</f>
        <v>2022Q2</v>
      </c>
      <c r="B67" s="20" t="n">
        <f aca="false">Datos!E74</f>
        <v>0.0813001446194395</v>
      </c>
      <c r="C67" s="20" t="n">
        <f aca="false">Datos!C74</f>
        <v>0.0354</v>
      </c>
      <c r="D67" s="20" t="n">
        <f aca="false">Datos!H72</f>
        <v>0.207235640832954</v>
      </c>
      <c r="E67" s="20" t="n">
        <f aca="false">Datos!D74</f>
        <v>-0.0258001512588706</v>
      </c>
      <c r="F67" s="17" t="n">
        <v>1</v>
      </c>
      <c r="G67" s="17" t="n">
        <f aca="false">B67-($B$89+$B$90*C67+$B$91*D67+$B$92*E67)</f>
        <v>0.0594057176807784</v>
      </c>
      <c r="H67" s="17" t="n">
        <f aca="false">G67^2</f>
        <v>0.00352903929316835</v>
      </c>
      <c r="I67" s="17" t="n">
        <f aca="false">F67*$G67</f>
        <v>0.0594057176807784</v>
      </c>
      <c r="J67" s="17" t="n">
        <f aca="false">C67*$G67</f>
        <v>0.00210296240589956</v>
      </c>
      <c r="K67" s="17" t="n">
        <f aca="false">D67*$G67</f>
        <v>0.0123109819727176</v>
      </c>
      <c r="L67" s="17" t="n">
        <f aca="false">E67*$G67</f>
        <v>-0.00153267650180585</v>
      </c>
    </row>
    <row r="68" customFormat="false" ht="15" hidden="false" customHeight="false" outlineLevel="0" collapsed="false">
      <c r="A68" s="19" t="str">
        <f aca="false">Datos!A75</f>
        <v>2022Q3</v>
      </c>
      <c r="B68" s="20" t="n">
        <f aca="false">Datos!E75</f>
        <v>0.066844213632383</v>
      </c>
      <c r="C68" s="20" t="n">
        <f aca="false">Datos!C75</f>
        <v>0.0432</v>
      </c>
      <c r="D68" s="20" t="n">
        <f aca="false">Datos!H73</f>
        <v>0.191547034556169</v>
      </c>
      <c r="E68" s="20" t="n">
        <f aca="false">Datos!D75</f>
        <v>-0.0831824560773343</v>
      </c>
      <c r="F68" s="17" t="n">
        <v>1</v>
      </c>
      <c r="G68" s="17" t="n">
        <f aca="false">B68-($B$89+$B$90*C68+$B$91*D68+$B$92*E68)</f>
        <v>0.0410145554094918</v>
      </c>
      <c r="H68" s="17" t="n">
        <f aca="false">G68^2</f>
        <v>0.00168219375543827</v>
      </c>
      <c r="I68" s="17" t="n">
        <f aca="false">F68*$G68</f>
        <v>0.0410145554094918</v>
      </c>
      <c r="J68" s="17" t="n">
        <f aca="false">C68*$G68</f>
        <v>0.00177182879369004</v>
      </c>
      <c r="K68" s="17" t="n">
        <f aca="false">D68*$G68</f>
        <v>0.00785621646232785</v>
      </c>
      <c r="L68" s="17" t="n">
        <f aca="false">E68*$G68</f>
        <v>-0.00341169145388144</v>
      </c>
    </row>
    <row r="69" customFormat="false" ht="15" hidden="false" customHeight="false" outlineLevel="0" collapsed="false">
      <c r="A69" s="19" t="str">
        <f aca="false">Datos!A76</f>
        <v>2022Q4</v>
      </c>
      <c r="B69" s="20" t="n">
        <f aca="false">Datos!E76</f>
        <v>0.023854276267842</v>
      </c>
      <c r="C69" s="20" t="n">
        <f aca="false">Datos!C76</f>
        <v>0.027</v>
      </c>
      <c r="D69" s="20" t="n">
        <f aca="false">Datos!H74</f>
        <v>0.21757184331262</v>
      </c>
      <c r="E69" s="20" t="n">
        <f aca="false">Datos!D76</f>
        <v>-0.163911151341187</v>
      </c>
      <c r="F69" s="17" t="n">
        <v>1</v>
      </c>
      <c r="G69" s="17" t="n">
        <f aca="false">B69-($B$89+$B$90*C69+$B$91*D69+$B$92*E69)</f>
        <v>0.023652256566196</v>
      </c>
      <c r="H69" s="17" t="n">
        <f aca="false">G69^2</f>
        <v>0.00055942924067316</v>
      </c>
      <c r="I69" s="17" t="n">
        <f aca="false">F69*$G69</f>
        <v>0.023652256566196</v>
      </c>
      <c r="J69" s="17" t="n">
        <f aca="false">C69*$G69</f>
        <v>0.000638610927287291</v>
      </c>
      <c r="K69" s="17" t="n">
        <f aca="false">D69*$G69</f>
        <v>0.00514606505961028</v>
      </c>
      <c r="L69" s="17" t="n">
        <f aca="false">E69*$G69</f>
        <v>-0.00387686860558232</v>
      </c>
    </row>
    <row r="70" customFormat="false" ht="15" hidden="false" customHeight="false" outlineLevel="0" collapsed="false">
      <c r="A70" s="19" t="str">
        <f aca="false">Datos!A77</f>
        <v>2023Q1</v>
      </c>
      <c r="B70" s="20" t="n">
        <f aca="false">Datos!E77</f>
        <v>0.00911982377224452</v>
      </c>
      <c r="C70" s="20" t="n">
        <f aca="false">Datos!C77</f>
        <v>0.0444</v>
      </c>
      <c r="D70" s="20" t="n">
        <f aca="false">Datos!H75</f>
        <v>0.479127260123788</v>
      </c>
      <c r="E70" s="20" t="n">
        <f aca="false">Datos!D77</f>
        <v>-0.176790692165209</v>
      </c>
      <c r="F70" s="17" t="n">
        <v>1</v>
      </c>
      <c r="G70" s="17" t="n">
        <f aca="false">B70-($B$89+$B$90*C70+$B$91*D70+$B$92*E70)</f>
        <v>0.00432853051478587</v>
      </c>
      <c r="H70" s="17" t="n">
        <f aca="false">G70^2</f>
        <v>1.87361764174324E-005</v>
      </c>
      <c r="I70" s="17" t="n">
        <f aca="false">F70*$G70</f>
        <v>0.00432853051478587</v>
      </c>
      <c r="J70" s="17" t="n">
        <f aca="false">C70*$G70</f>
        <v>0.000192186754856493</v>
      </c>
      <c r="K70" s="17" t="n">
        <f aca="false">D70*$G70</f>
        <v>0.00207391696591157</v>
      </c>
      <c r="L70" s="17" t="n">
        <f aca="false">E70*$G70</f>
        <v>-0.000765243905767222</v>
      </c>
    </row>
    <row r="71" customFormat="false" ht="15" hidden="false" customHeight="false" outlineLevel="0" collapsed="false">
      <c r="A71" s="19" t="str">
        <f aca="false">Datos!A78</f>
        <v>2023Q2</v>
      </c>
      <c r="B71" s="20" t="n">
        <f aca="false">Datos!E78</f>
        <v>-0.0567487243252599</v>
      </c>
      <c r="C71" s="20" t="n">
        <f aca="false">Datos!C78</f>
        <v>0.0385</v>
      </c>
      <c r="D71" s="20" t="n">
        <f aca="false">Datos!H76</f>
        <v>0.363434613529283</v>
      </c>
      <c r="E71" s="20" t="n">
        <f aca="false">Datos!D78</f>
        <v>-0.230734676239312</v>
      </c>
      <c r="F71" s="17" t="n">
        <v>1</v>
      </c>
      <c r="G71" s="17" t="n">
        <f aca="false">B71-($B$89+$B$90*C71+$B$91*D71+$B$92*E71)</f>
        <v>-0.0561130685301493</v>
      </c>
      <c r="H71" s="17" t="n">
        <f aca="false">G71^2</f>
        <v>0.00314867645986923</v>
      </c>
      <c r="I71" s="17" t="n">
        <f aca="false">F71*$G71</f>
        <v>-0.0561130685301493</v>
      </c>
      <c r="J71" s="17" t="n">
        <f aca="false">C71*$G71</f>
        <v>-0.00216035313841075</v>
      </c>
      <c r="K71" s="17" t="n">
        <f aca="false">D71*$G71</f>
        <v>-0.020393431375197</v>
      </c>
      <c r="L71" s="17" t="n">
        <f aca="false">E71*$G71</f>
        <v>0.0129472307000983</v>
      </c>
    </row>
    <row r="72" customFormat="false" ht="15" hidden="false" customHeight="false" outlineLevel="0" collapsed="false">
      <c r="A72" s="19" t="str">
        <f aca="false">Datos!A79</f>
        <v>2023Q3</v>
      </c>
      <c r="B72" s="20" t="n">
        <f aca="false">Datos!E79</f>
        <v>-0.00549172525238073</v>
      </c>
      <c r="C72" s="20" t="n">
        <f aca="false">Datos!C79</f>
        <v>0.0235</v>
      </c>
      <c r="D72" s="20" t="n">
        <f aca="false">Datos!H77</f>
        <v>0.14355374164556</v>
      </c>
      <c r="E72" s="20" t="n">
        <f aca="false">Datos!D79</f>
        <v>-0.2598328892436</v>
      </c>
      <c r="F72" s="17" t="n">
        <v>1</v>
      </c>
      <c r="G72" s="17" t="n">
        <f aca="false">B72-($B$89+$B$90*C72+$B$91*D72+$B$92*E72)</f>
        <v>0.00294674636986065</v>
      </c>
      <c r="H72" s="17" t="n">
        <f aca="false">G72^2</f>
        <v>8.68331416828693E-006</v>
      </c>
      <c r="I72" s="17" t="n">
        <f aca="false">F72*$G72</f>
        <v>0.00294674636986065</v>
      </c>
      <c r="J72" s="17" t="n">
        <f aca="false">C72*$G72</f>
        <v>6.92485396917253E-005</v>
      </c>
      <c r="K72" s="17" t="n">
        <f aca="false">D72*$G72</f>
        <v>0.000423016467073968</v>
      </c>
      <c r="L72" s="17" t="n">
        <f aca="false">E72*$G72</f>
        <v>-0.000765661623148983</v>
      </c>
    </row>
    <row r="73" customFormat="false" ht="15" hidden="false" customHeight="false" outlineLevel="0" collapsed="false">
      <c r="A73" s="19" t="str">
        <f aca="false">Datos!A80</f>
        <v>2023Q4</v>
      </c>
      <c r="B73" s="20" t="n">
        <f aca="false">Datos!E80</f>
        <v>-0.0171598554874708</v>
      </c>
      <c r="C73" s="20" t="n">
        <f aca="false">Datos!C80</f>
        <v>0.0238</v>
      </c>
      <c r="D73" s="20" t="n">
        <f aca="false">Datos!H78</f>
        <v>0.257600703111206</v>
      </c>
      <c r="E73" s="20" t="n">
        <f aca="false">Datos!D80</f>
        <v>-0.252313761190249</v>
      </c>
      <c r="F73" s="17" t="n">
        <v>1</v>
      </c>
      <c r="G73" s="17" t="n">
        <f aca="false">B73-($B$89+$B$90*C73+$B$91*D73+$B$92*E73)</f>
        <v>-0.00416057705411175</v>
      </c>
      <c r="H73" s="17" t="n">
        <f aca="false">G73^2</f>
        <v>1.73104014232012E-005</v>
      </c>
      <c r="I73" s="17" t="n">
        <f aca="false">F73*$G73</f>
        <v>-0.00416057705411175</v>
      </c>
      <c r="J73" s="17" t="n">
        <f aca="false">C73*$G73</f>
        <v>-9.90217338878597E-005</v>
      </c>
      <c r="K73" s="17" t="n">
        <f aca="false">D73*$G73</f>
        <v>-0.00107176757448754</v>
      </c>
      <c r="L73" s="17" t="n">
        <f aca="false">E73*$G73</f>
        <v>0.00104977084524478</v>
      </c>
    </row>
    <row r="74" customFormat="false" ht="15" hidden="false" customHeight="false" outlineLevel="0" collapsed="false">
      <c r="A74" s="19" t="str">
        <f aca="false">Datos!A81</f>
        <v>2024Q1</v>
      </c>
      <c r="B74" s="20" t="n">
        <f aca="false">Datos!E81</f>
        <v>-0.0496170325779741</v>
      </c>
      <c r="C74" s="20" t="n">
        <f aca="false">Datos!C81</f>
        <v>0.0246</v>
      </c>
      <c r="D74" s="20" t="n">
        <f aca="false">Datos!H79</f>
        <v>-0.192636209455695</v>
      </c>
      <c r="E74" s="20" t="n">
        <f aca="false">Datos!D81</f>
        <v>-0.326696830055503</v>
      </c>
      <c r="F74" s="17" t="n">
        <v>1</v>
      </c>
      <c r="G74" s="17" t="n">
        <f aca="false">B74-($B$89+$B$90*C74+$B$91*D74+$B$92*E74)</f>
        <v>-0.0527537783296946</v>
      </c>
      <c r="H74" s="17" t="n">
        <f aca="false">G74^2</f>
        <v>0.00278296112805855</v>
      </c>
      <c r="I74" s="17" t="n">
        <f aca="false">F74*$G74</f>
        <v>-0.0527537783296946</v>
      </c>
      <c r="J74" s="17" t="n">
        <f aca="false">C74*$G74</f>
        <v>-0.00129774294691049</v>
      </c>
      <c r="K74" s="17" t="n">
        <f aca="false">D74*$G74</f>
        <v>0.0101622878918983</v>
      </c>
      <c r="L74" s="17" t="n">
        <f aca="false">E74*$G74</f>
        <v>0.0172344921537619</v>
      </c>
    </row>
    <row r="75" customFormat="false" ht="15" hidden="false" customHeight="false" outlineLevel="0" collapsed="false">
      <c r="A75" s="19" t="str">
        <f aca="false">Datos!A82</f>
        <v>2024Q2</v>
      </c>
      <c r="B75" s="20" t="n">
        <f aca="false">Datos!E82</f>
        <v>-0.0108329991805178</v>
      </c>
      <c r="C75" s="20" t="n">
        <f aca="false">Datos!C82</f>
        <v>0.0347</v>
      </c>
      <c r="D75" s="20" t="n">
        <f aca="false">Datos!H80</f>
        <v>-0.108079284075631</v>
      </c>
      <c r="E75" s="20" t="n">
        <f aca="false">Datos!D82</f>
        <v>-0.191082261820379</v>
      </c>
      <c r="F75" s="17" t="n">
        <v>1</v>
      </c>
      <c r="G75" s="17" t="n">
        <f aca="false">B75-($B$89+$B$90*C75+$B$91*D75+$B$92*E75)</f>
        <v>-0.0326276244717955</v>
      </c>
      <c r="H75" s="17" t="n">
        <f aca="false">G75^2</f>
        <v>0.00106456187867251</v>
      </c>
      <c r="I75" s="17" t="n">
        <f aca="false">F75*$G75</f>
        <v>-0.0326276244717955</v>
      </c>
      <c r="J75" s="17" t="n">
        <f aca="false">C75*$G75</f>
        <v>-0.0011321785691713</v>
      </c>
      <c r="K75" s="17" t="n">
        <f aca="false">D75*$G75</f>
        <v>0.00352637029400018</v>
      </c>
      <c r="L75" s="17" t="n">
        <f aca="false">E75*$G75</f>
        <v>0.00623456028189663</v>
      </c>
    </row>
    <row r="76" customFormat="false" ht="15" hidden="false" customHeight="false" outlineLevel="0" collapsed="false">
      <c r="A76" s="19" t="str">
        <f aca="false">Datos!A83</f>
        <v>2024Q3</v>
      </c>
      <c r="B76" s="20" t="n">
        <f aca="false">Datos!E83</f>
        <v>-0.0193706719869603</v>
      </c>
      <c r="C76" s="20" t="n">
        <f aca="false">Datos!C83</f>
        <v>0.0414</v>
      </c>
      <c r="D76" s="20" t="n">
        <f aca="false">Datos!H81</f>
        <v>-0.172479654830256</v>
      </c>
      <c r="E76" s="20" t="n">
        <f aca="false">Datos!D83</f>
        <v>-0.0855806865756779</v>
      </c>
      <c r="F76" s="17" t="n">
        <v>1</v>
      </c>
      <c r="G76" s="17" t="n">
        <f aca="false">B76-($B$89+$B$90*C76+$B$91*D76+$B$92*E76)</f>
        <v>-0.0607849819695193</v>
      </c>
      <c r="H76" s="17" t="n">
        <f aca="false">G76^2</f>
        <v>0.00369481403303478</v>
      </c>
      <c r="I76" s="17" t="n">
        <f aca="false">F76*$G76</f>
        <v>-0.0607849819695193</v>
      </c>
      <c r="J76" s="17" t="n">
        <f aca="false">C76*$G76</f>
        <v>-0.0025164982535381</v>
      </c>
      <c r="K76" s="17" t="n">
        <f aca="false">D76*$G76</f>
        <v>0.010484172708966</v>
      </c>
      <c r="L76" s="17" t="n">
        <f aca="false">E76*$G76</f>
        <v>0.00520202049044166</v>
      </c>
    </row>
    <row r="77" customFormat="false" ht="15" hidden="false" customHeight="false" outlineLevel="0" collapsed="false">
      <c r="A77" s="19" t="str">
        <f aca="false">Datos!A84</f>
        <v>2024Q4</v>
      </c>
      <c r="B77" s="20" t="n">
        <f aca="false">Datos!E84</f>
        <v>0.0263829611146622</v>
      </c>
      <c r="C77" s="20" t="n">
        <f aca="false">Datos!C84</f>
        <v>0.0358</v>
      </c>
      <c r="D77" s="20" t="n">
        <f aca="false">Datos!H82</f>
        <v>-0.61372155065778</v>
      </c>
      <c r="E77" s="20" t="n">
        <f aca="false">Datos!D84</f>
        <v>0.055546860701615</v>
      </c>
      <c r="F77" s="17" t="n">
        <v>1</v>
      </c>
      <c r="G77" s="17" t="n">
        <f aca="false">B77-($B$89+$B$90*C77+$B$91*D77+$B$92*E77)</f>
        <v>-0.0431017937168099</v>
      </c>
      <c r="H77" s="17" t="n">
        <f aca="false">G77^2</f>
        <v>0.00185776462160643</v>
      </c>
      <c r="I77" s="17" t="n">
        <f aca="false">F77*$G77</f>
        <v>-0.0431017937168099</v>
      </c>
      <c r="J77" s="17" t="n">
        <f aca="false">C77*$G77</f>
        <v>-0.00154304421506179</v>
      </c>
      <c r="K77" s="17" t="n">
        <f aca="false">D77*$G77</f>
        <v>0.0264524996760123</v>
      </c>
      <c r="L77" s="17" t="n">
        <f aca="false">E77*$G77</f>
        <v>-0.00239416933157738</v>
      </c>
    </row>
    <row r="78" customFormat="false" ht="15" hidden="false" customHeight="false" outlineLevel="0" collapsed="false">
      <c r="A78" s="19" t="str">
        <f aca="false">Datos!A85</f>
        <v>2025Q1</v>
      </c>
      <c r="B78" s="20" t="n">
        <f aca="false">Datos!E85</f>
        <v>0.0583747415748432</v>
      </c>
      <c r="C78" s="20" t="n">
        <f aca="false">Datos!C85</f>
        <v>0.0315</v>
      </c>
      <c r="D78" s="20" t="n">
        <f aca="false">Datos!H83</f>
        <v>-0.341279884328352</v>
      </c>
      <c r="E78" s="20" t="n">
        <f aca="false">Datos!D85</f>
        <v>0.260662333761717</v>
      </c>
      <c r="F78" s="17" t="n">
        <v>1</v>
      </c>
      <c r="G78" s="17" t="n">
        <f aca="false">B78-($B$89+$B$90*C78+$B$91*D78+$B$92*E78)</f>
        <v>-0.0115330477986907</v>
      </c>
      <c r="H78" s="17" t="n">
        <f aca="false">G78^2</f>
        <v>0.000133011191526885</v>
      </c>
      <c r="I78" s="17" t="n">
        <f aca="false">F78*$G78</f>
        <v>-0.0115330477986907</v>
      </c>
      <c r="J78" s="17" t="n">
        <f aca="false">C78*$G78</f>
        <v>-0.000363291005658758</v>
      </c>
      <c r="K78" s="17" t="n">
        <f aca="false">D78*$G78</f>
        <v>0.00393599721869053</v>
      </c>
      <c r="L78" s="17" t="n">
        <f aca="false">E78*$G78</f>
        <v>-0.00300623115459216</v>
      </c>
    </row>
    <row r="79" customFormat="false" ht="15" hidden="false" customHeight="false" outlineLevel="0" collapsed="false">
      <c r="A79" s="19" t="str">
        <f aca="false">Datos!A86</f>
        <v>2025Q2</v>
      </c>
      <c r="B79" s="20" t="n">
        <f aca="false">Datos!E86</f>
        <v>0.0638141408959982</v>
      </c>
      <c r="C79" s="20" t="n">
        <f aca="false">Datos!C86</f>
        <v>0.0236</v>
      </c>
      <c r="D79" s="20" t="n">
        <f aca="false">Datos!H84</f>
        <v>-0.876147846216728</v>
      </c>
      <c r="E79" s="20" t="n">
        <f aca="false">Datos!D86</f>
        <v>0.289256985193463</v>
      </c>
      <c r="F79" s="17" t="n">
        <v>1</v>
      </c>
      <c r="G79" s="17" t="n">
        <f aca="false">B79-($B$89+$B$90*C79+$B$91*D79+$B$92*E79)</f>
        <v>-0.0262734134631694</v>
      </c>
      <c r="H79" s="17" t="n">
        <f aca="false">G79^2</f>
        <v>0.000690292255006651</v>
      </c>
      <c r="I79" s="17" t="n">
        <f aca="false">F79*$G79</f>
        <v>-0.0262734134631694</v>
      </c>
      <c r="J79" s="17" t="n">
        <f aca="false">C79*$G79</f>
        <v>-0.000620052557730798</v>
      </c>
      <c r="K79" s="17" t="n">
        <f aca="false">D79*$G79</f>
        <v>0.0230193946185175</v>
      </c>
      <c r="L79" s="17" t="n">
        <f aca="false">E79*$G79</f>
        <v>-0.00759976836909772</v>
      </c>
    </row>
    <row r="80" customFormat="false" ht="15" hidden="false" customHeight="false" outlineLevel="0" collapsed="false">
      <c r="A80" s="19" t="str">
        <f aca="false">Datos!A87</f>
        <v>2025Q3</v>
      </c>
      <c r="B80" s="20" t="n">
        <f aca="false">Datos!E87</f>
        <v>0.0325690447876617</v>
      </c>
      <c r="C80" s="20" t="n">
        <f aca="false">Datos!C87</f>
        <v>0.0182</v>
      </c>
      <c r="D80" s="20" t="n">
        <f aca="false">Datos!H85</f>
        <v>-0.94177674074728</v>
      </c>
      <c r="E80" s="20" t="n">
        <f aca="false">Datos!D87</f>
        <v>0.166412356112257</v>
      </c>
      <c r="F80" s="17" t="n">
        <v>1</v>
      </c>
      <c r="G80" s="17" t="n">
        <f aca="false">B80-($B$89+$B$90*C80+$B$91*D80+$B$92*E80)</f>
        <v>-0.0440608280325409</v>
      </c>
      <c r="H80" s="17" t="n">
        <f aca="false">G80^2</f>
        <v>0.00194135656691314</v>
      </c>
      <c r="I80" s="17" t="n">
        <f aca="false">F80*$G80</f>
        <v>-0.0440608280325409</v>
      </c>
      <c r="J80" s="17" t="n">
        <f aca="false">C80*$G80</f>
        <v>-0.000801907070192245</v>
      </c>
      <c r="K80" s="17" t="n">
        <f aca="false">D80*$G80</f>
        <v>0.0414954630191128</v>
      </c>
      <c r="L80" s="17" t="n">
        <f aca="false">E80*$G80</f>
        <v>-0.0073322662051521</v>
      </c>
    </row>
    <row r="81" customFormat="false" ht="15" hidden="false" customHeight="false" outlineLevel="0" collapsed="false">
      <c r="A81" s="19" t="str">
        <f aca="false">Datos!A88</f>
        <v>2025Q4</v>
      </c>
      <c r="B81" s="20" t="n">
        <f aca="false">Datos!E88</f>
        <v>0.0205805070747371</v>
      </c>
      <c r="C81" s="20" t="n">
        <f aca="false">Datos!C88</f>
        <v>0.0182</v>
      </c>
      <c r="D81" s="20" t="n">
        <f aca="false">Datos!H86</f>
        <v>-0.618656899860501</v>
      </c>
      <c r="E81" s="20" t="n">
        <f aca="false">Datos!D88</f>
        <v>0.0721765345604324</v>
      </c>
      <c r="F81" s="17" t="n">
        <v>1</v>
      </c>
      <c r="G81" s="17" t="n">
        <f aca="false">B81-($B$89+$B$90*C81+$B$91*D81+$B$92*E81)</f>
        <v>-0.03195355482645</v>
      </c>
      <c r="H81" s="17" t="n">
        <f aca="false">G81^2</f>
        <v>0.00102102966604695</v>
      </c>
      <c r="I81" s="17" t="n">
        <f aca="false">F81*$G81</f>
        <v>-0.03195355482645</v>
      </c>
      <c r="J81" s="17" t="n">
        <f aca="false">C81*$G81</f>
        <v>-0.000581554697841391</v>
      </c>
      <c r="K81" s="17" t="n">
        <f aca="false">D81*$G81</f>
        <v>0.0197682871684541</v>
      </c>
      <c r="L81" s="17" t="n">
        <f aca="false">E81*$G81</f>
        <v>-0.00230629685425994</v>
      </c>
    </row>
    <row r="82" customFormat="false" ht="15" hidden="false" customHeight="false" outlineLevel="0" collapsed="false">
      <c r="A82" s="19" t="str">
        <f aca="false">Datos!A89</f>
        <v>2026Q1</v>
      </c>
      <c r="B82" s="20" t="n">
        <f aca="false">Datos!E89</f>
        <v>0.024694045208276</v>
      </c>
      <c r="C82" s="20" t="n">
        <f aca="false">Datos!C89</f>
        <v>0.0182</v>
      </c>
      <c r="D82" s="20" t="n">
        <f aca="false">Datos!H87</f>
        <v>-0.538801368933996</v>
      </c>
      <c r="E82" s="20" t="n">
        <f aca="false">Datos!D89</f>
        <v>-0.0302608259736679</v>
      </c>
      <c r="F82" s="17" t="n">
        <v>1</v>
      </c>
      <c r="G82" s="17" t="n">
        <f aca="false">B82-($B$89+$B$90*C82+$B$91*D82+$B$92*E82)</f>
        <v>-0.0148480450675105</v>
      </c>
      <c r="H82" s="17" t="n">
        <f aca="false">G82^2</f>
        <v>0.000220464442326823</v>
      </c>
      <c r="I82" s="17" t="n">
        <f aca="false">F82*$G82</f>
        <v>-0.0148480450675105</v>
      </c>
      <c r="J82" s="17" t="n">
        <f aca="false">C82*$G82</f>
        <v>-0.000270234420228691</v>
      </c>
      <c r="K82" s="17" t="n">
        <f aca="false">D82*$G82</f>
        <v>0.00800014700836832</v>
      </c>
      <c r="L82" s="17" t="n">
        <f aca="false">E82*$G82</f>
        <v>0.000449314107837113</v>
      </c>
    </row>
    <row r="87" customFormat="false" ht="15" hidden="false" customHeight="false" outlineLevel="0" collapsed="false">
      <c r="A87" s="21" t="s">
        <v>143</v>
      </c>
      <c r="B87" s="22"/>
      <c r="C87" s="22"/>
      <c r="D87" s="22"/>
      <c r="E87" s="22"/>
      <c r="F87" s="22"/>
      <c r="G87" s="22"/>
    </row>
    <row r="88" customFormat="false" ht="15" hidden="false" customHeight="false" outlineLevel="0" collapsed="false">
      <c r="A88" s="14" t="s">
        <v>23</v>
      </c>
      <c r="B88" s="14" t="s">
        <v>24</v>
      </c>
      <c r="C88" s="14" t="s">
        <v>144</v>
      </c>
      <c r="D88" s="14" t="s">
        <v>145</v>
      </c>
      <c r="E88" s="14" t="s">
        <v>19</v>
      </c>
      <c r="G88" s="11" t="s">
        <v>146</v>
      </c>
      <c r="H88" s="23" t="n">
        <f aca="false">INDEX(LINEST($B$6:$B$82,$C$6:$E$82,TRUE(),TRUE()),4,2)</f>
        <v>73</v>
      </c>
    </row>
    <row r="89" customFormat="false" ht="15" hidden="false" customHeight="false" outlineLevel="0" collapsed="false">
      <c r="A89" s="24" t="s">
        <v>147</v>
      </c>
      <c r="B89" s="25" t="n">
        <f aca="false">INDEX(LINEST($B$6:$B$82,$C$6:$E$82,TRUE(),TRUE()),1,4)</f>
        <v>-0.00328193814073792</v>
      </c>
      <c r="C89" s="8" t="n">
        <f aca="false">INDEX(LINEST($B$6:$B$82,$C$6:$E$82,TRUE(),TRUE()),2,4)</f>
        <v>0.00429807625709647</v>
      </c>
      <c r="D89" s="5" t="n">
        <f aca="false">B89/C89</f>
        <v>-0.763583041440732</v>
      </c>
      <c r="E89" s="7" t="n">
        <f aca="false">TDIST(ABS(D89),$H$88,2)</f>
        <v>0.447576615955983</v>
      </c>
    </row>
    <row r="90" customFormat="false" ht="15" hidden="false" customHeight="false" outlineLevel="0" collapsed="false">
      <c r="A90" s="24" t="s">
        <v>133</v>
      </c>
      <c r="B90" s="25" t="n">
        <f aca="false">INDEX(LINEST($B$6:$B$82,$C$6:$E$82,TRUE(),TRUE()),1,3)</f>
        <v>1.06075489576767</v>
      </c>
      <c r="C90" s="8" t="n">
        <f aca="false">INDEX(LINEST($B$6:$B$82,$C$6:$E$82,TRUE(),TRUE()),2,3)</f>
        <v>0.107865289910547</v>
      </c>
      <c r="D90" s="5" t="n">
        <f aca="false">B90/C90</f>
        <v>9.83407078076146</v>
      </c>
      <c r="E90" s="7" t="n">
        <f aca="false">TDIST(ABS(D90),$H$88,2)</f>
        <v>5.17252516460627E-015</v>
      </c>
    </row>
    <row r="91" customFormat="false" ht="15" hidden="false" customHeight="false" outlineLevel="0" collapsed="false">
      <c r="A91" s="24" t="s">
        <v>159</v>
      </c>
      <c r="B91" s="25" t="n">
        <f aca="false">INDEX(LINEST($B$6:$B$82,$C$6:$E$82,TRUE(),TRUE()),1,2)</f>
        <v>-0.0486426817665085</v>
      </c>
      <c r="C91" s="8" t="n">
        <f aca="false">INDEX(LINEST($B$6:$B$82,$C$6:$E$82,TRUE(),TRUE()),2,2)</f>
        <v>0.00700232943982988</v>
      </c>
      <c r="D91" s="5" t="n">
        <f aca="false">B91/C91</f>
        <v>-6.94664285427997</v>
      </c>
      <c r="E91" s="7" t="n">
        <f aca="false">TDIST(ABS(D91),$H$88,2)</f>
        <v>1.30808655070641E-009</v>
      </c>
    </row>
    <row r="92" customFormat="false" ht="15" hidden="false" customHeight="false" outlineLevel="0" collapsed="false">
      <c r="A92" s="24" t="s">
        <v>135</v>
      </c>
      <c r="B92" s="25" t="n">
        <f aca="false">INDEX(LINEST($B$6:$B$82,$C$6:$E$82,TRUE(),TRUE()),1,1)</f>
        <v>0.0889088160780485</v>
      </c>
      <c r="C92" s="8" t="n">
        <f aca="false">INDEX(LINEST($B$6:$B$82,$C$6:$E$82,TRUE(),TRUE()),2,1)</f>
        <v>0.0262483243130543</v>
      </c>
      <c r="D92" s="5" t="n">
        <f aca="false">B92/C92</f>
        <v>3.38721874271535</v>
      </c>
      <c r="E92" s="7" t="n">
        <f aca="false">TDIST(ABS(D92),$H$88,2)</f>
        <v>0.00114048258601976</v>
      </c>
    </row>
    <row r="94" customFormat="false" ht="15" hidden="false" customHeight="false" outlineLevel="0" collapsed="false">
      <c r="A94" s="21" t="s">
        <v>148</v>
      </c>
      <c r="B94" s="22"/>
      <c r="C94" s="22"/>
      <c r="D94" s="22"/>
      <c r="E94" s="22"/>
      <c r="F94" s="22"/>
      <c r="G94" s="22"/>
    </row>
    <row r="95" customFormat="false" ht="15" hidden="false" customHeight="false" outlineLevel="0" collapsed="false">
      <c r="A95" s="24" t="s">
        <v>149</v>
      </c>
      <c r="B95" s="5" t="n">
        <f aca="false">COUNT($B$6:$B$82)</f>
        <v>77</v>
      </c>
    </row>
    <row r="96" customFormat="false" ht="15" hidden="false" customHeight="false" outlineLevel="0" collapsed="false">
      <c r="A96" s="24" t="s">
        <v>7</v>
      </c>
      <c r="B96" s="5" t="n">
        <v>4</v>
      </c>
    </row>
    <row r="97" customFormat="false" ht="15" hidden="false" customHeight="false" outlineLevel="0" collapsed="false">
      <c r="A97" s="24" t="s">
        <v>8</v>
      </c>
      <c r="B97" s="6" t="n">
        <f aca="false">INDEX(LINEST($B$6:$B$82,$C$6:$E$82,TRUE(),TRUE()),3,1)</f>
        <v>0.733079568187177</v>
      </c>
    </row>
    <row r="98" customFormat="false" ht="15" hidden="false" customHeight="false" outlineLevel="0" collapsed="false">
      <c r="A98" s="24" t="s">
        <v>9</v>
      </c>
      <c r="B98" s="26" t="n">
        <f aca="false">1-(1-B97)*(B95-1)/(B95-B96)</f>
        <v>0.722110235372952</v>
      </c>
    </row>
    <row r="99" customFormat="false" ht="15" hidden="false" customHeight="false" outlineLevel="0" collapsed="false">
      <c r="A99" s="24" t="s">
        <v>10</v>
      </c>
      <c r="B99" s="8" t="n">
        <f aca="false">INDEX(LINEST($B$6:$B$82,$C$6:$E$82,TRUE(),TRUE()),5,2)</f>
        <v>0.0749463231344822</v>
      </c>
    </row>
    <row r="100" customFormat="false" ht="15" hidden="false" customHeight="false" outlineLevel="0" collapsed="false">
      <c r="A100" s="24" t="s">
        <v>150</v>
      </c>
      <c r="B100" s="6" t="n">
        <f aca="false">-B95/2*(LN(2*PI())+LN(B99/B95)+1)</f>
        <v>157.731091543404</v>
      </c>
    </row>
    <row r="101" customFormat="false" ht="15" hidden="false" customHeight="false" outlineLevel="0" collapsed="false">
      <c r="A101" s="24" t="s">
        <v>11</v>
      </c>
      <c r="B101" s="27" t="n">
        <f aca="false">-2*B100+2*B96</f>
        <v>-307.462183086809</v>
      </c>
    </row>
    <row r="102" customFormat="false" ht="15" hidden="false" customHeight="false" outlineLevel="0" collapsed="false">
      <c r="A102" s="24" t="s">
        <v>12</v>
      </c>
      <c r="B102" s="27" t="n">
        <f aca="false">-2*B100+LN(B95)*B96</f>
        <v>-298.086961399394</v>
      </c>
    </row>
    <row r="104" customFormat="false" ht="15" hidden="false" customHeight="false" outlineLevel="0" collapsed="false">
      <c r="A104" s="10" t="s">
        <v>13</v>
      </c>
      <c r="B104" s="28" t="n">
        <f aca="false">SUMXMY2(G7:G82,G6:G81)/SUMSQ(G6:G82)</f>
        <v>0.757268258054722</v>
      </c>
    </row>
    <row r="106" customFormat="false" ht="15" hidden="false" customHeight="false" outlineLevel="0" collapsed="false">
      <c r="A106" s="21" t="s">
        <v>164</v>
      </c>
      <c r="B106" s="22"/>
      <c r="C106" s="22"/>
      <c r="D106" s="22"/>
      <c r="E106" s="22"/>
      <c r="F106" s="22"/>
      <c r="G106" s="22"/>
    </row>
    <row r="107" customFormat="false" ht="15" hidden="false" customHeight="false" outlineLevel="0" collapsed="false">
      <c r="A107" s="2" t="s">
        <v>165</v>
      </c>
    </row>
    <row r="108" customFormat="false" ht="15" hidden="false" customHeight="false" outlineLevel="0" collapsed="false">
      <c r="A108" s="10" t="s">
        <v>166</v>
      </c>
    </row>
    <row r="109" customFormat="false" ht="15" hidden="false" customHeight="false" outlineLevel="0" collapsed="false">
      <c r="B109" s="30" t="n">
        <f aca="false">SUMPRODUCT($F$6:$F$82,$F$6:$F$82)</f>
        <v>77</v>
      </c>
      <c r="C109" s="30" t="n">
        <f aca="false">SUMPRODUCT($F$6:$F$82,$C$6:$C$82)</f>
        <v>1.5676</v>
      </c>
      <c r="D109" s="30" t="n">
        <f aca="false">SUMPRODUCT($F$6:$F$82,$D$6:$D$82)</f>
        <v>2.78273463808563</v>
      </c>
      <c r="E109" s="30" t="n">
        <f aca="false">SUMPRODUCT($F$6:$F$82,$E$6:$E$82)</f>
        <v>-0.728849750966435</v>
      </c>
    </row>
    <row r="110" customFormat="false" ht="15" hidden="false" customHeight="false" outlineLevel="0" collapsed="false">
      <c r="B110" s="30" t="n">
        <f aca="false">SUMPRODUCT($C$6:$C$82,$F$6:$F$82)</f>
        <v>1.5676</v>
      </c>
      <c r="C110" s="30" t="n">
        <f aca="false">SUMPRODUCT($C$6:$C$82,$C$6:$C$82)</f>
        <v>0.12665778</v>
      </c>
      <c r="D110" s="30" t="n">
        <f aca="false">SUMPRODUCT($C$6:$C$82,$D$6:$D$82)</f>
        <v>-0.309252695468146</v>
      </c>
      <c r="E110" s="30" t="n">
        <f aca="false">SUMPRODUCT($C$6:$C$82,$E$6:$E$82)</f>
        <v>-0.0402619496060452</v>
      </c>
    </row>
    <row r="111" customFormat="false" ht="15" hidden="false" customHeight="false" outlineLevel="0" collapsed="false">
      <c r="B111" s="30" t="n">
        <f aca="false">SUMPRODUCT($D$6:$D$82,$F$6:$F$82)</f>
        <v>2.78273463808563</v>
      </c>
      <c r="C111" s="30" t="n">
        <f aca="false">SUMPRODUCT($D$6:$D$82,$C$6:$C$82)</f>
        <v>-0.309252695468146</v>
      </c>
      <c r="D111" s="30" t="n">
        <f aca="false">SUMPRODUCT($D$6:$D$82,$D$6:$D$82)</f>
        <v>22.4978065166777</v>
      </c>
      <c r="E111" s="30" t="n">
        <f aca="false">SUMPRODUCT($D$6:$D$82,$E$6:$E$82)</f>
        <v>-0.189548201620901</v>
      </c>
    </row>
    <row r="112" customFormat="false" ht="15" hidden="false" customHeight="false" outlineLevel="0" collapsed="false">
      <c r="B112" s="30" t="n">
        <f aca="false">SUMPRODUCT($E$6:$E$82,$F$6:$F$82)</f>
        <v>-0.728849750966435</v>
      </c>
      <c r="C112" s="30" t="n">
        <f aca="false">SUMPRODUCT($E$6:$E$82,$C$6:$C$82)</f>
        <v>-0.0402619496060452</v>
      </c>
      <c r="D112" s="30" t="n">
        <f aca="false">SUMPRODUCT($E$6:$E$82,$D$6:$D$82)</f>
        <v>-0.189548201620901</v>
      </c>
      <c r="E112" s="30" t="n">
        <f aca="false">SUMPRODUCT($E$6:$E$82,$E$6:$E$82)</f>
        <v>1.50710787824525</v>
      </c>
    </row>
    <row r="113" customFormat="false" ht="15" hidden="false" customHeight="false" outlineLevel="0" collapsed="false">
      <c r="A113" s="10" t="s">
        <v>167</v>
      </c>
    </row>
    <row r="114" customFormat="false" ht="15" hidden="false" customHeight="false" outlineLevel="0" collapsed="false">
      <c r="B114" s="30" t="n">
        <f aca="false">INDEX(MINVERSE($B$109:$E$112),1,1)</f>
        <v>0.017993711872199</v>
      </c>
      <c r="C114" s="30" t="n">
        <f aca="false">INDEX(MINVERSE($B$109:$E$112),1,2)</f>
        <v>-0.235454244787397</v>
      </c>
      <c r="D114" s="30" t="n">
        <f aca="false">INDEX(MINVERSE($B$109:$E$112),1,3)</f>
        <v>-0.00544761097204075</v>
      </c>
      <c r="E114" s="30" t="n">
        <f aca="false">INDEX(MINVERSE($B$109:$E$112),1,4)</f>
        <v>0.00172667176221235</v>
      </c>
    </row>
    <row r="115" customFormat="false" ht="15" hidden="false" customHeight="false" outlineLevel="0" collapsed="false">
      <c r="B115" s="30" t="n">
        <f aca="false">INDEX(MINVERSE($B$109:$E$112),2,1)</f>
        <v>-0.235454244787397</v>
      </c>
      <c r="C115" s="30" t="n">
        <f aca="false">INDEX(MINVERSE($B$109:$E$112),2,2)</f>
        <v>11.3327669791411</v>
      </c>
      <c r="D115" s="30" t="n">
        <f aca="false">INDEX(MINVERSE($B$109:$E$112),2,3)</f>
        <v>0.186691473319056</v>
      </c>
      <c r="E115" s="30" t="n">
        <f aca="false">INDEX(MINVERSE($B$109:$E$112),2,4)</f>
        <v>0.21236406695198</v>
      </c>
    </row>
    <row r="116" customFormat="false" ht="15" hidden="false" customHeight="false" outlineLevel="0" collapsed="false">
      <c r="B116" s="30" t="n">
        <f aca="false">INDEX(MINVERSE($B$109:$E$112),3,1)</f>
        <v>-0.00544761097204075</v>
      </c>
      <c r="C116" s="30" t="n">
        <f aca="false">INDEX(MINVERSE($B$109:$E$112),3,2)</f>
        <v>0.186691473319056</v>
      </c>
      <c r="D116" s="30" t="n">
        <f aca="false">INDEX(MINVERSE($B$109:$E$112),3,3)</f>
        <v>0.047759262014796</v>
      </c>
      <c r="E116" s="30" t="n">
        <f aca="false">INDEX(MINVERSE($B$109:$E$112),3,4)</f>
        <v>0.00835955753255778</v>
      </c>
    </row>
    <row r="117" customFormat="false" ht="15" hidden="false" customHeight="false" outlineLevel="0" collapsed="false">
      <c r="B117" s="30" t="n">
        <f aca="false">INDEX(MINVERSE($B$109:$E$112),4,1)</f>
        <v>0.00172667176221234</v>
      </c>
      <c r="C117" s="30" t="n">
        <f aca="false">INDEX(MINVERSE($B$109:$E$112),4,2)</f>
        <v>0.21236406695198</v>
      </c>
      <c r="D117" s="30" t="n">
        <f aca="false">INDEX(MINVERSE($B$109:$E$112),4,3)</f>
        <v>0.00835955753255779</v>
      </c>
      <c r="E117" s="30" t="n">
        <f aca="false">INDEX(MINVERSE($B$109:$E$112),4,4)</f>
        <v>0.671082162956955</v>
      </c>
    </row>
    <row r="118" customFormat="false" ht="15" hidden="false" customHeight="false" outlineLevel="0" collapsed="false">
      <c r="A118" s="10" t="s">
        <v>168</v>
      </c>
    </row>
    <row r="119" customFormat="false" ht="15" hidden="false" customHeight="false" outlineLevel="0" collapsed="false">
      <c r="B119" s="30" t="n">
        <f aca="false">SUMPRODUCT($I$6:$I$82,$I$6:$I$82)</f>
        <v>0.0749463231344822</v>
      </c>
      <c r="C119" s="30" t="n">
        <f aca="false">SUMPRODUCT($I$6:$I$82,$J$6:$J$82)</f>
        <v>0.000743312747448323</v>
      </c>
      <c r="D119" s="30" t="n">
        <f aca="false">SUMPRODUCT($I$6:$I$82,$K$6:$K$82)</f>
        <v>-0.00520565956790319</v>
      </c>
      <c r="E119" s="30" t="n">
        <f aca="false">SUMPRODUCT($I$6:$I$82,$L$6:$L$82)</f>
        <v>-0.00239493008103308</v>
      </c>
    </row>
    <row r="120" customFormat="false" ht="15" hidden="false" customHeight="false" outlineLevel="0" collapsed="false">
      <c r="B120" s="30" t="n">
        <f aca="false">SUMPRODUCT($J$6:$J$82,$I$6:$I$82)</f>
        <v>0.000743312747448323</v>
      </c>
      <c r="C120" s="30" t="n">
        <f aca="false">SUMPRODUCT($J$6:$J$82,$J$6:$J$82)</f>
        <v>0.000159330975127976</v>
      </c>
      <c r="D120" s="30" t="n">
        <f aca="false">SUMPRODUCT($J$6:$J$82,$K$6:$K$82)</f>
        <v>-0.000458463244971501</v>
      </c>
      <c r="E120" s="30" t="n">
        <f aca="false">SUMPRODUCT($J$6:$J$82,$L$6:$L$82)</f>
        <v>-0.000244403629690411</v>
      </c>
    </row>
    <row r="121" customFormat="false" ht="15" hidden="false" customHeight="false" outlineLevel="0" collapsed="false">
      <c r="B121" s="30" t="n">
        <f aca="false">SUMPRODUCT($K$6:$K$82,$I$6:$I$82)</f>
        <v>-0.00520565956790319</v>
      </c>
      <c r="C121" s="30" t="n">
        <f aca="false">SUMPRODUCT($K$6:$K$82,$J$6:$J$82)</f>
        <v>-0.000458463244971501</v>
      </c>
      <c r="D121" s="30" t="n">
        <f aca="false">SUMPRODUCT($K$6:$K$82,$K$6:$K$82)</f>
        <v>0.0181488880279996</v>
      </c>
      <c r="E121" s="30" t="n">
        <f aca="false">SUMPRODUCT($K$6:$K$82,$L$6:$L$82)</f>
        <v>0.000496469803390884</v>
      </c>
    </row>
    <row r="122" customFormat="false" ht="15" hidden="false" customHeight="false" outlineLevel="0" collapsed="false">
      <c r="B122" s="30" t="n">
        <f aca="false">SUMPRODUCT($L$6:$L$82,$I$6:$I$82)</f>
        <v>-0.00239493008103308</v>
      </c>
      <c r="C122" s="30" t="n">
        <f aca="false">SUMPRODUCT($L$6:$L$82,$J$6:$J$82)</f>
        <v>-0.000244403629690411</v>
      </c>
      <c r="D122" s="30" t="n">
        <f aca="false">SUMPRODUCT($L$6:$L$82,$K$6:$K$82)</f>
        <v>0.000496469803390884</v>
      </c>
      <c r="E122" s="30" t="n">
        <f aca="false">SUMPRODUCT($L$6:$L$82,$L$6:$L$82)</f>
        <v>0.00167555167133293</v>
      </c>
    </row>
    <row r="123" customFormat="false" ht="15" hidden="false" customHeight="false" outlineLevel="0" collapsed="false">
      <c r="A123" s="10" t="s">
        <v>169</v>
      </c>
    </row>
    <row r="124" customFormat="false" ht="15" hidden="false" customHeight="false" outlineLevel="0" collapsed="false">
      <c r="B124" s="30" t="n">
        <f aca="false">SUMPRODUCT($I$7:$I$82,$I$6:$I$81)</f>
        <v>0.0463767650103407</v>
      </c>
      <c r="C124" s="30" t="n">
        <f aca="false">SUMPRODUCT($I$7:$I$82,$J$6:$J$81)</f>
        <v>0.000334169899501507</v>
      </c>
      <c r="D124" s="30" t="n">
        <f aca="false">SUMPRODUCT($I$7:$I$82,$K$6:$K$81)</f>
        <v>-0.00815068793511464</v>
      </c>
      <c r="E124" s="30" t="n">
        <f aca="false">SUMPRODUCT($I$7:$I$82,$L$6:$L$81)</f>
        <v>-0.000652392558225727</v>
      </c>
    </row>
    <row r="125" customFormat="false" ht="15" hidden="false" customHeight="false" outlineLevel="0" collapsed="false">
      <c r="B125" s="30" t="n">
        <f aca="false">SUMPRODUCT($J$7:$J$82,$I$6:$I$81)</f>
        <v>0.000154201105881516</v>
      </c>
      <c r="C125" s="30" t="n">
        <f aca="false">SUMPRODUCT($J$7:$J$82,$J$6:$J$81)</f>
        <v>6.42190738745597E-005</v>
      </c>
      <c r="D125" s="30" t="n">
        <f aca="false">SUMPRODUCT($J$7:$J$82,$K$6:$K$81)</f>
        <v>-7.13016665549543E-005</v>
      </c>
      <c r="E125" s="30" t="n">
        <f aca="false">SUMPRODUCT($J$7:$J$82,$L$6:$L$81)</f>
        <v>-0.000112266141030102</v>
      </c>
    </row>
    <row r="126" customFormat="false" ht="15" hidden="false" customHeight="false" outlineLevel="0" collapsed="false">
      <c r="B126" s="30" t="n">
        <f aca="false">SUMPRODUCT($K$7:$K$82,$I$6:$I$81)</f>
        <v>-0.00640547857234256</v>
      </c>
      <c r="C126" s="30" t="n">
        <f aca="false">SUMPRODUCT($K$7:$K$82,$J$6:$J$81)</f>
        <v>-0.000351982638391671</v>
      </c>
      <c r="D126" s="30" t="n">
        <f aca="false">SUMPRODUCT($K$7:$K$82,$K$6:$K$81)</f>
        <v>0.00823099723694082</v>
      </c>
      <c r="E126" s="30" t="n">
        <f aca="false">SUMPRODUCT($K$7:$K$82,$L$6:$L$81)</f>
        <v>0.000553187394947014</v>
      </c>
    </row>
    <row r="127" customFormat="false" ht="15" hidden="false" customHeight="false" outlineLevel="0" collapsed="false">
      <c r="B127" s="30" t="n">
        <f aca="false">SUMPRODUCT($L$7:$L$82,$I$6:$I$81)</f>
        <v>-0.000807718307742336</v>
      </c>
      <c r="C127" s="30" t="n">
        <f aca="false">SUMPRODUCT($L$7:$L$82,$J$6:$J$81)</f>
        <v>-0.000146411707551321</v>
      </c>
      <c r="D127" s="30" t="n">
        <f aca="false">SUMPRODUCT($L$7:$L$82,$K$6:$K$81)</f>
        <v>0.000716736270502725</v>
      </c>
      <c r="E127" s="30" t="n">
        <f aca="false">SUMPRODUCT($L$7:$L$82,$L$6:$L$81)</f>
        <v>0.000658616603706628</v>
      </c>
    </row>
    <row r="128" customFormat="false" ht="15" hidden="false" customHeight="false" outlineLevel="0" collapsed="false">
      <c r="A128" s="10" t="s">
        <v>170</v>
      </c>
    </row>
    <row r="129" customFormat="false" ht="15" hidden="false" customHeight="false" outlineLevel="0" collapsed="false">
      <c r="B129" s="30" t="n">
        <f aca="false">SUMPRODUCT($I$8:$I$82,$I$6:$I$80)</f>
        <v>0.0230676031127991</v>
      </c>
      <c r="C129" s="30" t="n">
        <f aca="false">SUMPRODUCT($I$8:$I$82,$J$6:$J$80)</f>
        <v>0.000524785174552643</v>
      </c>
      <c r="D129" s="30" t="n">
        <f aca="false">SUMPRODUCT($I$8:$I$82,$K$6:$K$80)</f>
        <v>-0.00966403028180428</v>
      </c>
      <c r="E129" s="30" t="n">
        <f aca="false">SUMPRODUCT($I$8:$I$82,$L$6:$L$80)</f>
        <v>-0.000532464726818443</v>
      </c>
    </row>
    <row r="130" customFormat="false" ht="15" hidden="false" customHeight="false" outlineLevel="0" collapsed="false">
      <c r="B130" s="30" t="n">
        <f aca="false">SUMPRODUCT($J$8:$J$82,$I$6:$I$80)</f>
        <v>0.000207396846856986</v>
      </c>
      <c r="C130" s="30" t="n">
        <f aca="false">SUMPRODUCT($J$8:$J$82,$J$6:$J$80)</f>
        <v>3.44550601074978E-005</v>
      </c>
      <c r="D130" s="30" t="n">
        <f aca="false">SUMPRODUCT($J$8:$J$82,$K$6:$K$80)</f>
        <v>-0.000124872674220375</v>
      </c>
      <c r="E130" s="30" t="n">
        <f aca="false">SUMPRODUCT($J$8:$J$82,$L$6:$L$80)</f>
        <v>-9.69110141232482E-005</v>
      </c>
    </row>
    <row r="131" customFormat="false" ht="15" hidden="false" customHeight="false" outlineLevel="0" collapsed="false">
      <c r="B131" s="30" t="n">
        <f aca="false">SUMPRODUCT($K$8:$K$82,$I$6:$I$80)</f>
        <v>-0.00830453909771426</v>
      </c>
      <c r="C131" s="30" t="n">
        <f aca="false">SUMPRODUCT($K$8:$K$82,$J$6:$J$80)</f>
        <v>-0.000294249702204029</v>
      </c>
      <c r="D131" s="30" t="n">
        <f aca="false">SUMPRODUCT($K$8:$K$82,$K$6:$K$80)</f>
        <v>0.00148819546981391</v>
      </c>
      <c r="E131" s="30" t="n">
        <f aca="false">SUMPRODUCT($K$8:$K$82,$L$6:$L$80)</f>
        <v>0.000458254206169986</v>
      </c>
    </row>
    <row r="132" customFormat="false" ht="15" hidden="false" customHeight="false" outlineLevel="0" collapsed="false">
      <c r="B132" s="30" t="n">
        <f aca="false">SUMPRODUCT($L$8:$L$82,$I$6:$I$80)</f>
        <v>-0.000254344634362232</v>
      </c>
      <c r="C132" s="30" t="n">
        <f aca="false">SUMPRODUCT($L$8:$L$82,$J$6:$J$80)</f>
        <v>-1.01767203089422E-005</v>
      </c>
      <c r="D132" s="30" t="n">
        <f aca="false">SUMPRODUCT($L$8:$L$82,$K$6:$K$80)</f>
        <v>0.000130488529734477</v>
      </c>
      <c r="E132" s="30" t="n">
        <f aca="false">SUMPRODUCT($L$8:$L$82,$L$6:$L$80)</f>
        <v>6.83006244319622E-005</v>
      </c>
    </row>
    <row r="133" customFormat="false" ht="15" hidden="false" customHeight="false" outlineLevel="0" collapsed="false">
      <c r="A133" s="10" t="s">
        <v>171</v>
      </c>
    </row>
    <row r="134" customFormat="false" ht="15" hidden="false" customHeight="false" outlineLevel="0" collapsed="false">
      <c r="B134" s="30" t="n">
        <f aca="false">SUMPRODUCT($I$9:$I$82,$I$6:$I$79)</f>
        <v>0.0093451847974994</v>
      </c>
      <c r="C134" s="30" t="n">
        <f aca="false">SUMPRODUCT($I$9:$I$82,$J$6:$J$79)</f>
        <v>0.000802344492521645</v>
      </c>
      <c r="D134" s="30" t="n">
        <f aca="false">SUMPRODUCT($I$9:$I$82,$K$6:$K$79)</f>
        <v>-0.00849510086072021</v>
      </c>
      <c r="E134" s="30" t="n">
        <f aca="false">SUMPRODUCT($I$9:$I$82,$L$6:$L$79)</f>
        <v>-0.00145567597465165</v>
      </c>
    </row>
    <row r="135" customFormat="false" ht="15" hidden="false" customHeight="false" outlineLevel="0" collapsed="false">
      <c r="B135" s="30" t="n">
        <f aca="false">SUMPRODUCT($J$9:$J$82,$I$6:$I$79)</f>
        <v>0.00035762664350385</v>
      </c>
      <c r="C135" s="30" t="n">
        <f aca="false">SUMPRODUCT($J$9:$J$82,$J$6:$J$79)</f>
        <v>3.25320224969781E-005</v>
      </c>
      <c r="D135" s="30" t="n">
        <f aca="false">SUMPRODUCT($J$9:$J$82,$K$6:$K$79)</f>
        <v>-0.000364089361457814</v>
      </c>
      <c r="E135" s="30" t="n">
        <f aca="false">SUMPRODUCT($J$9:$J$82,$L$6:$L$79)</f>
        <v>-0.000193073238789142</v>
      </c>
    </row>
    <row r="136" customFormat="false" ht="15" hidden="false" customHeight="false" outlineLevel="0" collapsed="false">
      <c r="B136" s="30" t="n">
        <f aca="false">SUMPRODUCT($K$9:$K$82,$I$6:$I$79)</f>
        <v>-0.00989454115687974</v>
      </c>
      <c r="C136" s="30" t="n">
        <f aca="false">SUMPRODUCT($K$9:$K$82,$J$6:$J$79)</f>
        <v>-0.000360474134783294</v>
      </c>
      <c r="D136" s="30" t="n">
        <f aca="false">SUMPRODUCT($K$9:$K$82,$K$6:$K$79)</f>
        <v>-0.000446892848310942</v>
      </c>
      <c r="E136" s="30" t="n">
        <f aca="false">SUMPRODUCT($K$9:$K$82,$L$6:$L$79)</f>
        <v>0.00133823927257907</v>
      </c>
    </row>
    <row r="137" customFormat="false" ht="15" hidden="false" customHeight="false" outlineLevel="0" collapsed="false">
      <c r="B137" s="30" t="n">
        <f aca="false">SUMPRODUCT($L$9:$L$82,$I$6:$I$79)</f>
        <v>0.000396799998732801</v>
      </c>
      <c r="C137" s="30" t="n">
        <f aca="false">SUMPRODUCT($L$9:$L$82,$J$6:$J$79)</f>
        <v>3.47702725925478E-005</v>
      </c>
      <c r="D137" s="30" t="n">
        <f aca="false">SUMPRODUCT($L$9:$L$82,$K$6:$K$79)</f>
        <v>-0.000454094490021636</v>
      </c>
      <c r="E137" s="30" t="n">
        <f aca="false">SUMPRODUCT($L$9:$L$82,$L$6:$L$79)</f>
        <v>0.000206658516467197</v>
      </c>
    </row>
    <row r="138" customFormat="false" ht="15" hidden="false" customHeight="false" outlineLevel="0" collapsed="false">
      <c r="A138" s="10" t="s">
        <v>172</v>
      </c>
    </row>
    <row r="139" customFormat="false" ht="15" hidden="false" customHeight="false" outlineLevel="0" collapsed="false">
      <c r="B139" s="30" t="n">
        <f aca="false">SUMPRODUCT($I$10:$I$82,$I$6:$I$78)</f>
        <v>-0.00971177230522601</v>
      </c>
      <c r="C139" s="30" t="n">
        <f aca="false">SUMPRODUCT($I$10:$I$82,$J$6:$J$78)</f>
        <v>0.000868787723255902</v>
      </c>
      <c r="D139" s="30" t="n">
        <f aca="false">SUMPRODUCT($I$10:$I$82,$K$6:$K$78)</f>
        <v>-0.0101434126797521</v>
      </c>
      <c r="E139" s="30" t="n">
        <f aca="false">SUMPRODUCT($I$10:$I$82,$L$6:$L$78)</f>
        <v>-0.00125137914745506</v>
      </c>
    </row>
    <row r="140" customFormat="false" ht="15" hidden="false" customHeight="false" outlineLevel="0" collapsed="false">
      <c r="B140" s="30" t="n">
        <f aca="false">SUMPRODUCT($J$10:$J$82,$I$6:$I$78)</f>
        <v>0.000210923694522593</v>
      </c>
      <c r="C140" s="30" t="n">
        <f aca="false">SUMPRODUCT($J$10:$J$82,$J$6:$J$78)</f>
        <v>5.11573756134288E-005</v>
      </c>
      <c r="D140" s="30" t="n">
        <f aca="false">SUMPRODUCT($J$10:$J$82,$K$6:$K$78)</f>
        <v>-0.00055653388266032</v>
      </c>
      <c r="E140" s="30" t="n">
        <f aca="false">SUMPRODUCT($J$10:$J$82,$L$6:$L$78)</f>
        <v>-0.000258098204816059</v>
      </c>
    </row>
    <row r="141" customFormat="false" ht="15" hidden="false" customHeight="false" outlineLevel="0" collapsed="false">
      <c r="B141" s="30" t="n">
        <f aca="false">SUMPRODUCT($K$10:$K$82,$I$6:$I$78)</f>
        <v>-0.00552917700008953</v>
      </c>
      <c r="C141" s="30" t="n">
        <f aca="false">SUMPRODUCT($K$10:$K$82,$J$6:$J$78)</f>
        <v>-0.000276488266586902</v>
      </c>
      <c r="D141" s="30" t="n">
        <f aca="false">SUMPRODUCT($K$10:$K$82,$K$6:$K$78)</f>
        <v>0.00178117061343656</v>
      </c>
      <c r="E141" s="30" t="n">
        <f aca="false">SUMPRODUCT($K$10:$K$82,$L$6:$L$78)</f>
        <v>0.00199795458879652</v>
      </c>
    </row>
    <row r="142" customFormat="false" ht="15" hidden="false" customHeight="false" outlineLevel="0" collapsed="false">
      <c r="B142" s="30" t="n">
        <f aca="false">SUMPRODUCT($L$10:$L$82,$I$6:$I$78)</f>
        <v>0.00132960548866053</v>
      </c>
      <c r="C142" s="30" t="n">
        <f aca="false">SUMPRODUCT($L$10:$L$82,$J$6:$J$78)</f>
        <v>-1.31794481095604E-005</v>
      </c>
      <c r="D142" s="30" t="n">
        <f aca="false">SUMPRODUCT($L$10:$L$82,$K$6:$K$78)</f>
        <v>-0.000102299584864767</v>
      </c>
      <c r="E142" s="30" t="n">
        <f aca="false">SUMPRODUCT($L$10:$L$82,$L$6:$L$78)</f>
        <v>0.000303245138531046</v>
      </c>
    </row>
    <row r="143" customFormat="false" ht="15" hidden="false" customHeight="false" outlineLevel="0" collapsed="false">
      <c r="A143" s="10" t="s">
        <v>173</v>
      </c>
    </row>
    <row r="144" customFormat="false" ht="15" hidden="false" customHeight="false" outlineLevel="0" collapsed="false">
      <c r="B144" s="30" t="n">
        <f aca="false">INDEX($B$119:$E$122,1,1)+0.8*(INDEX($B$124:$E$127,1,1)+INDEX($B$124:$E$127,1,1))+0.6*(INDEX($B$129:$E$132,1,1)+INDEX($B$129:$E$132,1,1))+0.4*(INDEX($B$134:$E$137,1,1)+INDEX($B$134:$E$137,1,1))+0.2*(INDEX($B$139:$E$142,1,1)+INDEX($B$139:$E$142,1,1))</f>
        <v>0.180421709802295</v>
      </c>
      <c r="C144" s="30" t="n">
        <f aca="false">INDEX($B$119:$E$122,1,2)+0.8*(INDEX($B$124:$E$127,1,2)+INDEX($B$124:$E$127,2,1))+0.6*(INDEX($B$129:$E$132,1,2)+INDEX($B$129:$E$132,2,1))+0.4*(INDEX($B$134:$E$137,1,2)+INDEX($B$134:$E$137,2,1))+0.2*(INDEX($B$139:$E$142,1,2)+INDEX($B$139:$E$142,2,1))</f>
        <v>0.00225324950256642</v>
      </c>
      <c r="D144" s="30" t="n">
        <f aca="false">INDEX($B$119:$E$122,1,3)+0.8*(INDEX($B$124:$E$127,1,3)+INDEX($B$124:$E$127,3,1))+0.6*(INDEX($B$129:$E$132,1,3)+INDEX($B$129:$E$132,3,1))+0.4*(INDEX($B$134:$E$137,1,3)+INDEX($B$134:$E$137,3,1))+0.2*(INDEX($B$139:$E$142,1,3)+INDEX($B$139:$E$142,3,1))</f>
        <v>-0.0381221091445884</v>
      </c>
      <c r="E144" s="30" t="n">
        <f aca="false">INDEX($B$119:$E$122,1,4)+0.8*(INDEX($B$124:$E$127,1,4)+INDEX($B$124:$E$127,4,1))+0.6*(INDEX($B$129:$E$132,1,4)+INDEX($B$129:$E$132,4,1))+0.4*(INDEX($B$134:$E$137,1,4)+INDEX($B$134:$E$137,4,1))+0.2*(INDEX($B$139:$E$142,1,4)+INDEX($B$139:$E$142,4,1))</f>
        <v>-0.00444300951264238</v>
      </c>
    </row>
    <row r="145" customFormat="false" ht="15" hidden="false" customHeight="false" outlineLevel="0" collapsed="false">
      <c r="B145" s="30" t="n">
        <f aca="false">INDEX($B$119:$E$122,2,1)+0.8*(INDEX($B$124:$E$127,2,1)+INDEX($B$124:$E$127,1,2))+0.6*(INDEX($B$129:$E$132,2,1)+INDEX($B$129:$E$132,1,2))+0.4*(INDEX($B$134:$E$137,2,1)+INDEX($B$134:$E$137,1,2))+0.2*(INDEX($B$139:$E$142,2,1)+INDEX($B$139:$E$142,1,2))</f>
        <v>0.00225324950256642</v>
      </c>
      <c r="C145" s="30" t="n">
        <f aca="false">INDEX($B$119:$E$122,2,2)+0.8*(INDEX($B$124:$E$127,2,2)+INDEX($B$124:$E$127,2,2))+0.6*(INDEX($B$129:$E$132,2,2)+INDEX($B$129:$E$132,2,2))+0.4*(INDEX($B$134:$E$137,2,2)+INDEX($B$134:$E$137,2,2))+0.2*(INDEX($B$139:$E$142,2,2)+INDEX($B$139:$E$142,2,2))</f>
        <v>0.000349916133699223</v>
      </c>
      <c r="D145" s="30" t="n">
        <f aca="false">INDEX($B$119:$E$122,2,3)+0.8*(INDEX($B$124:$E$127,2,3)+INDEX($B$124:$E$127,3,2))+0.6*(INDEX($B$129:$E$132,2,3)+INDEX($B$129:$E$132,3,2))+0.4*(INDEX($B$134:$E$137,2,3)+INDEX($B$134:$E$137,3,2))+0.2*(INDEX($B$139:$E$142,2,3)+INDEX($B$139:$E$142,3,2))</f>
        <v>-0.00150499394312933</v>
      </c>
      <c r="E145" s="30" t="n">
        <f aca="false">INDEX($B$119:$E$122,2,4)+0.8*(INDEX($B$124:$E$127,2,4)+INDEX($B$124:$E$127,4,2))+0.6*(INDEX($B$129:$E$132,2,4)+INDEX($B$129:$E$132,4,2))+0.4*(INDEX($B$134:$E$137,2,4)+INDEX($B$134:$E$137,4,2))+0.2*(INDEX($B$139:$E$142,2,4)+INDEX($B$139:$E$142,4,2))</f>
        <v>-0.000633175266278626</v>
      </c>
    </row>
    <row r="146" customFormat="false" ht="15" hidden="false" customHeight="false" outlineLevel="0" collapsed="false">
      <c r="B146" s="30" t="n">
        <f aca="false">INDEX($B$119:$E$122,3,1)+0.8*(INDEX($B$124:$E$127,3,1)+INDEX($B$124:$E$127,1,3))+0.6*(INDEX($B$129:$E$132,3,1)+INDEX($B$129:$E$132,1,3))+0.4*(INDEX($B$134:$E$137,3,1)+INDEX($B$134:$E$137,1,3))+0.2*(INDEX($B$139:$E$142,3,1)+INDEX($B$139:$E$142,1,3))</f>
        <v>-0.0381221091445884</v>
      </c>
      <c r="C146" s="30" t="n">
        <f aca="false">INDEX($B$119:$E$122,3,2)+0.8*(INDEX($B$124:$E$127,3,2)+INDEX($B$124:$E$127,2,3))+0.6*(INDEX($B$129:$E$132,3,2)+INDEX($B$129:$E$132,2,3))+0.4*(INDEX($B$134:$E$137,3,2)+INDEX($B$134:$E$137,2,3))+0.2*(INDEX($B$139:$E$142,3,2)+INDEX($B$139:$E$142,2,3))</f>
        <v>-0.00150499394312933</v>
      </c>
      <c r="D146" s="30" t="n">
        <f aca="false">INDEX($B$119:$E$122,3,3)+0.8*(INDEX($B$124:$E$127,3,3)+INDEX($B$124:$E$127,3,3))+0.6*(INDEX($B$129:$E$132,3,3)+INDEX($B$129:$E$132,3,3))+0.4*(INDEX($B$134:$E$137,3,3)+INDEX($B$134:$E$137,3,3))+0.2*(INDEX($B$139:$E$142,3,3)+INDEX($B$139:$E$142,3,3))</f>
        <v>0.0334592721376074</v>
      </c>
      <c r="E146" s="30" t="n">
        <f aca="false">INDEX($B$119:$E$122,3,4)+0.8*(INDEX($B$124:$E$127,3,4)+INDEX($B$124:$E$127,4,3))+0.6*(INDEX($B$129:$E$132,3,4)+INDEX($B$129:$E$132,4,3))+0.4*(INDEX($B$134:$E$137,3,4)+INDEX($B$134:$E$137,4,3))+0.2*(INDEX($B$139:$E$142,3,4)+INDEX($B$139:$E$142,4,3))</f>
        <v>0.00259844329110268</v>
      </c>
    </row>
    <row r="147" customFormat="false" ht="15" hidden="false" customHeight="false" outlineLevel="0" collapsed="false">
      <c r="B147" s="30" t="n">
        <f aca="false">INDEX($B$119:$E$122,4,1)+0.8*(INDEX($B$124:$E$127,4,1)+INDEX($B$124:$E$127,1,4))+0.6*(INDEX($B$129:$E$132,4,1)+INDEX($B$129:$E$132,1,4))+0.4*(INDEX($B$134:$E$137,4,1)+INDEX($B$134:$E$137,1,4))+0.2*(INDEX($B$139:$E$142,4,1)+INDEX($B$139:$E$142,1,4))</f>
        <v>-0.00444300951264238</v>
      </c>
      <c r="C147" s="30" t="n">
        <f aca="false">INDEX($B$119:$E$122,4,2)+0.8*(INDEX($B$124:$E$127,4,2)+INDEX($B$124:$E$127,2,4))+0.6*(INDEX($B$129:$E$132,4,2)+INDEX($B$129:$E$132,2,4))+0.4*(INDEX($B$134:$E$137,4,2)+INDEX($B$134:$E$137,2,4))+0.2*(INDEX($B$139:$E$142,4,2)+INDEX($B$139:$E$142,2,4))</f>
        <v>-0.000633175266278626</v>
      </c>
      <c r="D147" s="30" t="n">
        <f aca="false">INDEX($B$119:$E$122,4,3)+0.8*(INDEX($B$124:$E$127,4,3)+INDEX($B$124:$E$127,3,4))+0.6*(INDEX($B$129:$E$132,4,3)+INDEX($B$129:$E$132,3,4))+0.4*(INDEX($B$134:$E$137,4,3)+INDEX($B$134:$E$137,3,4))+0.2*(INDEX($B$139:$E$142,4,3)+INDEX($B$139:$E$142,3,4))</f>
        <v>0.00259844329110268</v>
      </c>
      <c r="E147" s="30" t="n">
        <f aca="false">INDEX($B$119:$E$122,4,4)+0.8*(INDEX($B$124:$E$127,4,4)+INDEX($B$124:$E$127,4,4))+0.6*(INDEX($B$129:$E$132,4,4)+INDEX($B$129:$E$132,4,4))+0.4*(INDEX($B$134:$E$137,4,4)+INDEX($B$134:$E$137,4,4))+0.2*(INDEX($B$139:$E$142,4,4)+INDEX($B$139:$E$142,4,4))</f>
        <v>0.00309792385516806</v>
      </c>
    </row>
    <row r="148" customFormat="false" ht="15" hidden="false" customHeight="false" outlineLevel="0" collapsed="false">
      <c r="A148" s="10" t="s">
        <v>174</v>
      </c>
    </row>
    <row r="149" customFormat="false" ht="15" hidden="false" customHeight="false" outlineLevel="0" collapsed="false">
      <c r="B149" s="30" t="n">
        <f aca="false">INDEX(MMULT(MMULT($B$114:$E$117,$B$144:$E$147),$B$114:$E$117),1,1)</f>
        <v>6.35269576244318E-005</v>
      </c>
      <c r="C149" s="30" t="n">
        <f aca="false">INDEX(MMULT(MMULT($B$114:$E$117,$B$144:$E$147),$B$114:$E$117),1,2)</f>
        <v>-0.00116254785108746</v>
      </c>
      <c r="D149" s="30" t="n">
        <f aca="false">INDEX(MMULT(MMULT($B$114:$E$117,$B$144:$E$147),$B$114:$E$117),1,3)</f>
        <v>-4.61940181165465E-005</v>
      </c>
      <c r="E149" s="30" t="n">
        <f aca="false">INDEX(MMULT(MMULT($B$114:$E$117,$B$144:$E$147),$B$114:$E$117),1,4)</f>
        <v>3.38864473537773E-005</v>
      </c>
    </row>
    <row r="150" customFormat="false" ht="15" hidden="false" customHeight="false" outlineLevel="0" collapsed="false">
      <c r="B150" s="30" t="n">
        <f aca="false">INDEX(MMULT(MMULT($B$114:$E$117,$B$144:$E$147),$B$114:$E$117),2,1)</f>
        <v>-0.00116254785108746</v>
      </c>
      <c r="C150" s="30" t="n">
        <f aca="false">INDEX(MMULT(MMULT($B$114:$E$117,$B$144:$E$147),$B$114:$E$117),2,2)</f>
        <v>0.0388094521348152</v>
      </c>
      <c r="D150" s="30" t="n">
        <f aca="false">INDEX(MMULT(MMULT($B$114:$E$117,$B$144:$E$147),$B$114:$E$117),2,3)</f>
        <v>0.000597065744774167</v>
      </c>
      <c r="E150" s="30" t="n">
        <f aca="false">INDEX(MMULT(MMULT($B$114:$E$117,$B$144:$E$147),$B$114:$E$117),2,4)</f>
        <v>-0.00275900166967298</v>
      </c>
    </row>
    <row r="151" customFormat="false" ht="15" hidden="false" customHeight="false" outlineLevel="0" collapsed="false">
      <c r="B151" s="30" t="n">
        <f aca="false">INDEX(MMULT(MMULT($B$114:$E$117,$B$144:$E$147),$B$114:$E$117),3,1)</f>
        <v>-4.61940181165466E-005</v>
      </c>
      <c r="C151" s="30" t="n">
        <f aca="false">INDEX(MMULT(MMULT($B$114:$E$117,$B$144:$E$147),$B$114:$E$117),3,2)</f>
        <v>0.000597065744774168</v>
      </c>
      <c r="D151" s="30" t="n">
        <f aca="false">INDEX(MMULT(MMULT($B$114:$E$117,$B$144:$E$147),$B$114:$E$117),3,3)</f>
        <v>8.30043835885161E-005</v>
      </c>
      <c r="E151" s="30" t="n">
        <f aca="false">INDEX(MMULT(MMULT($B$114:$E$117,$B$144:$E$147),$B$114:$E$117),3,4)</f>
        <v>4.12022493994895E-005</v>
      </c>
    </row>
    <row r="152" customFormat="false" ht="15" hidden="false" customHeight="false" outlineLevel="0" collapsed="false">
      <c r="B152" s="30" t="n">
        <f aca="false">INDEX(MMULT(MMULT($B$114:$E$117,$B$144:$E$147),$B$114:$E$117),4,1)</f>
        <v>3.38864473537773E-005</v>
      </c>
      <c r="C152" s="30" t="n">
        <f aca="false">INDEX(MMULT(MMULT($B$114:$E$117,$B$144:$E$147),$B$114:$E$117),4,2)</f>
        <v>-0.00275900166967298</v>
      </c>
      <c r="D152" s="30" t="n">
        <f aca="false">INDEX(MMULT(MMULT($B$114:$E$117,$B$144:$E$147),$B$114:$E$117),4,3)</f>
        <v>4.12022493994896E-005</v>
      </c>
      <c r="E152" s="30" t="n">
        <f aca="false">INDEX(MMULT(MMULT($B$114:$E$117,$B$144:$E$147),$B$114:$E$117),4,4)</f>
        <v>0.00124740449295309</v>
      </c>
    </row>
    <row r="154" customFormat="false" ht="15" hidden="false" customHeight="false" outlineLevel="0" collapsed="false">
      <c r="A154" s="14" t="s">
        <v>23</v>
      </c>
      <c r="B154" s="14" t="s">
        <v>24</v>
      </c>
      <c r="C154" s="14" t="s">
        <v>25</v>
      </c>
      <c r="D154" s="14" t="s">
        <v>26</v>
      </c>
      <c r="E154" s="14" t="s">
        <v>27</v>
      </c>
    </row>
    <row r="155" customFormat="false" ht="15" hidden="false" customHeight="false" outlineLevel="0" collapsed="false">
      <c r="A155" s="24" t="s">
        <v>147</v>
      </c>
      <c r="B155" s="8" t="n">
        <f aca="false">B89</f>
        <v>-0.00328193814073792</v>
      </c>
      <c r="C155" s="25" t="n">
        <f aca="false">SQRT(INDEX($B$149:$E$152,1,1))</f>
        <v>0.00797038001756703</v>
      </c>
      <c r="D155" s="5" t="n">
        <f aca="false">B155/C155</f>
        <v>-0.411766833388672</v>
      </c>
      <c r="E155" s="7" t="n">
        <f aca="false">TDIST(ABS(D155),$H$88,2)</f>
        <v>0.681716877923325</v>
      </c>
    </row>
    <row r="156" customFormat="false" ht="15" hidden="false" customHeight="false" outlineLevel="0" collapsed="false">
      <c r="A156" s="24" t="s">
        <v>133</v>
      </c>
      <c r="B156" s="8" t="n">
        <f aca="false">B90</f>
        <v>1.06075489576767</v>
      </c>
      <c r="C156" s="25" t="n">
        <f aca="false">SQRT(INDEX($B$149:$E$152,2,2))</f>
        <v>0.19700114754695</v>
      </c>
      <c r="D156" s="5" t="n">
        <f aca="false">B156/C156</f>
        <v>5.384511252732</v>
      </c>
      <c r="E156" s="7" t="n">
        <f aca="false">TDIST(ABS(D156),$H$88,2)</f>
        <v>8.44996382134811E-007</v>
      </c>
    </row>
    <row r="157" customFormat="false" ht="15" hidden="false" customHeight="false" outlineLevel="0" collapsed="false">
      <c r="A157" s="24" t="s">
        <v>159</v>
      </c>
      <c r="B157" s="8" t="n">
        <f aca="false">B91</f>
        <v>-0.0486426817665085</v>
      </c>
      <c r="C157" s="25" t="n">
        <f aca="false">SQRT(INDEX($B$149:$E$152,3,3))</f>
        <v>0.00911067415664264</v>
      </c>
      <c r="D157" s="5" t="n">
        <f aca="false">B157/C157</f>
        <v>-5.33908697975362</v>
      </c>
      <c r="E157" s="7" t="n">
        <f aca="false">TDIST(ABS(D157),$H$88,2)</f>
        <v>1.01196862486989E-006</v>
      </c>
    </row>
    <row r="158" customFormat="false" ht="15" hidden="false" customHeight="false" outlineLevel="0" collapsed="false">
      <c r="A158" s="24" t="s">
        <v>135</v>
      </c>
      <c r="B158" s="8" t="n">
        <f aca="false">B92</f>
        <v>0.0889088160780485</v>
      </c>
      <c r="C158" s="25" t="n">
        <f aca="false">SQRT(INDEX($B$149:$E$152,4,4))</f>
        <v>0.0353186139727069</v>
      </c>
      <c r="D158" s="5" t="n">
        <f aca="false">B158/C158</f>
        <v>2.51733593358885</v>
      </c>
      <c r="E158" s="7" t="n">
        <f aca="false">TDIST(ABS(D158),$H$88,2)</f>
        <v>0.0140194835666943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7" min="2" style="0" width="13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5" customFormat="false" ht="15" hidden="false" customHeight="false" outlineLevel="0" collapsed="false">
      <c r="A5" s="3" t="s">
        <v>37</v>
      </c>
      <c r="B5" s="3" t="s">
        <v>132</v>
      </c>
      <c r="C5" s="3" t="s">
        <v>133</v>
      </c>
      <c r="D5" s="3" t="s">
        <v>159</v>
      </c>
      <c r="E5" s="3" t="s">
        <v>135</v>
      </c>
      <c r="F5" s="3" t="s">
        <v>177</v>
      </c>
      <c r="G5" s="3" t="s">
        <v>178</v>
      </c>
      <c r="H5" s="3" t="s">
        <v>137</v>
      </c>
      <c r="I5" s="3" t="s">
        <v>138</v>
      </c>
      <c r="J5" s="3" t="s">
        <v>139</v>
      </c>
      <c r="K5" s="3" t="s">
        <v>160</v>
      </c>
      <c r="L5" s="3" t="s">
        <v>161</v>
      </c>
      <c r="M5" s="3" t="s">
        <v>162</v>
      </c>
      <c r="N5" s="3" t="s">
        <v>163</v>
      </c>
      <c r="O5" s="3" t="s">
        <v>179</v>
      </c>
      <c r="P5" s="3" t="s">
        <v>180</v>
      </c>
    </row>
    <row r="6" customFormat="false" ht="15" hidden="false" customHeight="false" outlineLevel="0" collapsed="false">
      <c r="A6" s="19" t="str">
        <f aca="false">Datos!A13</f>
        <v>2007Q1</v>
      </c>
      <c r="B6" s="20" t="n">
        <f aca="false">Datos!E13</f>
        <v>0.0835894113627564</v>
      </c>
      <c r="C6" s="20" t="n">
        <f aca="false">Datos!C13</f>
        <v>0.052</v>
      </c>
      <c r="D6" s="20" t="n">
        <f aca="false">Datos!H11</f>
        <v>-0.19907831633726</v>
      </c>
      <c r="E6" s="20" t="n">
        <f aca="false">Datos!D13</f>
        <v>0.10364673016758</v>
      </c>
      <c r="F6" s="20" t="n">
        <f aca="false">IF($A6="2020Q2",1,0)</f>
        <v>0</v>
      </c>
      <c r="G6" s="20" t="n">
        <f aca="false">IF($A6="2021Q2",1,0)</f>
        <v>0</v>
      </c>
      <c r="H6" s="17" t="n">
        <v>1</v>
      </c>
      <c r="I6" s="17" t="n">
        <f aca="false">B6-($B$89+$B$90*C6+$B$91*D6+$B$92*E6+$B$93*F6+$B$94*G6)</f>
        <v>0.0162715981874323</v>
      </c>
      <c r="J6" s="17" t="n">
        <f aca="false">I6^2</f>
        <v>0.00026476490757325</v>
      </c>
      <c r="K6" s="17" t="n">
        <f aca="false">H6*$I6</f>
        <v>0.0162715981874323</v>
      </c>
      <c r="L6" s="17" t="n">
        <f aca="false">C6*$I6</f>
        <v>0.00084612310574648</v>
      </c>
      <c r="M6" s="17" t="n">
        <f aca="false">D6*$I6</f>
        <v>-0.00323932237127044</v>
      </c>
      <c r="N6" s="17" t="n">
        <f aca="false">E6*$I6</f>
        <v>0.00168649794672808</v>
      </c>
      <c r="O6" s="17" t="n">
        <f aca="false">F6*$I6</f>
        <v>0</v>
      </c>
      <c r="P6" s="17" t="n">
        <f aca="false">G6*$I6</f>
        <v>0</v>
      </c>
    </row>
    <row r="7" customFormat="false" ht="15" hidden="false" customHeight="false" outlineLevel="0" collapsed="false">
      <c r="A7" s="19" t="str">
        <f aca="false">Datos!A14</f>
        <v>2007Q2</v>
      </c>
      <c r="B7" s="20" t="n">
        <f aca="false">Datos!E14</f>
        <v>0.0985938738676382</v>
      </c>
      <c r="C7" s="20" t="n">
        <f aca="false">Datos!C14</f>
        <v>0.0654</v>
      </c>
      <c r="D7" s="20" t="n">
        <f aca="false">Datos!H12</f>
        <v>-0.40749438788385</v>
      </c>
      <c r="E7" s="20" t="n">
        <f aca="false">Datos!D14</f>
        <v>0.108781166847409</v>
      </c>
      <c r="F7" s="20" t="n">
        <f aca="false">IF($A7="2020Q2",1,0)</f>
        <v>0</v>
      </c>
      <c r="G7" s="20" t="n">
        <f aca="false">IF($A7="2021Q2",1,0)</f>
        <v>0</v>
      </c>
      <c r="H7" s="17" t="n">
        <v>1</v>
      </c>
      <c r="I7" s="17" t="n">
        <f aca="false">B7-($B$89+$B$90*C7+$B$91*D7+$B$92*E7+$B$93*F7+$B$94*G7)</f>
        <v>0.00913489405877344</v>
      </c>
      <c r="J7" s="17" t="n">
        <f aca="false">I7^2</f>
        <v>8.34462894650142E-005</v>
      </c>
      <c r="K7" s="17" t="n">
        <f aca="false">H7*$I7</f>
        <v>0.00913489405877344</v>
      </c>
      <c r="L7" s="17" t="n">
        <f aca="false">C7*$I7</f>
        <v>0.000597422071443783</v>
      </c>
      <c r="M7" s="17" t="n">
        <f aca="false">D7*$I7</f>
        <v>-0.0037224180628637</v>
      </c>
      <c r="N7" s="17" t="n">
        <f aca="false">E7*$I7</f>
        <v>0.00099370443474084</v>
      </c>
      <c r="O7" s="17" t="n">
        <f aca="false">F7*$I7</f>
        <v>0</v>
      </c>
      <c r="P7" s="17" t="n">
        <f aca="false">G7*$I7</f>
        <v>0</v>
      </c>
    </row>
    <row r="8" customFormat="false" ht="15" hidden="false" customHeight="false" outlineLevel="0" collapsed="false">
      <c r="A8" s="19" t="str">
        <f aca="false">Datos!A15</f>
        <v>2007Q3</v>
      </c>
      <c r="B8" s="20" t="n">
        <f aca="false">Datos!E15</f>
        <v>0.0842779771268098</v>
      </c>
      <c r="C8" s="20" t="n">
        <f aca="false">Datos!C15</f>
        <v>0.0587</v>
      </c>
      <c r="D8" s="20" t="n">
        <f aca="false">Datos!H13</f>
        <v>-0.628966812933593</v>
      </c>
      <c r="E8" s="20" t="n">
        <f aca="false">Datos!D15</f>
        <v>0.0950315375576127</v>
      </c>
      <c r="F8" s="20" t="n">
        <f aca="false">IF($A8="2020Q2",1,0)</f>
        <v>0</v>
      </c>
      <c r="G8" s="20" t="n">
        <f aca="false">IF($A8="2021Q2",1,0)</f>
        <v>0</v>
      </c>
      <c r="H8" s="17" t="n">
        <v>1</v>
      </c>
      <c r="I8" s="17" t="n">
        <f aca="false">B8-($B$89+$B$90*C8+$B$91*D8+$B$92*E8+$B$93*F8+$B$94*G8)</f>
        <v>-0.0078073408463281</v>
      </c>
      <c r="J8" s="17" t="n">
        <f aca="false">I8^2</f>
        <v>6.09545710907432E-005</v>
      </c>
      <c r="K8" s="17" t="n">
        <f aca="false">H8*$I8</f>
        <v>-0.0078073408463281</v>
      </c>
      <c r="L8" s="17" t="n">
        <f aca="false">C8*$I8</f>
        <v>-0.00045829090767946</v>
      </c>
      <c r="M8" s="17" t="n">
        <f aca="false">D8*$I8</f>
        <v>0.00491055828960124</v>
      </c>
      <c r="N8" s="17" t="n">
        <f aca="false">E8*$I8</f>
        <v>-0.000741943604862913</v>
      </c>
      <c r="O8" s="17" t="n">
        <f aca="false">F8*$I8</f>
        <v>-0</v>
      </c>
      <c r="P8" s="17" t="n">
        <f aca="false">G8*$I8</f>
        <v>-0</v>
      </c>
    </row>
    <row r="9" customFormat="false" ht="15" hidden="false" customHeight="false" outlineLevel="0" collapsed="false">
      <c r="A9" s="19" t="str">
        <f aca="false">Datos!A16</f>
        <v>2007Q4</v>
      </c>
      <c r="B9" s="20" t="n">
        <f aca="false">Datos!E16</f>
        <v>0.092673486299768</v>
      </c>
      <c r="C9" s="20" t="n">
        <f aca="false">Datos!C16</f>
        <v>0.0664</v>
      </c>
      <c r="D9" s="20" t="n">
        <f aca="false">Datos!H14</f>
        <v>-0.276063137700592</v>
      </c>
      <c r="E9" s="20" t="n">
        <f aca="false">Datos!D16</f>
        <v>0.0347947801855839</v>
      </c>
      <c r="F9" s="20" t="n">
        <f aca="false">IF($A9="2020Q2",1,0)</f>
        <v>0</v>
      </c>
      <c r="G9" s="20" t="n">
        <f aca="false">IF($A9="2021Q2",1,0)</f>
        <v>0</v>
      </c>
      <c r="H9" s="17" t="n">
        <v>1</v>
      </c>
      <c r="I9" s="17" t="n">
        <f aca="false">B9-($B$89+$B$90*C9+$B$91*D9+$B$92*E9+$B$93*F9+$B$94*G9)</f>
        <v>0.016368467601369</v>
      </c>
      <c r="J9" s="17" t="n">
        <f aca="false">I9^2</f>
        <v>0.000267926731617068</v>
      </c>
      <c r="K9" s="17" t="n">
        <f aca="false">H9*$I9</f>
        <v>0.016368467601369</v>
      </c>
      <c r="L9" s="17" t="n">
        <f aca="false">C9*$I9</f>
        <v>0.0010868662487309</v>
      </c>
      <c r="M9" s="17" t="n">
        <f aca="false">D9*$I9</f>
        <v>-0.00451873052538442</v>
      </c>
      <c r="N9" s="17" t="n">
        <f aca="false">E9*$I9</f>
        <v>0.000569537232164488</v>
      </c>
      <c r="O9" s="17" t="n">
        <f aca="false">F9*$I9</f>
        <v>0</v>
      </c>
      <c r="P9" s="17" t="n">
        <f aca="false">G9*$I9</f>
        <v>0</v>
      </c>
    </row>
    <row r="10" customFormat="false" ht="15" hidden="false" customHeight="false" outlineLevel="0" collapsed="false">
      <c r="A10" s="19" t="str">
        <f aca="false">Datos!A17</f>
        <v>2008Q1</v>
      </c>
      <c r="B10" s="20" t="n">
        <f aca="false">Datos!E17</f>
        <v>0.0691231457663233</v>
      </c>
      <c r="C10" s="20" t="n">
        <f aca="false">Datos!C17</f>
        <v>0.0616</v>
      </c>
      <c r="D10" s="20" t="n">
        <f aca="false">Datos!H15</f>
        <v>0.202453374719026</v>
      </c>
      <c r="E10" s="20" t="n">
        <f aca="false">Datos!D17</f>
        <v>0.00609959861693343</v>
      </c>
      <c r="F10" s="20" t="n">
        <f aca="false">IF($A10="2020Q2",1,0)</f>
        <v>0</v>
      </c>
      <c r="G10" s="20" t="n">
        <f aca="false">IF($A10="2021Q2",1,0)</f>
        <v>0</v>
      </c>
      <c r="H10" s="17" t="n">
        <v>1</v>
      </c>
      <c r="I10" s="17" t="n">
        <f aca="false">B10-($B$89+$B$90*C10+$B$91*D10+$B$92*E10+$B$93*F10+$B$94*G10)</f>
        <v>0.0221566635904544</v>
      </c>
      <c r="J10" s="17" t="n">
        <f aca="false">I10^2</f>
        <v>0.000490917741460568</v>
      </c>
      <c r="K10" s="17" t="n">
        <f aca="false">H10*$I10</f>
        <v>0.0221566635904544</v>
      </c>
      <c r="L10" s="17" t="n">
        <f aca="false">C10*$I10</f>
        <v>0.00136485047717199</v>
      </c>
      <c r="M10" s="17" t="n">
        <f aca="false">D10*$I10</f>
        <v>0.00448569131640166</v>
      </c>
      <c r="N10" s="17" t="n">
        <f aca="false">E10*$I10</f>
        <v>0.000135146754592195</v>
      </c>
      <c r="O10" s="17" t="n">
        <f aca="false">F10*$I10</f>
        <v>0</v>
      </c>
      <c r="P10" s="17" t="n">
        <f aca="false">G10*$I10</f>
        <v>0</v>
      </c>
    </row>
    <row r="11" customFormat="false" ht="15" hidden="false" customHeight="false" outlineLevel="0" collapsed="false">
      <c r="A11" s="19" t="str">
        <f aca="false">Datos!A18</f>
        <v>2008Q2</v>
      </c>
      <c r="B11" s="20" t="n">
        <f aca="false">Datos!E18</f>
        <v>0.0545268547475248</v>
      </c>
      <c r="C11" s="20" t="n">
        <f aca="false">Datos!C18</f>
        <v>0.0634</v>
      </c>
      <c r="D11" s="20" t="n">
        <f aca="false">Datos!H16</f>
        <v>0.317308506671958</v>
      </c>
      <c r="E11" s="20" t="n">
        <f aca="false">Datos!D18</f>
        <v>-0.0328255925467914</v>
      </c>
      <c r="F11" s="20" t="n">
        <f aca="false">IF($A11="2020Q2",1,0)</f>
        <v>0</v>
      </c>
      <c r="G11" s="20" t="n">
        <f aca="false">IF($A11="2021Q2",1,0)</f>
        <v>0</v>
      </c>
      <c r="H11" s="17" t="n">
        <v>1</v>
      </c>
      <c r="I11" s="17" t="n">
        <f aca="false">B11-($B$89+$B$90*C11+$B$91*D11+$B$92*E11+$B$93*F11+$B$94*G11)</f>
        <v>0.0154288538549641</v>
      </c>
      <c r="J11" s="17" t="n">
        <f aca="false">I11^2</f>
        <v>0.000238049531277842</v>
      </c>
      <c r="K11" s="17" t="n">
        <f aca="false">H11*$I11</f>
        <v>0.0154288538549641</v>
      </c>
      <c r="L11" s="17" t="n">
        <f aca="false">C11*$I11</f>
        <v>0.000978189334404727</v>
      </c>
      <c r="M11" s="17" t="n">
        <f aca="false">D11*$I11</f>
        <v>0.00489570657637856</v>
      </c>
      <c r="N11" s="17" t="n">
        <f aca="false">E11*$I11</f>
        <v>-0.000506461270107045</v>
      </c>
      <c r="O11" s="17" t="n">
        <f aca="false">F11*$I11</f>
        <v>0</v>
      </c>
      <c r="P11" s="17" t="n">
        <f aca="false">G11*$I11</f>
        <v>0</v>
      </c>
    </row>
    <row r="12" customFormat="false" ht="15" hidden="false" customHeight="false" outlineLevel="0" collapsed="false">
      <c r="A12" s="19" t="str">
        <f aca="false">Datos!A19</f>
        <v>2008Q3</v>
      </c>
      <c r="B12" s="20" t="n">
        <f aca="false">Datos!E19</f>
        <v>0.060060161436698</v>
      </c>
      <c r="C12" s="20" t="n">
        <f aca="false">Datos!C19</f>
        <v>0.0698</v>
      </c>
      <c r="D12" s="20" t="n">
        <f aca="false">Datos!H17</f>
        <v>0.830001360618699</v>
      </c>
      <c r="E12" s="20" t="n">
        <f aca="false">Datos!D19</f>
        <v>-0.0126062197467198</v>
      </c>
      <c r="F12" s="20" t="n">
        <f aca="false">IF($A12="2020Q2",1,0)</f>
        <v>0</v>
      </c>
      <c r="G12" s="20" t="n">
        <f aca="false">IF($A12="2021Q2",1,0)</f>
        <v>0</v>
      </c>
      <c r="H12" s="17" t="n">
        <v>1</v>
      </c>
      <c r="I12" s="17" t="n">
        <f aca="false">B12-($B$89+$B$90*C12+$B$91*D12+$B$92*E12+$B$93*F12+$B$94*G12)</f>
        <v>0.0364890385550671</v>
      </c>
      <c r="J12" s="17" t="n">
        <f aca="false">I12^2</f>
        <v>0.00133144993467317</v>
      </c>
      <c r="K12" s="17" t="n">
        <f aca="false">H12*$I12</f>
        <v>0.0364890385550671</v>
      </c>
      <c r="L12" s="17" t="n">
        <f aca="false">C12*$I12</f>
        <v>0.00254693489114368</v>
      </c>
      <c r="M12" s="17" t="n">
        <f aca="false">D12*$I12</f>
        <v>0.0302859516483738</v>
      </c>
      <c r="N12" s="17" t="n">
        <f aca="false">E12*$I12</f>
        <v>-0.000459988838371708</v>
      </c>
      <c r="O12" s="17" t="n">
        <f aca="false">F12*$I12</f>
        <v>0</v>
      </c>
      <c r="P12" s="17" t="n">
        <f aca="false">G12*$I12</f>
        <v>0</v>
      </c>
    </row>
    <row r="13" customFormat="false" ht="15" hidden="false" customHeight="false" outlineLevel="0" collapsed="false">
      <c r="A13" s="19" t="str">
        <f aca="false">Datos!A20</f>
        <v>2008Q4</v>
      </c>
      <c r="B13" s="20" t="n">
        <f aca="false">Datos!E20</f>
        <v>-0.019789908841391</v>
      </c>
      <c r="C13" s="20" t="n">
        <f aca="false">Datos!C20</f>
        <v>0.0102</v>
      </c>
      <c r="D13" s="20" t="n">
        <f aca="false">Datos!H18</f>
        <v>0.72951742965694</v>
      </c>
      <c r="E13" s="20" t="n">
        <f aca="false">Datos!D20</f>
        <v>0.00821018468113888</v>
      </c>
      <c r="F13" s="20" t="n">
        <f aca="false">IF($A13="2020Q2",1,0)</f>
        <v>0</v>
      </c>
      <c r="G13" s="20" t="n">
        <f aca="false">IF($A13="2021Q2",1,0)</f>
        <v>0</v>
      </c>
      <c r="H13" s="17" t="n">
        <v>1</v>
      </c>
      <c r="I13" s="17" t="n">
        <f aca="false">B13-($B$89+$B$90*C13+$B$91*D13+$B$92*E13+$B$93*F13+$B$94*G13)</f>
        <v>0.00333399824569502</v>
      </c>
      <c r="J13" s="17" t="n">
        <f aca="false">I13^2</f>
        <v>1.11155443022975E-005</v>
      </c>
      <c r="K13" s="17" t="n">
        <f aca="false">H13*$I13</f>
        <v>0.00333399824569502</v>
      </c>
      <c r="L13" s="17" t="n">
        <f aca="false">C13*$I13</f>
        <v>3.40067821060893E-005</v>
      </c>
      <c r="M13" s="17" t="n">
        <f aca="false">D13*$I13</f>
        <v>0.00243220983068018</v>
      </c>
      <c r="N13" s="17" t="n">
        <f aca="false">E13*$I13</f>
        <v>2.73727413237492E-005</v>
      </c>
      <c r="O13" s="17" t="n">
        <f aca="false">F13*$I13</f>
        <v>0</v>
      </c>
      <c r="P13" s="17" t="n">
        <f aca="false">G13*$I13</f>
        <v>0</v>
      </c>
    </row>
    <row r="14" customFormat="false" ht="15" hidden="false" customHeight="false" outlineLevel="0" collapsed="false">
      <c r="A14" s="19" t="str">
        <f aca="false">Datos!A21</f>
        <v>2009Q1</v>
      </c>
      <c r="B14" s="20" t="n">
        <f aca="false">Datos!E21</f>
        <v>-0.0618875514402444</v>
      </c>
      <c r="C14" s="20" t="n">
        <f aca="false">Datos!C21</f>
        <v>-0.0242</v>
      </c>
      <c r="D14" s="20" t="n">
        <f aca="false">Datos!H19</f>
        <v>0.517950360650714</v>
      </c>
      <c r="E14" s="20" t="n">
        <f aca="false">Datos!D21</f>
        <v>-0.0292286521142453</v>
      </c>
      <c r="F14" s="20" t="n">
        <f aca="false">IF($A14="2020Q2",1,0)</f>
        <v>0</v>
      </c>
      <c r="G14" s="20" t="n">
        <f aca="false">IF($A14="2021Q2",1,0)</f>
        <v>0</v>
      </c>
      <c r="H14" s="17" t="n">
        <v>1</v>
      </c>
      <c r="I14" s="17" t="n">
        <f aca="false">B14-($B$89+$B$90*C14+$B$91*D14+$B$92*E14+$B$93*F14+$B$94*G14)</f>
        <v>-0.0134726711864507</v>
      </c>
      <c r="J14" s="17" t="n">
        <f aca="false">I14^2</f>
        <v>0.000181512868898219</v>
      </c>
      <c r="K14" s="17" t="n">
        <f aca="false">H14*$I14</f>
        <v>-0.0134726711864507</v>
      </c>
      <c r="L14" s="17" t="n">
        <f aca="false">C14*$I14</f>
        <v>0.000326038642712107</v>
      </c>
      <c r="M14" s="17" t="n">
        <f aca="false">D14*$I14</f>
        <v>-0.00697817489995062</v>
      </c>
      <c r="N14" s="17" t="n">
        <f aca="false">E14*$I14</f>
        <v>0.000393788019158384</v>
      </c>
      <c r="O14" s="17" t="n">
        <f aca="false">F14*$I14</f>
        <v>-0</v>
      </c>
      <c r="P14" s="17" t="n">
        <f aca="false">G14*$I14</f>
        <v>-0</v>
      </c>
    </row>
    <row r="15" customFormat="false" ht="15" hidden="false" customHeight="false" outlineLevel="0" collapsed="false">
      <c r="A15" s="19" t="str">
        <f aca="false">Datos!A22</f>
        <v>2009Q2</v>
      </c>
      <c r="B15" s="20" t="n">
        <f aca="false">Datos!E22</f>
        <v>-0.112745471526209</v>
      </c>
      <c r="C15" s="20" t="n">
        <f aca="false">Datos!C22</f>
        <v>-0.022</v>
      </c>
      <c r="D15" s="20" t="n">
        <f aca="false">Datos!H20</f>
        <v>1.47820592896023</v>
      </c>
      <c r="E15" s="20" t="n">
        <f aca="false">Datos!D22</f>
        <v>-0.0730327330801743</v>
      </c>
      <c r="F15" s="20" t="n">
        <f aca="false">IF($A15="2020Q2",1,0)</f>
        <v>0</v>
      </c>
      <c r="G15" s="20" t="n">
        <f aca="false">IF($A15="2021Q2",1,0)</f>
        <v>0</v>
      </c>
      <c r="H15" s="17" t="n">
        <v>1</v>
      </c>
      <c r="I15" s="17" t="n">
        <f aca="false">B15-($B$89+$B$90*C15+$B$91*D15+$B$92*E15+$B$93*F15+$B$94*G15)</f>
        <v>-0.0175848933859512</v>
      </c>
      <c r="J15" s="17" t="n">
        <f aca="false">I15^2</f>
        <v>0.000309228475395269</v>
      </c>
      <c r="K15" s="17" t="n">
        <f aca="false">H15*$I15</f>
        <v>-0.0175848933859512</v>
      </c>
      <c r="L15" s="17" t="n">
        <f aca="false">C15*$I15</f>
        <v>0.000386867654490925</v>
      </c>
      <c r="M15" s="17" t="n">
        <f aca="false">D15*$I15</f>
        <v>-0.0259940936632466</v>
      </c>
      <c r="N15" s="17" t="n">
        <f aca="false">E15*$I15</f>
        <v>0.00128427282489949</v>
      </c>
      <c r="O15" s="17" t="n">
        <f aca="false">F15*$I15</f>
        <v>-0</v>
      </c>
      <c r="P15" s="17" t="n">
        <f aca="false">G15*$I15</f>
        <v>-0</v>
      </c>
    </row>
    <row r="16" customFormat="false" ht="15" hidden="false" customHeight="false" outlineLevel="0" collapsed="false">
      <c r="A16" s="19" t="str">
        <f aca="false">Datos!A23</f>
        <v>2009Q3</v>
      </c>
      <c r="B16" s="20" t="n">
        <f aca="false">Datos!E23</f>
        <v>-0.0565117996405296</v>
      </c>
      <c r="C16" s="20" t="n">
        <f aca="false">Datos!C23</f>
        <v>-0.0116</v>
      </c>
      <c r="D16" s="20" t="n">
        <f aca="false">Datos!H21</f>
        <v>1.25998041263688</v>
      </c>
      <c r="E16" s="20" t="n">
        <f aca="false">Datos!D23</f>
        <v>-0.045861530337595</v>
      </c>
      <c r="F16" s="20" t="n">
        <f aca="false">IF($A16="2020Q2",1,0)</f>
        <v>0</v>
      </c>
      <c r="G16" s="20" t="n">
        <f aca="false">IF($A16="2021Q2",1,0)</f>
        <v>0</v>
      </c>
      <c r="H16" s="17" t="n">
        <v>1</v>
      </c>
      <c r="I16" s="17" t="n">
        <f aca="false">B16-($B$89+$B$90*C16+$B$91*D16+$B$92*E16+$B$93*F16+$B$94*G16)</f>
        <v>0.0163610725664703</v>
      </c>
      <c r="J16" s="17" t="n">
        <f aca="false">I16^2</f>
        <v>0.000267684695525306</v>
      </c>
      <c r="K16" s="17" t="n">
        <f aca="false">H16*$I16</f>
        <v>0.0163610725664703</v>
      </c>
      <c r="L16" s="17" t="n">
        <f aca="false">C16*$I16</f>
        <v>-0.000189788441771055</v>
      </c>
      <c r="M16" s="17" t="n">
        <f aca="false">D16*$I16</f>
        <v>0.0206146309634831</v>
      </c>
      <c r="N16" s="17" t="n">
        <f aca="false">E16*$I16</f>
        <v>-0.00075034382586277</v>
      </c>
      <c r="O16" s="17" t="n">
        <f aca="false">F16*$I16</f>
        <v>0</v>
      </c>
      <c r="P16" s="17" t="n">
        <f aca="false">G16*$I16</f>
        <v>0</v>
      </c>
    </row>
    <row r="17" customFormat="false" ht="15" hidden="false" customHeight="false" outlineLevel="0" collapsed="false">
      <c r="A17" s="19" t="str">
        <f aca="false">Datos!A24</f>
        <v>2009Q4</v>
      </c>
      <c r="B17" s="20" t="n">
        <f aca="false">Datos!E24</f>
        <v>0.00281998226127467</v>
      </c>
      <c r="C17" s="20" t="n">
        <f aca="false">Datos!C24</f>
        <v>0.0533</v>
      </c>
      <c r="D17" s="20" t="n">
        <f aca="false">Datos!H22</f>
        <v>0.96127169843504</v>
      </c>
      <c r="E17" s="20" t="n">
        <f aca="false">Datos!D24</f>
        <v>-0.0516286645659259</v>
      </c>
      <c r="F17" s="20" t="n">
        <f aca="false">IF($A17="2020Q2",1,0)</f>
        <v>0</v>
      </c>
      <c r="G17" s="20" t="n">
        <f aca="false">IF($A17="2021Q2",1,0)</f>
        <v>0</v>
      </c>
      <c r="H17" s="17" t="n">
        <v>1</v>
      </c>
      <c r="I17" s="17" t="n">
        <f aca="false">B17-($B$89+$B$90*C17+$B$91*D17+$B$92*E17+$B$93*F17+$B$94*G17)</f>
        <v>0.00432379876854386</v>
      </c>
      <c r="J17" s="17" t="n">
        <f aca="false">I17^2</f>
        <v>1.86952357908614E-005</v>
      </c>
      <c r="K17" s="17" t="n">
        <f aca="false">H17*$I17</f>
        <v>0.00432379876854386</v>
      </c>
      <c r="L17" s="17" t="n">
        <f aca="false">C17*$I17</f>
        <v>0.000230458474363388</v>
      </c>
      <c r="M17" s="17" t="n">
        <f aca="false">D17*$I17</f>
        <v>0.00415634538592948</v>
      </c>
      <c r="N17" s="17" t="n">
        <f aca="false">E17*$I17</f>
        <v>-0.000223231956271714</v>
      </c>
      <c r="O17" s="17" t="n">
        <f aca="false">F17*$I17</f>
        <v>0</v>
      </c>
      <c r="P17" s="17" t="n">
        <f aca="false">G17*$I17</f>
        <v>0</v>
      </c>
    </row>
    <row r="18" customFormat="false" ht="15" hidden="false" customHeight="false" outlineLevel="0" collapsed="false">
      <c r="A18" s="19" t="str">
        <f aca="false">Datos!A25</f>
        <v>2010Q1</v>
      </c>
      <c r="B18" s="20" t="n">
        <f aca="false">Datos!E25</f>
        <v>0.0571326910752132</v>
      </c>
      <c r="C18" s="20" t="n">
        <f aca="false">Datos!C25</f>
        <v>0.0921</v>
      </c>
      <c r="D18" s="20" t="n">
        <f aca="false">Datos!H23</f>
        <v>0.27964939808898</v>
      </c>
      <c r="E18" s="20" t="n">
        <f aca="false">Datos!D25</f>
        <v>-0.0200868501071823</v>
      </c>
      <c r="F18" s="20" t="n">
        <f aca="false">IF($A18="2020Q2",1,0)</f>
        <v>0</v>
      </c>
      <c r="G18" s="20" t="n">
        <f aca="false">IF($A18="2021Q2",1,0)</f>
        <v>0</v>
      </c>
      <c r="H18" s="17" t="n">
        <v>1</v>
      </c>
      <c r="I18" s="17" t="n">
        <f aca="false">B18-($B$89+$B$90*C18+$B$91*D18+$B$92*E18+$B$93*F18+$B$94*G18)</f>
        <v>-0.0108627029132483</v>
      </c>
      <c r="J18" s="17" t="n">
        <f aca="false">I18^2</f>
        <v>0.000117998314581492</v>
      </c>
      <c r="K18" s="17" t="n">
        <f aca="false">H18*$I18</f>
        <v>-0.0108627029132483</v>
      </c>
      <c r="L18" s="17" t="n">
        <f aca="false">C18*$I18</f>
        <v>-0.00100045493831017</v>
      </c>
      <c r="M18" s="17" t="n">
        <f aca="false">D18*$I18</f>
        <v>-0.00303774833130928</v>
      </c>
      <c r="N18" s="17" t="n">
        <f aca="false">E18*$I18</f>
        <v>0.00021819748517727</v>
      </c>
      <c r="O18" s="17" t="n">
        <f aca="false">F18*$I18</f>
        <v>-0</v>
      </c>
      <c r="P18" s="17" t="n">
        <f aca="false">G18*$I18</f>
        <v>-0</v>
      </c>
    </row>
    <row r="19" customFormat="false" ht="15" hidden="false" customHeight="false" outlineLevel="0" collapsed="false">
      <c r="A19" s="19" t="str">
        <f aca="false">Datos!A26</f>
        <v>2010Q2</v>
      </c>
      <c r="B19" s="20" t="n">
        <f aca="false">Datos!E26</f>
        <v>0.162441995090574</v>
      </c>
      <c r="C19" s="20" t="n">
        <f aca="false">Datos!C26</f>
        <v>0.0852</v>
      </c>
      <c r="D19" s="20" t="n">
        <f aca="false">Datos!H24</f>
        <v>-0.86001237647948</v>
      </c>
      <c r="E19" s="20" t="n">
        <f aca="false">Datos!D26</f>
        <v>0.0734871227440328</v>
      </c>
      <c r="F19" s="20" t="n">
        <f aca="false">IF($A19="2020Q2",1,0)</f>
        <v>0</v>
      </c>
      <c r="G19" s="20" t="n">
        <f aca="false">IF($A19="2021Q2",1,0)</f>
        <v>0</v>
      </c>
      <c r="H19" s="17" t="n">
        <v>1</v>
      </c>
      <c r="I19" s="17" t="n">
        <f aca="false">B19-($B$89+$B$90*C19+$B$91*D19+$B$92*E19+$B$93*F19+$B$94*G19)</f>
        <v>0.0383051313459627</v>
      </c>
      <c r="J19" s="17" t="n">
        <f aca="false">I19^2</f>
        <v>0.00146728308743145</v>
      </c>
      <c r="K19" s="17" t="n">
        <f aca="false">H19*$I19</f>
        <v>0.0383051313459627</v>
      </c>
      <c r="L19" s="17" t="n">
        <f aca="false">C19*$I19</f>
        <v>0.00326359719067602</v>
      </c>
      <c r="M19" s="17" t="n">
        <f aca="false">D19*$I19</f>
        <v>-0.0329428870402</v>
      </c>
      <c r="N19" s="17" t="n">
        <f aca="false">E19*$I19</f>
        <v>0.00281493388894706</v>
      </c>
      <c r="O19" s="17" t="n">
        <f aca="false">F19*$I19</f>
        <v>0</v>
      </c>
      <c r="P19" s="17" t="n">
        <f aca="false">G19*$I19</f>
        <v>0</v>
      </c>
    </row>
    <row r="20" customFormat="false" ht="15" hidden="false" customHeight="false" outlineLevel="0" collapsed="false">
      <c r="A20" s="19" t="str">
        <f aca="false">Datos!A27</f>
        <v>2010Q3</v>
      </c>
      <c r="B20" s="20" t="n">
        <f aca="false">Datos!E27</f>
        <v>0.0950774236722809</v>
      </c>
      <c r="C20" s="20" t="n">
        <f aca="false">Datos!C27</f>
        <v>0.0691</v>
      </c>
      <c r="D20" s="20" t="n">
        <f aca="false">Datos!H25</f>
        <v>-0.840774974203388</v>
      </c>
      <c r="E20" s="20" t="n">
        <f aca="false">Datos!D27</f>
        <v>0.0611211881699143</v>
      </c>
      <c r="F20" s="20" t="n">
        <f aca="false">IF($A20="2020Q2",1,0)</f>
        <v>0</v>
      </c>
      <c r="G20" s="20" t="n">
        <f aca="false">IF($A20="2021Q2",1,0)</f>
        <v>0</v>
      </c>
      <c r="H20" s="17" t="n">
        <v>1</v>
      </c>
      <c r="I20" s="17" t="n">
        <f aca="false">B20-($B$89+$B$90*C20+$B$91*D20+$B$92*E20+$B$93*F20+$B$94*G20)</f>
        <v>-0.0123682960378453</v>
      </c>
      <c r="J20" s="17" t="n">
        <f aca="false">I20^2</f>
        <v>0.000152974746879779</v>
      </c>
      <c r="K20" s="17" t="n">
        <f aca="false">H20*$I20</f>
        <v>-0.0123682960378453</v>
      </c>
      <c r="L20" s="17" t="n">
        <f aca="false">C20*$I20</f>
        <v>-0.000854649256215109</v>
      </c>
      <c r="M20" s="17" t="n">
        <f aca="false">D20*$I20</f>
        <v>0.0103989537821592</v>
      </c>
      <c r="N20" s="17" t="n">
        <f aca="false">E20*$I20</f>
        <v>-0.000755964949470347</v>
      </c>
      <c r="O20" s="17" t="n">
        <f aca="false">F20*$I20</f>
        <v>-0</v>
      </c>
      <c r="P20" s="17" t="n">
        <f aca="false">G20*$I20</f>
        <v>-0</v>
      </c>
    </row>
    <row r="21" customFormat="false" ht="15" hidden="false" customHeight="false" outlineLevel="0" collapsed="false">
      <c r="A21" s="19" t="str">
        <f aca="false">Datos!A28</f>
        <v>2010Q4</v>
      </c>
      <c r="B21" s="20" t="n">
        <f aca="false">Datos!E28</f>
        <v>0.0860979311042298</v>
      </c>
      <c r="C21" s="20" t="n">
        <f aca="false">Datos!C28</f>
        <v>0.0569</v>
      </c>
      <c r="D21" s="20" t="n">
        <f aca="false">Datos!H26</f>
        <v>-0.684936842874217</v>
      </c>
      <c r="E21" s="20" t="n">
        <f aca="false">Datos!D28</f>
        <v>0.0899428801072737</v>
      </c>
      <c r="F21" s="20" t="n">
        <f aca="false">IF($A21="2020Q2",1,0)</f>
        <v>0</v>
      </c>
      <c r="G21" s="20" t="n">
        <f aca="false">IF($A21="2021Q2",1,0)</f>
        <v>0</v>
      </c>
      <c r="H21" s="17" t="n">
        <v>1</v>
      </c>
      <c r="I21" s="17" t="n">
        <f aca="false">B21-($B$89+$B$90*C21+$B$91*D21+$B$92*E21+$B$93*F21+$B$94*G21)</f>
        <v>-0.00637987945891737</v>
      </c>
      <c r="J21" s="17" t="n">
        <f aca="false">I21^2</f>
        <v>4.07028619103158E-005</v>
      </c>
      <c r="K21" s="17" t="n">
        <f aca="false">H21*$I21</f>
        <v>-0.00637987945891737</v>
      </c>
      <c r="L21" s="17" t="n">
        <f aca="false">C21*$I21</f>
        <v>-0.000363015141212398</v>
      </c>
      <c r="M21" s="17" t="n">
        <f aca="false">D21*$I21</f>
        <v>0.00436981449450893</v>
      </c>
      <c r="N21" s="17" t="n">
        <f aca="false">E21*$I21</f>
        <v>-0.000573824733272263</v>
      </c>
      <c r="O21" s="17" t="n">
        <f aca="false">F21*$I21</f>
        <v>-0</v>
      </c>
      <c r="P21" s="17" t="n">
        <f aca="false">G21*$I21</f>
        <v>-0</v>
      </c>
    </row>
    <row r="22" customFormat="false" ht="15" hidden="false" customHeight="false" outlineLevel="0" collapsed="false">
      <c r="A22" s="19" t="str">
        <f aca="false">Datos!A29</f>
        <v>2011Q1</v>
      </c>
      <c r="B22" s="20" t="n">
        <f aca="false">Datos!E29</f>
        <v>0.0829261625044686</v>
      </c>
      <c r="C22" s="20" t="n">
        <f aca="false">Datos!C29</f>
        <v>0.0519</v>
      </c>
      <c r="D22" s="20" t="n">
        <f aca="false">Datos!H27</f>
        <v>-0.259363358030901</v>
      </c>
      <c r="E22" s="20" t="n">
        <f aca="false">Datos!D29</f>
        <v>0.1251767611687</v>
      </c>
      <c r="F22" s="20" t="n">
        <f aca="false">IF($A22="2020Q2",1,0)</f>
        <v>0</v>
      </c>
      <c r="G22" s="20" t="n">
        <f aca="false">IF($A22="2021Q2",1,0)</f>
        <v>0</v>
      </c>
      <c r="H22" s="17" t="n">
        <v>1</v>
      </c>
      <c r="I22" s="17" t="n">
        <f aca="false">B22-($B$89+$B$90*C22+$B$91*D22+$B$92*E22+$B$93*F22+$B$94*G22)</f>
        <v>0.010599876714539</v>
      </c>
      <c r="J22" s="17" t="n">
        <f aca="false">I22^2</f>
        <v>0.000112357386363427</v>
      </c>
      <c r="K22" s="17" t="n">
        <f aca="false">H22*$I22</f>
        <v>0.010599876714539</v>
      </c>
      <c r="L22" s="17" t="n">
        <f aca="false">C22*$I22</f>
        <v>0.000550133601484576</v>
      </c>
      <c r="M22" s="17" t="n">
        <f aca="false">D22*$I22</f>
        <v>-0.00274921961939639</v>
      </c>
      <c r="N22" s="17" t="n">
        <f aca="false">E22*$I22</f>
        <v>0.00132685823591352</v>
      </c>
      <c r="O22" s="17" t="n">
        <f aca="false">F22*$I22</f>
        <v>0</v>
      </c>
      <c r="P22" s="17" t="n">
        <f aca="false">G22*$I22</f>
        <v>0</v>
      </c>
    </row>
    <row r="23" customFormat="false" ht="15" hidden="false" customHeight="false" outlineLevel="0" collapsed="false">
      <c r="A23" s="19" t="str">
        <f aca="false">Datos!A30</f>
        <v>2011Q2</v>
      </c>
      <c r="B23" s="20" t="n">
        <f aca="false">Datos!E30</f>
        <v>0.0444334376577356</v>
      </c>
      <c r="C23" s="20" t="n">
        <f aca="false">Datos!C30</f>
        <v>0.047</v>
      </c>
      <c r="D23" s="20" t="n">
        <f aca="false">Datos!H28</f>
        <v>-0.274919460835839</v>
      </c>
      <c r="E23" s="20" t="n">
        <f aca="false">Datos!D30</f>
        <v>0.105783914038355</v>
      </c>
      <c r="F23" s="20" t="n">
        <f aca="false">IF($A23="2020Q2",1,0)</f>
        <v>0</v>
      </c>
      <c r="G23" s="20" t="n">
        <f aca="false">IF($A23="2021Q2",1,0)</f>
        <v>0</v>
      </c>
      <c r="H23" s="17" t="n">
        <v>1</v>
      </c>
      <c r="I23" s="17" t="n">
        <f aca="false">B23-($B$89+$B$90*C23+$B$91*D23+$B$92*E23+$B$93*F23+$B$94*G23)</f>
        <v>-0.0220958901276033</v>
      </c>
      <c r="J23" s="17" t="n">
        <f aca="false">I23^2</f>
        <v>0.000488228360531115</v>
      </c>
      <c r="K23" s="17" t="n">
        <f aca="false">H23*$I23</f>
        <v>-0.0220958901276033</v>
      </c>
      <c r="L23" s="17" t="n">
        <f aca="false">C23*$I23</f>
        <v>-0.00103850683599735</v>
      </c>
      <c r="M23" s="17" t="n">
        <f aca="false">D23*$I23</f>
        <v>0.00607459020056863</v>
      </c>
      <c r="N23" s="17" t="n">
        <f aca="false">E23*$I23</f>
        <v>-0.00233738974185932</v>
      </c>
      <c r="O23" s="17" t="n">
        <f aca="false">F23*$I23</f>
        <v>-0</v>
      </c>
      <c r="P23" s="17" t="n">
        <f aca="false">G23*$I23</f>
        <v>-0</v>
      </c>
    </row>
    <row r="24" customFormat="false" ht="15" hidden="false" customHeight="false" outlineLevel="0" collapsed="false">
      <c r="A24" s="19" t="str">
        <f aca="false">Datos!A31</f>
        <v>2011Q3</v>
      </c>
      <c r="B24" s="20" t="n">
        <f aca="false">Datos!E31</f>
        <v>0.0640936718081673</v>
      </c>
      <c r="C24" s="20" t="n">
        <f aca="false">Datos!C31</f>
        <v>0.0353</v>
      </c>
      <c r="D24" s="20" t="n">
        <f aca="false">Datos!H29</f>
        <v>-0.320230039426383</v>
      </c>
      <c r="E24" s="20" t="n">
        <f aca="false">Datos!D31</f>
        <v>0.112212463576412</v>
      </c>
      <c r="F24" s="20" t="n">
        <f aca="false">IF($A24="2020Q2",1,0)</f>
        <v>0</v>
      </c>
      <c r="G24" s="20" t="n">
        <f aca="false">IF($A24="2021Q2",1,0)</f>
        <v>0</v>
      </c>
      <c r="H24" s="17" t="n">
        <v>1</v>
      </c>
      <c r="I24" s="17" t="n">
        <f aca="false">B24-($B$89+$B$90*C24+$B$91*D24+$B$92*E24+$B$93*F24+$B$94*G24)</f>
        <v>0.00530523162665103</v>
      </c>
      <c r="J24" s="17" t="n">
        <f aca="false">I24^2</f>
        <v>2.81454826124183E-005</v>
      </c>
      <c r="K24" s="17" t="n">
        <f aca="false">H24*$I24</f>
        <v>0.00530523162665103</v>
      </c>
      <c r="L24" s="17" t="n">
        <f aca="false">C24*$I24</f>
        <v>0.000187274676420781</v>
      </c>
      <c r="M24" s="17" t="n">
        <f aca="false">D24*$I24</f>
        <v>-0.00169889453296855</v>
      </c>
      <c r="N24" s="17" t="n">
        <f aca="false">E24*$I24</f>
        <v>0.000595313110670007</v>
      </c>
      <c r="O24" s="17" t="n">
        <f aca="false">F24*$I24</f>
        <v>0</v>
      </c>
      <c r="P24" s="17" t="n">
        <f aca="false">G24*$I24</f>
        <v>0</v>
      </c>
    </row>
    <row r="25" customFormat="false" ht="15" hidden="false" customHeight="false" outlineLevel="0" collapsed="false">
      <c r="A25" s="19" t="str">
        <f aca="false">Datos!A32</f>
        <v>2011Q4</v>
      </c>
      <c r="B25" s="20" t="n">
        <f aca="false">Datos!E32</f>
        <v>0.0521713189216535</v>
      </c>
      <c r="C25" s="20" t="n">
        <f aca="false">Datos!C32</f>
        <v>0.0257</v>
      </c>
      <c r="D25" s="20" t="n">
        <f aca="false">Datos!H30</f>
        <v>-0.245764621240005</v>
      </c>
      <c r="E25" s="20" t="n">
        <f aca="false">Datos!D32</f>
        <v>0.0925549924421212</v>
      </c>
      <c r="F25" s="20" t="n">
        <f aca="false">IF($A25="2020Q2",1,0)</f>
        <v>0</v>
      </c>
      <c r="G25" s="20" t="n">
        <f aca="false">IF($A25="2021Q2",1,0)</f>
        <v>0</v>
      </c>
      <c r="H25" s="17" t="n">
        <v>1</v>
      </c>
      <c r="I25" s="17" t="n">
        <f aca="false">B25-($B$89+$B$90*C25+$B$91*D25+$B$92*E25+$B$93*F25+$B$94*G25)</f>
        <v>0.00755363142327278</v>
      </c>
      <c r="J25" s="17" t="n">
        <f aca="false">I25^2</f>
        <v>5.70573476786539E-005</v>
      </c>
      <c r="K25" s="17" t="n">
        <f aca="false">H25*$I25</f>
        <v>0.00755363142327278</v>
      </c>
      <c r="L25" s="17" t="n">
        <f aca="false">C25*$I25</f>
        <v>0.00019412832757811</v>
      </c>
      <c r="M25" s="17" t="n">
        <f aca="false">D25*$I25</f>
        <v>-0.00185641536572723</v>
      </c>
      <c r="N25" s="17" t="n">
        <f aca="false">E25*$I25</f>
        <v>0.000699126299291581</v>
      </c>
      <c r="O25" s="17" t="n">
        <f aca="false">F25*$I25</f>
        <v>0</v>
      </c>
      <c r="P25" s="17" t="n">
        <f aca="false">G25*$I25</f>
        <v>0</v>
      </c>
    </row>
    <row r="26" customFormat="false" ht="15" hidden="false" customHeight="false" outlineLevel="0" collapsed="false">
      <c r="A26" s="19" t="str">
        <f aca="false">Datos!A33</f>
        <v>2012Q1</v>
      </c>
      <c r="B26" s="20" t="n">
        <f aca="false">Datos!E33</f>
        <v>0.0156424693190642</v>
      </c>
      <c r="C26" s="20" t="n">
        <f aca="false">Datos!C33</f>
        <v>0.0171</v>
      </c>
      <c r="D26" s="20" t="n">
        <f aca="false">Datos!H31</f>
        <v>0.0294728020236565</v>
      </c>
      <c r="E26" s="20" t="n">
        <f aca="false">Datos!D33</f>
        <v>0.0620545390001266</v>
      </c>
      <c r="F26" s="20" t="n">
        <f aca="false">IF($A26="2020Q2",1,0)</f>
        <v>0</v>
      </c>
      <c r="G26" s="20" t="n">
        <f aca="false">IF($A26="2021Q2",1,0)</f>
        <v>0</v>
      </c>
      <c r="H26" s="17" t="n">
        <v>1</v>
      </c>
      <c r="I26" s="17" t="n">
        <f aca="false">B26-($B$89+$B$90*C26+$B$91*D26+$B$92*E26+$B$93*F26+$B$94*G26)</f>
        <v>-0.00533312846395479</v>
      </c>
      <c r="J26" s="17" t="n">
        <f aca="false">I26^2</f>
        <v>2.84422592130448E-005</v>
      </c>
      <c r="K26" s="17" t="n">
        <f aca="false">H26*$I26</f>
        <v>-0.00533312846395479</v>
      </c>
      <c r="L26" s="17" t="n">
        <f aca="false">C26*$I26</f>
        <v>-9.11964967336269E-005</v>
      </c>
      <c r="M26" s="17" t="n">
        <f aca="false">D26*$I26</f>
        <v>-0.000157182239384867</v>
      </c>
      <c r="N26" s="17" t="n">
        <f aca="false">E26*$I26</f>
        <v>-0.000330944828259168</v>
      </c>
      <c r="O26" s="17" t="n">
        <f aca="false">F26*$I26</f>
        <v>-0</v>
      </c>
      <c r="P26" s="17" t="n">
        <f aca="false">G26*$I26</f>
        <v>-0</v>
      </c>
    </row>
    <row r="27" customFormat="false" ht="15" hidden="false" customHeight="false" outlineLevel="0" collapsed="false">
      <c r="A27" s="19" t="str">
        <f aca="false">Datos!A34</f>
        <v>2012Q2</v>
      </c>
      <c r="B27" s="20" t="n">
        <f aca="false">Datos!E34</f>
        <v>-0.0463175722342237</v>
      </c>
      <c r="C27" s="20" t="n">
        <f aca="false">Datos!C34</f>
        <v>0.0099</v>
      </c>
      <c r="D27" s="20" t="n">
        <f aca="false">Datos!H32</f>
        <v>0.508657349429499</v>
      </c>
      <c r="E27" s="20" t="n">
        <f aca="false">Datos!D34</f>
        <v>0.0457795868219466</v>
      </c>
      <c r="F27" s="20" t="n">
        <f aca="false">IF($A27="2020Q2",1,0)</f>
        <v>0</v>
      </c>
      <c r="G27" s="20" t="n">
        <f aca="false">IF($A27="2021Q2",1,0)</f>
        <v>0</v>
      </c>
      <c r="H27" s="17" t="n">
        <v>1</v>
      </c>
      <c r="I27" s="17" t="n">
        <f aca="false">B27-($B$89+$B$90*C27+$B$91*D27+$B$92*E27+$B$93*F27+$B$94*G27)</f>
        <v>-0.0371162574266364</v>
      </c>
      <c r="J27" s="17" t="n">
        <f aca="false">I27^2</f>
        <v>0.00137761656536034</v>
      </c>
      <c r="K27" s="17" t="n">
        <f aca="false">H27*$I27</f>
        <v>-0.0371162574266364</v>
      </c>
      <c r="L27" s="17" t="n">
        <f aca="false">C27*$I27</f>
        <v>-0.0003674509485237</v>
      </c>
      <c r="M27" s="17" t="n">
        <f aca="false">D27*$I27</f>
        <v>-0.0188794571233758</v>
      </c>
      <c r="N27" s="17" t="n">
        <f aca="false">E27*$I27</f>
        <v>-0.00169916692936842</v>
      </c>
      <c r="O27" s="17" t="n">
        <f aca="false">F27*$I27</f>
        <v>-0</v>
      </c>
      <c r="P27" s="17" t="n">
        <f aca="false">G27*$I27</f>
        <v>-0</v>
      </c>
    </row>
    <row r="28" customFormat="false" ht="15" hidden="false" customHeight="false" outlineLevel="0" collapsed="false">
      <c r="A28" s="19" t="str">
        <f aca="false">Datos!A35</f>
        <v>2012Q3</v>
      </c>
      <c r="B28" s="20" t="n">
        <f aca="false">Datos!E35</f>
        <v>-0.0111829419552486</v>
      </c>
      <c r="C28" s="20" t="n">
        <f aca="false">Datos!C35</f>
        <v>0.0249</v>
      </c>
      <c r="D28" s="20" t="n">
        <f aca="false">Datos!H33</f>
        <v>0.446252070566514</v>
      </c>
      <c r="E28" s="20" t="n">
        <f aca="false">Datos!D35</f>
        <v>0.112108810343498</v>
      </c>
      <c r="F28" s="20" t="n">
        <f aca="false">IF($A28="2020Q2",1,0)</f>
        <v>0</v>
      </c>
      <c r="G28" s="20" t="n">
        <f aca="false">IF($A28="2021Q2",1,0)</f>
        <v>0</v>
      </c>
      <c r="H28" s="17" t="n">
        <v>1</v>
      </c>
      <c r="I28" s="17" t="n">
        <f aca="false">B28-($B$89+$B$90*C28+$B$91*D28+$B$92*E28+$B$93*F28+$B$94*G28)</f>
        <v>-0.0255212011599221</v>
      </c>
      <c r="J28" s="17" t="n">
        <f aca="false">I28^2</f>
        <v>0.000651331708645208</v>
      </c>
      <c r="K28" s="17" t="n">
        <f aca="false">H28*$I28</f>
        <v>-0.0255212011599221</v>
      </c>
      <c r="L28" s="17" t="n">
        <f aca="false">C28*$I28</f>
        <v>-0.00063547790888206</v>
      </c>
      <c r="M28" s="17" t="n">
        <f aca="false">D28*$I28</f>
        <v>-0.0113888888609597</v>
      </c>
      <c r="N28" s="17" t="n">
        <f aca="false">E28*$I28</f>
        <v>-0.00286115150057597</v>
      </c>
      <c r="O28" s="17" t="n">
        <f aca="false">F28*$I28</f>
        <v>-0</v>
      </c>
      <c r="P28" s="17" t="n">
        <f aca="false">G28*$I28</f>
        <v>-0</v>
      </c>
    </row>
    <row r="29" customFormat="false" ht="15" hidden="false" customHeight="false" outlineLevel="0" collapsed="false">
      <c r="A29" s="19" t="str">
        <f aca="false">Datos!A36</f>
        <v>2012Q4</v>
      </c>
      <c r="B29" s="20" t="n">
        <f aca="false">Datos!E36</f>
        <v>0.00555804016441552</v>
      </c>
      <c r="C29" s="20" t="n">
        <f aca="false">Datos!C36</f>
        <v>0.0248</v>
      </c>
      <c r="D29" s="20" t="n">
        <f aca="false">Datos!H34</f>
        <v>0.616996310430901</v>
      </c>
      <c r="E29" s="20" t="n">
        <f aca="false">Datos!D36</f>
        <v>0.142539933794164</v>
      </c>
      <c r="F29" s="20" t="n">
        <f aca="false">IF($A29="2020Q2",1,0)</f>
        <v>0</v>
      </c>
      <c r="G29" s="20" t="n">
        <f aca="false">IF($A29="2021Q2",1,0)</f>
        <v>0</v>
      </c>
      <c r="H29" s="17" t="n">
        <v>1</v>
      </c>
      <c r="I29" s="17" t="n">
        <f aca="false">B29-($B$89+$B$90*C29+$B$91*D29+$B$92*E29+$B$93*F29+$B$94*G29)</f>
        <v>-0.0041776386115544</v>
      </c>
      <c r="J29" s="17" t="n">
        <f aca="false">I29^2</f>
        <v>1.74526643687502E-005</v>
      </c>
      <c r="K29" s="17" t="n">
        <f aca="false">H29*$I29</f>
        <v>-0.0041776386115544</v>
      </c>
      <c r="L29" s="17" t="n">
        <f aca="false">C29*$I29</f>
        <v>-0.000103605437566549</v>
      </c>
      <c r="M29" s="17" t="n">
        <f aca="false">D29*$I29</f>
        <v>-0.00257758760964274</v>
      </c>
      <c r="N29" s="17" t="n">
        <f aca="false">E29*$I29</f>
        <v>-0.000595480331106909</v>
      </c>
      <c r="O29" s="17" t="n">
        <f aca="false">F29*$I29</f>
        <v>-0</v>
      </c>
      <c r="P29" s="17" t="n">
        <f aca="false">G29*$I29</f>
        <v>-0</v>
      </c>
    </row>
    <row r="30" customFormat="false" ht="15" hidden="false" customHeight="false" outlineLevel="0" collapsed="false">
      <c r="A30" s="19" t="str">
        <f aca="false">Datos!A37</f>
        <v>2013Q1</v>
      </c>
      <c r="B30" s="20" t="n">
        <f aca="false">Datos!E37</f>
        <v>0.00654025144614989</v>
      </c>
      <c r="C30" s="20" t="n">
        <f aca="false">Datos!C37</f>
        <v>0.0272</v>
      </c>
      <c r="D30" s="20" t="n">
        <f aca="false">Datos!H35</f>
        <v>0.331248914573117</v>
      </c>
      <c r="E30" s="20" t="n">
        <f aca="false">Datos!D37</f>
        <v>0.109151497090353</v>
      </c>
      <c r="F30" s="20" t="n">
        <f aca="false">IF($A30="2020Q2",1,0)</f>
        <v>0</v>
      </c>
      <c r="G30" s="20" t="n">
        <f aca="false">IF($A30="2021Q2",1,0)</f>
        <v>0</v>
      </c>
      <c r="H30" s="17" t="n">
        <v>1</v>
      </c>
      <c r="I30" s="17" t="n">
        <f aca="false">B30-($B$89+$B$90*C30+$B$91*D30+$B$92*E30+$B$93*F30+$B$94*G30)</f>
        <v>-0.0148090545131111</v>
      </c>
      <c r="J30" s="17" t="n">
        <f aca="false">I30^2</f>
        <v>0.000219308095572296</v>
      </c>
      <c r="K30" s="17" t="n">
        <f aca="false">H30*$I30</f>
        <v>-0.0148090545131111</v>
      </c>
      <c r="L30" s="17" t="n">
        <f aca="false">C30*$I30</f>
        <v>-0.000402806282756622</v>
      </c>
      <c r="M30" s="17" t="n">
        <f aca="false">D30*$I30</f>
        <v>-0.00490548323332218</v>
      </c>
      <c r="N30" s="17" t="n">
        <f aca="false">E30*$I30</f>
        <v>-0.00161643047059872</v>
      </c>
      <c r="O30" s="17" t="n">
        <f aca="false">F30*$I30</f>
        <v>-0</v>
      </c>
      <c r="P30" s="17" t="n">
        <f aca="false">G30*$I30</f>
        <v>-0</v>
      </c>
    </row>
    <row r="31" customFormat="false" ht="15" hidden="false" customHeight="false" outlineLevel="0" collapsed="false">
      <c r="A31" s="19" t="str">
        <f aca="false">Datos!A38</f>
        <v>2013Q2</v>
      </c>
      <c r="B31" s="20" t="n">
        <f aca="false">Datos!E38</f>
        <v>0.0624602349363816</v>
      </c>
      <c r="C31" s="20" t="n">
        <f aca="false">Datos!C38</f>
        <v>0.0402</v>
      </c>
      <c r="D31" s="20" t="n">
        <f aca="false">Datos!H36</f>
        <v>0.133448408459698</v>
      </c>
      <c r="E31" s="20" t="n">
        <f aca="false">Datos!D38</f>
        <v>0.110236615534545</v>
      </c>
      <c r="F31" s="20" t="n">
        <f aca="false">IF($A31="2020Q2",1,0)</f>
        <v>0</v>
      </c>
      <c r="G31" s="20" t="n">
        <f aca="false">IF($A31="2021Q2",1,0)</f>
        <v>0</v>
      </c>
      <c r="H31" s="17" t="n">
        <v>1</v>
      </c>
      <c r="I31" s="17" t="n">
        <f aca="false">B31-($B$89+$B$90*C31+$B$91*D31+$B$92*E31+$B$93*F31+$B$94*G31)</f>
        <v>0.0202549944204989</v>
      </c>
      <c r="J31" s="17" t="n">
        <f aca="false">I31^2</f>
        <v>0.000410264798974441</v>
      </c>
      <c r="K31" s="17" t="n">
        <f aca="false">H31*$I31</f>
        <v>0.0202549944204989</v>
      </c>
      <c r="L31" s="17" t="n">
        <f aca="false">C31*$I31</f>
        <v>0.000814250775704055</v>
      </c>
      <c r="M31" s="17" t="n">
        <f aca="false">D31*$I31</f>
        <v>0.00270299676877563</v>
      </c>
      <c r="N31" s="17" t="n">
        <f aca="false">E31*$I31</f>
        <v>0.00223284203258689</v>
      </c>
      <c r="O31" s="17" t="n">
        <f aca="false">F31*$I31</f>
        <v>0</v>
      </c>
      <c r="P31" s="17" t="n">
        <f aca="false">G31*$I31</f>
        <v>0</v>
      </c>
    </row>
    <row r="32" customFormat="false" ht="15" hidden="false" customHeight="false" outlineLevel="0" collapsed="false">
      <c r="A32" s="19" t="str">
        <f aca="false">Datos!A39</f>
        <v>2013Q3</v>
      </c>
      <c r="B32" s="20" t="n">
        <f aca="false">Datos!E39</f>
        <v>0.0255838987402566</v>
      </c>
      <c r="C32" s="20" t="n">
        <f aca="false">Datos!C39</f>
        <v>0.0276</v>
      </c>
      <c r="D32" s="20" t="n">
        <f aca="false">Datos!H37</f>
        <v>0.302198791603895</v>
      </c>
      <c r="E32" s="20" t="n">
        <f aca="false">Datos!D39</f>
        <v>0.0325763832684258</v>
      </c>
      <c r="F32" s="20" t="n">
        <f aca="false">IF($A32="2020Q2",1,0)</f>
        <v>0</v>
      </c>
      <c r="G32" s="20" t="n">
        <f aca="false">IF($A32="2021Q2",1,0)</f>
        <v>0</v>
      </c>
      <c r="H32" s="17" t="n">
        <v>1</v>
      </c>
      <c r="I32" s="17" t="n">
        <f aca="false">B32-($B$89+$B$90*C32+$B$91*D32+$B$92*E32+$B$93*F32+$B$94*G32)</f>
        <v>0.0108611814623527</v>
      </c>
      <c r="J32" s="17" t="n">
        <f aca="false">I32^2</f>
        <v>0.000117965262758153</v>
      </c>
      <c r="K32" s="17" t="n">
        <f aca="false">H32*$I32</f>
        <v>0.0108611814623527</v>
      </c>
      <c r="L32" s="17" t="n">
        <f aca="false">C32*$I32</f>
        <v>0.000299768608360934</v>
      </c>
      <c r="M32" s="17" t="n">
        <f aca="false">D32*$I32</f>
        <v>0.0032822359133136</v>
      </c>
      <c r="N32" s="17" t="n">
        <f aca="false">E32*$I32</f>
        <v>0.000353818010065522</v>
      </c>
      <c r="O32" s="17" t="n">
        <f aca="false">F32*$I32</f>
        <v>0</v>
      </c>
      <c r="P32" s="17" t="n">
        <f aca="false">G32*$I32</f>
        <v>0</v>
      </c>
    </row>
    <row r="33" customFormat="false" ht="15" hidden="false" customHeight="false" outlineLevel="0" collapsed="false">
      <c r="A33" s="19" t="str">
        <f aca="false">Datos!A40</f>
        <v>2013Q4</v>
      </c>
      <c r="B33" s="20" t="n">
        <f aca="false">Datos!E40</f>
        <v>-0.000510205754616022</v>
      </c>
      <c r="C33" s="20" t="n">
        <f aca="false">Datos!C40</f>
        <v>0.0253</v>
      </c>
      <c r="D33" s="20" t="n">
        <f aca="false">Datos!H38</f>
        <v>0.120778671688272</v>
      </c>
      <c r="E33" s="20" t="n">
        <f aca="false">Datos!D40</f>
        <v>-0.0304774941480642</v>
      </c>
      <c r="F33" s="20" t="n">
        <f aca="false">IF($A33="2020Q2",1,0)</f>
        <v>0</v>
      </c>
      <c r="G33" s="20" t="n">
        <f aca="false">IF($A33="2021Q2",1,0)</f>
        <v>0</v>
      </c>
      <c r="H33" s="17" t="n">
        <v>1</v>
      </c>
      <c r="I33" s="17" t="n">
        <f aca="false">B33-($B$89+$B$90*C33+$B$91*D33+$B$92*E33+$B$93*F33+$B$94*G33)</f>
        <v>-0.0146248219305138</v>
      </c>
      <c r="J33" s="17" t="n">
        <f aca="false">I33^2</f>
        <v>0.000213885416499239</v>
      </c>
      <c r="K33" s="17" t="n">
        <f aca="false">H33*$I33</f>
        <v>-0.0146248219305138</v>
      </c>
      <c r="L33" s="17" t="n">
        <f aca="false">C33*$I33</f>
        <v>-0.000370007994842</v>
      </c>
      <c r="M33" s="17" t="n">
        <f aca="false">D33*$I33</f>
        <v>-0.00176636656644497</v>
      </c>
      <c r="N33" s="17" t="n">
        <f aca="false">E33*$I33</f>
        <v>0.000445727924803717</v>
      </c>
      <c r="O33" s="17" t="n">
        <f aca="false">F33*$I33</f>
        <v>-0</v>
      </c>
      <c r="P33" s="17" t="n">
        <f aca="false">G33*$I33</f>
        <v>-0</v>
      </c>
    </row>
    <row r="34" customFormat="false" ht="15" hidden="false" customHeight="false" outlineLevel="0" collapsed="false">
      <c r="A34" s="19" t="str">
        <f aca="false">Datos!A41</f>
        <v>2014Q1</v>
      </c>
      <c r="B34" s="20" t="n">
        <f aca="false">Datos!E41</f>
        <v>-0.00889028383967849</v>
      </c>
      <c r="C34" s="20" t="n">
        <f aca="false">Datos!C41</f>
        <v>0.0347</v>
      </c>
      <c r="D34" s="20" t="n">
        <f aca="false">Datos!H39</f>
        <v>0.0668712109426766</v>
      </c>
      <c r="E34" s="20" t="n">
        <f aca="false">Datos!D41</f>
        <v>-0.114758840789371</v>
      </c>
      <c r="F34" s="20" t="n">
        <f aca="false">IF($A34="2020Q2",1,0)</f>
        <v>0</v>
      </c>
      <c r="G34" s="20" t="n">
        <f aca="false">IF($A34="2021Q2",1,0)</f>
        <v>0</v>
      </c>
      <c r="H34" s="17" t="n">
        <v>1</v>
      </c>
      <c r="I34" s="17" t="n">
        <f aca="false">B34-($B$89+$B$90*C34+$B$91*D34+$B$92*E34+$B$93*F34+$B$94*G34)</f>
        <v>-0.0247668805491521</v>
      </c>
      <c r="J34" s="17" t="n">
        <f aca="false">I34^2</f>
        <v>0.000613398372135971</v>
      </c>
      <c r="K34" s="17" t="n">
        <f aca="false">H34*$I34</f>
        <v>-0.0247668805491521</v>
      </c>
      <c r="L34" s="17" t="n">
        <f aca="false">C34*$I34</f>
        <v>-0.000859410755055579</v>
      </c>
      <c r="M34" s="17" t="n">
        <f aca="false">D34*$I34</f>
        <v>-0.00165619129359443</v>
      </c>
      <c r="N34" s="17" t="n">
        <f aca="false">E34*$I34</f>
        <v>0.00284221850178952</v>
      </c>
      <c r="O34" s="17" t="n">
        <f aca="false">F34*$I34</f>
        <v>-0</v>
      </c>
      <c r="P34" s="17" t="n">
        <f aca="false">G34*$I34</f>
        <v>-0</v>
      </c>
    </row>
    <row r="35" customFormat="false" ht="15" hidden="false" customHeight="false" outlineLevel="0" collapsed="false">
      <c r="A35" s="19" t="str">
        <f aca="false">Datos!A42</f>
        <v>2014Q2</v>
      </c>
      <c r="B35" s="20" t="n">
        <f aca="false">Datos!E42</f>
        <v>-0.0204893869308982</v>
      </c>
      <c r="C35" s="20" t="n">
        <f aca="false">Datos!C42</f>
        <v>-0.0044</v>
      </c>
      <c r="D35" s="20" t="n">
        <f aca="false">Datos!H40</f>
        <v>-0.193556731560339</v>
      </c>
      <c r="E35" s="20" t="n">
        <f aca="false">Datos!D42</f>
        <v>-0.151433708670598</v>
      </c>
      <c r="F35" s="20" t="n">
        <f aca="false">IF($A35="2020Q2",1,0)</f>
        <v>0</v>
      </c>
      <c r="G35" s="20" t="n">
        <f aca="false">IF($A35="2021Q2",1,0)</f>
        <v>0</v>
      </c>
      <c r="H35" s="17" t="n">
        <v>1</v>
      </c>
      <c r="I35" s="17" t="n">
        <f aca="false">B35-($B$89+$B$90*C35+$B$91*D35+$B$92*E35+$B$93*F35+$B$94*G35)</f>
        <v>-0.00917167599129053</v>
      </c>
      <c r="J35" s="17" t="n">
        <f aca="false">I35^2</f>
        <v>8.41196404892151E-005</v>
      </c>
      <c r="K35" s="17" t="n">
        <f aca="false">H35*$I35</f>
        <v>-0.00917167599129053</v>
      </c>
      <c r="L35" s="17" t="n">
        <f aca="false">C35*$I35</f>
        <v>4.03553743616783E-005</v>
      </c>
      <c r="M35" s="17" t="n">
        <f aca="false">D35*$I35</f>
        <v>0.00177523962780463</v>
      </c>
      <c r="N35" s="17" t="n">
        <f aca="false">E35*$I35</f>
        <v>0.0013889009100862</v>
      </c>
      <c r="O35" s="17" t="n">
        <f aca="false">F35*$I35</f>
        <v>-0</v>
      </c>
      <c r="P35" s="17" t="n">
        <f aca="false">G35*$I35</f>
        <v>-0</v>
      </c>
    </row>
    <row r="36" customFormat="false" ht="15" hidden="false" customHeight="false" outlineLevel="0" collapsed="false">
      <c r="A36" s="19" t="str">
        <f aca="false">Datos!A43</f>
        <v>2014Q3</v>
      </c>
      <c r="B36" s="20" t="n">
        <f aca="false">Datos!E43</f>
        <v>-0.0423851505475772</v>
      </c>
      <c r="C36" s="20" t="n">
        <f aca="false">Datos!C43</f>
        <v>-0.0064</v>
      </c>
      <c r="D36" s="20" t="n">
        <f aca="false">Datos!H41</f>
        <v>-0.194939516693815</v>
      </c>
      <c r="E36" s="20" t="n">
        <f aca="false">Datos!D43</f>
        <v>-0.138372355737692</v>
      </c>
      <c r="F36" s="20" t="n">
        <f aca="false">IF($A36="2020Q2",1,0)</f>
        <v>0</v>
      </c>
      <c r="G36" s="20" t="n">
        <f aca="false">IF($A36="2021Q2",1,0)</f>
        <v>0</v>
      </c>
      <c r="H36" s="17" t="n">
        <v>1</v>
      </c>
      <c r="I36" s="17" t="n">
        <f aca="false">B36-($B$89+$B$90*C36+$B$91*D36+$B$92*E36+$B$93*F36+$B$94*G36)</f>
        <v>-0.0307520257646484</v>
      </c>
      <c r="J36" s="17" t="n">
        <f aca="false">I36^2</f>
        <v>0.000945687088629597</v>
      </c>
      <c r="K36" s="17" t="n">
        <f aca="false">H36*$I36</f>
        <v>-0.0307520257646484</v>
      </c>
      <c r="L36" s="17" t="n">
        <f aca="false">C36*$I36</f>
        <v>0.00019681296489375</v>
      </c>
      <c r="M36" s="17" t="n">
        <f aca="false">D36*$I36</f>
        <v>0.00599478503991629</v>
      </c>
      <c r="N36" s="17" t="n">
        <f aca="false">E36*$I36</f>
        <v>0.00425523024876059</v>
      </c>
      <c r="O36" s="17" t="n">
        <f aca="false">F36*$I36</f>
        <v>-0</v>
      </c>
      <c r="P36" s="17" t="n">
        <f aca="false">G36*$I36</f>
        <v>-0</v>
      </c>
    </row>
    <row r="37" customFormat="false" ht="15" hidden="false" customHeight="false" outlineLevel="0" collapsed="false">
      <c r="A37" s="19" t="str">
        <f aca="false">Datos!A44</f>
        <v>2014Q4</v>
      </c>
      <c r="B37" s="20" t="n">
        <f aca="false">Datos!E44</f>
        <v>-0.0281573013880524</v>
      </c>
      <c r="C37" s="20" t="n">
        <f aca="false">Datos!C44</f>
        <v>-0.0023</v>
      </c>
      <c r="D37" s="20" t="n">
        <f aca="false">Datos!H42</f>
        <v>-0.427353150106391</v>
      </c>
      <c r="E37" s="20" t="n">
        <f aca="false">Datos!D44</f>
        <v>-0.0907464994660634</v>
      </c>
      <c r="F37" s="20" t="n">
        <f aca="false">IF($A37="2020Q2",1,0)</f>
        <v>0</v>
      </c>
      <c r="G37" s="20" t="n">
        <f aca="false">IF($A37="2021Q2",1,0)</f>
        <v>0</v>
      </c>
      <c r="H37" s="17" t="n">
        <v>1</v>
      </c>
      <c r="I37" s="17" t="n">
        <f aca="false">B37-($B$89+$B$90*C37+$B$91*D37+$B$92*E37+$B$93*F37+$B$94*G37)</f>
        <v>-0.036021712196462</v>
      </c>
      <c r="J37" s="17" t="n">
        <f aca="false">I37^2</f>
        <v>0.00129756374956474</v>
      </c>
      <c r="K37" s="17" t="n">
        <f aca="false">H37*$I37</f>
        <v>-0.036021712196462</v>
      </c>
      <c r="L37" s="17" t="n">
        <f aca="false">C37*$I37</f>
        <v>8.28499380518625E-005</v>
      </c>
      <c r="M37" s="17" t="n">
        <f aca="false">D37*$I37</f>
        <v>0.0153939921793838</v>
      </c>
      <c r="N37" s="17" t="n">
        <f aca="false">E37*$I37</f>
        <v>0.00326884428660292</v>
      </c>
      <c r="O37" s="17" t="n">
        <f aca="false">F37*$I37</f>
        <v>-0</v>
      </c>
      <c r="P37" s="17" t="n">
        <f aca="false">G37*$I37</f>
        <v>-0</v>
      </c>
    </row>
    <row r="38" customFormat="false" ht="15" hidden="false" customHeight="false" outlineLevel="0" collapsed="false">
      <c r="A38" s="19" t="str">
        <f aca="false">Datos!A45</f>
        <v>2015Q1</v>
      </c>
      <c r="B38" s="20" t="n">
        <f aca="false">Datos!E45</f>
        <v>0.00250908947797246</v>
      </c>
      <c r="C38" s="20" t="n">
        <f aca="false">Datos!C45</f>
        <v>-0.0161</v>
      </c>
      <c r="D38" s="20" t="n">
        <f aca="false">Datos!H43</f>
        <v>-0.430103763511462</v>
      </c>
      <c r="E38" s="20" t="n">
        <f aca="false">Datos!D45</f>
        <v>0.00628195685987731</v>
      </c>
      <c r="F38" s="20" t="n">
        <f aca="false">IF($A38="2020Q2",1,0)</f>
        <v>0</v>
      </c>
      <c r="G38" s="20" t="n">
        <f aca="false">IF($A38="2021Q2",1,0)</f>
        <v>0</v>
      </c>
      <c r="H38" s="17" t="n">
        <v>1</v>
      </c>
      <c r="I38" s="17" t="n">
        <f aca="false">B38-($B$89+$B$90*C38+$B$91*D38+$B$92*E38+$B$93*F38+$B$94*G38)</f>
        <v>-0.00361795613466957</v>
      </c>
      <c r="J38" s="17" t="n">
        <f aca="false">I38^2</f>
        <v>1.30896065923932E-005</v>
      </c>
      <c r="K38" s="17" t="n">
        <f aca="false">H38*$I38</f>
        <v>-0.00361795613466957</v>
      </c>
      <c r="L38" s="17" t="n">
        <f aca="false">C38*$I38</f>
        <v>5.82490937681801E-005</v>
      </c>
      <c r="M38" s="17" t="n">
        <f aca="false">D38*$I38</f>
        <v>0.00155609654974076</v>
      </c>
      <c r="N38" s="17" t="n">
        <f aca="false">E38*$I38</f>
        <v>-2.27278443589227E-005</v>
      </c>
      <c r="O38" s="17" t="n">
        <f aca="false">F38*$I38</f>
        <v>-0</v>
      </c>
      <c r="P38" s="17" t="n">
        <f aca="false">G38*$I38</f>
        <v>-0</v>
      </c>
    </row>
    <row r="39" customFormat="false" ht="15" hidden="false" customHeight="false" outlineLevel="0" collapsed="false">
      <c r="A39" s="19" t="str">
        <f aca="false">Datos!A46</f>
        <v>2015Q2</v>
      </c>
      <c r="B39" s="20" t="n">
        <f aca="false">Datos!E46</f>
        <v>0.0403103203233863</v>
      </c>
      <c r="C39" s="20" t="n">
        <f aca="false">Datos!C46</f>
        <v>-0.0273</v>
      </c>
      <c r="D39" s="20" t="n">
        <f aca="false">Datos!H44</f>
        <v>-0.156477398590572</v>
      </c>
      <c r="E39" s="20" t="n">
        <f aca="false">Datos!D46</f>
        <v>0.101200094474078</v>
      </c>
      <c r="F39" s="20" t="n">
        <f aca="false">IF($A39="2020Q2",1,0)</f>
        <v>0</v>
      </c>
      <c r="G39" s="20" t="n">
        <f aca="false">IF($A39="2021Q2",1,0)</f>
        <v>0</v>
      </c>
      <c r="H39" s="17" t="n">
        <v>1</v>
      </c>
      <c r="I39" s="17" t="n">
        <f aca="false">B39-($B$89+$B$90*C39+$B$91*D39+$B$92*E39+$B$93*F39+$B$94*G39)</f>
        <v>0.0464674374626838</v>
      </c>
      <c r="J39" s="17" t="n">
        <f aca="false">I39^2</f>
        <v>0.00215922274434843</v>
      </c>
      <c r="K39" s="17" t="n">
        <f aca="false">H39*$I39</f>
        <v>0.0464674374626838</v>
      </c>
      <c r="L39" s="17" t="n">
        <f aca="false">C39*$I39</f>
        <v>-0.00126856104273127</v>
      </c>
      <c r="M39" s="17" t="n">
        <f aca="false">D39*$I39</f>
        <v>-0.00727110373333084</v>
      </c>
      <c r="N39" s="17" t="n">
        <f aca="false">E39*$I39</f>
        <v>0.00470250906119189</v>
      </c>
      <c r="O39" s="17" t="n">
        <f aca="false">F39*$I39</f>
        <v>0</v>
      </c>
      <c r="P39" s="17" t="n">
        <f aca="false">G39*$I39</f>
        <v>0</v>
      </c>
    </row>
    <row r="40" customFormat="false" ht="15" hidden="false" customHeight="false" outlineLevel="0" collapsed="false">
      <c r="A40" s="19" t="str">
        <f aca="false">Datos!A47</f>
        <v>2015Q3</v>
      </c>
      <c r="B40" s="20" t="n">
        <f aca="false">Datos!E47</f>
        <v>0.0396616998607275</v>
      </c>
      <c r="C40" s="20" t="n">
        <f aca="false">Datos!C47</f>
        <v>-0.0426</v>
      </c>
      <c r="D40" s="20" t="n">
        <f aca="false">Datos!H45</f>
        <v>-0.327993767427338</v>
      </c>
      <c r="E40" s="20" t="n">
        <f aca="false">Datos!D47</f>
        <v>0.0560260007251707</v>
      </c>
      <c r="F40" s="20" t="n">
        <f aca="false">IF($A40="2020Q2",1,0)</f>
        <v>0</v>
      </c>
      <c r="G40" s="20" t="n">
        <f aca="false">IF($A40="2021Q2",1,0)</f>
        <v>0</v>
      </c>
      <c r="H40" s="17" t="n">
        <v>1</v>
      </c>
      <c r="I40" s="17" t="n">
        <f aca="false">B40-($B$89+$B$90*C40+$B$91*D40+$B$92*E40+$B$93*F40+$B$94*G40)</f>
        <v>0.0566203700812491</v>
      </c>
      <c r="J40" s="17" t="n">
        <f aca="false">I40^2</f>
        <v>0.0032058663081376</v>
      </c>
      <c r="K40" s="17" t="n">
        <f aca="false">H40*$I40</f>
        <v>0.0566203700812491</v>
      </c>
      <c r="L40" s="17" t="n">
        <f aca="false">C40*$I40</f>
        <v>-0.00241202776546121</v>
      </c>
      <c r="M40" s="17" t="n">
        <f aca="false">D40*$I40</f>
        <v>-0.018571128496079</v>
      </c>
      <c r="N40" s="17" t="n">
        <f aca="false">E40*$I40</f>
        <v>0.00317221289523149</v>
      </c>
      <c r="O40" s="17" t="n">
        <f aca="false">F40*$I40</f>
        <v>0</v>
      </c>
      <c r="P40" s="17" t="n">
        <f aca="false">G40*$I40</f>
        <v>0</v>
      </c>
    </row>
    <row r="41" customFormat="false" ht="15" hidden="false" customHeight="false" outlineLevel="0" collapsed="false">
      <c r="A41" s="19" t="str">
        <f aca="false">Datos!A48</f>
        <v>2015Q4</v>
      </c>
      <c r="B41" s="20" t="n">
        <f aca="false">Datos!E48</f>
        <v>0.0247270091543546</v>
      </c>
      <c r="C41" s="20" t="n">
        <f aca="false">Datos!C48</f>
        <v>-0.0553</v>
      </c>
      <c r="D41" s="20" t="n">
        <f aca="false">Datos!H46</f>
        <v>-0.269935633939498</v>
      </c>
      <c r="E41" s="20" t="n">
        <f aca="false">Datos!D48</f>
        <v>0.0484206303604911</v>
      </c>
      <c r="F41" s="20" t="n">
        <f aca="false">IF($A41="2020Q2",1,0)</f>
        <v>0</v>
      </c>
      <c r="G41" s="20" t="n">
        <f aca="false">IF($A41="2021Q2",1,0)</f>
        <v>0</v>
      </c>
      <c r="H41" s="17" t="n">
        <v>1</v>
      </c>
      <c r="I41" s="17" t="n">
        <f aca="false">B41-($B$89+$B$90*C41+$B$91*D41+$B$92*E41+$B$93*F41+$B$94*G41)</f>
        <v>0.0565820084171428</v>
      </c>
      <c r="J41" s="17" t="n">
        <f aca="false">I41^2</f>
        <v>0.00320152367651761</v>
      </c>
      <c r="K41" s="17" t="n">
        <f aca="false">H41*$I41</f>
        <v>0.0565820084171428</v>
      </c>
      <c r="L41" s="17" t="n">
        <f aca="false">C41*$I41</f>
        <v>-0.00312898506546799</v>
      </c>
      <c r="M41" s="17" t="n">
        <f aca="false">D41*$I41</f>
        <v>-0.0152735003116514</v>
      </c>
      <c r="N41" s="17" t="n">
        <f aca="false">E41*$I41</f>
        <v>0.00273973651462066</v>
      </c>
      <c r="O41" s="17" t="n">
        <f aca="false">F41*$I41</f>
        <v>0</v>
      </c>
      <c r="P41" s="17" t="n">
        <f aca="false">G41*$I41</f>
        <v>0</v>
      </c>
    </row>
    <row r="42" customFormat="false" ht="15" hidden="false" customHeight="false" outlineLevel="0" collapsed="false">
      <c r="A42" s="19" t="str">
        <f aca="false">Datos!A49</f>
        <v>2016Q1</v>
      </c>
      <c r="B42" s="20" t="n">
        <f aca="false">Datos!E49</f>
        <v>0.00728692545281007</v>
      </c>
      <c r="C42" s="20" t="n">
        <f aca="false">Datos!C49</f>
        <v>-0.0516</v>
      </c>
      <c r="D42" s="20" t="n">
        <f aca="false">Datos!H47</f>
        <v>-0.192260573323891</v>
      </c>
      <c r="E42" s="20" t="n">
        <f aca="false">Datos!D49</f>
        <v>-0.0433211464470484</v>
      </c>
      <c r="F42" s="20" t="n">
        <f aca="false">IF($A42="2020Q2",1,0)</f>
        <v>0</v>
      </c>
      <c r="G42" s="20" t="n">
        <f aca="false">IF($A42="2021Q2",1,0)</f>
        <v>0</v>
      </c>
      <c r="H42" s="17" t="n">
        <v>1</v>
      </c>
      <c r="I42" s="17" t="n">
        <f aca="false">B42-($B$89+$B$90*C42+$B$91*D42+$B$92*E42+$B$93*F42+$B$94*G42)</f>
        <v>0.0493366812136438</v>
      </c>
      <c r="J42" s="17" t="n">
        <f aca="false">I42^2</f>
        <v>0.00243410811317671</v>
      </c>
      <c r="K42" s="17" t="n">
        <f aca="false">H42*$I42</f>
        <v>0.0493366812136438</v>
      </c>
      <c r="L42" s="17" t="n">
        <f aca="false">C42*$I42</f>
        <v>-0.00254577275062402</v>
      </c>
      <c r="M42" s="17" t="n">
        <f aca="false">D42*$I42</f>
        <v>-0.00948549861603318</v>
      </c>
      <c r="N42" s="17" t="n">
        <f aca="false">E42*$I42</f>
        <v>-0.00213732159206761</v>
      </c>
      <c r="O42" s="17" t="n">
        <f aca="false">F42*$I42</f>
        <v>0</v>
      </c>
      <c r="P42" s="17" t="n">
        <f aca="false">G42*$I42</f>
        <v>0</v>
      </c>
    </row>
    <row r="43" customFormat="false" ht="15" hidden="false" customHeight="false" outlineLevel="0" collapsed="false">
      <c r="A43" s="19" t="str">
        <f aca="false">Datos!A50</f>
        <v>2016Q2</v>
      </c>
      <c r="B43" s="20" t="n">
        <f aca="false">Datos!E50</f>
        <v>-0.0385885964740134</v>
      </c>
      <c r="C43" s="20" t="n">
        <f aca="false">Datos!C50</f>
        <v>-0.0324</v>
      </c>
      <c r="D43" s="20" t="n">
        <f aca="false">Datos!H48</f>
        <v>-0.365034907517289</v>
      </c>
      <c r="E43" s="20" t="n">
        <f aca="false">Datos!D50</f>
        <v>-0.148910975388297</v>
      </c>
      <c r="F43" s="20" t="n">
        <f aca="false">IF($A43="2020Q2",1,0)</f>
        <v>0</v>
      </c>
      <c r="G43" s="20" t="n">
        <f aca="false">IF($A43="2021Q2",1,0)</f>
        <v>0</v>
      </c>
      <c r="H43" s="17" t="n">
        <v>1</v>
      </c>
      <c r="I43" s="17" t="n">
        <f aca="false">B43-($B$89+$B$90*C43+$B$91*D43+$B$92*E43+$B$93*F43+$B$94*G43)</f>
        <v>-0.0102353003767157</v>
      </c>
      <c r="J43" s="17" t="n">
        <f aca="false">I43^2</f>
        <v>0.000104761373801596</v>
      </c>
      <c r="K43" s="17" t="n">
        <f aca="false">H43*$I43</f>
        <v>-0.0102353003767157</v>
      </c>
      <c r="L43" s="17" t="n">
        <f aca="false">C43*$I43</f>
        <v>0.000331623732205589</v>
      </c>
      <c r="M43" s="17" t="n">
        <f aca="false">D43*$I43</f>
        <v>0.00373624192642608</v>
      </c>
      <c r="N43" s="17" t="n">
        <f aca="false">E43*$I43</f>
        <v>0.00152414856248894</v>
      </c>
      <c r="O43" s="17" t="n">
        <f aca="false">F43*$I43</f>
        <v>-0</v>
      </c>
      <c r="P43" s="17" t="n">
        <f aca="false">G43*$I43</f>
        <v>-0</v>
      </c>
    </row>
    <row r="44" customFormat="false" ht="15" hidden="false" customHeight="false" outlineLevel="0" collapsed="false">
      <c r="A44" s="19" t="str">
        <f aca="false">Datos!A51</f>
        <v>2016Q3</v>
      </c>
      <c r="B44" s="20" t="n">
        <f aca="false">Datos!E51</f>
        <v>-0.0332721885187776</v>
      </c>
      <c r="C44" s="20" t="n">
        <f aca="false">Datos!C51</f>
        <v>-0.0245</v>
      </c>
      <c r="D44" s="20" t="n">
        <f aca="false">Datos!H49</f>
        <v>-0.352972110711817</v>
      </c>
      <c r="E44" s="20" t="n">
        <f aca="false">Datos!D51</f>
        <v>-0.139819367126712</v>
      </c>
      <c r="F44" s="20" t="n">
        <f aca="false">IF($A44="2020Q2",1,0)</f>
        <v>0</v>
      </c>
      <c r="G44" s="20" t="n">
        <f aca="false">IF($A44="2021Q2",1,0)</f>
        <v>0</v>
      </c>
      <c r="H44" s="17" t="n">
        <v>1</v>
      </c>
      <c r="I44" s="17" t="n">
        <f aca="false">B44-($B$89+$B$90*C44+$B$91*D44+$B$92*E44+$B$93*F44+$B$94*G44)</f>
        <v>-0.0124528634968885</v>
      </c>
      <c r="J44" s="17" t="n">
        <f aca="false">I44^2</f>
        <v>0.000155073809272137</v>
      </c>
      <c r="K44" s="17" t="n">
        <f aca="false">H44*$I44</f>
        <v>-0.0124528634968885</v>
      </c>
      <c r="L44" s="17" t="n">
        <f aca="false">C44*$I44</f>
        <v>0.000305095155673768</v>
      </c>
      <c r="M44" s="17" t="n">
        <f aca="false">D44*$I44</f>
        <v>0.00439551351290286</v>
      </c>
      <c r="N44" s="17" t="n">
        <f aca="false">E44*$I44</f>
        <v>0.00174115149305028</v>
      </c>
      <c r="O44" s="17" t="n">
        <f aca="false">F44*$I44</f>
        <v>-0</v>
      </c>
      <c r="P44" s="17" t="n">
        <f aca="false">G44*$I44</f>
        <v>-0</v>
      </c>
    </row>
    <row r="45" customFormat="false" ht="15" hidden="false" customHeight="false" outlineLevel="0" collapsed="false">
      <c r="A45" s="19" t="str">
        <f aca="false">Datos!A52</f>
        <v>2016Q4</v>
      </c>
      <c r="B45" s="20" t="n">
        <f aca="false">Datos!E52</f>
        <v>-0.0149328839288507</v>
      </c>
      <c r="C45" s="20" t="n">
        <f aca="false">Datos!C52</f>
        <v>-0.0221</v>
      </c>
      <c r="D45" s="20" t="n">
        <f aca="false">Datos!H50</f>
        <v>-0.286997283390795</v>
      </c>
      <c r="E45" s="20" t="n">
        <f aca="false">Datos!D52</f>
        <v>-0.11418596424082</v>
      </c>
      <c r="F45" s="20" t="n">
        <f aca="false">IF($A45="2020Q2",1,0)</f>
        <v>0</v>
      </c>
      <c r="G45" s="20" t="n">
        <f aca="false">IF($A45="2021Q2",1,0)</f>
        <v>0</v>
      </c>
      <c r="H45" s="17" t="n">
        <v>1</v>
      </c>
      <c r="I45" s="17" t="n">
        <f aca="false">B45-($B$89+$B$90*C45+$B$91*D45+$B$92*E45+$B$93*F45+$B$94*G45)</f>
        <v>0.00396667818245145</v>
      </c>
      <c r="J45" s="17" t="n">
        <f aca="false">I45^2</f>
        <v>1.57345358031363E-005</v>
      </c>
      <c r="K45" s="17" t="n">
        <f aca="false">H45*$I45</f>
        <v>0.00396667818245145</v>
      </c>
      <c r="L45" s="17" t="n">
        <f aca="false">C45*$I45</f>
        <v>-8.7663587832177E-005</v>
      </c>
      <c r="M45" s="17" t="n">
        <f aca="false">D45*$I45</f>
        <v>-0.0011384258624491</v>
      </c>
      <c r="N45" s="17" t="n">
        <f aca="false">E45*$I45</f>
        <v>-0.000452938973096242</v>
      </c>
      <c r="O45" s="17" t="n">
        <f aca="false">F45*$I45</f>
        <v>0</v>
      </c>
      <c r="P45" s="17" t="n">
        <f aca="false">G45*$I45</f>
        <v>0</v>
      </c>
    </row>
    <row r="46" customFormat="false" ht="15" hidden="false" customHeight="false" outlineLevel="0" collapsed="false">
      <c r="A46" s="19" t="str">
        <f aca="false">Datos!A53</f>
        <v>2017Q1</v>
      </c>
      <c r="B46" s="20" t="n">
        <f aca="false">Datos!E53</f>
        <v>0.00559679082443165</v>
      </c>
      <c r="C46" s="20" t="n">
        <f aca="false">Datos!C53</f>
        <v>0.0039</v>
      </c>
      <c r="D46" s="20" t="n">
        <f aca="false">Datos!H51</f>
        <v>-0.157304427196535</v>
      </c>
      <c r="E46" s="20" t="n">
        <f aca="false">Datos!D53</f>
        <v>-0.0321393526652914</v>
      </c>
      <c r="F46" s="20" t="n">
        <f aca="false">IF($A46="2020Q2",1,0)</f>
        <v>0</v>
      </c>
      <c r="G46" s="20" t="n">
        <f aca="false">IF($A46="2021Q2",1,0)</f>
        <v>0</v>
      </c>
      <c r="H46" s="17" t="n">
        <v>1</v>
      </c>
      <c r="I46" s="17" t="n">
        <f aca="false">B46-($B$89+$B$90*C46+$B$91*D46+$B$92*E46+$B$93*F46+$B$94*G46)</f>
        <v>-0.00183945604757479</v>
      </c>
      <c r="J46" s="17" t="n">
        <f aca="false">I46^2</f>
        <v>3.38359855095947E-006</v>
      </c>
      <c r="K46" s="17" t="n">
        <f aca="false">H46*$I46</f>
        <v>-0.00183945604757479</v>
      </c>
      <c r="L46" s="17" t="n">
        <f aca="false">C46*$I46</f>
        <v>-7.17387858554168E-006</v>
      </c>
      <c r="M46" s="17" t="n">
        <f aca="false">D46*$I46</f>
        <v>0.000289354579916954</v>
      </c>
      <c r="N46" s="17" t="n">
        <f aca="false">E46*$I46</f>
        <v>5.91189266253093E-005</v>
      </c>
      <c r="O46" s="17" t="n">
        <f aca="false">F46*$I46</f>
        <v>-0</v>
      </c>
      <c r="P46" s="17" t="n">
        <f aca="false">G46*$I46</f>
        <v>-0</v>
      </c>
    </row>
    <row r="47" customFormat="false" ht="15" hidden="false" customHeight="false" outlineLevel="0" collapsed="false">
      <c r="A47" s="19" t="str">
        <f aca="false">Datos!A54</f>
        <v>2017Q2</v>
      </c>
      <c r="B47" s="20" t="n">
        <f aca="false">Datos!E54</f>
        <v>0.0232658340767662</v>
      </c>
      <c r="C47" s="20" t="n">
        <f aca="false">Datos!C54</f>
        <v>0.0088</v>
      </c>
      <c r="D47" s="20" t="n">
        <f aca="false">Datos!H52</f>
        <v>-0.0681825460774777</v>
      </c>
      <c r="E47" s="20" t="n">
        <f aca="false">Datos!D54</f>
        <v>0.0586655897650446</v>
      </c>
      <c r="F47" s="20" t="n">
        <f aca="false">IF($A47="2020Q2",1,0)</f>
        <v>0</v>
      </c>
      <c r="G47" s="20" t="n">
        <f aca="false">IF($A47="2021Q2",1,0)</f>
        <v>0</v>
      </c>
      <c r="H47" s="17" t="n">
        <v>1</v>
      </c>
      <c r="I47" s="17" t="n">
        <f aca="false">B47-($B$89+$B$90*C47+$B$91*D47+$B$92*E47+$B$93*F47+$B$94*G47)</f>
        <v>0.00564546493618929</v>
      </c>
      <c r="J47" s="17" t="n">
        <f aca="false">I47^2</f>
        <v>3.18712743457428E-005</v>
      </c>
      <c r="K47" s="17" t="n">
        <f aca="false">H47*$I47</f>
        <v>0.00564546493618929</v>
      </c>
      <c r="L47" s="17" t="n">
        <f aca="false">C47*$I47</f>
        <v>4.96800914384658E-005</v>
      </c>
      <c r="M47" s="17" t="n">
        <f aca="false">D47*$I47</f>
        <v>-0.000384922173140511</v>
      </c>
      <c r="N47" s="17" t="n">
        <f aca="false">E47*$I47</f>
        <v>0.000331194529979424</v>
      </c>
      <c r="O47" s="17" t="n">
        <f aca="false">F47*$I47</f>
        <v>0</v>
      </c>
      <c r="P47" s="17" t="n">
        <f aca="false">G47*$I47</f>
        <v>0</v>
      </c>
    </row>
    <row r="48" customFormat="false" ht="15" hidden="false" customHeight="false" outlineLevel="0" collapsed="false">
      <c r="A48" s="19" t="str">
        <f aca="false">Datos!A55</f>
        <v>2017Q3</v>
      </c>
      <c r="B48" s="20" t="n">
        <f aca="false">Datos!E55</f>
        <v>0.0385060856362685</v>
      </c>
      <c r="C48" s="20" t="n">
        <f aca="false">Datos!C55</f>
        <v>0.0163</v>
      </c>
      <c r="D48" s="20" t="n">
        <f aca="false">Datos!H53</f>
        <v>-0.0238296063907484</v>
      </c>
      <c r="E48" s="20" t="n">
        <f aca="false">Datos!D55</f>
        <v>0.0331389887053348</v>
      </c>
      <c r="F48" s="20" t="n">
        <f aca="false">IF($A48="2020Q2",1,0)</f>
        <v>0</v>
      </c>
      <c r="G48" s="20" t="n">
        <f aca="false">IF($A48="2021Q2",1,0)</f>
        <v>0</v>
      </c>
      <c r="H48" s="17" t="n">
        <v>1</v>
      </c>
      <c r="I48" s="17" t="n">
        <f aca="false">B48-($B$89+$B$90*C48+$B$91*D48+$B$92*E48+$B$93*F48+$B$94*G48)</f>
        <v>0.0189491473321266</v>
      </c>
      <c r="J48" s="17" t="n">
        <f aca="false">I48^2</f>
        <v>0.000359070184614642</v>
      </c>
      <c r="K48" s="17" t="n">
        <f aca="false">H48*$I48</f>
        <v>0.0189491473321266</v>
      </c>
      <c r="L48" s="17" t="n">
        <f aca="false">C48*$I48</f>
        <v>0.000308871101513664</v>
      </c>
      <c r="M48" s="17" t="n">
        <f aca="false">D48*$I48</f>
        <v>-0.000451550722364878</v>
      </c>
      <c r="N48" s="17" t="n">
        <f aca="false">E48*$I48</f>
        <v>0.000627955579415071</v>
      </c>
      <c r="O48" s="17" t="n">
        <f aca="false">F48*$I48</f>
        <v>0</v>
      </c>
      <c r="P48" s="17" t="n">
        <f aca="false">G48*$I48</f>
        <v>0</v>
      </c>
    </row>
    <row r="49" customFormat="false" ht="15" hidden="false" customHeight="false" outlineLevel="0" collapsed="false">
      <c r="A49" s="19" t="str">
        <f aca="false">Datos!A56</f>
        <v>2017Q4</v>
      </c>
      <c r="B49" s="20" t="n">
        <f aca="false">Datos!E56</f>
        <v>0.0453268482640472</v>
      </c>
      <c r="C49" s="20" t="n">
        <f aca="false">Datos!C56</f>
        <v>0.0238</v>
      </c>
      <c r="D49" s="20" t="n">
        <f aca="false">Datos!H54</f>
        <v>-0.0722785700363193</v>
      </c>
      <c r="E49" s="20" t="n">
        <f aca="false">Datos!D56</f>
        <v>0.0175797079620306</v>
      </c>
      <c r="F49" s="20" t="n">
        <f aca="false">IF($A49="2020Q2",1,0)</f>
        <v>0</v>
      </c>
      <c r="G49" s="20" t="n">
        <f aca="false">IF($A49="2021Q2",1,0)</f>
        <v>0</v>
      </c>
      <c r="H49" s="17" t="n">
        <v>1</v>
      </c>
      <c r="I49" s="17" t="n">
        <f aca="false">B49-($B$89+$B$90*C49+$B$91*D49+$B$92*E49+$B$93*F49+$B$94*G49)</f>
        <v>0.0185019340038488</v>
      </c>
      <c r="J49" s="17" t="n">
        <f aca="false">I49^2</f>
        <v>0.000342321561882775</v>
      </c>
      <c r="K49" s="17" t="n">
        <f aca="false">H49*$I49</f>
        <v>0.0185019340038488</v>
      </c>
      <c r="L49" s="17" t="n">
        <f aca="false">C49*$I49</f>
        <v>0.000440346029291601</v>
      </c>
      <c r="M49" s="17" t="n">
        <f aca="false">D49*$I49</f>
        <v>-0.00133729333270454</v>
      </c>
      <c r="N49" s="17" t="n">
        <f aca="false">E49*$I49</f>
        <v>0.000325258596520424</v>
      </c>
      <c r="O49" s="17" t="n">
        <f aca="false">F49*$I49</f>
        <v>0</v>
      </c>
      <c r="P49" s="17" t="n">
        <f aca="false">G49*$I49</f>
        <v>0</v>
      </c>
    </row>
    <row r="50" customFormat="false" ht="15" hidden="false" customHeight="false" outlineLevel="0" collapsed="false">
      <c r="A50" s="19" t="str">
        <f aca="false">Datos!A57</f>
        <v>2018Q1</v>
      </c>
      <c r="B50" s="20" t="n">
        <f aca="false">Datos!E57</f>
        <v>0.0379774021814201</v>
      </c>
      <c r="C50" s="20" t="n">
        <f aca="false">Datos!C57</f>
        <v>0.0145</v>
      </c>
      <c r="D50" s="20" t="n">
        <f aca="false">Datos!H55</f>
        <v>-0.179830008754272</v>
      </c>
      <c r="E50" s="20" t="n">
        <f aca="false">Datos!D57</f>
        <v>-0.0145618881352685</v>
      </c>
      <c r="F50" s="20" t="n">
        <f aca="false">IF($A50="2020Q2",1,0)</f>
        <v>0</v>
      </c>
      <c r="G50" s="20" t="n">
        <f aca="false">IF($A50="2021Q2",1,0)</f>
        <v>0</v>
      </c>
      <c r="H50" s="17" t="n">
        <v>1</v>
      </c>
      <c r="I50" s="17" t="n">
        <f aca="false">B50-($B$89+$B$90*C50+$B$91*D50+$B$92*E50+$B$93*F50+$B$94*G50)</f>
        <v>0.0180757698289054</v>
      </c>
      <c r="J50" s="17" t="n">
        <f aca="false">I50^2</f>
        <v>0.000326733454907566</v>
      </c>
      <c r="K50" s="17" t="n">
        <f aca="false">H50*$I50</f>
        <v>0.0180757698289054</v>
      </c>
      <c r="L50" s="17" t="n">
        <f aca="false">C50*$I50</f>
        <v>0.000262098662519128</v>
      </c>
      <c r="M50" s="17" t="n">
        <f aca="false">D50*$I50</f>
        <v>-0.00325056584657226</v>
      </c>
      <c r="N50" s="17" t="n">
        <f aca="false">E50*$I50</f>
        <v>-0.000263217338207381</v>
      </c>
      <c r="O50" s="17" t="n">
        <f aca="false">F50*$I50</f>
        <v>0</v>
      </c>
      <c r="P50" s="17" t="n">
        <f aca="false">G50*$I50</f>
        <v>0</v>
      </c>
    </row>
    <row r="51" customFormat="false" ht="15" hidden="false" customHeight="false" outlineLevel="0" collapsed="false">
      <c r="A51" s="19" t="str">
        <f aca="false">Datos!A58</f>
        <v>2018Q2</v>
      </c>
      <c r="B51" s="20" t="n">
        <f aca="false">Datos!E58</f>
        <v>-0.039790994073943</v>
      </c>
      <c r="C51" s="20" t="n">
        <f aca="false">Datos!C58</f>
        <v>0.0105</v>
      </c>
      <c r="D51" s="20" t="n">
        <f aca="false">Datos!H56</f>
        <v>-0.265364943825032</v>
      </c>
      <c r="E51" s="20" t="n">
        <f aca="false">Datos!D58</f>
        <v>-0.10076918517865</v>
      </c>
      <c r="F51" s="20" t="n">
        <f aca="false">IF($A51="2020Q2",1,0)</f>
        <v>0</v>
      </c>
      <c r="G51" s="20" t="n">
        <f aca="false">IF($A51="2021Q2",1,0)</f>
        <v>0</v>
      </c>
      <c r="H51" s="17" t="n">
        <v>1</v>
      </c>
      <c r="I51" s="17" t="n">
        <f aca="false">B51-($B$89+$B$90*C51+$B$91*D51+$B$92*E51+$B$93*F51+$B$94*G51)</f>
        <v>-0.0506523188108661</v>
      </c>
      <c r="J51" s="17" t="n">
        <f aca="false">I51^2</f>
        <v>0.00256565740091761</v>
      </c>
      <c r="K51" s="17" t="n">
        <f aca="false">H51*$I51</f>
        <v>-0.0506523188108661</v>
      </c>
      <c r="L51" s="17" t="n">
        <f aca="false">C51*$I51</f>
        <v>-0.000531849347514094</v>
      </c>
      <c r="M51" s="17" t="n">
        <f aca="false">D51*$I51</f>
        <v>0.0134413497358531</v>
      </c>
      <c r="N51" s="17" t="n">
        <f aca="false">E51*$I51</f>
        <v>0.00510419289398017</v>
      </c>
      <c r="O51" s="17" t="n">
        <f aca="false">F51*$I51</f>
        <v>-0</v>
      </c>
      <c r="P51" s="17" t="n">
        <f aca="false">G51*$I51</f>
        <v>-0</v>
      </c>
    </row>
    <row r="52" customFormat="false" ht="15" hidden="false" customHeight="false" outlineLevel="0" collapsed="false">
      <c r="A52" s="19" t="str">
        <f aca="false">Datos!A59</f>
        <v>2018Q3</v>
      </c>
      <c r="B52" s="20" t="n">
        <f aca="false">Datos!E59</f>
        <v>-0.0346944038739507</v>
      </c>
      <c r="C52" s="20" t="n">
        <f aca="false">Datos!C59</f>
        <v>0.0154</v>
      </c>
      <c r="D52" s="20" t="n">
        <f aca="false">Datos!H57</f>
        <v>-0.155570713599342</v>
      </c>
      <c r="E52" s="20" t="n">
        <f aca="false">Datos!D59</f>
        <v>-0.107955814358483</v>
      </c>
      <c r="F52" s="20" t="n">
        <f aca="false">IF($A52="2020Q2",1,0)</f>
        <v>0</v>
      </c>
      <c r="G52" s="20" t="n">
        <f aca="false">IF($A52="2021Q2",1,0)</f>
        <v>0</v>
      </c>
      <c r="H52" s="17" t="n">
        <v>1</v>
      </c>
      <c r="I52" s="17" t="n">
        <f aca="false">B52-($B$89+$B$90*C52+$B$91*D52+$B$92*E52+$B$93*F52+$B$94*G52)</f>
        <v>-0.0441514343195728</v>
      </c>
      <c r="J52" s="17" t="n">
        <f aca="false">I52^2</f>
        <v>0.00194934915247555</v>
      </c>
      <c r="K52" s="17" t="n">
        <f aca="false">H52*$I52</f>
        <v>-0.0441514343195728</v>
      </c>
      <c r="L52" s="17" t="n">
        <f aca="false">C52*$I52</f>
        <v>-0.000679932088521421</v>
      </c>
      <c r="M52" s="17" t="n">
        <f aca="false">D52*$I52</f>
        <v>0.00686867014353043</v>
      </c>
      <c r="N52" s="17" t="n">
        <f aca="false">E52*$I52</f>
        <v>0.00476640404706455</v>
      </c>
      <c r="O52" s="17" t="n">
        <f aca="false">F52*$I52</f>
        <v>-0</v>
      </c>
      <c r="P52" s="17" t="n">
        <f aca="false">G52*$I52</f>
        <v>-0</v>
      </c>
    </row>
    <row r="53" customFormat="false" ht="15" hidden="false" customHeight="false" outlineLevel="0" collapsed="false">
      <c r="A53" s="19" t="str">
        <f aca="false">Datos!A60</f>
        <v>2018Q4</v>
      </c>
      <c r="B53" s="20" t="n">
        <f aca="false">Datos!E60</f>
        <v>-0.0633973916700751</v>
      </c>
      <c r="C53" s="20" t="n">
        <f aca="false">Datos!C60</f>
        <v>0.0122</v>
      </c>
      <c r="D53" s="20" t="n">
        <f aca="false">Datos!H58</f>
        <v>0.116765630820508</v>
      </c>
      <c r="E53" s="20" t="n">
        <f aca="false">Datos!D60</f>
        <v>-0.250802935114858</v>
      </c>
      <c r="F53" s="20" t="n">
        <f aca="false">IF($A53="2020Q2",1,0)</f>
        <v>0</v>
      </c>
      <c r="G53" s="20" t="n">
        <f aca="false">IF($A53="2021Q2",1,0)</f>
        <v>0</v>
      </c>
      <c r="H53" s="17" t="n">
        <v>1</v>
      </c>
      <c r="I53" s="17" t="n">
        <f aca="false">B53-($B$89+$B$90*C53+$B$91*D53+$B$92*E53+$B$93*F53+$B$94*G53)</f>
        <v>-0.0419966826337642</v>
      </c>
      <c r="J53" s="17" t="n">
        <f aca="false">I53^2</f>
        <v>0.00176372135224111</v>
      </c>
      <c r="K53" s="17" t="n">
        <f aca="false">H53*$I53</f>
        <v>-0.0419966826337642</v>
      </c>
      <c r="L53" s="17" t="n">
        <f aca="false">C53*$I53</f>
        <v>-0.000512359528131923</v>
      </c>
      <c r="M53" s="17" t="n">
        <f aca="false">D53*$I53</f>
        <v>-0.00490376914010014</v>
      </c>
      <c r="N53" s="17" t="n">
        <f aca="false">E53*$I53</f>
        <v>0.0105328912696352</v>
      </c>
      <c r="O53" s="17" t="n">
        <f aca="false">F53*$I53</f>
        <v>-0</v>
      </c>
      <c r="P53" s="17" t="n">
        <f aca="false">G53*$I53</f>
        <v>-0</v>
      </c>
    </row>
    <row r="54" customFormat="false" ht="15" hidden="false" customHeight="false" outlineLevel="0" collapsed="false">
      <c r="A54" s="19" t="str">
        <f aca="false">Datos!A61</f>
        <v>2019Q1</v>
      </c>
      <c r="B54" s="20" t="n">
        <f aca="false">Datos!E61</f>
        <v>-0.0586372539873753</v>
      </c>
      <c r="C54" s="20" t="n">
        <f aca="false">Datos!C61</f>
        <v>0.0059</v>
      </c>
      <c r="D54" s="20" t="n">
        <f aca="false">Datos!H59</f>
        <v>0.418889668553273</v>
      </c>
      <c r="E54" s="20" t="n">
        <f aca="false">Datos!D61</f>
        <v>-0.253878367581224</v>
      </c>
      <c r="F54" s="20" t="n">
        <f aca="false">IF($A54="2020Q2",1,0)</f>
        <v>0</v>
      </c>
      <c r="G54" s="20" t="n">
        <f aca="false">IF($A54="2021Q2",1,0)</f>
        <v>0</v>
      </c>
      <c r="H54" s="17" t="n">
        <v>1</v>
      </c>
      <c r="I54" s="17" t="n">
        <f aca="false">B54-($B$89+$B$90*C54+$B$91*D54+$B$92*E54+$B$93*F54+$B$94*G54)</f>
        <v>-0.0174085896091059</v>
      </c>
      <c r="J54" s="17" t="n">
        <f aca="false">I54^2</f>
        <v>0.00030305899217827</v>
      </c>
      <c r="K54" s="17" t="n">
        <f aca="false">H54*$I54</f>
        <v>-0.0174085896091059</v>
      </c>
      <c r="L54" s="17" t="n">
        <f aca="false">C54*$I54</f>
        <v>-0.000102710678693725</v>
      </c>
      <c r="M54" s="17" t="n">
        <f aca="false">D54*$I54</f>
        <v>-0.00729227833133833</v>
      </c>
      <c r="N54" s="17" t="n">
        <f aca="false">E54*$I54</f>
        <v>0.00441966431185126</v>
      </c>
      <c r="O54" s="17" t="n">
        <f aca="false">F54*$I54</f>
        <v>-0</v>
      </c>
      <c r="P54" s="17" t="n">
        <f aca="false">G54*$I54</f>
        <v>-0</v>
      </c>
    </row>
    <row r="55" customFormat="false" ht="15" hidden="false" customHeight="false" outlineLevel="0" collapsed="false">
      <c r="A55" s="19" t="str">
        <f aca="false">Datos!A62</f>
        <v>2019Q2</v>
      </c>
      <c r="B55" s="20" t="n">
        <f aca="false">Datos!E62</f>
        <v>0.00582819893603537</v>
      </c>
      <c r="C55" s="20" t="n">
        <f aca="false">Datos!C62</f>
        <v>0.0108</v>
      </c>
      <c r="D55" s="20" t="n">
        <f aca="false">Datos!H60</f>
        <v>0.644123654780759</v>
      </c>
      <c r="E55" s="20" t="n">
        <f aca="false">Datos!D62</f>
        <v>-0.236108996995008</v>
      </c>
      <c r="F55" s="20" t="n">
        <f aca="false">IF($A55="2020Q2",1,0)</f>
        <v>0</v>
      </c>
      <c r="G55" s="20" t="n">
        <f aca="false">IF($A55="2021Q2",1,0)</f>
        <v>0</v>
      </c>
      <c r="H55" s="17" t="n">
        <v>1</v>
      </c>
      <c r="I55" s="17" t="n">
        <f aca="false">B55-($B$89+$B$90*C55+$B$91*D55+$B$92*E55+$B$93*F55+$B$94*G55)</f>
        <v>0.0510363538872258</v>
      </c>
      <c r="J55" s="17" t="n">
        <f aca="false">I55^2</f>
        <v>0.00260470941810215</v>
      </c>
      <c r="K55" s="17" t="n">
        <f aca="false">H55*$I55</f>
        <v>0.0510363538872258</v>
      </c>
      <c r="L55" s="17" t="n">
        <f aca="false">C55*$I55</f>
        <v>0.000551192621982039</v>
      </c>
      <c r="M55" s="17" t="n">
        <f aca="false">D55*$I55</f>
        <v>0.0328737227925241</v>
      </c>
      <c r="N55" s="17" t="n">
        <f aca="false">E55*$I55</f>
        <v>-0.0120501423265952</v>
      </c>
      <c r="O55" s="17" t="n">
        <f aca="false">F55*$I55</f>
        <v>0</v>
      </c>
      <c r="P55" s="17" t="n">
        <f aca="false">G55*$I55</f>
        <v>0</v>
      </c>
    </row>
    <row r="56" customFormat="false" ht="15" hidden="false" customHeight="false" outlineLevel="0" collapsed="false">
      <c r="A56" s="19" t="str">
        <f aca="false">Datos!A63</f>
        <v>2019Q3</v>
      </c>
      <c r="B56" s="20" t="n">
        <f aca="false">Datos!E63</f>
        <v>-0.0175271616356651</v>
      </c>
      <c r="C56" s="20" t="n">
        <f aca="false">Datos!C63</f>
        <v>0.0119</v>
      </c>
      <c r="D56" s="20" t="n">
        <f aca="false">Datos!H61</f>
        <v>0.595882035818727</v>
      </c>
      <c r="E56" s="20" t="n">
        <f aca="false">Datos!D63</f>
        <v>-0.20557363698353</v>
      </c>
      <c r="F56" s="20" t="n">
        <f aca="false">IF($A56="2020Q2",1,0)</f>
        <v>0</v>
      </c>
      <c r="G56" s="20" t="n">
        <f aca="false">IF($A56="2021Q2",1,0)</f>
        <v>0</v>
      </c>
      <c r="H56" s="17" t="n">
        <v>1</v>
      </c>
      <c r="I56" s="17" t="n">
        <f aca="false">B56-($B$89+$B$90*C56+$B$91*D56+$B$92*E56+$B$93*F56+$B$94*G56)</f>
        <v>0.0211676317743896</v>
      </c>
      <c r="J56" s="17" t="n">
        <f aca="false">I56^2</f>
        <v>0.000448068634936149</v>
      </c>
      <c r="K56" s="17" t="n">
        <f aca="false">H56*$I56</f>
        <v>0.0211676317743896</v>
      </c>
      <c r="L56" s="17" t="n">
        <f aca="false">C56*$I56</f>
        <v>0.000251894818115236</v>
      </c>
      <c r="M56" s="17" t="n">
        <f aca="false">D56*$I56</f>
        <v>0.0126134115151845</v>
      </c>
      <c r="N56" s="17" t="n">
        <f aca="false">E56*$I56</f>
        <v>-0.0043515070501894</v>
      </c>
      <c r="O56" s="17" t="n">
        <f aca="false">F56*$I56</f>
        <v>0</v>
      </c>
      <c r="P56" s="17" t="n">
        <f aca="false">G56*$I56</f>
        <v>0</v>
      </c>
    </row>
    <row r="57" customFormat="false" ht="15" hidden="false" customHeight="false" outlineLevel="0" collapsed="false">
      <c r="A57" s="19" t="str">
        <f aca="false">Datos!A64</f>
        <v>2019Q4</v>
      </c>
      <c r="B57" s="20" t="n">
        <f aca="false">Datos!E64</f>
        <v>-0.0107484273951806</v>
      </c>
      <c r="C57" s="20" t="n">
        <f aca="false">Datos!C64</f>
        <v>0.0167</v>
      </c>
      <c r="D57" s="20" t="n">
        <f aca="false">Datos!H62</f>
        <v>0.622163610093435</v>
      </c>
      <c r="E57" s="20" t="n">
        <f aca="false">Datos!D64</f>
        <v>-0.0926086528016115</v>
      </c>
      <c r="F57" s="20" t="n">
        <f aca="false">IF($A57="2020Q2",1,0)</f>
        <v>0</v>
      </c>
      <c r="G57" s="20" t="n">
        <f aca="false">IF($A57="2021Q2",1,0)</f>
        <v>0</v>
      </c>
      <c r="H57" s="17" t="n">
        <v>1</v>
      </c>
      <c r="I57" s="17" t="n">
        <f aca="false">B57-($B$89+$B$90*C57+$B$91*D57+$B$92*E57+$B$93*F57+$B$94*G57)</f>
        <v>0.0125683584178243</v>
      </c>
      <c r="J57" s="17" t="n">
        <f aca="false">I57^2</f>
        <v>0.000157963633318896</v>
      </c>
      <c r="K57" s="17" t="n">
        <f aca="false">H57*$I57</f>
        <v>0.0125683584178243</v>
      </c>
      <c r="L57" s="17" t="n">
        <f aca="false">C57*$I57</f>
        <v>0.000209891585577666</v>
      </c>
      <c r="M57" s="17" t="n">
        <f aca="false">D57*$I57</f>
        <v>0.0078195752461818</v>
      </c>
      <c r="N57" s="17" t="n">
        <f aca="false">E57*$I57</f>
        <v>-0.0011639387410025</v>
      </c>
      <c r="O57" s="17" t="n">
        <f aca="false">F57*$I57</f>
        <v>0</v>
      </c>
      <c r="P57" s="17" t="n">
        <f aca="false">G57*$I57</f>
        <v>0</v>
      </c>
    </row>
    <row r="58" customFormat="false" ht="15" hidden="false" customHeight="false" outlineLevel="0" collapsed="false">
      <c r="A58" s="19" t="str">
        <f aca="false">Datos!A65</f>
        <v>2020Q1</v>
      </c>
      <c r="B58" s="20" t="n">
        <f aca="false">Datos!E65</f>
        <v>-0.0502506965865937</v>
      </c>
      <c r="C58" s="20" t="n">
        <f aca="false">Datos!C65</f>
        <v>0.0041</v>
      </c>
      <c r="D58" s="20" t="n">
        <f aca="false">Datos!H63</f>
        <v>0.894294019563908</v>
      </c>
      <c r="E58" s="20" t="n">
        <f aca="false">Datos!D65</f>
        <v>0.0122906221442038</v>
      </c>
      <c r="F58" s="20" t="n">
        <f aca="false">IF($A58="2020Q2",1,0)</f>
        <v>0</v>
      </c>
      <c r="G58" s="20" t="n">
        <f aca="false">IF($A58="2021Q2",1,0)</f>
        <v>0</v>
      </c>
      <c r="H58" s="17" t="n">
        <v>1</v>
      </c>
      <c r="I58" s="17" t="n">
        <f aca="false">B58-($B$89+$B$90*C58+$B$91*D58+$B$92*E58+$B$93*F58+$B$94*G58)</f>
        <v>-0.0145441610185096</v>
      </c>
      <c r="J58" s="17" t="n">
        <f aca="false">I58^2</f>
        <v>0.000211532619732335</v>
      </c>
      <c r="K58" s="17" t="n">
        <f aca="false">H58*$I58</f>
        <v>-0.0145441610185096</v>
      </c>
      <c r="L58" s="17" t="n">
        <f aca="false">C58*$I58</f>
        <v>-5.96310601758895E-005</v>
      </c>
      <c r="M58" s="17" t="n">
        <f aca="false">D58*$I58</f>
        <v>-0.0130067562184277</v>
      </c>
      <c r="N58" s="17" t="n">
        <f aca="false">E58*$I58</f>
        <v>-0.000178756787482961</v>
      </c>
      <c r="O58" s="17" t="n">
        <f aca="false">F58*$I58</f>
        <v>-0</v>
      </c>
      <c r="P58" s="17" t="n">
        <f aca="false">G58*$I58</f>
        <v>-0</v>
      </c>
    </row>
    <row r="59" customFormat="false" ht="15" hidden="false" customHeight="false" outlineLevel="0" collapsed="false">
      <c r="A59" s="19" t="str">
        <f aca="false">Datos!A66</f>
        <v>2020Q2</v>
      </c>
      <c r="B59" s="20" t="n">
        <f aca="false">Datos!E66</f>
        <v>-0.189421940385846</v>
      </c>
      <c r="C59" s="20" t="n">
        <f aca="false">Datos!C66</f>
        <v>-0.1014</v>
      </c>
      <c r="D59" s="20" t="n">
        <f aca="false">Datos!H64</f>
        <v>1.1351545703943</v>
      </c>
      <c r="E59" s="20" t="n">
        <f aca="false">Datos!D66</f>
        <v>0.300423401546326</v>
      </c>
      <c r="F59" s="20" t="n">
        <f aca="false">IF($A59="2020Q2",1,0)</f>
        <v>1</v>
      </c>
      <c r="G59" s="20" t="n">
        <f aca="false">IF($A59="2021Q2",1,0)</f>
        <v>0</v>
      </c>
      <c r="H59" s="17" t="n">
        <v>1</v>
      </c>
      <c r="I59" s="17" t="n">
        <f aca="false">B59-($B$89+$B$90*C59+$B$91*D59+$B$92*E59+$B$93*F59+$B$94*G59)</f>
        <v>0</v>
      </c>
      <c r="J59" s="17" t="n">
        <f aca="false">I59^2</f>
        <v>0</v>
      </c>
      <c r="K59" s="17" t="n">
        <f aca="false">H59*$I59</f>
        <v>0</v>
      </c>
      <c r="L59" s="17" t="n">
        <f aca="false">C59*$I59</f>
        <v>-0</v>
      </c>
      <c r="M59" s="17" t="n">
        <f aca="false">D59*$I59</f>
        <v>0</v>
      </c>
      <c r="N59" s="17" t="n">
        <f aca="false">E59*$I59</f>
        <v>0</v>
      </c>
      <c r="O59" s="17" t="n">
        <f aca="false">F59*$I59</f>
        <v>0</v>
      </c>
      <c r="P59" s="17" t="n">
        <f aca="false">G59*$I59</f>
        <v>0</v>
      </c>
    </row>
    <row r="60" customFormat="false" ht="15" hidden="false" customHeight="false" outlineLevel="0" collapsed="false">
      <c r="A60" s="19" t="str">
        <f aca="false">Datos!A67</f>
        <v>2020Q3</v>
      </c>
      <c r="B60" s="20" t="n">
        <f aca="false">Datos!E67</f>
        <v>-0.101927662759163</v>
      </c>
      <c r="C60" s="20" t="n">
        <f aca="false">Datos!C67</f>
        <v>-0.0304</v>
      </c>
      <c r="D60" s="20" t="n">
        <f aca="false">Datos!H65</f>
        <v>1.19114186053253</v>
      </c>
      <c r="E60" s="20" t="n">
        <f aca="false">Datos!D67</f>
        <v>0.333534308594002</v>
      </c>
      <c r="F60" s="20" t="n">
        <f aca="false">IF($A60="2020Q2",1,0)</f>
        <v>0</v>
      </c>
      <c r="G60" s="20" t="n">
        <f aca="false">IF($A60="2021Q2",1,0)</f>
        <v>0</v>
      </c>
      <c r="H60" s="17" t="n">
        <v>1</v>
      </c>
      <c r="I60" s="17" t="n">
        <f aca="false">B60-($B$89+$B$90*C60+$B$91*D60+$B$92*E60+$B$93*F60+$B$94*G60)</f>
        <v>-0.0565155154204873</v>
      </c>
      <c r="J60" s="17" t="n">
        <f aca="false">I60^2</f>
        <v>0.00319400348324334</v>
      </c>
      <c r="K60" s="17" t="n">
        <f aca="false">H60*$I60</f>
        <v>-0.0565155154204873</v>
      </c>
      <c r="L60" s="17" t="n">
        <f aca="false">C60*$I60</f>
        <v>0.00171807166878281</v>
      </c>
      <c r="M60" s="17" t="n">
        <f aca="false">D60*$I60</f>
        <v>-0.0673179961869143</v>
      </c>
      <c r="N60" s="17" t="n">
        <f aca="false">E60*$I60</f>
        <v>-0.0188498633606059</v>
      </c>
      <c r="O60" s="17" t="n">
        <f aca="false">F60*$I60</f>
        <v>-0</v>
      </c>
      <c r="P60" s="17" t="n">
        <f aca="false">G60*$I60</f>
        <v>-0</v>
      </c>
    </row>
    <row r="61" customFormat="false" ht="15" hidden="false" customHeight="false" outlineLevel="0" collapsed="false">
      <c r="A61" s="19" t="str">
        <f aca="false">Datos!A68</f>
        <v>2020Q4</v>
      </c>
      <c r="B61" s="20" t="n">
        <f aca="false">Datos!E68</f>
        <v>-0.0431329947641036</v>
      </c>
      <c r="C61" s="20" t="n">
        <f aca="false">Datos!C68</f>
        <v>-0.0033</v>
      </c>
      <c r="D61" s="20" t="n">
        <f aca="false">Datos!H66</f>
        <v>1.26524980056465</v>
      </c>
      <c r="E61" s="20" t="n">
        <f aca="false">Datos!D68</f>
        <v>0.310601242607967</v>
      </c>
      <c r="F61" s="20" t="n">
        <f aca="false">IF($A61="2020Q2",1,0)</f>
        <v>0</v>
      </c>
      <c r="G61" s="20" t="n">
        <f aca="false">IF($A61="2021Q2",1,0)</f>
        <v>0</v>
      </c>
      <c r="H61" s="17" t="n">
        <v>1</v>
      </c>
      <c r="I61" s="17" t="n">
        <f aca="false">B61-($B$89+$B$90*C61+$B$91*D61+$B$92*E61+$B$93*F61+$B$94*G61)</f>
        <v>-0.0161892370630175</v>
      </c>
      <c r="J61" s="17" t="n">
        <f aca="false">I61^2</f>
        <v>0.000262091396682578</v>
      </c>
      <c r="K61" s="17" t="n">
        <f aca="false">H61*$I61</f>
        <v>-0.0161892370630175</v>
      </c>
      <c r="L61" s="17" t="n">
        <f aca="false">C61*$I61</f>
        <v>5.34244823079576E-005</v>
      </c>
      <c r="M61" s="17" t="n">
        <f aca="false">D61*$I61</f>
        <v>-0.0204834289652766</v>
      </c>
      <c r="N61" s="17" t="n">
        <f aca="false">E61*$I61</f>
        <v>-0.00502839714864817</v>
      </c>
      <c r="O61" s="17" t="n">
        <f aca="false">F61*$I61</f>
        <v>-0</v>
      </c>
      <c r="P61" s="17" t="n">
        <f aca="false">G61*$I61</f>
        <v>-0</v>
      </c>
    </row>
    <row r="62" customFormat="false" ht="15" hidden="false" customHeight="false" outlineLevel="0" collapsed="false">
      <c r="A62" s="19" t="str">
        <f aca="false">Datos!A69</f>
        <v>2021Q1</v>
      </c>
      <c r="B62" s="20" t="n">
        <f aca="false">Datos!E69</f>
        <v>0.0323260077948051</v>
      </c>
      <c r="C62" s="20" t="n">
        <f aca="false">Datos!C69</f>
        <v>0.0175</v>
      </c>
      <c r="D62" s="20" t="n">
        <f aca="false">Datos!H67</f>
        <v>0.252154424794131</v>
      </c>
      <c r="E62" s="20" t="n">
        <f aca="false">Datos!D69</f>
        <v>0.133348854537539</v>
      </c>
      <c r="F62" s="20" t="n">
        <f aca="false">IF($A62="2020Q2",1,0)</f>
        <v>0</v>
      </c>
      <c r="G62" s="20" t="n">
        <f aca="false">IF($A62="2021Q2",1,0)</f>
        <v>0</v>
      </c>
      <c r="H62" s="17" t="n">
        <v>1</v>
      </c>
      <c r="I62" s="17" t="n">
        <f aca="false">B62-($B$89+$B$90*C62+$B$91*D62+$B$92*E62+$B$93*F62+$B$94*G62)</f>
        <v>0.0134438927419165</v>
      </c>
      <c r="J62" s="17" t="n">
        <f aca="false">I62^2</f>
        <v>0.000180738252056156</v>
      </c>
      <c r="K62" s="17" t="n">
        <f aca="false">H62*$I62</f>
        <v>0.0134438927419165</v>
      </c>
      <c r="L62" s="17" t="n">
        <f aca="false">C62*$I62</f>
        <v>0.00023526812298354</v>
      </c>
      <c r="M62" s="17" t="n">
        <f aca="false">D62*$I62</f>
        <v>0.00338993704133197</v>
      </c>
      <c r="N62" s="17" t="n">
        <f aca="false">E62*$I62</f>
        <v>0.0017927276976601</v>
      </c>
      <c r="O62" s="17" t="n">
        <f aca="false">F62*$I62</f>
        <v>0</v>
      </c>
      <c r="P62" s="17" t="n">
        <f aca="false">G62*$I62</f>
        <v>0</v>
      </c>
    </row>
    <row r="63" customFormat="false" ht="15" hidden="false" customHeight="false" outlineLevel="0" collapsed="false">
      <c r="A63" s="19" t="str">
        <f aca="false">Datos!A70</f>
        <v>2021Q2</v>
      </c>
      <c r="B63" s="20" t="n">
        <f aca="false">Datos!E70</f>
        <v>0.187299607796633</v>
      </c>
      <c r="C63" s="20" t="n">
        <f aca="false">Datos!C70</f>
        <v>0.124</v>
      </c>
      <c r="D63" s="20" t="n">
        <f aca="false">Datos!H68</f>
        <v>-0.435846159902956</v>
      </c>
      <c r="E63" s="20" t="n">
        <f aca="false">Datos!D70</f>
        <v>-0.132961858833637</v>
      </c>
      <c r="F63" s="20" t="n">
        <f aca="false">IF($A63="2020Q2",1,0)</f>
        <v>0</v>
      </c>
      <c r="G63" s="20" t="n">
        <f aca="false">IF($A63="2021Q2",1,0)</f>
        <v>1</v>
      </c>
      <c r="H63" s="17" t="n">
        <v>1</v>
      </c>
      <c r="I63" s="17" t="n">
        <f aca="false">B63-($B$89+$B$90*C63+$B$91*D63+$B$92*E63+$B$93*F63+$B$94*G63)</f>
        <v>0</v>
      </c>
      <c r="J63" s="17" t="n">
        <f aca="false">I63^2</f>
        <v>0</v>
      </c>
      <c r="K63" s="17" t="n">
        <f aca="false">H63*$I63</f>
        <v>0</v>
      </c>
      <c r="L63" s="17" t="n">
        <f aca="false">C63*$I63</f>
        <v>0</v>
      </c>
      <c r="M63" s="17" t="n">
        <f aca="false">D63*$I63</f>
        <v>-0</v>
      </c>
      <c r="N63" s="17" t="n">
        <f aca="false">E63*$I63</f>
        <v>-0</v>
      </c>
      <c r="O63" s="17" t="n">
        <f aca="false">F63*$I63</f>
        <v>0</v>
      </c>
      <c r="P63" s="17" t="n">
        <f aca="false">G63*$I63</f>
        <v>0</v>
      </c>
    </row>
    <row r="64" customFormat="false" ht="15" hidden="false" customHeight="false" outlineLevel="0" collapsed="false">
      <c r="A64" s="19" t="str">
        <f aca="false">Datos!A71</f>
        <v>2021Q3</v>
      </c>
      <c r="B64" s="20" t="n">
        <f aca="false">Datos!E71</f>
        <v>0.118145356665691</v>
      </c>
      <c r="C64" s="20" t="n">
        <f aca="false">Datos!C71</f>
        <v>0.0421</v>
      </c>
      <c r="D64" s="20" t="n">
        <f aca="false">Datos!H69</f>
        <v>-0.449682642908338</v>
      </c>
      <c r="E64" s="20" t="n">
        <f aca="false">Datos!D71</f>
        <v>-0.0957517156450476</v>
      </c>
      <c r="F64" s="20" t="n">
        <f aca="false">IF($A64="2020Q2",1,0)</f>
        <v>0</v>
      </c>
      <c r="G64" s="20" t="n">
        <f aca="false">IF($A64="2021Q2",1,0)</f>
        <v>0</v>
      </c>
      <c r="H64" s="17" t="n">
        <v>1</v>
      </c>
      <c r="I64" s="17" t="n">
        <f aca="false">B64-($B$89+$B$90*C64+$B$91*D64+$B$92*E64+$B$93*F64+$B$94*G64)</f>
        <v>0.0699044525715337</v>
      </c>
      <c r="J64" s="17" t="n">
        <f aca="false">I64^2</f>
        <v>0.00488663248932581</v>
      </c>
      <c r="K64" s="17" t="n">
        <f aca="false">H64*$I64</f>
        <v>0.0699044525715337</v>
      </c>
      <c r="L64" s="17" t="n">
        <f aca="false">C64*$I64</f>
        <v>0.00294297745326157</v>
      </c>
      <c r="M64" s="17" t="n">
        <f aca="false">D64*$I64</f>
        <v>-0.0314348189834279</v>
      </c>
      <c r="N64" s="17" t="n">
        <f aca="false">E64*$I64</f>
        <v>-0.00669347126495221</v>
      </c>
      <c r="O64" s="17" t="n">
        <f aca="false">F64*$I64</f>
        <v>0</v>
      </c>
      <c r="P64" s="17" t="n">
        <f aca="false">G64*$I64</f>
        <v>0</v>
      </c>
    </row>
    <row r="65" customFormat="false" ht="15" hidden="false" customHeight="false" outlineLevel="0" collapsed="false">
      <c r="A65" s="19" t="str">
        <f aca="false">Datos!A72</f>
        <v>2021Q4</v>
      </c>
      <c r="B65" s="20" t="n">
        <f aca="false">Datos!E72</f>
        <v>0.08364113941174</v>
      </c>
      <c r="C65" s="20" t="n">
        <f aca="false">Datos!C72</f>
        <v>0.0146</v>
      </c>
      <c r="D65" s="20" t="n">
        <f aca="false">Datos!H70</f>
        <v>-0.696117271680444</v>
      </c>
      <c r="E65" s="20" t="n">
        <f aca="false">Datos!D72</f>
        <v>-0.0404740937876135</v>
      </c>
      <c r="F65" s="20" t="n">
        <f aca="false">IF($A65="2020Q2",1,0)</f>
        <v>0</v>
      </c>
      <c r="G65" s="20" t="n">
        <f aca="false">IF($A65="2021Q2",1,0)</f>
        <v>0</v>
      </c>
      <c r="H65" s="17" t="n">
        <v>1</v>
      </c>
      <c r="I65" s="17" t="n">
        <f aca="false">B65-($B$89+$B$90*C65+$B$91*D65+$B$92*E65+$B$93*F65+$B$94*G65)</f>
        <v>0.0428254228111227</v>
      </c>
      <c r="J65" s="17" t="n">
        <f aca="false">I65^2</f>
        <v>0.00183401683895143</v>
      </c>
      <c r="K65" s="17" t="n">
        <f aca="false">H65*$I65</f>
        <v>0.0428254228111227</v>
      </c>
      <c r="L65" s="17" t="n">
        <f aca="false">C65*$I65</f>
        <v>0.000625251173042392</v>
      </c>
      <c r="M65" s="17" t="n">
        <f aca="false">D65*$I65</f>
        <v>-0.0298115164858402</v>
      </c>
      <c r="N65" s="17" t="n">
        <f aca="false">E65*$I65</f>
        <v>-0.00173332017935158</v>
      </c>
      <c r="O65" s="17" t="n">
        <f aca="false">F65*$I65</f>
        <v>0</v>
      </c>
      <c r="P65" s="17" t="n">
        <f aca="false">G65*$I65</f>
        <v>0</v>
      </c>
    </row>
    <row r="66" customFormat="false" ht="15" hidden="false" customHeight="false" outlineLevel="0" collapsed="false">
      <c r="A66" s="19" t="str">
        <f aca="false">Datos!A73</f>
        <v>2022Q1</v>
      </c>
      <c r="B66" s="20" t="n">
        <f aca="false">Datos!E73</f>
        <v>0.0686138387185451</v>
      </c>
      <c r="C66" s="20" t="n">
        <f aca="false">Datos!C73</f>
        <v>0.0148</v>
      </c>
      <c r="D66" s="20" t="n">
        <f aca="false">Datos!H71</f>
        <v>-0.242602980902468</v>
      </c>
      <c r="E66" s="20" t="n">
        <f aca="false">Datos!D73</f>
        <v>0.0113625688003993</v>
      </c>
      <c r="F66" s="20" t="n">
        <f aca="false">IF($A66="2020Q2",1,0)</f>
        <v>0</v>
      </c>
      <c r="G66" s="20" t="n">
        <f aca="false">IF($A66="2021Q2",1,0)</f>
        <v>0</v>
      </c>
      <c r="H66" s="17" t="n">
        <v>1</v>
      </c>
      <c r="I66" s="17" t="n">
        <f aca="false">B66-($B$89+$B$90*C66+$B$91*D66+$B$92*E66+$B$93*F66+$B$94*G66)</f>
        <v>0.0427531479987292</v>
      </c>
      <c r="J66" s="17" t="n">
        <f aca="false">I66^2</f>
        <v>0.00182783166380124</v>
      </c>
      <c r="K66" s="17" t="n">
        <f aca="false">H66*$I66</f>
        <v>0.0427531479987292</v>
      </c>
      <c r="L66" s="17" t="n">
        <f aca="false">C66*$I66</f>
        <v>0.000632746590381192</v>
      </c>
      <c r="M66" s="17" t="n">
        <f aca="false">D66*$I66</f>
        <v>-0.0103720411474561</v>
      </c>
      <c r="N66" s="17" t="n">
        <f aca="false">E66*$I66</f>
        <v>0.000485785585569215</v>
      </c>
      <c r="O66" s="17" t="n">
        <f aca="false">F66*$I66</f>
        <v>0</v>
      </c>
      <c r="P66" s="17" t="n">
        <f aca="false">G66*$I66</f>
        <v>0</v>
      </c>
    </row>
    <row r="67" customFormat="false" ht="15" hidden="false" customHeight="false" outlineLevel="0" collapsed="false">
      <c r="A67" s="19" t="str">
        <f aca="false">Datos!A74</f>
        <v>2022Q2</v>
      </c>
      <c r="B67" s="20" t="n">
        <f aca="false">Datos!E74</f>
        <v>0.0813001446194395</v>
      </c>
      <c r="C67" s="20" t="n">
        <f aca="false">Datos!C74</f>
        <v>0.0354</v>
      </c>
      <c r="D67" s="20" t="n">
        <f aca="false">Datos!H72</f>
        <v>0.207235640832954</v>
      </c>
      <c r="E67" s="20" t="n">
        <f aca="false">Datos!D74</f>
        <v>-0.0258001512588706</v>
      </c>
      <c r="F67" s="20" t="n">
        <f aca="false">IF($A67="2020Q2",1,0)</f>
        <v>0</v>
      </c>
      <c r="G67" s="20" t="n">
        <f aca="false">IF($A67="2021Q2",1,0)</f>
        <v>0</v>
      </c>
      <c r="H67" s="17" t="n">
        <v>1</v>
      </c>
      <c r="I67" s="17" t="n">
        <f aca="false">B67-($B$89+$B$90*C67+$B$91*D67+$B$92*E67+$B$93*F67+$B$94*G67)</f>
        <v>0.0615601855178241</v>
      </c>
      <c r="J67" s="17" t="n">
        <f aca="false">I67^2</f>
        <v>0.00378965644098892</v>
      </c>
      <c r="K67" s="17" t="n">
        <f aca="false">H67*$I67</f>
        <v>0.0615601855178241</v>
      </c>
      <c r="L67" s="17" t="n">
        <f aca="false">C67*$I67</f>
        <v>0.00217923056733097</v>
      </c>
      <c r="M67" s="17" t="n">
        <f aca="false">D67*$I67</f>
        <v>0.0127574644955818</v>
      </c>
      <c r="N67" s="17" t="n">
        <f aca="false">E67*$I67</f>
        <v>-0.001588262097884</v>
      </c>
      <c r="O67" s="17" t="n">
        <f aca="false">F67*$I67</f>
        <v>0</v>
      </c>
      <c r="P67" s="17" t="n">
        <f aca="false">G67*$I67</f>
        <v>0</v>
      </c>
    </row>
    <row r="68" customFormat="false" ht="15" hidden="false" customHeight="false" outlineLevel="0" collapsed="false">
      <c r="A68" s="19" t="str">
        <f aca="false">Datos!A75</f>
        <v>2022Q3</v>
      </c>
      <c r="B68" s="20" t="n">
        <f aca="false">Datos!E75</f>
        <v>0.066844213632383</v>
      </c>
      <c r="C68" s="20" t="n">
        <f aca="false">Datos!C75</f>
        <v>0.0432</v>
      </c>
      <c r="D68" s="20" t="n">
        <f aca="false">Datos!H73</f>
        <v>0.191547034556169</v>
      </c>
      <c r="E68" s="20" t="n">
        <f aca="false">Datos!D75</f>
        <v>-0.0831824560773343</v>
      </c>
      <c r="F68" s="20" t="n">
        <f aca="false">IF($A68="2020Q2",1,0)</f>
        <v>0</v>
      </c>
      <c r="G68" s="20" t="n">
        <f aca="false">IF($A68="2021Q2",1,0)</f>
        <v>0</v>
      </c>
      <c r="H68" s="17" t="n">
        <v>1</v>
      </c>
      <c r="I68" s="17" t="n">
        <f aca="false">B68-($B$89+$B$90*C68+$B$91*D68+$B$92*E68+$B$93*F68+$B$94*G68)</f>
        <v>0.0456086376842238</v>
      </c>
      <c r="J68" s="17" t="n">
        <f aca="false">I68^2</f>
        <v>0.0020801478314108</v>
      </c>
      <c r="K68" s="17" t="n">
        <f aca="false">H68*$I68</f>
        <v>0.0456086376842238</v>
      </c>
      <c r="L68" s="17" t="n">
        <f aca="false">C68*$I68</f>
        <v>0.00197029314795847</v>
      </c>
      <c r="M68" s="17" t="n">
        <f aca="false">D68*$I68</f>
        <v>0.00873619929855982</v>
      </c>
      <c r="N68" s="17" t="n">
        <f aca="false">E68*$I68</f>
        <v>-0.003793838500915</v>
      </c>
      <c r="O68" s="17" t="n">
        <f aca="false">F68*$I68</f>
        <v>0</v>
      </c>
      <c r="P68" s="17" t="n">
        <f aca="false">G68*$I68</f>
        <v>0</v>
      </c>
    </row>
    <row r="69" customFormat="false" ht="15" hidden="false" customHeight="false" outlineLevel="0" collapsed="false">
      <c r="A69" s="19" t="str">
        <f aca="false">Datos!A76</f>
        <v>2022Q4</v>
      </c>
      <c r="B69" s="20" t="n">
        <f aca="false">Datos!E76</f>
        <v>0.023854276267842</v>
      </c>
      <c r="C69" s="20" t="n">
        <f aca="false">Datos!C76</f>
        <v>0.027</v>
      </c>
      <c r="D69" s="20" t="n">
        <f aca="false">Datos!H74</f>
        <v>0.21757184331262</v>
      </c>
      <c r="E69" s="20" t="n">
        <f aca="false">Datos!D76</f>
        <v>-0.163911151341187</v>
      </c>
      <c r="F69" s="20" t="n">
        <f aca="false">IF($A69="2020Q2",1,0)</f>
        <v>0</v>
      </c>
      <c r="G69" s="20" t="n">
        <f aca="false">IF($A69="2021Q2",1,0)</f>
        <v>0</v>
      </c>
      <c r="H69" s="17" t="n">
        <v>1</v>
      </c>
      <c r="I69" s="17" t="n">
        <f aca="false">B69-($B$89+$B$90*C69+$B$91*D69+$B$92*E69+$B$93*F69+$B$94*G69)</f>
        <v>0.0271346936869661</v>
      </c>
      <c r="J69" s="17" t="n">
        <f aca="false">I69^2</f>
        <v>0.00073629160148548</v>
      </c>
      <c r="K69" s="17" t="n">
        <f aca="false">H69*$I69</f>
        <v>0.0271346936869661</v>
      </c>
      <c r="L69" s="17" t="n">
        <f aca="false">C69*$I69</f>
        <v>0.000732636729548086</v>
      </c>
      <c r="M69" s="17" t="n">
        <f aca="false">D69*$I69</f>
        <v>0.00590374532319654</v>
      </c>
      <c r="N69" s="17" t="n">
        <f aca="false">E69*$I69</f>
        <v>-0.00444767888352105</v>
      </c>
      <c r="O69" s="17" t="n">
        <f aca="false">F69*$I69</f>
        <v>0</v>
      </c>
      <c r="P69" s="17" t="n">
        <f aca="false">G69*$I69</f>
        <v>0</v>
      </c>
    </row>
    <row r="70" customFormat="false" ht="15" hidden="false" customHeight="false" outlineLevel="0" collapsed="false">
      <c r="A70" s="19" t="str">
        <f aca="false">Datos!A77</f>
        <v>2023Q1</v>
      </c>
      <c r="B70" s="20" t="n">
        <f aca="false">Datos!E77</f>
        <v>0.00911982377224452</v>
      </c>
      <c r="C70" s="20" t="n">
        <f aca="false">Datos!C77</f>
        <v>0.0444</v>
      </c>
      <c r="D70" s="20" t="n">
        <f aca="false">Datos!H75</f>
        <v>0.479127260123788</v>
      </c>
      <c r="E70" s="20" t="n">
        <f aca="false">Datos!D77</f>
        <v>-0.176790692165209</v>
      </c>
      <c r="F70" s="20" t="n">
        <f aca="false">IF($A70="2020Q2",1,0)</f>
        <v>0</v>
      </c>
      <c r="G70" s="20" t="n">
        <f aca="false">IF($A70="2021Q2",1,0)</f>
        <v>0</v>
      </c>
      <c r="H70" s="17" t="n">
        <v>1</v>
      </c>
      <c r="I70" s="17" t="n">
        <f aca="false">B70-($B$89+$B$90*C70+$B$91*D70+$B$92*E70+$B$93*F70+$B$94*G70)</f>
        <v>0.0101387393094205</v>
      </c>
      <c r="J70" s="17" t="n">
        <f aca="false">I70^2</f>
        <v>0.000102794034784388</v>
      </c>
      <c r="K70" s="17" t="n">
        <f aca="false">H70*$I70</f>
        <v>0.0101387393094205</v>
      </c>
      <c r="L70" s="17" t="n">
        <f aca="false">C70*$I70</f>
        <v>0.00045016002533827</v>
      </c>
      <c r="M70" s="17" t="n">
        <f aca="false">D70*$I70</f>
        <v>0.00485774638643199</v>
      </c>
      <c r="N70" s="17" t="n">
        <f aca="false">E70*$I70</f>
        <v>-0.00179243474019506</v>
      </c>
      <c r="O70" s="17" t="n">
        <f aca="false">F70*$I70</f>
        <v>0</v>
      </c>
      <c r="P70" s="17" t="n">
        <f aca="false">G70*$I70</f>
        <v>0</v>
      </c>
    </row>
    <row r="71" customFormat="false" ht="15" hidden="false" customHeight="false" outlineLevel="0" collapsed="false">
      <c r="A71" s="19" t="str">
        <f aca="false">Datos!A78</f>
        <v>2023Q2</v>
      </c>
      <c r="B71" s="20" t="n">
        <f aca="false">Datos!E78</f>
        <v>-0.0567487243252599</v>
      </c>
      <c r="C71" s="20" t="n">
        <f aca="false">Datos!C78</f>
        <v>0.0385</v>
      </c>
      <c r="D71" s="20" t="n">
        <f aca="false">Datos!H76</f>
        <v>0.363434613529283</v>
      </c>
      <c r="E71" s="20" t="n">
        <f aca="false">Datos!D78</f>
        <v>-0.230734676239312</v>
      </c>
      <c r="F71" s="20" t="n">
        <f aca="false">IF($A71="2020Q2",1,0)</f>
        <v>0</v>
      </c>
      <c r="G71" s="20" t="n">
        <f aca="false">IF($A71="2021Q2",1,0)</f>
        <v>0</v>
      </c>
      <c r="H71" s="17" t="n">
        <v>1</v>
      </c>
      <c r="I71" s="17" t="n">
        <f aca="false">B71-($B$89+$B$90*C71+$B$91*D71+$B$92*E71+$B$93*F71+$B$94*G71)</f>
        <v>-0.0498667536549581</v>
      </c>
      <c r="J71" s="17" t="n">
        <f aca="false">I71^2</f>
        <v>0.00248669312008428</v>
      </c>
      <c r="K71" s="17" t="n">
        <f aca="false">H71*$I71</f>
        <v>-0.0498667536549581</v>
      </c>
      <c r="L71" s="17" t="n">
        <f aca="false">C71*$I71</f>
        <v>-0.00191987001571589</v>
      </c>
      <c r="M71" s="17" t="n">
        <f aca="false">D71*$I71</f>
        <v>-0.0181233043425497</v>
      </c>
      <c r="N71" s="17" t="n">
        <f aca="false">E71*$I71</f>
        <v>0.0115059892596823</v>
      </c>
      <c r="O71" s="17" t="n">
        <f aca="false">F71*$I71</f>
        <v>-0</v>
      </c>
      <c r="P71" s="17" t="n">
        <f aca="false">G71*$I71</f>
        <v>-0</v>
      </c>
    </row>
    <row r="72" customFormat="false" ht="15" hidden="false" customHeight="false" outlineLevel="0" collapsed="false">
      <c r="A72" s="19" t="str">
        <f aca="false">Datos!A79</f>
        <v>2023Q3</v>
      </c>
      <c r="B72" s="20" t="n">
        <f aca="false">Datos!E79</f>
        <v>-0.00549172525238073</v>
      </c>
      <c r="C72" s="20" t="n">
        <f aca="false">Datos!C79</f>
        <v>0.0235</v>
      </c>
      <c r="D72" s="20" t="n">
        <f aca="false">Datos!H77</f>
        <v>0.14355374164556</v>
      </c>
      <c r="E72" s="20" t="n">
        <f aca="false">Datos!D79</f>
        <v>-0.2598328892436</v>
      </c>
      <c r="F72" s="20" t="n">
        <f aca="false">IF($A72="2020Q2",1,0)</f>
        <v>0</v>
      </c>
      <c r="G72" s="20" t="n">
        <f aca="false">IF($A72="2021Q2",1,0)</f>
        <v>0</v>
      </c>
      <c r="H72" s="17" t="n">
        <v>1</v>
      </c>
      <c r="I72" s="17" t="n">
        <f aca="false">B72-($B$89+$B$90*C72+$B$91*D72+$B$92*E72+$B$93*F72+$B$94*G72)</f>
        <v>0.0079619942663561</v>
      </c>
      <c r="J72" s="17" t="n">
        <f aca="false">I72^2</f>
        <v>6.33933526974875E-005</v>
      </c>
      <c r="K72" s="17" t="n">
        <f aca="false">H72*$I72</f>
        <v>0.0079619942663561</v>
      </c>
      <c r="L72" s="17" t="n">
        <f aca="false">C72*$I72</f>
        <v>0.000187106865259368</v>
      </c>
      <c r="M72" s="17" t="n">
        <f aca="false">D72*$I72</f>
        <v>0.00114297406789591</v>
      </c>
      <c r="N72" s="17" t="n">
        <f aca="false">E72*$I72</f>
        <v>-0.00206878797436828</v>
      </c>
      <c r="O72" s="17" t="n">
        <f aca="false">F72*$I72</f>
        <v>0</v>
      </c>
      <c r="P72" s="17" t="n">
        <f aca="false">G72*$I72</f>
        <v>0</v>
      </c>
    </row>
    <row r="73" customFormat="false" ht="15" hidden="false" customHeight="false" outlineLevel="0" collapsed="false">
      <c r="A73" s="19" t="str">
        <f aca="false">Datos!A80</f>
        <v>2023Q4</v>
      </c>
      <c r="B73" s="20" t="n">
        <f aca="false">Datos!E80</f>
        <v>-0.0171598554874708</v>
      </c>
      <c r="C73" s="20" t="n">
        <f aca="false">Datos!C80</f>
        <v>0.0238</v>
      </c>
      <c r="D73" s="20" t="n">
        <f aca="false">Datos!H78</f>
        <v>0.257600703111206</v>
      </c>
      <c r="E73" s="20" t="n">
        <f aca="false">Datos!D80</f>
        <v>-0.252313761190249</v>
      </c>
      <c r="F73" s="20" t="n">
        <f aca="false">IF($A73="2020Q2",1,0)</f>
        <v>0</v>
      </c>
      <c r="G73" s="20" t="n">
        <f aca="false">IF($A73="2021Q2",1,0)</f>
        <v>0</v>
      </c>
      <c r="H73" s="17" t="n">
        <v>1</v>
      </c>
      <c r="I73" s="17" t="n">
        <f aca="false">B73-($B$89+$B$90*C73+$B$91*D73+$B$92*E73+$B$93*F73+$B$94*G73)</f>
        <v>0.000429364141707678</v>
      </c>
      <c r="J73" s="17" t="n">
        <f aca="false">I73^2</f>
        <v>1.84353566184371E-007</v>
      </c>
      <c r="K73" s="17" t="n">
        <f aca="false">H73*$I73</f>
        <v>0.000429364141707678</v>
      </c>
      <c r="L73" s="17" t="n">
        <f aca="false">C73*$I73</f>
        <v>1.02188665726427E-005</v>
      </c>
      <c r="M73" s="17" t="n">
        <f aca="false">D73*$I73</f>
        <v>0.000110604504794637</v>
      </c>
      <c r="N73" s="17" t="n">
        <f aca="false">E73*$I73</f>
        <v>-0.000108334481514487</v>
      </c>
      <c r="O73" s="17" t="n">
        <f aca="false">F73*$I73</f>
        <v>0</v>
      </c>
      <c r="P73" s="17" t="n">
        <f aca="false">G73*$I73</f>
        <v>0</v>
      </c>
    </row>
    <row r="74" customFormat="false" ht="15" hidden="false" customHeight="false" outlineLevel="0" collapsed="false">
      <c r="A74" s="19" t="str">
        <f aca="false">Datos!A81</f>
        <v>2024Q1</v>
      </c>
      <c r="B74" s="20" t="n">
        <f aca="false">Datos!E81</f>
        <v>-0.0496170325779741</v>
      </c>
      <c r="C74" s="20" t="n">
        <f aca="false">Datos!C81</f>
        <v>0.0246</v>
      </c>
      <c r="D74" s="20" t="n">
        <f aca="false">Datos!H79</f>
        <v>-0.192636209455695</v>
      </c>
      <c r="E74" s="20" t="n">
        <f aca="false">Datos!D81</f>
        <v>-0.326696830055503</v>
      </c>
      <c r="F74" s="20" t="n">
        <f aca="false">IF($A74="2020Q2",1,0)</f>
        <v>0</v>
      </c>
      <c r="G74" s="20" t="n">
        <f aca="false">IF($A74="2021Q2",1,0)</f>
        <v>0</v>
      </c>
      <c r="H74" s="17" t="n">
        <v>1</v>
      </c>
      <c r="I74" s="17" t="n">
        <f aca="false">B74-($B$89+$B$90*C74+$B$91*D74+$B$92*E74+$B$93*F74+$B$94*G74)</f>
        <v>-0.0452828303715719</v>
      </c>
      <c r="J74" s="17" t="n">
        <f aca="false">I74^2</f>
        <v>0.00205053472646056</v>
      </c>
      <c r="K74" s="17" t="n">
        <f aca="false">H74*$I74</f>
        <v>-0.0452828303715719</v>
      </c>
      <c r="L74" s="17" t="n">
        <f aca="false">C74*$I74</f>
        <v>-0.00111395762714067</v>
      </c>
      <c r="M74" s="17" t="n">
        <f aca="false">D74*$I74</f>
        <v>0.00872311279620483</v>
      </c>
      <c r="N74" s="17" t="n">
        <f aca="false">E74*$I74</f>
        <v>0.0147937571383336</v>
      </c>
      <c r="O74" s="17" t="n">
        <f aca="false">F74*$I74</f>
        <v>-0</v>
      </c>
      <c r="P74" s="17" t="n">
        <f aca="false">G74*$I74</f>
        <v>-0</v>
      </c>
    </row>
    <row r="75" customFormat="false" ht="15" hidden="false" customHeight="false" outlineLevel="0" collapsed="false">
      <c r="A75" s="19" t="str">
        <f aca="false">Datos!A82</f>
        <v>2024Q2</v>
      </c>
      <c r="B75" s="20" t="n">
        <f aca="false">Datos!E82</f>
        <v>-0.0108329991805178</v>
      </c>
      <c r="C75" s="20" t="n">
        <f aca="false">Datos!C82</f>
        <v>0.0347</v>
      </c>
      <c r="D75" s="20" t="n">
        <f aca="false">Datos!H80</f>
        <v>-0.108079284075631</v>
      </c>
      <c r="E75" s="20" t="n">
        <f aca="false">Datos!D82</f>
        <v>-0.191082261820379</v>
      </c>
      <c r="F75" s="20" t="n">
        <f aca="false">IF($A75="2020Q2",1,0)</f>
        <v>0</v>
      </c>
      <c r="G75" s="20" t="n">
        <f aca="false">IF($A75="2021Q2",1,0)</f>
        <v>0</v>
      </c>
      <c r="H75" s="17" t="n">
        <v>1</v>
      </c>
      <c r="I75" s="17" t="n">
        <f aca="false">B75-($B$89+$B$90*C75+$B$91*D75+$B$92*E75+$B$93*F75+$B$94*G75)</f>
        <v>-0.0264309762566112</v>
      </c>
      <c r="J75" s="17" t="n">
        <f aca="false">I75^2</f>
        <v>0.000698596505877544</v>
      </c>
      <c r="K75" s="17" t="n">
        <f aca="false">H75*$I75</f>
        <v>-0.0264309762566112</v>
      </c>
      <c r="L75" s="17" t="n">
        <f aca="false">C75*$I75</f>
        <v>-0.000917154876104408</v>
      </c>
      <c r="M75" s="17" t="n">
        <f aca="false">D75*$I75</f>
        <v>0.00285664099123453</v>
      </c>
      <c r="N75" s="17" t="n">
        <f aca="false">E75*$I75</f>
        <v>0.005050490725234</v>
      </c>
      <c r="O75" s="17" t="n">
        <f aca="false">F75*$I75</f>
        <v>-0</v>
      </c>
      <c r="P75" s="17" t="n">
        <f aca="false">G75*$I75</f>
        <v>-0</v>
      </c>
    </row>
    <row r="76" customFormat="false" ht="15" hidden="false" customHeight="false" outlineLevel="0" collapsed="false">
      <c r="A76" s="19" t="str">
        <f aca="false">Datos!A83</f>
        <v>2024Q3</v>
      </c>
      <c r="B76" s="20" t="n">
        <f aca="false">Datos!E83</f>
        <v>-0.0193706719869603</v>
      </c>
      <c r="C76" s="20" t="n">
        <f aca="false">Datos!C83</f>
        <v>0.0414</v>
      </c>
      <c r="D76" s="20" t="n">
        <f aca="false">Datos!H81</f>
        <v>-0.172479654830256</v>
      </c>
      <c r="E76" s="20" t="n">
        <f aca="false">Datos!D83</f>
        <v>-0.0855806865756779</v>
      </c>
      <c r="F76" s="20" t="n">
        <f aca="false">IF($A76="2020Q2",1,0)</f>
        <v>0</v>
      </c>
      <c r="G76" s="20" t="n">
        <f aca="false">IF($A76="2021Q2",1,0)</f>
        <v>0</v>
      </c>
      <c r="H76" s="17" t="n">
        <v>1</v>
      </c>
      <c r="I76" s="17" t="n">
        <f aca="false">B76-($B$89+$B$90*C76+$B$91*D76+$B$92*E76+$B$93*F76+$B$94*G76)</f>
        <v>-0.0553953497387932</v>
      </c>
      <c r="J76" s="17" t="n">
        <f aca="false">I76^2</f>
        <v>0.00306864477268321</v>
      </c>
      <c r="K76" s="17" t="n">
        <f aca="false">H76*$I76</f>
        <v>-0.0553953497387932</v>
      </c>
      <c r="L76" s="17" t="n">
        <f aca="false">C76*$I76</f>
        <v>-0.00229336747918604</v>
      </c>
      <c r="M76" s="17" t="n">
        <f aca="false">D76*$I76</f>
        <v>0.00955457080214835</v>
      </c>
      <c r="N76" s="17" t="n">
        <f aca="false">E76*$I76</f>
        <v>0.00474077206374572</v>
      </c>
      <c r="O76" s="17" t="n">
        <f aca="false">F76*$I76</f>
        <v>-0</v>
      </c>
      <c r="P76" s="17" t="n">
        <f aca="false">G76*$I76</f>
        <v>-0</v>
      </c>
    </row>
    <row r="77" customFormat="false" ht="15" hidden="false" customHeight="false" outlineLevel="0" collapsed="false">
      <c r="A77" s="19" t="str">
        <f aca="false">Datos!A84</f>
        <v>2024Q4</v>
      </c>
      <c r="B77" s="20" t="n">
        <f aca="false">Datos!E84</f>
        <v>0.0263829611146622</v>
      </c>
      <c r="C77" s="20" t="n">
        <f aca="false">Datos!C84</f>
        <v>0.0358</v>
      </c>
      <c r="D77" s="20" t="n">
        <f aca="false">Datos!H82</f>
        <v>-0.61372155065778</v>
      </c>
      <c r="E77" s="20" t="n">
        <f aca="false">Datos!D84</f>
        <v>0.055546860701615</v>
      </c>
      <c r="F77" s="20" t="n">
        <f aca="false">IF($A77="2020Q2",1,0)</f>
        <v>0</v>
      </c>
      <c r="G77" s="20" t="n">
        <f aca="false">IF($A77="2021Q2",1,0)</f>
        <v>0</v>
      </c>
      <c r="H77" s="17" t="n">
        <v>1</v>
      </c>
      <c r="I77" s="17" t="n">
        <f aca="false">B77-($B$89+$B$90*C77+$B$91*D77+$B$92*E77+$B$93*F77+$B$94*G77)</f>
        <v>-0.0401384269210479</v>
      </c>
      <c r="J77" s="17" t="n">
        <f aca="false">I77^2</f>
        <v>0.0016110933156963</v>
      </c>
      <c r="K77" s="17" t="n">
        <f aca="false">H77*$I77</f>
        <v>-0.0401384269210479</v>
      </c>
      <c r="L77" s="17" t="n">
        <f aca="false">C77*$I77</f>
        <v>-0.00143695568377351</v>
      </c>
      <c r="M77" s="17" t="n">
        <f aca="false">D77*$I77</f>
        <v>0.0246338176109495</v>
      </c>
      <c r="N77" s="17" t="n">
        <f aca="false">E77*$I77</f>
        <v>-0.0022295636089654</v>
      </c>
      <c r="O77" s="17" t="n">
        <f aca="false">F77*$I77</f>
        <v>-0</v>
      </c>
      <c r="P77" s="17" t="n">
        <f aca="false">G77*$I77</f>
        <v>-0</v>
      </c>
    </row>
    <row r="78" customFormat="false" ht="15" hidden="false" customHeight="false" outlineLevel="0" collapsed="false">
      <c r="A78" s="19" t="str">
        <f aca="false">Datos!A85</f>
        <v>2025Q1</v>
      </c>
      <c r="B78" s="20" t="n">
        <f aca="false">Datos!E85</f>
        <v>0.0583747415748432</v>
      </c>
      <c r="C78" s="20" t="n">
        <f aca="false">Datos!C85</f>
        <v>0.0315</v>
      </c>
      <c r="D78" s="20" t="n">
        <f aca="false">Datos!H83</f>
        <v>-0.341279884328352</v>
      </c>
      <c r="E78" s="20" t="n">
        <f aca="false">Datos!D85</f>
        <v>0.260662333761717</v>
      </c>
      <c r="F78" s="20" t="n">
        <f aca="false">IF($A78="2020Q2",1,0)</f>
        <v>0</v>
      </c>
      <c r="G78" s="20" t="n">
        <f aca="false">IF($A78="2021Q2",1,0)</f>
        <v>0</v>
      </c>
      <c r="H78" s="17" t="n">
        <v>1</v>
      </c>
      <c r="I78" s="17" t="n">
        <f aca="false">B78-($B$89+$B$90*C78+$B$91*D78+$B$92*E78+$B$93*F78+$B$94*G78)</f>
        <v>-0.0140845249476036</v>
      </c>
      <c r="J78" s="17" t="n">
        <f aca="false">I78^2</f>
        <v>0.000198373842999668</v>
      </c>
      <c r="K78" s="17" t="n">
        <f aca="false">H78*$I78</f>
        <v>-0.0140845249476036</v>
      </c>
      <c r="L78" s="17" t="n">
        <f aca="false">C78*$I78</f>
        <v>-0.000443662535849513</v>
      </c>
      <c r="M78" s="17" t="n">
        <f aca="false">D78*$I78</f>
        <v>0.00480676504493794</v>
      </c>
      <c r="N78" s="17" t="n">
        <f aca="false">E78*$I78</f>
        <v>-0.00367130514276748</v>
      </c>
      <c r="O78" s="17" t="n">
        <f aca="false">F78*$I78</f>
        <v>-0</v>
      </c>
      <c r="P78" s="17" t="n">
        <f aca="false">G78*$I78</f>
        <v>-0</v>
      </c>
    </row>
    <row r="79" customFormat="false" ht="15" hidden="false" customHeight="false" outlineLevel="0" collapsed="false">
      <c r="A79" s="19" t="str">
        <f aca="false">Datos!A86</f>
        <v>2025Q2</v>
      </c>
      <c r="B79" s="20" t="n">
        <f aca="false">Datos!E86</f>
        <v>0.0638141408959982</v>
      </c>
      <c r="C79" s="20" t="n">
        <f aca="false">Datos!C86</f>
        <v>0.0236</v>
      </c>
      <c r="D79" s="20" t="n">
        <f aca="false">Datos!H84</f>
        <v>-0.876147846216728</v>
      </c>
      <c r="E79" s="20" t="n">
        <f aca="false">Datos!D86</f>
        <v>0.289256985193463</v>
      </c>
      <c r="F79" s="20" t="n">
        <f aca="false">IF($A79="2020Q2",1,0)</f>
        <v>0</v>
      </c>
      <c r="G79" s="20" t="n">
        <f aca="false">IF($A79="2021Q2",1,0)</f>
        <v>0</v>
      </c>
      <c r="H79" s="17" t="n">
        <v>1</v>
      </c>
      <c r="I79" s="17" t="n">
        <f aca="false">B79-($B$89+$B$90*C79+$B$91*D79+$B$92*E79+$B$93*F79+$B$94*G79)</f>
        <v>-0.0291406247976695</v>
      </c>
      <c r="J79" s="17" t="n">
        <f aca="false">I79^2</f>
        <v>0.000849176013598548</v>
      </c>
      <c r="K79" s="17" t="n">
        <f aca="false">H79*$I79</f>
        <v>-0.0291406247976695</v>
      </c>
      <c r="L79" s="17" t="n">
        <f aca="false">C79*$I79</f>
        <v>-0.000687718745224999</v>
      </c>
      <c r="M79" s="17" t="n">
        <f aca="false">D79*$I79</f>
        <v>0.0255314956538879</v>
      </c>
      <c r="N79" s="17" t="n">
        <f aca="false">E79*$I79</f>
        <v>-0.00842912927562774</v>
      </c>
      <c r="O79" s="17" t="n">
        <f aca="false">F79*$I79</f>
        <v>-0</v>
      </c>
      <c r="P79" s="17" t="n">
        <f aca="false">G79*$I79</f>
        <v>-0</v>
      </c>
    </row>
    <row r="80" customFormat="false" ht="15" hidden="false" customHeight="false" outlineLevel="0" collapsed="false">
      <c r="A80" s="19" t="str">
        <f aca="false">Datos!A87</f>
        <v>2025Q3</v>
      </c>
      <c r="B80" s="20" t="n">
        <f aca="false">Datos!E87</f>
        <v>0.0325690447876617</v>
      </c>
      <c r="C80" s="20" t="n">
        <f aca="false">Datos!C87</f>
        <v>0.0182</v>
      </c>
      <c r="D80" s="20" t="n">
        <f aca="false">Datos!H85</f>
        <v>-0.94177674074728</v>
      </c>
      <c r="E80" s="20" t="n">
        <f aca="false">Datos!D87</f>
        <v>0.166412356112257</v>
      </c>
      <c r="F80" s="20" t="n">
        <f aca="false">IF($A80="2020Q2",1,0)</f>
        <v>0</v>
      </c>
      <c r="G80" s="20" t="n">
        <f aca="false">IF($A80="2021Q2",1,0)</f>
        <v>0</v>
      </c>
      <c r="H80" s="17" t="n">
        <v>1</v>
      </c>
      <c r="I80" s="17" t="n">
        <f aca="false">B80-($B$89+$B$90*C80+$B$91*D80+$B$92*E80+$B$93*F80+$B$94*G80)</f>
        <v>-0.0451971451038941</v>
      </c>
      <c r="J80" s="17" t="n">
        <f aca="false">I80^2</f>
        <v>0.00204278192554245</v>
      </c>
      <c r="K80" s="17" t="n">
        <f aca="false">H80*$I80</f>
        <v>-0.0451971451038941</v>
      </c>
      <c r="L80" s="17" t="n">
        <f aca="false">C80*$I80</f>
        <v>-0.000822588040890872</v>
      </c>
      <c r="M80" s="17" t="n">
        <f aca="false">D80*$I80</f>
        <v>0.0425656200070272</v>
      </c>
      <c r="N80" s="17" t="n">
        <f aca="false">E80*$I80</f>
        <v>-0.00752136340628655</v>
      </c>
      <c r="O80" s="17" t="n">
        <f aca="false">F80*$I80</f>
        <v>-0</v>
      </c>
      <c r="P80" s="17" t="n">
        <f aca="false">G80*$I80</f>
        <v>-0</v>
      </c>
    </row>
    <row r="81" customFormat="false" ht="15" hidden="false" customHeight="false" outlineLevel="0" collapsed="false">
      <c r="A81" s="19" t="str">
        <f aca="false">Datos!A88</f>
        <v>2025Q4</v>
      </c>
      <c r="B81" s="20" t="n">
        <f aca="false">Datos!E88</f>
        <v>0.0205805070747371</v>
      </c>
      <c r="C81" s="20" t="n">
        <f aca="false">Datos!C88</f>
        <v>0.0182</v>
      </c>
      <c r="D81" s="20" t="n">
        <f aca="false">Datos!H86</f>
        <v>-0.618656899860501</v>
      </c>
      <c r="E81" s="20" t="n">
        <f aca="false">Datos!D88</f>
        <v>0.0721765345604324</v>
      </c>
      <c r="F81" s="20" t="n">
        <f aca="false">IF($A81="2020Q2",1,0)</f>
        <v>0</v>
      </c>
      <c r="G81" s="20" t="n">
        <f aca="false">IF($A81="2021Q2",1,0)</f>
        <v>0</v>
      </c>
      <c r="H81" s="17" t="n">
        <v>1</v>
      </c>
      <c r="I81" s="17" t="n">
        <f aca="false">B81-($B$89+$B$90*C81+$B$91*D81+$B$92*E81+$B$93*F81+$B$94*G81)</f>
        <v>-0.0321575315281781</v>
      </c>
      <c r="J81" s="17" t="n">
        <f aca="false">I81^2</f>
        <v>0.00103410683398577</v>
      </c>
      <c r="K81" s="17" t="n">
        <f aca="false">H81*$I81</f>
        <v>-0.0321575315281781</v>
      </c>
      <c r="L81" s="17" t="n">
        <f aca="false">C81*$I81</f>
        <v>-0.000585267073812841</v>
      </c>
      <c r="M81" s="17" t="n">
        <f aca="false">D81*$I81</f>
        <v>0.019894478762389</v>
      </c>
      <c r="N81" s="17" t="n">
        <f aca="false">E81*$I81</f>
        <v>-0.00232101918572174</v>
      </c>
      <c r="O81" s="17" t="n">
        <f aca="false">F81*$I81</f>
        <v>-0</v>
      </c>
      <c r="P81" s="17" t="n">
        <f aca="false">G81*$I81</f>
        <v>-0</v>
      </c>
    </row>
    <row r="82" customFormat="false" ht="15" hidden="false" customHeight="false" outlineLevel="0" collapsed="false">
      <c r="A82" s="19" t="str">
        <f aca="false">Datos!A89</f>
        <v>2026Q1</v>
      </c>
      <c r="B82" s="20" t="n">
        <f aca="false">Datos!E89</f>
        <v>0.024694045208276</v>
      </c>
      <c r="C82" s="20" t="n">
        <f aca="false">Datos!C89</f>
        <v>0.0182</v>
      </c>
      <c r="D82" s="20" t="n">
        <f aca="false">Datos!H87</f>
        <v>-0.538801368933996</v>
      </c>
      <c r="E82" s="20" t="n">
        <f aca="false">Datos!D89</f>
        <v>-0.0302608259736679</v>
      </c>
      <c r="F82" s="20" t="n">
        <f aca="false">IF($A82="2020Q2",1,0)</f>
        <v>0</v>
      </c>
      <c r="G82" s="20" t="n">
        <f aca="false">IF($A82="2021Q2",1,0)</f>
        <v>0</v>
      </c>
      <c r="H82" s="17" t="n">
        <v>1</v>
      </c>
      <c r="I82" s="17" t="n">
        <f aca="false">B82-($B$89+$B$90*C82+$B$91*D82+$B$92*E82+$B$93*F82+$B$94*G82)</f>
        <v>-0.0132630498744386</v>
      </c>
      <c r="J82" s="17" t="n">
        <f aca="false">I82^2</f>
        <v>0.000175908491971845</v>
      </c>
      <c r="K82" s="17" t="n">
        <f aca="false">H82*$I82</f>
        <v>-0.0132630498744386</v>
      </c>
      <c r="L82" s="17" t="n">
        <f aca="false">C82*$I82</f>
        <v>-0.000241387507714782</v>
      </c>
      <c r="M82" s="17" t="n">
        <f aca="false">D82*$I82</f>
        <v>0.00714614942858736</v>
      </c>
      <c r="N82" s="17" t="n">
        <f aca="false">E82*$I82</f>
        <v>0.000401350844130463</v>
      </c>
      <c r="O82" s="17" t="n">
        <f aca="false">F82*$I82</f>
        <v>-0</v>
      </c>
      <c r="P82" s="17" t="n">
        <f aca="false">G82*$I82</f>
        <v>-0</v>
      </c>
    </row>
    <row r="87" customFormat="false" ht="15" hidden="false" customHeight="false" outlineLevel="0" collapsed="false">
      <c r="A87" s="21" t="s">
        <v>143</v>
      </c>
      <c r="B87" s="22"/>
      <c r="C87" s="22"/>
      <c r="D87" s="22"/>
      <c r="E87" s="22"/>
      <c r="F87" s="22"/>
      <c r="G87" s="22"/>
      <c r="H87" s="22"/>
      <c r="I87" s="22"/>
    </row>
    <row r="88" customFormat="false" ht="15" hidden="false" customHeight="false" outlineLevel="0" collapsed="false">
      <c r="A88" s="14" t="s">
        <v>23</v>
      </c>
      <c r="B88" s="14" t="s">
        <v>24</v>
      </c>
      <c r="C88" s="14" t="s">
        <v>144</v>
      </c>
      <c r="D88" s="14" t="s">
        <v>145</v>
      </c>
      <c r="E88" s="14" t="s">
        <v>19</v>
      </c>
      <c r="G88" s="11" t="s">
        <v>146</v>
      </c>
      <c r="H88" s="23" t="n">
        <f aca="false">INDEX(LINEST($B$6:$B$82,$C$6:$G$82,TRUE(),TRUE()),4,2)</f>
        <v>71</v>
      </c>
    </row>
    <row r="89" customFormat="false" ht="15" hidden="false" customHeight="false" outlineLevel="0" collapsed="false">
      <c r="A89" s="24" t="s">
        <v>147</v>
      </c>
      <c r="B89" s="25" t="n">
        <f aca="false">INDEX(LINEST($B$6:$B$82,$C$6:$G$82,TRUE(),TRUE()),1,6)</f>
        <v>0.000219856853433859</v>
      </c>
      <c r="C89" s="8" t="n">
        <f aca="false">INDEX(LINEST($B$6:$B$82,$C$6:$G$82,TRUE(),TRUE()),2,6)</f>
        <v>0.00436277347327596</v>
      </c>
      <c r="D89" s="5" t="n">
        <f aca="false">B89/C89</f>
        <v>0.0503938274083186</v>
      </c>
      <c r="E89" s="7" t="n">
        <f aca="false">TDIST(ABS(D89),$H$88,2)</f>
        <v>0.95995005928944</v>
      </c>
    </row>
    <row r="90" customFormat="false" ht="15" hidden="false" customHeight="false" outlineLevel="0" collapsed="false">
      <c r="A90" s="24" t="s">
        <v>133</v>
      </c>
      <c r="B90" s="25" t="n">
        <f aca="false">INDEX(LINEST($B$6:$B$82,$C$6:$G$82,TRUE(),TRUE()),1,5)</f>
        <v>0.89859689971516</v>
      </c>
      <c r="C90" s="8" t="n">
        <f aca="false">INDEX(LINEST($B$6:$B$82,$C$6:$G$82,TRUE(),TRUE()),2,5)</f>
        <v>0.118873184761545</v>
      </c>
      <c r="D90" s="5" t="n">
        <f aca="false">B90/C90</f>
        <v>7.55929019246614</v>
      </c>
      <c r="E90" s="7" t="n">
        <f aca="false">TDIST(ABS(D90),$H$88,2)</f>
        <v>1.09536154045947E-010</v>
      </c>
    </row>
    <row r="91" customFormat="false" ht="15" hidden="false" customHeight="false" outlineLevel="0" collapsed="false">
      <c r="A91" s="24" t="s">
        <v>159</v>
      </c>
      <c r="B91" s="25" t="n">
        <f aca="false">INDEX(LINEST($B$6:$B$82,$C$6:$G$82,TRUE(),TRUE()),1,4)</f>
        <v>-0.0457851735530482</v>
      </c>
      <c r="C91" s="8" t="n">
        <f aca="false">INDEX(LINEST($B$6:$B$82,$C$6:$G$82,TRUE(),TRUE()),2,4)</f>
        <v>0.00684368043719755</v>
      </c>
      <c r="D91" s="5" t="n">
        <f aca="false">B91/C91</f>
        <v>-6.69013902288474</v>
      </c>
      <c r="E91" s="7" t="n">
        <f aca="false">TDIST(ABS(D91),$H$88,2)</f>
        <v>4.32267497444599E-009</v>
      </c>
    </row>
    <row r="92" customFormat="false" ht="15" hidden="false" customHeight="false" outlineLevel="0" collapsed="false">
      <c r="A92" s="24" t="s">
        <v>135</v>
      </c>
      <c r="B92" s="25" t="n">
        <f aca="false">INDEX(LINEST($B$6:$B$82,$C$6:$G$82,TRUE(),TRUE()),1,3)</f>
        <v>0.108600457094523</v>
      </c>
      <c r="C92" s="8" t="n">
        <f aca="false">INDEX(LINEST($B$6:$B$82,$C$6:$G$82,TRUE(),TRUE()),2,3)</f>
        <v>0.0263689172451228</v>
      </c>
      <c r="D92" s="5" t="n">
        <f aca="false">B92/C92</f>
        <v>4.11850270851033</v>
      </c>
      <c r="E92" s="7" t="n">
        <f aca="false">TDIST(ABS(D92),$H$88,2)</f>
        <v>0.000101682442495025</v>
      </c>
    </row>
    <row r="93" customFormat="false" ht="15" hidden="false" customHeight="false" outlineLevel="0" collapsed="false">
      <c r="A93" s="24" t="s">
        <v>177</v>
      </c>
      <c r="B93" s="25" t="n">
        <f aca="false">INDEX(LINEST($B$6:$B$82,$C$6:$G$82,TRUE(),TRUE()),1,2)</f>
        <v>-0.0791769413229461</v>
      </c>
      <c r="C93" s="8" t="n">
        <f aca="false">INDEX(LINEST($B$6:$B$82,$C$6:$G$82,TRUE(),TRUE()),2,2)</f>
        <v>0.0359816058266926</v>
      </c>
      <c r="D93" s="5" t="n">
        <f aca="false">B93/C93</f>
        <v>-2.20048381676755</v>
      </c>
      <c r="E93" s="7" t="n">
        <f aca="false">TDIST(ABS(D93),$H$88,2)</f>
        <v>0.0310269838714087</v>
      </c>
    </row>
    <row r="94" customFormat="false" ht="15" hidden="false" customHeight="false" outlineLevel="0" collapsed="false">
      <c r="A94" s="24" t="s">
        <v>178</v>
      </c>
      <c r="B94" s="25" t="n">
        <f aca="false">INDEX(LINEST($B$6:$B$82,$C$6:$G$82,TRUE(),TRUE()),1,1)</f>
        <v>0.0701381619504032</v>
      </c>
      <c r="C94" s="8" t="n">
        <f aca="false">INDEX(LINEST($B$6:$B$82,$C$6:$G$82,TRUE(),TRUE()),2,1)</f>
        <v>0.0336228028444821</v>
      </c>
      <c r="D94" s="5" t="n">
        <f aca="false">B94/C94</f>
        <v>2.08602959946017</v>
      </c>
      <c r="E94" s="7" t="n">
        <f aca="false">TDIST(ABS(D94),$H$88,2)</f>
        <v>0.0405699062686482</v>
      </c>
    </row>
    <row r="96" customFormat="false" ht="15" hidden="false" customHeight="false" outlineLevel="0" collapsed="false">
      <c r="A96" s="21" t="s">
        <v>148</v>
      </c>
      <c r="B96" s="22"/>
      <c r="C96" s="22"/>
      <c r="D96" s="22"/>
      <c r="E96" s="22"/>
      <c r="F96" s="22"/>
      <c r="G96" s="22"/>
      <c r="H96" s="22"/>
      <c r="I96" s="22"/>
    </row>
    <row r="97" customFormat="false" ht="15" hidden="false" customHeight="false" outlineLevel="0" collapsed="false">
      <c r="A97" s="24" t="s">
        <v>149</v>
      </c>
      <c r="B97" s="5" t="n">
        <f aca="false">COUNT($B$6:$B$82)</f>
        <v>77</v>
      </c>
    </row>
    <row r="98" customFormat="false" ht="15" hidden="false" customHeight="false" outlineLevel="0" collapsed="false">
      <c r="A98" s="24" t="s">
        <v>7</v>
      </c>
      <c r="B98" s="5" t="n">
        <v>6</v>
      </c>
    </row>
    <row r="99" customFormat="false" ht="15" hidden="false" customHeight="false" outlineLevel="0" collapsed="false">
      <c r="A99" s="24" t="s">
        <v>8</v>
      </c>
      <c r="B99" s="6" t="n">
        <f aca="false">INDEX(LINEST($B$6:$B$82,$C$6:$G$82,TRUE(),TRUE()),3,1)</f>
        <v>0.759606530522447</v>
      </c>
    </row>
    <row r="100" customFormat="false" ht="15" hidden="false" customHeight="false" outlineLevel="0" collapsed="false">
      <c r="A100" s="24" t="s">
        <v>9</v>
      </c>
      <c r="B100" s="26" t="n">
        <f aca="false">1-(1-B99)*(B97-1)/(B97-B98)</f>
        <v>0.742677412953605</v>
      </c>
    </row>
    <row r="101" customFormat="false" ht="15" hidden="false" customHeight="false" outlineLevel="0" collapsed="false">
      <c r="A101" s="24" t="s">
        <v>10</v>
      </c>
      <c r="B101" s="8" t="n">
        <f aca="false">INDEX(LINEST($B$6:$B$82,$C$6:$G$82,TRUE(),TRUE()),5,2)</f>
        <v>0.0674980424710166</v>
      </c>
    </row>
    <row r="102" customFormat="false" ht="15" hidden="false" customHeight="false" outlineLevel="0" collapsed="false">
      <c r="A102" s="24" t="s">
        <v>150</v>
      </c>
      <c r="B102" s="6" t="n">
        <f aca="false">-B97/2*(LN(2*PI())+LN(B101/B97)+1)</f>
        <v>161.761023939819</v>
      </c>
    </row>
    <row r="103" customFormat="false" ht="15" hidden="false" customHeight="false" outlineLevel="0" collapsed="false">
      <c r="A103" s="24" t="s">
        <v>11</v>
      </c>
      <c r="B103" s="27" t="n">
        <f aca="false">-2*B102+2*B98</f>
        <v>-311.522047879638</v>
      </c>
    </row>
    <row r="104" customFormat="false" ht="15" hidden="false" customHeight="false" outlineLevel="0" collapsed="false">
      <c r="A104" s="24" t="s">
        <v>12</v>
      </c>
      <c r="B104" s="27" t="n">
        <f aca="false">-2*B102+LN(B97)*B98</f>
        <v>-297.459215348516</v>
      </c>
    </row>
    <row r="106" customFormat="false" ht="15" hidden="false" customHeight="false" outlineLevel="0" collapsed="false">
      <c r="A106" s="10" t="s">
        <v>13</v>
      </c>
      <c r="B106" s="28" t="n">
        <f aca="false">SUMXMY2(I7:I82,I6:I81)/SUMSQ(I6:I82)</f>
        <v>0.902464022585819</v>
      </c>
    </row>
    <row r="108" customFormat="false" ht="15" hidden="false" customHeight="false" outlineLevel="0" collapsed="false">
      <c r="A108" s="21" t="s">
        <v>164</v>
      </c>
      <c r="B108" s="22"/>
      <c r="C108" s="22"/>
      <c r="D108" s="22"/>
      <c r="E108" s="22"/>
      <c r="F108" s="22"/>
      <c r="G108" s="22"/>
      <c r="H108" s="22"/>
      <c r="I108" s="22"/>
    </row>
    <row r="109" customFormat="false" ht="15" hidden="false" customHeight="false" outlineLevel="0" collapsed="false">
      <c r="A109" s="2" t="s">
        <v>165</v>
      </c>
    </row>
    <row r="110" customFormat="false" ht="15" hidden="false" customHeight="false" outlineLevel="0" collapsed="false">
      <c r="A110" s="10" t="s">
        <v>166</v>
      </c>
    </row>
    <row r="111" customFormat="false" ht="15" hidden="false" customHeight="false" outlineLevel="0" collapsed="false">
      <c r="B111" s="30" t="n">
        <f aca="false">SUMPRODUCT($H$6:$H$82,$H$6:$H$82)</f>
        <v>77</v>
      </c>
      <c r="C111" s="30" t="n">
        <f aca="false">SUMPRODUCT($H$6:$H$82,$C$6:$C$82)</f>
        <v>1.5676</v>
      </c>
      <c r="D111" s="30" t="n">
        <f aca="false">SUMPRODUCT($H$6:$H$82,$D$6:$D$82)</f>
        <v>2.78273463808563</v>
      </c>
      <c r="E111" s="30" t="n">
        <f aca="false">SUMPRODUCT($H$6:$H$82,$E$6:$E$82)</f>
        <v>-0.728849750966435</v>
      </c>
      <c r="F111" s="30" t="n">
        <f aca="false">SUMPRODUCT($H$6:$H$82,$F$6:$F$82)</f>
        <v>1</v>
      </c>
      <c r="G111" s="30" t="n">
        <f aca="false">SUMPRODUCT($H$6:$H$82,$G$6:$G$82)</f>
        <v>1</v>
      </c>
    </row>
    <row r="112" customFormat="false" ht="15" hidden="false" customHeight="false" outlineLevel="0" collapsed="false">
      <c r="B112" s="30" t="n">
        <f aca="false">SUMPRODUCT($C$6:$C$82,$H$6:$H$82)</f>
        <v>1.5676</v>
      </c>
      <c r="C112" s="30" t="n">
        <f aca="false">SUMPRODUCT($C$6:$C$82,$C$6:$C$82)</f>
        <v>0.12665778</v>
      </c>
      <c r="D112" s="30" t="n">
        <f aca="false">SUMPRODUCT($C$6:$C$82,$D$6:$D$82)</f>
        <v>-0.309252695468146</v>
      </c>
      <c r="E112" s="30" t="n">
        <f aca="false">SUMPRODUCT($C$6:$C$82,$E$6:$E$82)</f>
        <v>-0.0402619496060452</v>
      </c>
      <c r="F112" s="30" t="n">
        <f aca="false">SUMPRODUCT($C$6:$C$82,$F$6:$F$82)</f>
        <v>-0.1014</v>
      </c>
      <c r="G112" s="30" t="n">
        <f aca="false">SUMPRODUCT($C$6:$C$82,$G$6:$G$82)</f>
        <v>0.124</v>
      </c>
    </row>
    <row r="113" customFormat="false" ht="15" hidden="false" customHeight="false" outlineLevel="0" collapsed="false">
      <c r="B113" s="30" t="n">
        <f aca="false">SUMPRODUCT($D$6:$D$82,$H$6:$H$82)</f>
        <v>2.78273463808563</v>
      </c>
      <c r="C113" s="30" t="n">
        <f aca="false">SUMPRODUCT($D$6:$D$82,$C$6:$C$82)</f>
        <v>-0.309252695468146</v>
      </c>
      <c r="D113" s="30" t="n">
        <f aca="false">SUMPRODUCT($D$6:$D$82,$D$6:$D$82)</f>
        <v>22.4978065166777</v>
      </c>
      <c r="E113" s="30" t="n">
        <f aca="false">SUMPRODUCT($D$6:$D$82,$E$6:$E$82)</f>
        <v>-0.189548201620901</v>
      </c>
      <c r="F113" s="30" t="n">
        <f aca="false">SUMPRODUCT($D$6:$D$82,$F$6:$F$82)</f>
        <v>1.1351545703943</v>
      </c>
      <c r="G113" s="30" t="n">
        <f aca="false">SUMPRODUCT($D$6:$D$82,$G$6:$G$82)</f>
        <v>-0.435846159902956</v>
      </c>
    </row>
    <row r="114" customFormat="false" ht="15" hidden="false" customHeight="false" outlineLevel="0" collapsed="false">
      <c r="B114" s="30" t="n">
        <f aca="false">SUMPRODUCT($E$6:$E$82,$H$6:$H$82)</f>
        <v>-0.728849750966435</v>
      </c>
      <c r="C114" s="30" t="n">
        <f aca="false">SUMPRODUCT($E$6:$E$82,$C$6:$C$82)</f>
        <v>-0.0402619496060452</v>
      </c>
      <c r="D114" s="30" t="n">
        <f aca="false">SUMPRODUCT($E$6:$E$82,$D$6:$D$82)</f>
        <v>-0.189548201620901</v>
      </c>
      <c r="E114" s="30" t="n">
        <f aca="false">SUMPRODUCT($E$6:$E$82,$E$6:$E$82)</f>
        <v>1.50710787824525</v>
      </c>
      <c r="F114" s="30" t="n">
        <f aca="false">SUMPRODUCT($E$6:$E$82,$F$6:$F$82)</f>
        <v>0.300423401546326</v>
      </c>
      <c r="G114" s="30" t="n">
        <f aca="false">SUMPRODUCT($E$6:$E$82,$G$6:$G$82)</f>
        <v>-0.132961858833637</v>
      </c>
    </row>
    <row r="115" customFormat="false" ht="15" hidden="false" customHeight="false" outlineLevel="0" collapsed="false">
      <c r="B115" s="30" t="n">
        <f aca="false">SUMPRODUCT($F$6:$F$82,$H$6:$H$82)</f>
        <v>1</v>
      </c>
      <c r="C115" s="30" t="n">
        <f aca="false">SUMPRODUCT($F$6:$F$82,$C$6:$C$82)</f>
        <v>-0.1014</v>
      </c>
      <c r="D115" s="30" t="n">
        <f aca="false">SUMPRODUCT($F$6:$F$82,$D$6:$D$82)</f>
        <v>1.1351545703943</v>
      </c>
      <c r="E115" s="30" t="n">
        <f aca="false">SUMPRODUCT($F$6:$F$82,$E$6:$E$82)</f>
        <v>0.300423401546326</v>
      </c>
      <c r="F115" s="30" t="n">
        <f aca="false">SUMPRODUCT($F$6:$F$82,$F$6:$F$82)</f>
        <v>1</v>
      </c>
      <c r="G115" s="30" t="n">
        <f aca="false">SUMPRODUCT($F$6:$F$82,$G$6:$G$82)</f>
        <v>0</v>
      </c>
    </row>
    <row r="116" customFormat="false" ht="15" hidden="false" customHeight="false" outlineLevel="0" collapsed="false">
      <c r="B116" s="30" t="n">
        <f aca="false">SUMPRODUCT($G$6:$G$82,$H$6:$H$82)</f>
        <v>1</v>
      </c>
      <c r="C116" s="30" t="n">
        <f aca="false">SUMPRODUCT($G$6:$G$82,$C$6:$C$82)</f>
        <v>0.124</v>
      </c>
      <c r="D116" s="30" t="n">
        <f aca="false">SUMPRODUCT($G$6:$G$82,$D$6:$D$82)</f>
        <v>-0.435846159902956</v>
      </c>
      <c r="E116" s="30" t="n">
        <f aca="false">SUMPRODUCT($G$6:$G$82,$E$6:$E$82)</f>
        <v>-0.132961858833637</v>
      </c>
      <c r="F116" s="30" t="n">
        <f aca="false">SUMPRODUCT($G$6:$G$82,$F$6:$F$82)</f>
        <v>0</v>
      </c>
      <c r="G116" s="30" t="n">
        <f aca="false">SUMPRODUCT($G$6:$G$82,$G$6:$G$82)</f>
        <v>1</v>
      </c>
    </row>
    <row r="117" customFormat="false" ht="15" hidden="false" customHeight="false" outlineLevel="0" collapsed="false">
      <c r="A117" s="10" t="s">
        <v>167</v>
      </c>
    </row>
    <row r="118" customFormat="false" ht="15" hidden="false" customHeight="false" outlineLevel="0" collapsed="false">
      <c r="B118" s="30" t="n">
        <f aca="false">INDEX(MINVERSE($B$111:$G$116),1,1)</f>
        <v>0.0200213103883395</v>
      </c>
      <c r="C118" s="30" t="n">
        <f aca="false">INDEX(MINVERSE($B$111:$G$116),1,2)</f>
        <v>-0.312256439817899</v>
      </c>
      <c r="D118" s="30" t="n">
        <f aca="false">INDEX(MINVERSE($B$111:$G$116),1,3)</f>
        <v>-0.00370861601236843</v>
      </c>
      <c r="E118" s="30" t="n">
        <f aca="false">INDEX(MINVERSE($B$111:$G$116),1,4)</f>
        <v>0.0127583483765145</v>
      </c>
      <c r="F118" s="30" t="n">
        <f aca="false">INDEX(MINVERSE($B$111:$G$116),1,5)</f>
        <v>-0.0513071673869826</v>
      </c>
      <c r="G118" s="30" t="n">
        <f aca="false">INDEX(MINVERSE($B$111:$G$116),1,6)</f>
        <v>0.0187784758173231</v>
      </c>
    </row>
    <row r="119" customFormat="false" ht="15" hidden="false" customHeight="false" outlineLevel="0" collapsed="false">
      <c r="B119" s="30" t="n">
        <f aca="false">INDEX(MINVERSE($B$111:$G$116),2,1)</f>
        <v>-0.312256439817899</v>
      </c>
      <c r="C119" s="30" t="n">
        <f aca="false">INDEX(MINVERSE($B$111:$G$116),2,2)</f>
        <v>14.8639750309918</v>
      </c>
      <c r="D119" s="30" t="n">
        <f aca="false">INDEX(MINVERSE($B$111:$G$116),2,3)</f>
        <v>0.123895011342776</v>
      </c>
      <c r="E119" s="30" t="n">
        <f aca="false">INDEX(MINVERSE($B$111:$G$116),2,4)</f>
        <v>-0.218970182284432</v>
      </c>
      <c r="F119" s="30" t="n">
        <f aca="false">INDEX(MINVERSE($B$111:$G$116),2,5)</f>
        <v>1.74460728658477</v>
      </c>
      <c r="G119" s="30" t="n">
        <f aca="false">INDEX(MINVERSE($B$111:$G$116),2,6)</f>
        <v>-1.50599198156588</v>
      </c>
    </row>
    <row r="120" customFormat="false" ht="15" hidden="false" customHeight="false" outlineLevel="0" collapsed="false">
      <c r="B120" s="30" t="n">
        <f aca="false">INDEX(MINVERSE($B$111:$G$116),3,1)</f>
        <v>-0.00370861601236843</v>
      </c>
      <c r="C120" s="30" t="n">
        <f aca="false">INDEX(MINVERSE($B$111:$G$116),3,2)</f>
        <v>0.123895011342776</v>
      </c>
      <c r="D120" s="30" t="n">
        <f aca="false">INDEX(MINVERSE($B$111:$G$116),3,3)</f>
        <v>0.0492659220185238</v>
      </c>
      <c r="E120" s="30" t="n">
        <f aca="false">INDEX(MINVERSE($B$111:$G$116),3,4)</f>
        <v>0.0177544406381879</v>
      </c>
      <c r="F120" s="30" t="n">
        <f aca="false">INDEX(MINVERSE($B$111:$G$116),3,5)</f>
        <v>-0.0449867158305672</v>
      </c>
      <c r="G120" s="30" t="n">
        <f aca="false">INDEX(MINVERSE($B$111:$G$116),3,6)</f>
        <v>0.0121786609615212</v>
      </c>
    </row>
    <row r="121" customFormat="false" ht="15" hidden="false" customHeight="false" outlineLevel="0" collapsed="false">
      <c r="B121" s="30" t="n">
        <f aca="false">INDEX(MINVERSE($B$111:$G$116),4,1)</f>
        <v>0.0127583483765145</v>
      </c>
      <c r="C121" s="30" t="n">
        <f aca="false">INDEX(MINVERSE($B$111:$G$116),4,2)</f>
        <v>-0.218970182284432</v>
      </c>
      <c r="D121" s="30" t="n">
        <f aca="false">INDEX(MINVERSE($B$111:$G$116),4,3)</f>
        <v>0.0177544406381879</v>
      </c>
      <c r="E121" s="30" t="n">
        <f aca="false">INDEX(MINVERSE($B$111:$G$116),4,4)</f>
        <v>0.731394626525472</v>
      </c>
      <c r="F121" s="30" t="n">
        <f aca="false">INDEX(MINVERSE($B$111:$G$116),4,5)</f>
        <v>-0.274844020868876</v>
      </c>
      <c r="G121" s="30" t="n">
        <f aca="false">INDEX(MINVERSE($B$111:$G$116),4,6)</f>
        <v>0.119379748083895</v>
      </c>
    </row>
    <row r="122" customFormat="false" ht="15" hidden="false" customHeight="false" outlineLevel="0" collapsed="false">
      <c r="B122" s="30" t="n">
        <f aca="false">INDEX(MINVERSE($B$111:$G$116),5,1)</f>
        <v>-0.0513071673869825</v>
      </c>
      <c r="C122" s="30" t="n">
        <f aca="false">INDEX(MINVERSE($B$111:$G$116),5,2)</f>
        <v>1.74460728658477</v>
      </c>
      <c r="D122" s="30" t="n">
        <f aca="false">INDEX(MINVERSE($B$111:$G$116),5,3)</f>
        <v>-0.0449867158305672</v>
      </c>
      <c r="E122" s="30" t="n">
        <f aca="false">INDEX(MINVERSE($B$111:$G$116),5,4)</f>
        <v>-0.274844020868876</v>
      </c>
      <c r="F122" s="30" t="n">
        <f aca="false">INDEX(MINVERSE($B$111:$G$116),5,5)</f>
        <v>1.36184679797287</v>
      </c>
      <c r="G122" s="30" t="n">
        <f aca="false">INDEX(MINVERSE($B$111:$G$116),5,6)</f>
        <v>-0.221175195394964</v>
      </c>
    </row>
    <row r="123" customFormat="false" ht="15" hidden="false" customHeight="false" outlineLevel="0" collapsed="false">
      <c r="B123" s="30" t="n">
        <f aca="false">INDEX(MINVERSE($B$111:$G$116),6,1)</f>
        <v>0.0187784758173231</v>
      </c>
      <c r="C123" s="30" t="n">
        <f aca="false">INDEX(MINVERSE($B$111:$G$116),6,2)</f>
        <v>-1.50599198156588</v>
      </c>
      <c r="D123" s="30" t="n">
        <f aca="false">INDEX(MINVERSE($B$111:$G$116),6,3)</f>
        <v>0.0121786609615212</v>
      </c>
      <c r="E123" s="30" t="n">
        <f aca="false">INDEX(MINVERSE($B$111:$G$116),6,4)</f>
        <v>0.119379748083895</v>
      </c>
      <c r="F123" s="30" t="n">
        <f aca="false">INDEX(MINVERSE($B$111:$G$116),6,5)</f>
        <v>-0.221175195394964</v>
      </c>
      <c r="G123" s="30" t="n">
        <f aca="false">INDEX(MINVERSE($B$111:$G$116),6,6)</f>
        <v>1.18914550572201</v>
      </c>
    </row>
    <row r="124" customFormat="false" ht="15" hidden="false" customHeight="false" outlineLevel="0" collapsed="false">
      <c r="A124" s="10" t="s">
        <v>168</v>
      </c>
    </row>
    <row r="125" customFormat="false" ht="15" hidden="false" customHeight="false" outlineLevel="0" collapsed="false">
      <c r="B125" s="30" t="n">
        <f aca="false">SUMPRODUCT($K$6:$K$82,$K$6:$K$82)</f>
        <v>0.0674980424710166</v>
      </c>
      <c r="C125" s="30" t="n">
        <f aca="false">SUMPRODUCT($K$6:$K$82,$L$6:$L$82)</f>
        <v>0.000905147281768015</v>
      </c>
      <c r="D125" s="30" t="n">
        <f aca="false">SUMPRODUCT($K$6:$K$82,$M$6:$M$82)</f>
        <v>-0.00332536091227822</v>
      </c>
      <c r="E125" s="30" t="n">
        <f aca="false">SUMPRODUCT($K$6:$K$82,$N$6:$N$82)</f>
        <v>-0.0018475039384991</v>
      </c>
      <c r="F125" s="30" t="n">
        <f aca="false">SUMPRODUCT($K$6:$K$82,$O$6:$O$82)</f>
        <v>0</v>
      </c>
      <c r="G125" s="30" t="n">
        <f aca="false">SUMPRODUCT($K$6:$K$82,$P$6:$P$82)</f>
        <v>0</v>
      </c>
    </row>
    <row r="126" customFormat="false" ht="15" hidden="false" customHeight="false" outlineLevel="0" collapsed="false">
      <c r="B126" s="30" t="n">
        <f aca="false">SUMPRODUCT($L$6:$L$82,$K$6:$K$82)</f>
        <v>0.000905147281768015</v>
      </c>
      <c r="C126" s="30" t="n">
        <f aca="false">SUMPRODUCT($L$6:$L$82,$L$6:$L$82)</f>
        <v>9.0894786847759E-005</v>
      </c>
      <c r="D126" s="30" t="n">
        <f aca="false">SUMPRODUCT($L$6:$L$82,$M$6:$M$82)</f>
        <v>-0.00018107945964023</v>
      </c>
      <c r="E126" s="30" t="n">
        <f aca="false">SUMPRODUCT($L$6:$L$82,$N$6:$N$82)</f>
        <v>-0.000120151825439978</v>
      </c>
      <c r="F126" s="30" t="n">
        <f aca="false">SUMPRODUCT($L$6:$L$82,$O$6:$O$82)</f>
        <v>0</v>
      </c>
      <c r="G126" s="30" t="n">
        <f aca="false">SUMPRODUCT($L$6:$L$82,$P$6:$P$82)</f>
        <v>0</v>
      </c>
    </row>
    <row r="127" customFormat="false" ht="15" hidden="false" customHeight="false" outlineLevel="0" collapsed="false">
      <c r="B127" s="30" t="n">
        <f aca="false">SUMPRODUCT($M$6:$M$82,$K$6:$K$82)</f>
        <v>-0.00332536091227822</v>
      </c>
      <c r="C127" s="30" t="n">
        <f aca="false">SUMPRODUCT($M$6:$M$82,$L$6:$L$82)</f>
        <v>-0.00018107945964023</v>
      </c>
      <c r="D127" s="30" t="n">
        <f aca="false">SUMPRODUCT($M$6:$M$82,$M$6:$M$82)</f>
        <v>0.0181286375117447</v>
      </c>
      <c r="E127" s="30" t="n">
        <f aca="false">SUMPRODUCT($M$6:$M$82,$N$6:$N$82)</f>
        <v>0.00027877628984546</v>
      </c>
      <c r="F127" s="30" t="n">
        <f aca="false">SUMPRODUCT($M$6:$M$82,$O$6:$O$82)</f>
        <v>0</v>
      </c>
      <c r="G127" s="30" t="n">
        <f aca="false">SUMPRODUCT($M$6:$M$82,$P$6:$P$82)</f>
        <v>0</v>
      </c>
    </row>
    <row r="128" customFormat="false" ht="15" hidden="false" customHeight="false" outlineLevel="0" collapsed="false">
      <c r="B128" s="30" t="n">
        <f aca="false">SUMPRODUCT($N$6:$N$82,$K$6:$K$82)</f>
        <v>-0.0018475039384991</v>
      </c>
      <c r="C128" s="30" t="n">
        <f aca="false">SUMPRODUCT($N$6:$N$82,$L$6:$L$82)</f>
        <v>-0.000120151825439978</v>
      </c>
      <c r="D128" s="30" t="n">
        <f aca="false">SUMPRODUCT($N$6:$N$82,$M$6:$M$82)</f>
        <v>0.00027877628984546</v>
      </c>
      <c r="E128" s="30" t="n">
        <f aca="false">SUMPRODUCT($N$6:$N$82,$N$6:$N$82)</f>
        <v>0.00150498345461652</v>
      </c>
      <c r="F128" s="30" t="n">
        <f aca="false">SUMPRODUCT($N$6:$N$82,$O$6:$O$82)</f>
        <v>0</v>
      </c>
      <c r="G128" s="30" t="n">
        <f aca="false">SUMPRODUCT($N$6:$N$82,$P$6:$P$82)</f>
        <v>0</v>
      </c>
    </row>
    <row r="129" customFormat="false" ht="15" hidden="false" customHeight="false" outlineLevel="0" collapsed="false">
      <c r="B129" s="30" t="n">
        <f aca="false">SUMPRODUCT($O$6:$O$82,$K$6:$K$82)</f>
        <v>0</v>
      </c>
      <c r="C129" s="30" t="n">
        <f aca="false">SUMPRODUCT($O$6:$O$82,$L$6:$L$82)</f>
        <v>0</v>
      </c>
      <c r="D129" s="30" t="n">
        <f aca="false">SUMPRODUCT($O$6:$O$82,$M$6:$M$82)</f>
        <v>0</v>
      </c>
      <c r="E129" s="30" t="n">
        <f aca="false">SUMPRODUCT($O$6:$O$82,$N$6:$N$82)</f>
        <v>0</v>
      </c>
      <c r="F129" s="30" t="n">
        <f aca="false">SUMPRODUCT($O$6:$O$82,$O$6:$O$82)</f>
        <v>0</v>
      </c>
      <c r="G129" s="30" t="n">
        <f aca="false">SUMPRODUCT($O$6:$O$82,$P$6:$P$82)</f>
        <v>0</v>
      </c>
    </row>
    <row r="130" customFormat="false" ht="15" hidden="false" customHeight="false" outlineLevel="0" collapsed="false">
      <c r="B130" s="30" t="n">
        <f aca="false">SUMPRODUCT($P$6:$P$82,$K$6:$K$82)</f>
        <v>0</v>
      </c>
      <c r="C130" s="30" t="n">
        <f aca="false">SUMPRODUCT($P$6:$P$82,$L$6:$L$82)</f>
        <v>0</v>
      </c>
      <c r="D130" s="30" t="n">
        <f aca="false">SUMPRODUCT($P$6:$P$82,$M$6:$M$82)</f>
        <v>0</v>
      </c>
      <c r="E130" s="30" t="n">
        <f aca="false">SUMPRODUCT($P$6:$P$82,$N$6:$N$82)</f>
        <v>0</v>
      </c>
      <c r="F130" s="30" t="n">
        <f aca="false">SUMPRODUCT($P$6:$P$82,$O$6:$O$82)</f>
        <v>0</v>
      </c>
      <c r="G130" s="30" t="n">
        <f aca="false">SUMPRODUCT($P$6:$P$82,$P$6:$P$82)</f>
        <v>0</v>
      </c>
    </row>
    <row r="131" customFormat="false" ht="15" hidden="false" customHeight="false" outlineLevel="0" collapsed="false">
      <c r="A131" s="10" t="s">
        <v>169</v>
      </c>
    </row>
    <row r="132" customFormat="false" ht="15" hidden="false" customHeight="false" outlineLevel="0" collapsed="false">
      <c r="B132" s="30" t="n">
        <f aca="false">SUMPRODUCT($K$7:$K$82,$K$6:$K$81)</f>
        <v>0.036820428308713</v>
      </c>
      <c r="C132" s="30" t="n">
        <f aca="false">SUMPRODUCT($K$7:$K$82,$L$6:$L$81)</f>
        <v>0.000298677782199625</v>
      </c>
      <c r="D132" s="30" t="n">
        <f aca="false">SUMPRODUCT($K$7:$K$82,$M$6:$M$81)</f>
        <v>-0.00779187662763286</v>
      </c>
      <c r="E132" s="30" t="n">
        <f aca="false">SUMPRODUCT($K$7:$K$82,$N$6:$N$81)</f>
        <v>-0.000493789574214152</v>
      </c>
      <c r="F132" s="30" t="n">
        <f aca="false">SUMPRODUCT($K$7:$K$82,$O$6:$O$81)</f>
        <v>0</v>
      </c>
      <c r="G132" s="30" t="n">
        <f aca="false">SUMPRODUCT($K$7:$K$82,$P$6:$P$81)</f>
        <v>0</v>
      </c>
    </row>
    <row r="133" customFormat="false" ht="15" hidden="false" customHeight="false" outlineLevel="0" collapsed="false">
      <c r="B133" s="30" t="n">
        <f aca="false">SUMPRODUCT($L$7:$L$82,$K$6:$K$81)</f>
        <v>0.000244694434592975</v>
      </c>
      <c r="C133" s="30" t="n">
        <f aca="false">SUMPRODUCT($L$7:$L$82,$L$6:$L$81)</f>
        <v>3.45672985678209E-005</v>
      </c>
      <c r="D133" s="30" t="n">
        <f aca="false">SUMPRODUCT($L$7:$L$82,$M$6:$M$81)</f>
        <v>1.83492068452585E-005</v>
      </c>
      <c r="E133" s="30" t="n">
        <f aca="false">SUMPRODUCT($L$7:$L$82,$N$6:$N$81)</f>
        <v>-6.42952005012029E-005</v>
      </c>
      <c r="F133" s="30" t="n">
        <f aca="false">SUMPRODUCT($L$7:$L$82,$O$6:$O$81)</f>
        <v>0</v>
      </c>
      <c r="G133" s="30" t="n">
        <f aca="false">SUMPRODUCT($L$7:$L$82,$P$6:$P$81)</f>
        <v>0</v>
      </c>
    </row>
    <row r="134" customFormat="false" ht="15" hidden="false" customHeight="false" outlineLevel="0" collapsed="false">
      <c r="B134" s="30" t="n">
        <f aca="false">SUMPRODUCT($M$7:$M$82,$K$6:$K$81)</f>
        <v>-0.00492496149617429</v>
      </c>
      <c r="C134" s="30" t="n">
        <f aca="false">SUMPRODUCT($M$7:$M$82,$L$6:$L$81)</f>
        <v>-1.7058100675212E-005</v>
      </c>
      <c r="D134" s="30" t="n">
        <f aca="false">SUMPRODUCT($M$7:$M$82,$M$6:$M$81)</f>
        <v>0.00590829075621851</v>
      </c>
      <c r="E134" s="30" t="n">
        <f aca="false">SUMPRODUCT($M$7:$M$82,$N$6:$N$81)</f>
        <v>5.0827983364188E-005</v>
      </c>
      <c r="F134" s="30" t="n">
        <f aca="false">SUMPRODUCT($M$7:$M$82,$O$6:$O$81)</f>
        <v>0</v>
      </c>
      <c r="G134" s="30" t="n">
        <f aca="false">SUMPRODUCT($M$7:$M$82,$P$6:$P$81)</f>
        <v>0</v>
      </c>
    </row>
    <row r="135" customFormat="false" ht="15" hidden="false" customHeight="false" outlineLevel="0" collapsed="false">
      <c r="B135" s="30" t="n">
        <f aca="false">SUMPRODUCT($N$7:$N$82,$K$6:$K$81)</f>
        <v>-0.000644870306867541</v>
      </c>
      <c r="C135" s="30" t="n">
        <f aca="false">SUMPRODUCT($N$7:$N$82,$L$6:$L$81)</f>
        <v>-3.94480288696828E-005</v>
      </c>
      <c r="D135" s="30" t="n">
        <f aca="false">SUMPRODUCT($N$7:$N$82,$M$6:$M$81)</f>
        <v>6.84470096215325E-005</v>
      </c>
      <c r="E135" s="30" t="n">
        <f aca="false">SUMPRODUCT($N$7:$N$82,$N$6:$N$81)</f>
        <v>0.000453390077208215</v>
      </c>
      <c r="F135" s="30" t="n">
        <f aca="false">SUMPRODUCT($N$7:$N$82,$O$6:$O$81)</f>
        <v>0</v>
      </c>
      <c r="G135" s="30" t="n">
        <f aca="false">SUMPRODUCT($N$7:$N$82,$P$6:$P$81)</f>
        <v>0</v>
      </c>
    </row>
    <row r="136" customFormat="false" ht="15" hidden="false" customHeight="false" outlineLevel="0" collapsed="false">
      <c r="B136" s="30" t="n">
        <f aca="false">SUMPRODUCT($O$7:$O$82,$K$6:$K$81)</f>
        <v>0</v>
      </c>
      <c r="C136" s="30" t="n">
        <f aca="false">SUMPRODUCT($O$7:$O$82,$L$6:$L$81)</f>
        <v>0</v>
      </c>
      <c r="D136" s="30" t="n">
        <f aca="false">SUMPRODUCT($O$7:$O$82,$M$6:$M$81)</f>
        <v>0</v>
      </c>
      <c r="E136" s="30" t="n">
        <f aca="false">SUMPRODUCT($O$7:$O$82,$N$6:$N$81)</f>
        <v>0</v>
      </c>
      <c r="F136" s="30" t="n">
        <f aca="false">SUMPRODUCT($O$7:$O$82,$O$6:$O$81)</f>
        <v>0</v>
      </c>
      <c r="G136" s="30" t="n">
        <f aca="false">SUMPRODUCT($O$7:$O$82,$P$6:$P$81)</f>
        <v>0</v>
      </c>
    </row>
    <row r="137" customFormat="false" ht="15" hidden="false" customHeight="false" outlineLevel="0" collapsed="false">
      <c r="B137" s="30" t="n">
        <f aca="false">SUMPRODUCT($P$7:$P$82,$K$6:$K$81)</f>
        <v>0</v>
      </c>
      <c r="C137" s="30" t="n">
        <f aca="false">SUMPRODUCT($P$7:$P$82,$L$6:$L$81)</f>
        <v>0</v>
      </c>
      <c r="D137" s="30" t="n">
        <f aca="false">SUMPRODUCT($P$7:$P$82,$M$6:$M$81)</f>
        <v>0</v>
      </c>
      <c r="E137" s="30" t="n">
        <f aca="false">SUMPRODUCT($P$7:$P$82,$N$6:$N$81)</f>
        <v>0</v>
      </c>
      <c r="F137" s="30" t="n">
        <f aca="false">SUMPRODUCT($P$7:$P$82,$O$6:$O$81)</f>
        <v>0</v>
      </c>
      <c r="G137" s="30" t="n">
        <f aca="false">SUMPRODUCT($P$7:$P$82,$P$6:$P$81)</f>
        <v>0</v>
      </c>
    </row>
    <row r="138" customFormat="false" ht="15" hidden="false" customHeight="false" outlineLevel="0" collapsed="false">
      <c r="A138" s="10" t="s">
        <v>170</v>
      </c>
    </row>
    <row r="139" customFormat="false" ht="15" hidden="false" customHeight="false" outlineLevel="0" collapsed="false">
      <c r="B139" s="30" t="n">
        <f aca="false">SUMPRODUCT($K$8:$K$82,$K$6:$K$80)</f>
        <v>0.0192654836596388</v>
      </c>
      <c r="C139" s="30" t="n">
        <f aca="false">SUMPRODUCT($K$8:$K$82,$L$6:$L$80)</f>
        <v>0.00039875368701964</v>
      </c>
      <c r="D139" s="30" t="n">
        <f aca="false">SUMPRODUCT($K$8:$K$82,$M$6:$M$80)</f>
        <v>-0.00760995557815918</v>
      </c>
      <c r="E139" s="30" t="n">
        <f aca="false">SUMPRODUCT($K$8:$K$82,$N$6:$N$80)</f>
        <v>-0.000126896567729934</v>
      </c>
      <c r="F139" s="30" t="n">
        <f aca="false">SUMPRODUCT($K$8:$K$82,$O$6:$O$80)</f>
        <v>0</v>
      </c>
      <c r="G139" s="30" t="n">
        <f aca="false">SUMPRODUCT($K$8:$K$82,$P$6:$P$80)</f>
        <v>0</v>
      </c>
    </row>
    <row r="140" customFormat="false" ht="15" hidden="false" customHeight="false" outlineLevel="0" collapsed="false">
      <c r="B140" s="30" t="n">
        <f aca="false">SUMPRODUCT($L$8:$L$82,$K$6:$K$80)</f>
        <v>0.000308022125068103</v>
      </c>
      <c r="C140" s="30" t="n">
        <f aca="false">SUMPRODUCT($L$8:$L$82,$L$6:$L$80)</f>
        <v>2.59011785903076E-005</v>
      </c>
      <c r="D140" s="30" t="n">
        <f aca="false">SUMPRODUCT($L$8:$L$82,$M$6:$M$80)</f>
        <v>-0.000144563544641175</v>
      </c>
      <c r="E140" s="30" t="n">
        <f aca="false">SUMPRODUCT($L$8:$L$82,$N$6:$N$80)</f>
        <v>-5.64511985034719E-005</v>
      </c>
      <c r="F140" s="30" t="n">
        <f aca="false">SUMPRODUCT($L$8:$L$82,$O$6:$O$80)</f>
        <v>0</v>
      </c>
      <c r="G140" s="30" t="n">
        <f aca="false">SUMPRODUCT($L$8:$L$82,$P$6:$P$80)</f>
        <v>0</v>
      </c>
    </row>
    <row r="141" customFormat="false" ht="15" hidden="false" customHeight="false" outlineLevel="0" collapsed="false">
      <c r="B141" s="30" t="n">
        <f aca="false">SUMPRODUCT($M$8:$M$82,$K$6:$K$80)</f>
        <v>-0.00459007442159994</v>
      </c>
      <c r="C141" s="30" t="n">
        <f aca="false">SUMPRODUCT($M$8:$M$82,$L$6:$L$80)</f>
        <v>-7.92219000740517E-005</v>
      </c>
      <c r="D141" s="30" t="n">
        <f aca="false">SUMPRODUCT($M$8:$M$82,$M$6:$M$80)</f>
        <v>0.00136660335782015</v>
      </c>
      <c r="E141" s="30" t="n">
        <f aca="false">SUMPRODUCT($M$8:$M$82,$N$6:$N$80)</f>
        <v>0.000100306067662333</v>
      </c>
      <c r="F141" s="30" t="n">
        <f aca="false">SUMPRODUCT($M$8:$M$82,$O$6:$O$80)</f>
        <v>0</v>
      </c>
      <c r="G141" s="30" t="n">
        <f aca="false">SUMPRODUCT($M$8:$M$82,$P$6:$P$80)</f>
        <v>0</v>
      </c>
    </row>
    <row r="142" customFormat="false" ht="15" hidden="false" customHeight="false" outlineLevel="0" collapsed="false">
      <c r="B142" s="30" t="n">
        <f aca="false">SUMPRODUCT($N$8:$N$82,$K$6:$K$80)</f>
        <v>0.000390485607553206</v>
      </c>
      <c r="C142" s="30" t="n">
        <f aca="false">SUMPRODUCT($N$8:$N$82,$L$6:$L$80)</f>
        <v>9.44625302779939E-006</v>
      </c>
      <c r="D142" s="30" t="n">
        <f aca="false">SUMPRODUCT($N$8:$N$82,$M$6:$M$80)</f>
        <v>0.00025167932655272</v>
      </c>
      <c r="E142" s="30" t="n">
        <f aca="false">SUMPRODUCT($N$8:$N$82,$N$6:$N$80)</f>
        <v>-2.38653076349636E-005</v>
      </c>
      <c r="F142" s="30" t="n">
        <f aca="false">SUMPRODUCT($N$8:$N$82,$O$6:$O$80)</f>
        <v>0</v>
      </c>
      <c r="G142" s="30" t="n">
        <f aca="false">SUMPRODUCT($N$8:$N$82,$P$6:$P$80)</f>
        <v>0</v>
      </c>
    </row>
    <row r="143" customFormat="false" ht="15" hidden="false" customHeight="false" outlineLevel="0" collapsed="false">
      <c r="B143" s="30" t="n">
        <f aca="false">SUMPRODUCT($O$8:$O$82,$K$6:$K$80)</f>
        <v>0</v>
      </c>
      <c r="C143" s="30" t="n">
        <f aca="false">SUMPRODUCT($O$8:$O$82,$L$6:$L$80)</f>
        <v>0</v>
      </c>
      <c r="D143" s="30" t="n">
        <f aca="false">SUMPRODUCT($O$8:$O$82,$M$6:$M$80)</f>
        <v>0</v>
      </c>
      <c r="E143" s="30" t="n">
        <f aca="false">SUMPRODUCT($O$8:$O$82,$N$6:$N$80)</f>
        <v>0</v>
      </c>
      <c r="F143" s="30" t="n">
        <f aca="false">SUMPRODUCT($O$8:$O$82,$O$6:$O$80)</f>
        <v>0</v>
      </c>
      <c r="G143" s="30" t="n">
        <f aca="false">SUMPRODUCT($O$8:$O$82,$P$6:$P$80)</f>
        <v>0</v>
      </c>
    </row>
    <row r="144" customFormat="false" ht="15" hidden="false" customHeight="false" outlineLevel="0" collapsed="false">
      <c r="B144" s="30" t="n">
        <f aca="false">SUMPRODUCT($P$8:$P$82,$K$6:$K$80)</f>
        <v>0</v>
      </c>
      <c r="C144" s="30" t="n">
        <f aca="false">SUMPRODUCT($P$8:$P$82,$L$6:$L$80)</f>
        <v>0</v>
      </c>
      <c r="D144" s="30" t="n">
        <f aca="false">SUMPRODUCT($P$8:$P$82,$M$6:$M$80)</f>
        <v>0</v>
      </c>
      <c r="E144" s="30" t="n">
        <f aca="false">SUMPRODUCT($P$8:$P$82,$N$6:$N$80)</f>
        <v>0</v>
      </c>
      <c r="F144" s="30" t="n">
        <f aca="false">SUMPRODUCT($P$8:$P$82,$O$6:$O$80)</f>
        <v>0</v>
      </c>
      <c r="G144" s="30" t="n">
        <f aca="false">SUMPRODUCT($P$8:$P$82,$P$6:$P$80)</f>
        <v>0</v>
      </c>
    </row>
    <row r="145" customFormat="false" ht="15" hidden="false" customHeight="false" outlineLevel="0" collapsed="false">
      <c r="A145" s="10" t="s">
        <v>171</v>
      </c>
    </row>
    <row r="146" customFormat="false" ht="15" hidden="false" customHeight="false" outlineLevel="0" collapsed="false">
      <c r="B146" s="30" t="n">
        <f aca="false">SUMPRODUCT($K$9:$K$82,$K$6:$K$79)</f>
        <v>0.00775617076521464</v>
      </c>
      <c r="C146" s="30" t="n">
        <f aca="false">SUMPRODUCT($K$9:$K$82,$L$6:$L$79)</f>
        <v>0.000437102541079258</v>
      </c>
      <c r="D146" s="30" t="n">
        <f aca="false">SUMPRODUCT($K$9:$K$82,$M$6:$M$79)</f>
        <v>-0.00611750921110775</v>
      </c>
      <c r="E146" s="30" t="n">
        <f aca="false">SUMPRODUCT($K$9:$K$82,$N$6:$N$79)</f>
        <v>-0.000495533226139743</v>
      </c>
      <c r="F146" s="30" t="n">
        <f aca="false">SUMPRODUCT($K$9:$K$82,$O$6:$O$79)</f>
        <v>0</v>
      </c>
      <c r="G146" s="30" t="n">
        <f aca="false">SUMPRODUCT($K$9:$K$82,$P$6:$P$79)</f>
        <v>0</v>
      </c>
    </row>
    <row r="147" customFormat="false" ht="15" hidden="false" customHeight="false" outlineLevel="0" collapsed="false">
      <c r="B147" s="30" t="n">
        <f aca="false">SUMPRODUCT($L$9:$L$82,$K$6:$K$79)</f>
        <v>0.000547219261298633</v>
      </c>
      <c r="C147" s="30" t="n">
        <f aca="false">SUMPRODUCT($L$9:$L$82,$L$6:$L$79)</f>
        <v>1.93940796762005E-005</v>
      </c>
      <c r="D147" s="30" t="n">
        <f aca="false">SUMPRODUCT($L$9:$L$82,$M$6:$M$79)</f>
        <v>-0.000205231042721373</v>
      </c>
      <c r="E147" s="30" t="n">
        <f aca="false">SUMPRODUCT($L$9:$L$82,$N$6:$N$79)</f>
        <v>-7.67235804495768E-005</v>
      </c>
      <c r="F147" s="30" t="n">
        <f aca="false">SUMPRODUCT($L$9:$L$82,$O$6:$O$79)</f>
        <v>0</v>
      </c>
      <c r="G147" s="30" t="n">
        <f aca="false">SUMPRODUCT($L$9:$L$82,$P$6:$P$79)</f>
        <v>0</v>
      </c>
    </row>
    <row r="148" customFormat="false" ht="15" hidden="false" customHeight="false" outlineLevel="0" collapsed="false">
      <c r="B148" s="30" t="n">
        <f aca="false">SUMPRODUCT($M$9:$M$82,$K$6:$K$79)</f>
        <v>-0.00768518313976731</v>
      </c>
      <c r="C148" s="30" t="n">
        <f aca="false">SUMPRODUCT($M$9:$M$82,$L$6:$L$79)</f>
        <v>-0.00029004801995194</v>
      </c>
      <c r="D148" s="30" t="n">
        <f aca="false">SUMPRODUCT($M$9:$M$82,$M$6:$M$79)</f>
        <v>-0.000951004804446564</v>
      </c>
      <c r="E148" s="30" t="n">
        <f aca="false">SUMPRODUCT($M$9:$M$82,$N$6:$N$79)</f>
        <v>0.000927686846171279</v>
      </c>
      <c r="F148" s="30" t="n">
        <f aca="false">SUMPRODUCT($M$9:$M$82,$O$6:$O$79)</f>
        <v>0</v>
      </c>
      <c r="G148" s="30" t="n">
        <f aca="false">SUMPRODUCT($M$9:$M$82,$P$6:$P$79)</f>
        <v>0</v>
      </c>
    </row>
    <row r="149" customFormat="false" ht="15" hidden="false" customHeight="false" outlineLevel="0" collapsed="false">
      <c r="B149" s="30" t="n">
        <f aca="false">SUMPRODUCT($N$9:$N$82,$K$6:$K$79)</f>
        <v>0.000868540444035128</v>
      </c>
      <c r="C149" s="30" t="n">
        <f aca="false">SUMPRODUCT($N$9:$N$82,$L$6:$L$79)</f>
        <v>3.00850625381855E-005</v>
      </c>
      <c r="D149" s="30" t="n">
        <f aca="false">SUMPRODUCT($N$9:$N$82,$M$6:$M$79)</f>
        <v>-0.000201034576515652</v>
      </c>
      <c r="E149" s="30" t="n">
        <f aca="false">SUMPRODUCT($N$9:$N$82,$N$6:$N$79)</f>
        <v>9.21308315979624E-005</v>
      </c>
      <c r="F149" s="30" t="n">
        <f aca="false">SUMPRODUCT($N$9:$N$82,$O$6:$O$79)</f>
        <v>0</v>
      </c>
      <c r="G149" s="30" t="n">
        <f aca="false">SUMPRODUCT($N$9:$N$82,$P$6:$P$79)</f>
        <v>0</v>
      </c>
    </row>
    <row r="150" customFormat="false" ht="15" hidden="false" customHeight="false" outlineLevel="0" collapsed="false">
      <c r="B150" s="30" t="n">
        <f aca="false">SUMPRODUCT($O$9:$O$82,$K$6:$K$79)</f>
        <v>0</v>
      </c>
      <c r="C150" s="30" t="n">
        <f aca="false">SUMPRODUCT($O$9:$O$82,$L$6:$L$79)</f>
        <v>0</v>
      </c>
      <c r="D150" s="30" t="n">
        <f aca="false">SUMPRODUCT($O$9:$O$82,$M$6:$M$79)</f>
        <v>0</v>
      </c>
      <c r="E150" s="30" t="n">
        <f aca="false">SUMPRODUCT($O$9:$O$82,$N$6:$N$79)</f>
        <v>0</v>
      </c>
      <c r="F150" s="30" t="n">
        <f aca="false">SUMPRODUCT($O$9:$O$82,$O$6:$O$79)</f>
        <v>0</v>
      </c>
      <c r="G150" s="30" t="n">
        <f aca="false">SUMPRODUCT($O$9:$O$82,$P$6:$P$79)</f>
        <v>0</v>
      </c>
    </row>
    <row r="151" customFormat="false" ht="15" hidden="false" customHeight="false" outlineLevel="0" collapsed="false">
      <c r="B151" s="30" t="n">
        <f aca="false">SUMPRODUCT($P$9:$P$82,$K$6:$K$79)</f>
        <v>0</v>
      </c>
      <c r="C151" s="30" t="n">
        <f aca="false">SUMPRODUCT($P$9:$P$82,$L$6:$L$79)</f>
        <v>0</v>
      </c>
      <c r="D151" s="30" t="n">
        <f aca="false">SUMPRODUCT($P$9:$P$82,$M$6:$M$79)</f>
        <v>0</v>
      </c>
      <c r="E151" s="30" t="n">
        <f aca="false">SUMPRODUCT($P$9:$P$82,$N$6:$N$79)</f>
        <v>0</v>
      </c>
      <c r="F151" s="30" t="n">
        <f aca="false">SUMPRODUCT($P$9:$P$82,$O$6:$O$79)</f>
        <v>0</v>
      </c>
      <c r="G151" s="30" t="n">
        <f aca="false">SUMPRODUCT($P$9:$P$82,$P$6:$P$79)</f>
        <v>0</v>
      </c>
    </row>
    <row r="152" customFormat="false" ht="15" hidden="false" customHeight="false" outlineLevel="0" collapsed="false">
      <c r="A152" s="10" t="s">
        <v>172</v>
      </c>
    </row>
    <row r="153" customFormat="false" ht="15" hidden="false" customHeight="false" outlineLevel="0" collapsed="false">
      <c r="B153" s="30" t="n">
        <f aca="false">SUMPRODUCT($K$10:$K$82,$K$6:$K$78)</f>
        <v>-0.010827801446988</v>
      </c>
      <c r="C153" s="30" t="n">
        <f aca="false">SUMPRODUCT($K$10:$K$82,$L$6:$L$78)</f>
        <v>0.000344304149598357</v>
      </c>
      <c r="D153" s="30" t="n">
        <f aca="false">SUMPRODUCT($K$10:$K$82,$M$6:$M$78)</f>
        <v>-0.00850151462977966</v>
      </c>
      <c r="E153" s="30" t="n">
        <f aca="false">SUMPRODUCT($K$10:$K$82,$N$6:$N$78)</f>
        <v>-0.00121445275767634</v>
      </c>
      <c r="F153" s="30" t="n">
        <f aca="false">SUMPRODUCT($K$10:$K$82,$O$6:$O$78)</f>
        <v>0</v>
      </c>
      <c r="G153" s="30" t="n">
        <f aca="false">SUMPRODUCT($K$10:$K$82,$P$6:$P$78)</f>
        <v>0</v>
      </c>
    </row>
    <row r="154" customFormat="false" ht="15" hidden="false" customHeight="false" outlineLevel="0" collapsed="false">
      <c r="B154" s="30" t="n">
        <f aca="false">SUMPRODUCT($L$10:$L$82,$K$6:$K$78)</f>
        <v>0.000120841776185053</v>
      </c>
      <c r="C154" s="30" t="n">
        <f aca="false">SUMPRODUCT($L$10:$L$82,$L$6:$L$78)</f>
        <v>8.33190471793023E-006</v>
      </c>
      <c r="D154" s="30" t="n">
        <f aca="false">SUMPRODUCT($L$10:$L$82,$M$6:$M$78)</f>
        <v>-0.000459087157847633</v>
      </c>
      <c r="E154" s="30" t="n">
        <f aca="false">SUMPRODUCT($L$10:$L$82,$N$6:$N$78)</f>
        <v>-0.000103697231912775</v>
      </c>
      <c r="F154" s="30" t="n">
        <f aca="false">SUMPRODUCT($L$10:$L$82,$O$6:$O$78)</f>
        <v>0</v>
      </c>
      <c r="G154" s="30" t="n">
        <f aca="false">SUMPRODUCT($L$10:$L$82,$P$6:$P$78)</f>
        <v>0</v>
      </c>
    </row>
    <row r="155" customFormat="false" ht="15" hidden="false" customHeight="false" outlineLevel="0" collapsed="false">
      <c r="B155" s="30" t="n">
        <f aca="false">SUMPRODUCT($M$10:$M$82,$K$6:$K$78)</f>
        <v>-0.00317079765529549</v>
      </c>
      <c r="C155" s="30" t="n">
        <f aca="false">SUMPRODUCT($M$10:$M$82,$L$6:$L$78)</f>
        <v>-0.000255777565755255</v>
      </c>
      <c r="D155" s="30" t="n">
        <f aca="false">SUMPRODUCT($M$10:$M$82,$M$6:$M$78)</f>
        <v>0.00340577007929326</v>
      </c>
      <c r="E155" s="30" t="n">
        <f aca="false">SUMPRODUCT($M$10:$M$82,$N$6:$N$78)</f>
        <v>0.00147839048045811</v>
      </c>
      <c r="F155" s="30" t="n">
        <f aca="false">SUMPRODUCT($M$10:$M$82,$O$6:$O$78)</f>
        <v>0</v>
      </c>
      <c r="G155" s="30" t="n">
        <f aca="false">SUMPRODUCT($M$10:$M$82,$P$6:$P$78)</f>
        <v>0</v>
      </c>
    </row>
    <row r="156" customFormat="false" ht="15" hidden="false" customHeight="false" outlineLevel="0" collapsed="false">
      <c r="B156" s="30" t="n">
        <f aca="false">SUMPRODUCT($N$10:$N$82,$K$6:$K$78)</f>
        <v>0.00171863169914062</v>
      </c>
      <c r="C156" s="30" t="n">
        <f aca="false">SUMPRODUCT($N$10:$N$82,$L$6:$L$78)</f>
        <v>2.37728623128141E-005</v>
      </c>
      <c r="D156" s="30" t="n">
        <f aca="false">SUMPRODUCT($N$10:$N$82,$M$6:$M$78)</f>
        <v>0.000124359293588213</v>
      </c>
      <c r="E156" s="30" t="n">
        <f aca="false">SUMPRODUCT($N$10:$N$82,$N$6:$N$78)</f>
        <v>8.75938220027497E-005</v>
      </c>
      <c r="F156" s="30" t="n">
        <f aca="false">SUMPRODUCT($N$10:$N$82,$O$6:$O$78)</f>
        <v>0</v>
      </c>
      <c r="G156" s="30" t="n">
        <f aca="false">SUMPRODUCT($N$10:$N$82,$P$6:$P$78)</f>
        <v>0</v>
      </c>
    </row>
    <row r="157" customFormat="false" ht="15" hidden="false" customHeight="false" outlineLevel="0" collapsed="false">
      <c r="B157" s="30" t="n">
        <f aca="false">SUMPRODUCT($O$10:$O$82,$K$6:$K$78)</f>
        <v>0</v>
      </c>
      <c r="C157" s="30" t="n">
        <f aca="false">SUMPRODUCT($O$10:$O$82,$L$6:$L$78)</f>
        <v>0</v>
      </c>
      <c r="D157" s="30" t="n">
        <f aca="false">SUMPRODUCT($O$10:$O$82,$M$6:$M$78)</f>
        <v>0</v>
      </c>
      <c r="E157" s="30" t="n">
        <f aca="false">SUMPRODUCT($O$10:$O$82,$N$6:$N$78)</f>
        <v>0</v>
      </c>
      <c r="F157" s="30" t="n">
        <f aca="false">SUMPRODUCT($O$10:$O$82,$O$6:$O$78)</f>
        <v>0</v>
      </c>
      <c r="G157" s="30" t="n">
        <f aca="false">SUMPRODUCT($O$10:$O$82,$P$6:$P$78)</f>
        <v>0</v>
      </c>
    </row>
    <row r="158" customFormat="false" ht="15" hidden="false" customHeight="false" outlineLevel="0" collapsed="false">
      <c r="B158" s="30" t="n">
        <f aca="false">SUMPRODUCT($P$10:$P$82,$K$6:$K$78)</f>
        <v>0</v>
      </c>
      <c r="C158" s="30" t="n">
        <f aca="false">SUMPRODUCT($P$10:$P$82,$L$6:$L$78)</f>
        <v>0</v>
      </c>
      <c r="D158" s="30" t="n">
        <f aca="false">SUMPRODUCT($P$10:$P$82,$M$6:$M$78)</f>
        <v>0</v>
      </c>
      <c r="E158" s="30" t="n">
        <f aca="false">SUMPRODUCT($P$10:$P$82,$N$6:$N$78)</f>
        <v>0</v>
      </c>
      <c r="F158" s="30" t="n">
        <f aca="false">SUMPRODUCT($P$10:$P$82,$O$6:$O$78)</f>
        <v>0</v>
      </c>
      <c r="G158" s="30" t="n">
        <f aca="false">SUMPRODUCT($P$10:$P$82,$P$6:$P$78)</f>
        <v>0</v>
      </c>
    </row>
    <row r="159" customFormat="false" ht="15" hidden="false" customHeight="false" outlineLevel="0" collapsed="false">
      <c r="A159" s="10" t="s">
        <v>173</v>
      </c>
    </row>
    <row r="160" customFormat="false" ht="15" hidden="false" customHeight="false" outlineLevel="0" collapsed="false">
      <c r="B160" s="30" t="n">
        <f aca="false">INDEX($B$125:$G$130,1,1)+0.8*(INDEX($B$132:$G$137,1,1)+INDEX($B$132:$G$137,1,1))+0.6*(INDEX($B$139:$G$144,1,1)+INDEX($B$139:$G$144,1,1))+0.4*(INDEX($B$146:$G$151,1,1)+INDEX($B$146:$G$151,1,1))+0.2*(INDEX($B$153:$G$158,1,1)+INDEX($B$153:$G$158,1,1))</f>
        <v>0.1514031241899</v>
      </c>
      <c r="C160" s="30" t="n">
        <f aca="false">INDEX($B$125:$G$130,1,2)+0.8*(INDEX($B$132:$G$137,1,2)+INDEX($B$132:$G$137,2,1))+0.6*(INDEX($B$139:$G$144,1,2)+INDEX($B$139:$G$144,2,1))+0.4*(INDEX($B$146:$G$151,1,2)+INDEX($B$146:$G$151,2,1))+0.2*(INDEX($B$153:$G$158,1,2)+INDEX($B$153:$G$158,2,1))</f>
        <v>0.00225066844856258</v>
      </c>
      <c r="D160" s="30" t="n">
        <f aca="false">INDEX($B$125:$G$130,1,3)+0.8*(INDEX($B$132:$G$137,1,3)+INDEX($B$132:$G$137,3,1))+0.6*(INDEX($B$139:$G$144,1,3)+INDEX($B$139:$G$144,3,1))+0.4*(INDEX($B$146:$G$151,1,3)+INDEX($B$146:$G$151,3,1))+0.2*(INDEX($B$153:$G$158,1,3)+INDEX($B$153:$G$158,3,1))</f>
        <v>-0.0286743888085445</v>
      </c>
      <c r="E160" s="30" t="n">
        <f aca="false">INDEX($B$125:$G$130,1,4)+0.8*(INDEX($B$132:$G$137,1,4)+INDEX($B$132:$G$137,4,1))+0.6*(INDEX($B$139:$G$144,1,4)+INDEX($B$139:$G$144,4,1))+0.4*(INDEX($B$146:$G$151,1,4)+INDEX($B$146:$G$151,4,1))+0.2*(INDEX($B$153:$G$158,1,4)+INDEX($B$153:$G$158,4,1))</f>
        <v>-0.00235023974401948</v>
      </c>
      <c r="F160" s="30" t="n">
        <f aca="false">INDEX($B$125:$G$130,1,5)+0.8*(INDEX($B$132:$G$137,1,5)+INDEX($B$132:$G$137,5,1))+0.6*(INDEX($B$139:$G$144,1,5)+INDEX($B$139:$G$144,5,1))+0.4*(INDEX($B$146:$G$151,1,5)+INDEX($B$146:$G$151,5,1))+0.2*(INDEX($B$153:$G$158,1,5)+INDEX($B$153:$G$158,5,1))</f>
        <v>0</v>
      </c>
      <c r="G160" s="30" t="n">
        <f aca="false">INDEX($B$125:$G$130,1,6)+0.8*(INDEX($B$132:$G$137,1,6)+INDEX($B$132:$G$137,6,1))+0.6*(INDEX($B$139:$G$144,1,6)+INDEX($B$139:$G$144,6,1))+0.4*(INDEX($B$146:$G$151,1,6)+INDEX($B$146:$G$151,6,1))+0.2*(INDEX($B$153:$G$158,1,6)+INDEX($B$153:$G$158,6,1))</f>
        <v>0</v>
      </c>
    </row>
    <row r="161" customFormat="false" ht="15" hidden="false" customHeight="false" outlineLevel="0" collapsed="false">
      <c r="B161" s="30" t="n">
        <f aca="false">INDEX($B$125:$G$130,2,1)+0.8*(INDEX($B$132:$G$137,2,1)+INDEX($B$132:$G$137,1,2))+0.6*(INDEX($B$139:$G$144,2,1)+INDEX($B$139:$G$144,1,2))+0.4*(INDEX($B$146:$G$151,2,1)+INDEX($B$146:$G$151,1,2))+0.2*(INDEX($B$153:$G$158,2,1)+INDEX($B$153:$G$158,1,2))</f>
        <v>0.00225066844856258</v>
      </c>
      <c r="C161" s="30" t="n">
        <f aca="false">INDEX($B$125:$G$130,2,2)+0.8*(INDEX($B$132:$G$137,2,2)+INDEX($B$132:$G$137,2,2))+0.6*(INDEX($B$139:$G$144,2,2)+INDEX($B$139:$G$144,2,2))+0.4*(INDEX($B$146:$G$151,2,2)+INDEX($B$146:$G$151,2,2))+0.2*(INDEX($B$153:$G$158,2,2)+INDEX($B$153:$G$158,2,2))</f>
        <v>0.000196131904492774</v>
      </c>
      <c r="D161" s="30" t="n">
        <f aca="false">INDEX($B$125:$G$130,2,3)+0.8*(INDEX($B$132:$G$137,2,3)+INDEX($B$132:$G$137,3,2))+0.6*(INDEX($B$139:$G$144,2,3)+INDEX($B$139:$G$144,3,2))+0.4*(INDEX($B$146:$G$151,2,3)+INDEX($B$146:$G$151,3,2))+0.2*(INDEX($B$153:$G$158,2,3)+INDEX($B$153:$G$158,3,2))</f>
        <v>-0.000655402411323231</v>
      </c>
      <c r="E161" s="30" t="n">
        <f aca="false">INDEX($B$125:$G$130,2,4)+0.8*(INDEX($B$132:$G$137,2,4)+INDEX($B$132:$G$137,4,2))+0.6*(INDEX($B$139:$G$144,2,4)+INDEX($B$139:$G$144,4,2))+0.4*(INDEX($B$146:$G$151,2,4)+INDEX($B$146:$G$151,4,2))+0.2*(INDEX($B$153:$G$158,2,4)+INDEX($B$153:$G$158,4,2))</f>
        <v>-0.000265989657306639</v>
      </c>
      <c r="F161" s="30" t="n">
        <f aca="false">INDEX($B$125:$G$130,2,5)+0.8*(INDEX($B$132:$G$137,2,5)+INDEX($B$132:$G$137,5,2))+0.6*(INDEX($B$139:$G$144,2,5)+INDEX($B$139:$G$144,5,2))+0.4*(INDEX($B$146:$G$151,2,5)+INDEX($B$146:$G$151,5,2))+0.2*(INDEX($B$153:$G$158,2,5)+INDEX($B$153:$G$158,5,2))</f>
        <v>0</v>
      </c>
      <c r="G161" s="30" t="n">
        <f aca="false">INDEX($B$125:$G$130,2,6)+0.8*(INDEX($B$132:$G$137,2,6)+INDEX($B$132:$G$137,6,2))+0.6*(INDEX($B$139:$G$144,2,6)+INDEX($B$139:$G$144,6,2))+0.4*(INDEX($B$146:$G$151,2,6)+INDEX($B$146:$G$151,6,2))+0.2*(INDEX($B$153:$G$158,2,6)+INDEX($B$153:$G$158,6,2))</f>
        <v>0</v>
      </c>
    </row>
    <row r="162" customFormat="false" ht="15" hidden="false" customHeight="false" outlineLevel="0" collapsed="false">
      <c r="B162" s="30" t="n">
        <f aca="false">INDEX($B$125:$G$130,3,1)+0.8*(INDEX($B$132:$G$137,3,1)+INDEX($B$132:$G$137,1,3))+0.6*(INDEX($B$139:$G$144,3,1)+INDEX($B$139:$G$144,1,3))+0.4*(INDEX($B$146:$G$151,3,1)+INDEX($B$146:$G$151,1,3))+0.2*(INDEX($B$153:$G$158,3,1)+INDEX($B$153:$G$158,1,3))</f>
        <v>-0.0286743888085445</v>
      </c>
      <c r="C162" s="30" t="n">
        <f aca="false">INDEX($B$125:$G$130,3,2)+0.8*(INDEX($B$132:$G$137,3,2)+INDEX($B$132:$G$137,2,3))+0.6*(INDEX($B$139:$G$144,3,2)+INDEX($B$139:$G$144,2,3))+0.4*(INDEX($B$146:$G$151,3,2)+INDEX($B$146:$G$151,2,3))+0.2*(INDEX($B$153:$G$158,3,2)+INDEX($B$153:$G$158,2,3))</f>
        <v>-0.000655402411323231</v>
      </c>
      <c r="D162" s="30" t="n">
        <f aca="false">INDEX($B$125:$G$130,3,3)+0.8*(INDEX($B$132:$G$137,3,3)+INDEX($B$132:$G$137,3,3))+0.6*(INDEX($B$139:$G$144,3,3)+INDEX($B$139:$G$144,3,3))+0.4*(INDEX($B$146:$G$151,3,3)+INDEX($B$146:$G$151,3,3))+0.2*(INDEX($B$153:$G$158,3,3)+INDEX($B$153:$G$158,3,3))</f>
        <v>0.0298233309392385</v>
      </c>
      <c r="E162" s="30" t="n">
        <f aca="false">INDEX($B$125:$G$130,3,4)+0.8*(INDEX($B$132:$G$137,3,4)+INDEX($B$132:$G$137,4,3))+0.6*(INDEX($B$139:$G$144,3,4)+INDEX($B$139:$G$144,4,3))+0.4*(INDEX($B$146:$G$151,3,4)+INDEX($B$146:$G$151,4,3))+0.2*(INDEX($B$153:$G$158,3,4)+INDEX($B$153:$G$158,4,3))</f>
        <v>0.00119659838343458</v>
      </c>
      <c r="F162" s="30" t="n">
        <f aca="false">INDEX($B$125:$G$130,3,5)+0.8*(INDEX($B$132:$G$137,3,5)+INDEX($B$132:$G$137,5,3))+0.6*(INDEX($B$139:$G$144,3,5)+INDEX($B$139:$G$144,5,3))+0.4*(INDEX($B$146:$G$151,3,5)+INDEX($B$146:$G$151,5,3))+0.2*(INDEX($B$153:$G$158,3,5)+INDEX($B$153:$G$158,5,3))</f>
        <v>0</v>
      </c>
      <c r="G162" s="30" t="n">
        <f aca="false">INDEX($B$125:$G$130,3,6)+0.8*(INDEX($B$132:$G$137,3,6)+INDEX($B$132:$G$137,6,3))+0.6*(INDEX($B$139:$G$144,3,6)+INDEX($B$139:$G$144,6,3))+0.4*(INDEX($B$146:$G$151,3,6)+INDEX($B$146:$G$151,6,3))+0.2*(INDEX($B$153:$G$158,3,6)+INDEX($B$153:$G$158,6,3))</f>
        <v>0</v>
      </c>
    </row>
    <row r="163" customFormat="false" ht="15" hidden="false" customHeight="false" outlineLevel="0" collapsed="false">
      <c r="B163" s="30" t="n">
        <f aca="false">INDEX($B$125:$G$130,4,1)+0.8*(INDEX($B$132:$G$137,4,1)+INDEX($B$132:$G$137,1,4))+0.6*(INDEX($B$139:$G$144,4,1)+INDEX($B$139:$G$144,1,4))+0.4*(INDEX($B$146:$G$151,4,1)+INDEX($B$146:$G$151,1,4))+0.2*(INDEX($B$153:$G$158,4,1)+INDEX($B$153:$G$158,1,4))</f>
        <v>-0.00235023974401948</v>
      </c>
      <c r="C163" s="30" t="n">
        <f aca="false">INDEX($B$125:$G$130,4,2)+0.8*(INDEX($B$132:$G$137,4,2)+INDEX($B$132:$G$137,2,4))+0.6*(INDEX($B$139:$G$144,4,2)+INDEX($B$139:$G$144,2,4))+0.4*(INDEX($B$146:$G$151,4,2)+INDEX($B$146:$G$151,2,4))+0.2*(INDEX($B$153:$G$158,4,2)+INDEX($B$153:$G$158,2,4))</f>
        <v>-0.000265989657306639</v>
      </c>
      <c r="D163" s="30" t="n">
        <f aca="false">INDEX($B$125:$G$130,4,3)+0.8*(INDEX($B$132:$G$137,4,3)+INDEX($B$132:$G$137,3,4))+0.6*(INDEX($B$139:$G$144,4,3)+INDEX($B$139:$G$144,3,4))+0.4*(INDEX($B$146:$G$151,4,3)+INDEX($B$146:$G$151,3,4))+0.2*(INDEX($B$153:$G$158,4,3)+INDEX($B$153:$G$158,3,4))</f>
        <v>0.00119659838343458</v>
      </c>
      <c r="E163" s="30" t="n">
        <f aca="false">INDEX($B$125:$G$130,4,4)+0.8*(INDEX($B$132:$G$137,4,4)+INDEX($B$132:$G$137,4,4))+0.6*(INDEX($B$139:$G$144,4,4)+INDEX($B$139:$G$144,4,4))+0.4*(INDEX($B$146:$G$151,4,4)+INDEX($B$146:$G$151,4,4))+0.2*(INDEX($B$153:$G$158,4,4)+INDEX($B$153:$G$158,4,4))</f>
        <v>0.00231051140306718</v>
      </c>
      <c r="F163" s="30" t="n">
        <f aca="false">INDEX($B$125:$G$130,4,5)+0.8*(INDEX($B$132:$G$137,4,5)+INDEX($B$132:$G$137,5,4))+0.6*(INDEX($B$139:$G$144,4,5)+INDEX($B$139:$G$144,5,4))+0.4*(INDEX($B$146:$G$151,4,5)+INDEX($B$146:$G$151,5,4))+0.2*(INDEX($B$153:$G$158,4,5)+INDEX($B$153:$G$158,5,4))</f>
        <v>0</v>
      </c>
      <c r="G163" s="30" t="n">
        <f aca="false">INDEX($B$125:$G$130,4,6)+0.8*(INDEX($B$132:$G$137,4,6)+INDEX($B$132:$G$137,6,4))+0.6*(INDEX($B$139:$G$144,4,6)+INDEX($B$139:$G$144,6,4))+0.4*(INDEX($B$146:$G$151,4,6)+INDEX($B$146:$G$151,6,4))+0.2*(INDEX($B$153:$G$158,4,6)+INDEX($B$153:$G$158,6,4))</f>
        <v>0</v>
      </c>
    </row>
    <row r="164" customFormat="false" ht="15" hidden="false" customHeight="false" outlineLevel="0" collapsed="false">
      <c r="B164" s="30" t="n">
        <f aca="false">INDEX($B$125:$G$130,5,1)+0.8*(INDEX($B$132:$G$137,5,1)+INDEX($B$132:$G$137,1,5))+0.6*(INDEX($B$139:$G$144,5,1)+INDEX($B$139:$G$144,1,5))+0.4*(INDEX($B$146:$G$151,5,1)+INDEX($B$146:$G$151,1,5))+0.2*(INDEX($B$153:$G$158,5,1)+INDEX($B$153:$G$158,1,5))</f>
        <v>0</v>
      </c>
      <c r="C164" s="30" t="n">
        <f aca="false">INDEX($B$125:$G$130,5,2)+0.8*(INDEX($B$132:$G$137,5,2)+INDEX($B$132:$G$137,2,5))+0.6*(INDEX($B$139:$G$144,5,2)+INDEX($B$139:$G$144,2,5))+0.4*(INDEX($B$146:$G$151,5,2)+INDEX($B$146:$G$151,2,5))+0.2*(INDEX($B$153:$G$158,5,2)+INDEX($B$153:$G$158,2,5))</f>
        <v>0</v>
      </c>
      <c r="D164" s="30" t="n">
        <f aca="false">INDEX($B$125:$G$130,5,3)+0.8*(INDEX($B$132:$G$137,5,3)+INDEX($B$132:$G$137,3,5))+0.6*(INDEX($B$139:$G$144,5,3)+INDEX($B$139:$G$144,3,5))+0.4*(INDEX($B$146:$G$151,5,3)+INDEX($B$146:$G$151,3,5))+0.2*(INDEX($B$153:$G$158,5,3)+INDEX($B$153:$G$158,3,5))</f>
        <v>0</v>
      </c>
      <c r="E164" s="30" t="n">
        <f aca="false">INDEX($B$125:$G$130,5,4)+0.8*(INDEX($B$132:$G$137,5,4)+INDEX($B$132:$G$137,4,5))+0.6*(INDEX($B$139:$G$144,5,4)+INDEX($B$139:$G$144,4,5))+0.4*(INDEX($B$146:$G$151,5,4)+INDEX($B$146:$G$151,4,5))+0.2*(INDEX($B$153:$G$158,5,4)+INDEX($B$153:$G$158,4,5))</f>
        <v>0</v>
      </c>
      <c r="F164" s="30" t="n">
        <f aca="false">INDEX($B$125:$G$130,5,5)+0.8*(INDEX($B$132:$G$137,5,5)+INDEX($B$132:$G$137,5,5))+0.6*(INDEX($B$139:$G$144,5,5)+INDEX($B$139:$G$144,5,5))+0.4*(INDEX($B$146:$G$151,5,5)+INDEX($B$146:$G$151,5,5))+0.2*(INDEX($B$153:$G$158,5,5)+INDEX($B$153:$G$158,5,5))</f>
        <v>0</v>
      </c>
      <c r="G164" s="30" t="n">
        <f aca="false">INDEX($B$125:$G$130,5,6)+0.8*(INDEX($B$132:$G$137,5,6)+INDEX($B$132:$G$137,6,5))+0.6*(INDEX($B$139:$G$144,5,6)+INDEX($B$139:$G$144,6,5))+0.4*(INDEX($B$146:$G$151,5,6)+INDEX($B$146:$G$151,6,5))+0.2*(INDEX($B$153:$G$158,5,6)+INDEX($B$153:$G$158,6,5))</f>
        <v>0</v>
      </c>
    </row>
    <row r="165" customFormat="false" ht="15" hidden="false" customHeight="false" outlineLevel="0" collapsed="false">
      <c r="B165" s="30" t="n">
        <f aca="false">INDEX($B$125:$G$130,6,1)+0.8*(INDEX($B$132:$G$137,6,1)+INDEX($B$132:$G$137,1,6))+0.6*(INDEX($B$139:$G$144,6,1)+INDEX($B$139:$G$144,1,6))+0.4*(INDEX($B$146:$G$151,6,1)+INDEX($B$146:$G$151,1,6))+0.2*(INDEX($B$153:$G$158,6,1)+INDEX($B$153:$G$158,1,6))</f>
        <v>0</v>
      </c>
      <c r="C165" s="30" t="n">
        <f aca="false">INDEX($B$125:$G$130,6,2)+0.8*(INDEX($B$132:$G$137,6,2)+INDEX($B$132:$G$137,2,6))+0.6*(INDEX($B$139:$G$144,6,2)+INDEX($B$139:$G$144,2,6))+0.4*(INDEX($B$146:$G$151,6,2)+INDEX($B$146:$G$151,2,6))+0.2*(INDEX($B$153:$G$158,6,2)+INDEX($B$153:$G$158,2,6))</f>
        <v>0</v>
      </c>
      <c r="D165" s="30" t="n">
        <f aca="false">INDEX($B$125:$G$130,6,3)+0.8*(INDEX($B$132:$G$137,6,3)+INDEX($B$132:$G$137,3,6))+0.6*(INDEX($B$139:$G$144,6,3)+INDEX($B$139:$G$144,3,6))+0.4*(INDEX($B$146:$G$151,6,3)+INDEX($B$146:$G$151,3,6))+0.2*(INDEX($B$153:$G$158,6,3)+INDEX($B$153:$G$158,3,6))</f>
        <v>0</v>
      </c>
      <c r="E165" s="30" t="n">
        <f aca="false">INDEX($B$125:$G$130,6,4)+0.8*(INDEX($B$132:$G$137,6,4)+INDEX($B$132:$G$137,4,6))+0.6*(INDEX($B$139:$G$144,6,4)+INDEX($B$139:$G$144,4,6))+0.4*(INDEX($B$146:$G$151,6,4)+INDEX($B$146:$G$151,4,6))+0.2*(INDEX($B$153:$G$158,6,4)+INDEX($B$153:$G$158,4,6))</f>
        <v>0</v>
      </c>
      <c r="F165" s="30" t="n">
        <f aca="false">INDEX($B$125:$G$130,6,5)+0.8*(INDEX($B$132:$G$137,6,5)+INDEX($B$132:$G$137,5,6))+0.6*(INDEX($B$139:$G$144,6,5)+INDEX($B$139:$G$144,5,6))+0.4*(INDEX($B$146:$G$151,6,5)+INDEX($B$146:$G$151,5,6))+0.2*(INDEX($B$153:$G$158,6,5)+INDEX($B$153:$G$158,5,6))</f>
        <v>0</v>
      </c>
      <c r="G165" s="30" t="n">
        <f aca="false">INDEX($B$125:$G$130,6,6)+0.8*(INDEX($B$132:$G$137,6,6)+INDEX($B$132:$G$137,6,6))+0.6*(INDEX($B$139:$G$144,6,6)+INDEX($B$139:$G$144,6,6))+0.4*(INDEX($B$146:$G$151,6,6)+INDEX($B$146:$G$151,6,6))+0.2*(INDEX($B$153:$G$158,6,6)+INDEX($B$153:$G$158,6,6))</f>
        <v>0</v>
      </c>
    </row>
    <row r="166" customFormat="false" ht="15" hidden="false" customHeight="false" outlineLevel="0" collapsed="false">
      <c r="A166" s="10" t="s">
        <v>174</v>
      </c>
    </row>
    <row r="167" customFormat="false" ht="15" hidden="false" customHeight="false" outlineLevel="0" collapsed="false">
      <c r="B167" s="30" t="n">
        <f aca="false">INDEX(MMULT(MMULT($B$118:$G$123,$B$160:$G$165),$B$118:$G$123),1,1)</f>
        <v>5.60046158286085E-005</v>
      </c>
      <c r="C167" s="30" t="n">
        <f aca="false">INDEX(MMULT(MMULT($B$118:$G$123,$B$160:$G$165),$B$118:$G$123),1,2)</f>
        <v>-0.00107672772928509</v>
      </c>
      <c r="D167" s="30" t="n">
        <f aca="false">INDEX(MMULT(MMULT($B$118:$G$123,$B$160:$G$165),$B$118:$G$123),1,3)</f>
        <v>-3.28570213896841E-005</v>
      </c>
      <c r="E167" s="30" t="n">
        <f aca="false">INDEX(MMULT(MMULT($B$118:$G$123,$B$160:$G$165),$B$118:$G$123),1,4)</f>
        <v>7.08306583377943E-005</v>
      </c>
      <c r="F167" s="30" t="n">
        <f aca="false">INDEX(MMULT(MMULT($B$118:$G$123,$B$160:$G$165),$B$118:$G$123),1,5)</f>
        <v>-0.000149166196889679</v>
      </c>
      <c r="G167" s="30" t="n">
        <f aca="false">INDEX(MMULT(MMULT($B$118:$G$123,$B$160:$G$165),$B$118:$G$123),1,6)</f>
        <v>7.26067919992023E-005</v>
      </c>
    </row>
    <row r="168" customFormat="false" ht="15" hidden="false" customHeight="false" outlineLevel="0" collapsed="false">
      <c r="B168" s="30" t="n">
        <f aca="false">INDEX(MMULT(MMULT($B$118:$G$123,$B$160:$G$165),$B$118:$G$123),2,1)</f>
        <v>-0.00107672772928509</v>
      </c>
      <c r="C168" s="30" t="n">
        <f aca="false">INDEX(MMULT(MMULT($B$118:$G$123,$B$160:$G$165),$B$118:$G$123),2,2)</f>
        <v>0.0389214179286964</v>
      </c>
      <c r="D168" s="30" t="n">
        <f aca="false">INDEX(MMULT(MMULT($B$118:$G$123,$B$160:$G$165),$B$118:$G$123),2,3)</f>
        <v>0.000400588604562228</v>
      </c>
      <c r="E168" s="30" t="n">
        <f aca="false">INDEX(MMULT(MMULT($B$118:$G$123,$B$160:$G$165),$B$118:$G$123),2,4)</f>
        <v>-0.00326414494167953</v>
      </c>
      <c r="F168" s="30" t="n">
        <f aca="false">INDEX(MMULT(MMULT($B$118:$G$123,$B$160:$G$165),$B$118:$G$123),2,5)</f>
        <v>0.00554925504845782</v>
      </c>
      <c r="G168" s="30" t="n">
        <f aca="false">INDEX(MMULT(MMULT($B$118:$G$123,$B$160:$G$165),$B$118:$G$123),2,6)</f>
        <v>-0.00400893986782206</v>
      </c>
    </row>
    <row r="169" customFormat="false" ht="15" hidden="false" customHeight="false" outlineLevel="0" collapsed="false">
      <c r="B169" s="30" t="n">
        <f aca="false">INDEX(MMULT(MMULT($B$118:$G$123,$B$160:$G$165),$B$118:$G$123),3,1)</f>
        <v>-3.28570213896841E-005</v>
      </c>
      <c r="C169" s="30" t="n">
        <f aca="false">INDEX(MMULT(MMULT($B$118:$G$123,$B$160:$G$165),$B$118:$G$123),3,2)</f>
        <v>0.000400588604562227</v>
      </c>
      <c r="D169" s="30" t="n">
        <f aca="false">INDEX(MMULT(MMULT($B$118:$G$123,$B$160:$G$165),$B$118:$G$123),3,3)</f>
        <v>7.98480006658357E-005</v>
      </c>
      <c r="E169" s="30" t="n">
        <f aca="false">INDEX(MMULT(MMULT($B$118:$G$123,$B$160:$G$165),$B$118:$G$123),3,4)</f>
        <v>6.47510097896306E-005</v>
      </c>
      <c r="F169" s="30" t="n">
        <f aca="false">INDEX(MMULT(MMULT($B$118:$G$123,$B$160:$G$165),$B$118:$G$123),3,5)</f>
        <v>-3.66158356149368E-005</v>
      </c>
      <c r="G169" s="30" t="n">
        <f aca="false">INDEX(MMULT(MMULT($B$118:$G$123,$B$160:$G$165),$B$118:$G$123),3,6)</f>
        <v>2.65948935130853E-005</v>
      </c>
    </row>
    <row r="170" customFormat="false" ht="15" hidden="false" customHeight="false" outlineLevel="0" collapsed="false">
      <c r="B170" s="30" t="n">
        <f aca="false">INDEX(MMULT(MMULT($B$118:$G$123,$B$160:$G$165),$B$118:$G$123),4,1)</f>
        <v>7.08306583377943E-005</v>
      </c>
      <c r="C170" s="30" t="n">
        <f aca="false">INDEX(MMULT(MMULT($B$118:$G$123,$B$160:$G$165),$B$118:$G$123),4,2)</f>
        <v>-0.00326414494167953</v>
      </c>
      <c r="D170" s="30" t="n">
        <f aca="false">INDEX(MMULT(MMULT($B$118:$G$123,$B$160:$G$165),$B$118:$G$123),4,3)</f>
        <v>6.47510097896306E-005</v>
      </c>
      <c r="E170" s="30" t="n">
        <f aca="false">INDEX(MMULT(MMULT($B$118:$G$123,$B$160:$G$165),$B$118:$G$123),4,4)</f>
        <v>0.00133137374415594</v>
      </c>
      <c r="F170" s="30" t="n">
        <f aca="false">INDEX(MMULT(MMULT($B$118:$G$123,$B$160:$G$165),$B$118:$G$123),4,5)</f>
        <v>-0.000875293189073238</v>
      </c>
      <c r="G170" s="30" t="n">
        <f aca="false">INDEX(MMULT(MMULT($B$118:$G$123,$B$160:$G$165),$B$118:$G$123),4,6)</f>
        <v>0.000539166721222388</v>
      </c>
    </row>
    <row r="171" customFormat="false" ht="15" hidden="false" customHeight="false" outlineLevel="0" collapsed="false">
      <c r="B171" s="30" t="n">
        <f aca="false">INDEX(MMULT(MMULT($B$118:$G$123,$B$160:$G$165),$B$118:$G$123),5,1)</f>
        <v>-0.000149166196889679</v>
      </c>
      <c r="C171" s="30" t="n">
        <f aca="false">INDEX(MMULT(MMULT($B$118:$G$123,$B$160:$G$165),$B$118:$G$123),5,2)</f>
        <v>0.00554925504845782</v>
      </c>
      <c r="D171" s="30" t="n">
        <f aca="false">INDEX(MMULT(MMULT($B$118:$G$123,$B$160:$G$165),$B$118:$G$123),5,3)</f>
        <v>-3.66158356149368E-005</v>
      </c>
      <c r="E171" s="30" t="n">
        <f aca="false">INDEX(MMULT(MMULT($B$118:$G$123,$B$160:$G$165),$B$118:$G$123),5,4)</f>
        <v>-0.000875293189073238</v>
      </c>
      <c r="F171" s="30" t="n">
        <f aca="false">INDEX(MMULT(MMULT($B$118:$G$123,$B$160:$G$165),$B$118:$G$123),5,5)</f>
        <v>0.00101638384916212</v>
      </c>
      <c r="G171" s="30" t="n">
        <f aca="false">INDEX(MMULT(MMULT($B$118:$G$123,$B$160:$G$165),$B$118:$G$123),5,6)</f>
        <v>-0.000671280909907098</v>
      </c>
    </row>
    <row r="172" customFormat="false" ht="15" hidden="false" customHeight="false" outlineLevel="0" collapsed="false">
      <c r="B172" s="30" t="n">
        <f aca="false">INDEX(MMULT(MMULT($B$118:$G$123,$B$160:$G$165),$B$118:$G$123),6,1)</f>
        <v>7.26067919992024E-005</v>
      </c>
      <c r="C172" s="30" t="n">
        <f aca="false">INDEX(MMULT(MMULT($B$118:$G$123,$B$160:$G$165),$B$118:$G$123),6,2)</f>
        <v>-0.00400893986782207</v>
      </c>
      <c r="D172" s="30" t="n">
        <f aca="false">INDEX(MMULT(MMULT($B$118:$G$123,$B$160:$G$165),$B$118:$G$123),6,3)</f>
        <v>2.65948935130852E-005</v>
      </c>
      <c r="E172" s="30" t="n">
        <f aca="false">INDEX(MMULT(MMULT($B$118:$G$123,$B$160:$G$165),$B$118:$G$123),6,4)</f>
        <v>0.000539166721222389</v>
      </c>
      <c r="F172" s="30" t="n">
        <f aca="false">INDEX(MMULT(MMULT($B$118:$G$123,$B$160:$G$165),$B$118:$G$123),6,5)</f>
        <v>-0.000671280909907099</v>
      </c>
      <c r="G172" s="30" t="n">
        <f aca="false">INDEX(MMULT(MMULT($B$118:$G$123,$B$160:$G$165),$B$118:$G$123),6,6)</f>
        <v>0.000507781643296406</v>
      </c>
    </row>
    <row r="174" customFormat="false" ht="15" hidden="false" customHeight="false" outlineLevel="0" collapsed="false">
      <c r="A174" s="14" t="s">
        <v>23</v>
      </c>
      <c r="B174" s="14" t="s">
        <v>24</v>
      </c>
      <c r="C174" s="14" t="s">
        <v>25</v>
      </c>
      <c r="D174" s="14" t="s">
        <v>26</v>
      </c>
      <c r="E174" s="14" t="s">
        <v>27</v>
      </c>
    </row>
    <row r="175" customFormat="false" ht="15" hidden="false" customHeight="false" outlineLevel="0" collapsed="false">
      <c r="A175" s="24" t="s">
        <v>147</v>
      </c>
      <c r="B175" s="8" t="n">
        <f aca="false">B89</f>
        <v>0.000219856853433859</v>
      </c>
      <c r="C175" s="25" t="n">
        <f aca="false">SQRT(INDEX($B$167:$G$172,1,1))</f>
        <v>0.00748362317521457</v>
      </c>
      <c r="D175" s="5" t="n">
        <f aca="false">B175/C175</f>
        <v>0.029378397106099</v>
      </c>
      <c r="E175" s="7" t="n">
        <f aca="false">TDIST(ABS(D175),$H$88,2)</f>
        <v>0.976645226784908</v>
      </c>
    </row>
    <row r="176" customFormat="false" ht="15" hidden="false" customHeight="false" outlineLevel="0" collapsed="false">
      <c r="A176" s="24" t="s">
        <v>133</v>
      </c>
      <c r="B176" s="8" t="n">
        <f aca="false">B90</f>
        <v>0.89859689971516</v>
      </c>
      <c r="C176" s="25" t="n">
        <f aca="false">SQRT(INDEX($B$167:$G$172,2,2))</f>
        <v>0.197285118366025</v>
      </c>
      <c r="D176" s="5" t="n">
        <f aca="false">B176/C176</f>
        <v>4.55481339473353</v>
      </c>
      <c r="E176" s="7" t="n">
        <f aca="false">TDIST(ABS(D176),$H$88,2)</f>
        <v>2.12294374307026E-005</v>
      </c>
    </row>
    <row r="177" customFormat="false" ht="15" hidden="false" customHeight="false" outlineLevel="0" collapsed="false">
      <c r="A177" s="24" t="s">
        <v>159</v>
      </c>
      <c r="B177" s="8" t="n">
        <f aca="false">B91</f>
        <v>-0.0457851735530482</v>
      </c>
      <c r="C177" s="25" t="n">
        <f aca="false">SQRT(INDEX($B$167:$G$172,3,3))</f>
        <v>0.00893577084899986</v>
      </c>
      <c r="D177" s="5" t="n">
        <f aca="false">B177/C177</f>
        <v>-5.12380793182188</v>
      </c>
      <c r="E177" s="7" t="n">
        <f aca="false">TDIST(ABS(D177),$H$88,2)</f>
        <v>2.47367615675496E-006</v>
      </c>
    </row>
    <row r="178" customFormat="false" ht="15" hidden="false" customHeight="false" outlineLevel="0" collapsed="false">
      <c r="A178" s="24" t="s">
        <v>135</v>
      </c>
      <c r="B178" s="8" t="n">
        <f aca="false">B92</f>
        <v>0.108600457094523</v>
      </c>
      <c r="C178" s="25" t="n">
        <f aca="false">SQRT(INDEX($B$167:$G$172,4,4))</f>
        <v>0.0364879945208823</v>
      </c>
      <c r="D178" s="5" t="n">
        <f aca="false">B178/C178</f>
        <v>2.97633395642971</v>
      </c>
      <c r="E178" s="7" t="n">
        <f aca="false">TDIST(ABS(D178),$H$88,2)</f>
        <v>0.00398644330264999</v>
      </c>
    </row>
    <row r="179" customFormat="false" ht="15" hidden="false" customHeight="false" outlineLevel="0" collapsed="false">
      <c r="A179" s="24" t="s">
        <v>177</v>
      </c>
      <c r="B179" s="8" t="n">
        <f aca="false">B93</f>
        <v>-0.0791769413229461</v>
      </c>
      <c r="C179" s="25" t="n">
        <f aca="false">SQRT(INDEX($B$167:$G$172,5,5))</f>
        <v>0.0318807755420429</v>
      </c>
      <c r="D179" s="5" t="n">
        <f aca="false">B179/C179</f>
        <v>-2.48353247299556</v>
      </c>
      <c r="E179" s="7" t="n">
        <f aca="false">TDIST(ABS(D179),$H$88,2)</f>
        <v>0.0153715319887372</v>
      </c>
    </row>
    <row r="180" customFormat="false" ht="15" hidden="false" customHeight="false" outlineLevel="0" collapsed="false">
      <c r="A180" s="24" t="s">
        <v>178</v>
      </c>
      <c r="B180" s="8" t="n">
        <f aca="false">B94</f>
        <v>0.0701381619504032</v>
      </c>
      <c r="C180" s="25" t="n">
        <f aca="false">SQRT(INDEX($B$167:$G$172,6,6))</f>
        <v>0.0225340108124676</v>
      </c>
      <c r="D180" s="5" t="n">
        <f aca="false">B180/C180</f>
        <v>3.11254674252652</v>
      </c>
      <c r="E180" s="7" t="n">
        <f aca="false">TDIST(ABS(D180),$H$88,2)</f>
        <v>0.00267258245057411</v>
      </c>
    </row>
    <row r="183" customFormat="false" ht="15" hidden="false" customHeight="false" outlineLevel="0" collapsed="false">
      <c r="A183" s="21" t="s">
        <v>181</v>
      </c>
      <c r="B183" s="22"/>
      <c r="C183" s="22"/>
      <c r="D183" s="22"/>
      <c r="E183" s="22"/>
      <c r="F183" s="22"/>
      <c r="G183" s="22"/>
      <c r="H183" s="22"/>
      <c r="I183" s="22"/>
    </row>
    <row r="184" customFormat="false" ht="15" hidden="false" customHeight="false" outlineLevel="0" collapsed="false">
      <c r="A184" s="2" t="s">
        <v>182</v>
      </c>
    </row>
    <row r="185" customFormat="false" ht="15" hidden="false" customHeight="false" outlineLevel="0" collapsed="false">
      <c r="A185" s="24" t="s">
        <v>153</v>
      </c>
      <c r="B185" s="8" t="n">
        <f aca="false">B101</f>
        <v>0.0674980424710166</v>
      </c>
    </row>
    <row r="186" customFormat="false" ht="15" hidden="false" customHeight="false" outlineLevel="0" collapsed="false">
      <c r="A186" s="24" t="s">
        <v>154</v>
      </c>
      <c r="B186" s="8" t="n">
        <f aca="false">Modelo_Nuevo!B99</f>
        <v>0.0749463231344822</v>
      </c>
    </row>
    <row r="187" customFormat="false" ht="15" hidden="false" customHeight="false" outlineLevel="0" collapsed="false">
      <c r="A187" s="24" t="s">
        <v>155</v>
      </c>
      <c r="B187" s="5" t="n">
        <v>2</v>
      </c>
    </row>
    <row r="188" customFormat="false" ht="15" hidden="false" customHeight="false" outlineLevel="0" collapsed="false">
      <c r="A188" s="24" t="s">
        <v>156</v>
      </c>
      <c r="B188" s="5" t="n">
        <f aca="false">$H$88</f>
        <v>71</v>
      </c>
    </row>
    <row r="189" customFormat="false" ht="15" hidden="false" customHeight="false" outlineLevel="0" collapsed="false">
      <c r="A189" s="24" t="s">
        <v>17</v>
      </c>
      <c r="B189" s="29" t="n">
        <f aca="false">((B186-B185)/B187)/(B185/B188)</f>
        <v>3.91735750953914</v>
      </c>
    </row>
    <row r="190" customFormat="false" ht="15" hidden="false" customHeight="false" outlineLevel="0" collapsed="false">
      <c r="A190" s="24" t="s">
        <v>19</v>
      </c>
      <c r="B190" s="26" t="n">
        <f aca="false">FDIST(B189,B187,B188)</f>
        <v>0.0243332466168216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5"/>
    <col collapsed="false" customWidth="true" hidden="false" outlineLevel="0" max="10" min="6" style="0" width="13"/>
  </cols>
  <sheetData>
    <row r="1" customFormat="false" ht="17.35" hidden="false" customHeight="false" outlineLevel="0" collapsed="false">
      <c r="A1" s="1" t="s">
        <v>183</v>
      </c>
    </row>
    <row r="4" customFormat="false" ht="15" hidden="false" customHeight="false" outlineLevel="0" collapsed="false">
      <c r="A4" s="21" t="s">
        <v>184</v>
      </c>
      <c r="B4" s="22"/>
      <c r="C4" s="22"/>
      <c r="D4" s="22"/>
      <c r="E4" s="22"/>
    </row>
    <row r="5" customFormat="false" ht="15" hidden="false" customHeight="false" outlineLevel="0" collapsed="false">
      <c r="A5" s="31" t="s">
        <v>185</v>
      </c>
      <c r="B5" s="31" t="s">
        <v>186</v>
      </c>
      <c r="C5" s="31" t="s">
        <v>187</v>
      </c>
      <c r="D5" s="31" t="s">
        <v>188</v>
      </c>
    </row>
    <row r="6" customFormat="false" ht="15" hidden="false" customHeight="true" outlineLevel="0" collapsed="false">
      <c r="A6" s="11" t="n">
        <v>1</v>
      </c>
      <c r="B6" s="12" t="n">
        <f aca="false">SUMPRODUCT(Modelo_Base!$H$7:$H$82,Modelo_Base!$H$6:$H$81)/SUMSQ(Modelo_Base!$H$6:$H$82)</f>
        <v>0.681032190700863</v>
      </c>
      <c r="C6" s="12" t="n">
        <f aca="false">SUMPRODUCT(Modelo_Nuevo!$G$7:$G$82,Modelo_Nuevo!$G$6:$G$81)/SUMSQ(Modelo_Nuevo!$G$6:$G$82)</f>
        <v>0.618799736541086</v>
      </c>
      <c r="D6" s="12" t="n">
        <f aca="false">SUMPRODUCT(Modelo_COVID!$I$7:$I$82,Modelo_COVID!$I$6:$I$81)/SUMSQ(Modelo_COVID!$I$6:$I$82)</f>
        <v>0.545503646635731</v>
      </c>
      <c r="F6" s="32" t="s">
        <v>189</v>
      </c>
      <c r="G6" s="32"/>
      <c r="H6" s="32"/>
      <c r="I6" s="32"/>
      <c r="J6" s="32"/>
    </row>
    <row r="7" customFormat="false" ht="15" hidden="false" customHeight="false" outlineLevel="0" collapsed="false">
      <c r="A7" s="11" t="n">
        <v>2</v>
      </c>
      <c r="B7" s="12" t="n">
        <f aca="false">SUMPRODUCT(Modelo_Base!$H$8:$H$82,Modelo_Base!$H$6:$H$80)/SUMSQ(Modelo_Base!$H$6:$H$82)</f>
        <v>0.350432441747388</v>
      </c>
      <c r="C7" s="12" t="n">
        <f aca="false">SUMPRODUCT(Modelo_Nuevo!$G$8:$G$82,Modelo_Nuevo!$G$6:$G$80)/SUMSQ(Modelo_Nuevo!$G$6:$G$82)</f>
        <v>0.307788323002945</v>
      </c>
      <c r="D7" s="12" t="n">
        <f aca="false">SUMPRODUCT(Modelo_COVID!$I$8:$I$82,Modelo_COVID!$I$6:$I$80)/SUMSQ(Modelo_COVID!$I$6:$I$82)</f>
        <v>0.285422850120598</v>
      </c>
      <c r="F7" s="32"/>
      <c r="G7" s="32"/>
      <c r="H7" s="32"/>
      <c r="I7" s="32"/>
      <c r="J7" s="32"/>
    </row>
    <row r="8" customFormat="false" ht="15" hidden="false" customHeight="false" outlineLevel="0" collapsed="false">
      <c r="A8" s="11" t="n">
        <v>3</v>
      </c>
      <c r="B8" s="12" t="n">
        <f aca="false">SUMPRODUCT(Modelo_Base!$H$9:$H$82,Modelo_Base!$H$6:$H$79)/SUMSQ(Modelo_Base!$H$6:$H$82)</f>
        <v>0.126109598004396</v>
      </c>
      <c r="C8" s="12" t="n">
        <f aca="false">SUMPRODUCT(Modelo_Nuevo!$G$9:$G$82,Modelo_Nuevo!$G$6:$G$79)/SUMSQ(Modelo_Nuevo!$G$6:$G$82)</f>
        <v>0.124691704764897</v>
      </c>
      <c r="D8" s="12" t="n">
        <f aca="false">SUMPRODUCT(Modelo_COVID!$I$9:$I$82,Modelo_COVID!$I$6:$I$79)/SUMSQ(Modelo_COVID!$I$6:$I$82)</f>
        <v>0.114909565985489</v>
      </c>
      <c r="F8" s="32"/>
      <c r="G8" s="32"/>
      <c r="H8" s="32"/>
      <c r="I8" s="32"/>
      <c r="J8" s="32"/>
    </row>
    <row r="9" customFormat="false" ht="15" hidden="false" customHeight="false" outlineLevel="0" collapsed="false">
      <c r="A9" s="11" t="n">
        <v>4</v>
      </c>
      <c r="B9" s="12" t="n">
        <f aca="false">SUMPRODUCT(Modelo_Base!$H$10:$H$82,Modelo_Base!$H$6:$H$78)/SUMSQ(Modelo_Base!$H$6:$H$82)</f>
        <v>-0.0754035595731081</v>
      </c>
      <c r="C9" s="12" t="n">
        <f aca="false">SUMPRODUCT(Modelo_Nuevo!$G$10:$G$82,Modelo_Nuevo!$G$6:$G$78)/SUMSQ(Modelo_Nuevo!$G$6:$G$82)</f>
        <v>-0.129583038887704</v>
      </c>
      <c r="D9" s="12" t="n">
        <f aca="false">SUMPRODUCT(Modelo_COVID!$I$10:$I$82,Modelo_COVID!$I$6:$I$78)/SUMSQ(Modelo_COVID!$I$6:$I$82)</f>
        <v>-0.160416525436829</v>
      </c>
      <c r="F9" s="32"/>
      <c r="G9" s="32"/>
      <c r="H9" s="32"/>
      <c r="I9" s="32"/>
      <c r="J9" s="32"/>
    </row>
    <row r="10" customFormat="false" ht="15" hidden="false" customHeight="false" outlineLevel="0" collapsed="false">
      <c r="A10" s="11" t="n">
        <v>5</v>
      </c>
      <c r="B10" s="12" t="n">
        <f aca="false">SUMPRODUCT(Modelo_Base!$H$11:$H$82,Modelo_Base!$H$6:$H$77)/SUMSQ(Modelo_Base!$H$6:$H$82)</f>
        <v>-0.0620018096928556</v>
      </c>
      <c r="C10" s="12" t="n">
        <f aca="false">SUMPRODUCT(Modelo_Nuevo!$G$11:$G$82,Modelo_Nuevo!$G$6:$G$77)/SUMSQ(Modelo_Nuevo!$G$6:$G$82)</f>
        <v>-0.0639355445613905</v>
      </c>
      <c r="D10" s="12" t="n">
        <f aca="false">SUMPRODUCT(Modelo_COVID!$I$11:$I$82,Modelo_COVID!$I$6:$I$77)/SUMSQ(Modelo_COVID!$I$6:$I$82)</f>
        <v>-0.0946835895483735</v>
      </c>
      <c r="F10" s="32"/>
      <c r="G10" s="32"/>
      <c r="H10" s="32"/>
      <c r="I10" s="32"/>
      <c r="J10" s="32"/>
    </row>
    <row r="11" customFormat="false" ht="15" hidden="false" customHeight="false" outlineLevel="0" collapsed="false">
      <c r="A11" s="11" t="n">
        <v>6</v>
      </c>
      <c r="B11" s="12" t="n">
        <f aca="false">SUMPRODUCT(Modelo_Base!$H$12:$H$82,Modelo_Base!$H$6:$H$76)/SUMSQ(Modelo_Base!$H$6:$H$82)</f>
        <v>-0.0632167520489458</v>
      </c>
      <c r="C11" s="12" t="n">
        <f aca="false">SUMPRODUCT(Modelo_Nuevo!$G$12:$G$82,Modelo_Nuevo!$G$6:$G$76)/SUMSQ(Modelo_Nuevo!$G$6:$G$82)</f>
        <v>0.0220894180275207</v>
      </c>
      <c r="D11" s="12" t="n">
        <f aca="false">SUMPRODUCT(Modelo_COVID!$I$12:$I$82,Modelo_COVID!$I$6:$I$76)/SUMSQ(Modelo_COVID!$I$6:$I$82)</f>
        <v>-0.0322571765994716</v>
      </c>
      <c r="F11" s="32"/>
      <c r="G11" s="32"/>
      <c r="H11" s="32"/>
      <c r="I11" s="32"/>
      <c r="J11" s="32"/>
    </row>
    <row r="12" customFormat="false" ht="15" hidden="false" customHeight="false" outlineLevel="0" collapsed="false">
      <c r="A12" s="11" t="n">
        <v>7</v>
      </c>
      <c r="B12" s="12" t="n">
        <f aca="false">SUMPRODUCT(Modelo_Base!$H$13:$H$82,Modelo_Base!$H$6:$H$75)/SUMSQ(Modelo_Base!$H$6:$H$82)</f>
        <v>-0.102021649553806</v>
      </c>
      <c r="C12" s="12" t="n">
        <f aca="false">SUMPRODUCT(Modelo_Nuevo!$G$13:$G$82,Modelo_Nuevo!$G$6:$G$75)/SUMSQ(Modelo_Nuevo!$G$6:$G$82)</f>
        <v>0.0195020210676451</v>
      </c>
      <c r="D12" s="12" t="n">
        <f aca="false">SUMPRODUCT(Modelo_COVID!$I$13:$I$82,Modelo_COVID!$I$6:$I$75)/SUMSQ(Modelo_COVID!$I$6:$I$82)</f>
        <v>0.002153934322732</v>
      </c>
    </row>
    <row r="13" customFormat="false" ht="15" hidden="false" customHeight="false" outlineLevel="0" collapsed="false">
      <c r="A13" s="11" t="n">
        <v>8</v>
      </c>
      <c r="B13" s="12" t="n">
        <f aca="false">SUMPRODUCT(Modelo_Base!$H$14:$H$82,Modelo_Base!$H$6:$H$74)/SUMSQ(Modelo_Base!$H$6:$H$82)</f>
        <v>-0.155396656862607</v>
      </c>
      <c r="C13" s="12" t="n">
        <f aca="false">SUMPRODUCT(Modelo_Nuevo!$G$14:$G$82,Modelo_Nuevo!$G$6:$G$74)/SUMSQ(Modelo_Nuevo!$G$6:$G$82)</f>
        <v>-0.0158089408997596</v>
      </c>
      <c r="D13" s="12" t="n">
        <f aca="false">SUMPRODUCT(Modelo_COVID!$I$14:$I$82,Modelo_COVID!$I$6:$I$74)/SUMSQ(Modelo_COVID!$I$6:$I$82)</f>
        <v>0.0102614944905347</v>
      </c>
    </row>
    <row r="15" customFormat="false" ht="15" hidden="false" customHeight="false" outlineLevel="0" collapsed="false">
      <c r="A15" s="10" t="s">
        <v>13</v>
      </c>
      <c r="B15" s="28" t="n">
        <f aca="false">Modelo_Base!B105</f>
        <v>0.633786575292239</v>
      </c>
      <c r="C15" s="28" t="n">
        <f aca="false">Modelo_Nuevo!B104</f>
        <v>0.757268258054722</v>
      </c>
      <c r="D15" s="28" t="n">
        <f aca="false">Modelo_COVID!B106</f>
        <v>0.902464022585819</v>
      </c>
    </row>
    <row r="17" customFormat="false" ht="15" hidden="false" customHeight="false" outlineLevel="0" collapsed="false">
      <c r="A17" s="21" t="s">
        <v>190</v>
      </c>
      <c r="B17" s="22"/>
      <c r="C17" s="22"/>
      <c r="D17" s="22"/>
      <c r="E17" s="22"/>
    </row>
    <row r="18" customFormat="false" ht="15" hidden="false" customHeight="false" outlineLevel="0" collapsed="false">
      <c r="A18" s="31" t="s">
        <v>191</v>
      </c>
      <c r="B18" s="31" t="s">
        <v>192</v>
      </c>
      <c r="C18" s="31" t="s">
        <v>193</v>
      </c>
      <c r="D18" s="31" t="s">
        <v>194</v>
      </c>
      <c r="E18" s="31" t="s">
        <v>19</v>
      </c>
    </row>
    <row r="19" customFormat="false" ht="15" hidden="false" customHeight="false" outlineLevel="0" collapsed="false">
      <c r="A19" s="11" t="s">
        <v>186</v>
      </c>
      <c r="B19" s="12" t="n">
        <f aca="false">INDEX(LINEST(Modelo_Base!$I$6:$I$82,Modelo_Base!$C$6:$F$82,TRUE(),TRUE()),3,1)</f>
        <v>0.193048583718351</v>
      </c>
      <c r="C19" s="12" t="n">
        <f aca="false">77*B19</f>
        <v>14.864740946313</v>
      </c>
      <c r="D19" s="11" t="n">
        <v>4</v>
      </c>
      <c r="E19" s="28" t="n">
        <f aca="false">CHIDIST(C19,D19)</f>
        <v>0.00499013385088959</v>
      </c>
    </row>
    <row r="20" customFormat="false" ht="15" hidden="false" customHeight="false" outlineLevel="0" collapsed="false">
      <c r="A20" s="11" t="s">
        <v>187</v>
      </c>
      <c r="B20" s="12" t="n">
        <f aca="false">INDEX(LINEST(Modelo_Nuevo!$H$6:$H$82,Modelo_Nuevo!$C$6:$E$82,TRUE(),TRUE()),3,1)</f>
        <v>0.127579337662025</v>
      </c>
      <c r="C20" s="12" t="n">
        <f aca="false">77*B20</f>
        <v>9.82360899997594</v>
      </c>
      <c r="D20" s="11" t="n">
        <v>3</v>
      </c>
      <c r="E20" s="28" t="n">
        <f aca="false">CHIDIST(C20,D20)</f>
        <v>0.020126595914212</v>
      </c>
    </row>
    <row r="21" customFormat="false" ht="15" hidden="false" customHeight="false" outlineLevel="0" collapsed="false">
      <c r="A21" s="11" t="s">
        <v>188</v>
      </c>
      <c r="B21" s="12" t="n">
        <f aca="false">INDEX(LINEST(Modelo_COVID!$J$6:$J$82,Modelo_COVID!$C$6:$G$82,TRUE(),TRUE()),3,1)</f>
        <v>0.0843578424313863</v>
      </c>
      <c r="C21" s="12" t="n">
        <f aca="false">77*B21</f>
        <v>6.49555386721675</v>
      </c>
      <c r="D21" s="11" t="n">
        <v>5</v>
      </c>
      <c r="E21" s="28" t="n">
        <f aca="false">CHIDIST(C21,D21)</f>
        <v>0.260938596388942</v>
      </c>
    </row>
    <row r="24" customFormat="false" ht="15" hidden="false" customHeight="false" outlineLevel="0" collapsed="false">
      <c r="A24" s="21" t="s">
        <v>195</v>
      </c>
      <c r="B24" s="22"/>
      <c r="C24" s="22"/>
      <c r="D24" s="22"/>
      <c r="E24" s="22"/>
    </row>
    <row r="25" customFormat="false" ht="15" hidden="false" customHeight="false" outlineLevel="0" collapsed="false">
      <c r="A25" s="31" t="s">
        <v>191</v>
      </c>
      <c r="B25" s="31" t="s">
        <v>196</v>
      </c>
      <c r="C25" s="31" t="s">
        <v>197</v>
      </c>
      <c r="D25" s="31" t="s">
        <v>198</v>
      </c>
      <c r="E25" s="31" t="s">
        <v>19</v>
      </c>
    </row>
    <row r="26" customFormat="false" ht="15" hidden="false" customHeight="false" outlineLevel="0" collapsed="false">
      <c r="A26" s="11" t="s">
        <v>186</v>
      </c>
      <c r="B26" s="12" t="n">
        <f aca="false">SKEW(Modelo_Base!$H$6:$H$82)</f>
        <v>0.290773597282215</v>
      </c>
      <c r="C26" s="12" t="n">
        <f aca="false">KURT(Modelo_Base!$H$6:$H$82)</f>
        <v>-0.547346231876378</v>
      </c>
      <c r="D26" s="12" t="n">
        <f aca="false">77/6*(B26^2+C26^2/4)</f>
        <v>2.04622699388489</v>
      </c>
      <c r="E26" s="33" t="n">
        <f aca="false">CHIDIST(D26,2)</f>
        <v>0.359473974895911</v>
      </c>
    </row>
    <row r="27" customFormat="false" ht="15" hidden="false" customHeight="false" outlineLevel="0" collapsed="false">
      <c r="A27" s="11" t="s">
        <v>187</v>
      </c>
      <c r="B27" s="12" t="n">
        <f aca="false">SKEW(Modelo_Nuevo!$G$6:$G$82)</f>
        <v>0.255299198397634</v>
      </c>
      <c r="C27" s="12" t="n">
        <f aca="false">KURT(Modelo_Nuevo!$G$6:$G$82)</f>
        <v>-0.340317075094967</v>
      </c>
      <c r="D27" s="12" t="n">
        <f aca="false">77/6*(B27^2+C27^2/4)</f>
        <v>1.20802231040225</v>
      </c>
      <c r="E27" s="33" t="n">
        <f aca="false">CHIDIST(D27,2)</f>
        <v>0.546614676563933</v>
      </c>
    </row>
    <row r="28" customFormat="false" ht="15" hidden="false" customHeight="false" outlineLevel="0" collapsed="false">
      <c r="A28" s="11" t="s">
        <v>188</v>
      </c>
      <c r="B28" s="12" t="n">
        <f aca="false">SKEW(Modelo_COVID!$I$6:$I$82)</f>
        <v>0.225300395712711</v>
      </c>
      <c r="C28" s="12" t="n">
        <f aca="false">KURT(Modelo_COVID!$I$6:$I$82)</f>
        <v>-0.384959139299295</v>
      </c>
      <c r="D28" s="12" t="n">
        <f aca="false">77/6*(B28^2+C28^2/4)</f>
        <v>1.12687771402382</v>
      </c>
      <c r="E28" s="33" t="n">
        <f aca="false">CHIDIST(D28,2)</f>
        <v>0.569248131170332</v>
      </c>
    </row>
  </sheetData>
  <mergeCells count="1">
    <mergeCell ref="F6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2026-08-28T17:11:59Z</dcterms:created>
  <dc:creator>openpyxl</dc:creator>
  <dc:description/>
  <dc:language>en-US</dc:language>
  <cp:lastModifiedBy/>
  <dcterms:modified xsi:type="dcterms:W3CDTF">2026-08-28T17:11:59Z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