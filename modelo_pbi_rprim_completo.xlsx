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Modelo_Base" sheetId="3" state="visible" r:id="rId5"/>
    <sheet name="Modelo_ADL" sheetId="4" state="visible" r:id="rId6"/>
    <sheet name="Modelo_Optimo" sheetId="5" state="visible" r:id="rId7"/>
    <sheet name="Modelo_COVID" sheetId="6" state="visible" r:id="rId8"/>
    <sheet name="Diagnost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<sst xmlns="http://schemas.openxmlformats.org/spreadsheetml/2006/main" count="415" uniqueCount="223">
  <si>
    <t xml:space="preserve">MODELO DE PBI — PBI BR, M3R, M1R, RPRIM, EMBI</t>
  </si>
  <si>
    <t xml:space="preserve">Muestra comun 2007Q3-2026Q1 (n=75) en los cuatro modelos.</t>
  </si>
  <si>
    <t xml:space="preserve">Metrica</t>
  </si>
  <si>
    <t xml:space="preserve">BASE (sin AR)</t>
  </si>
  <si>
    <t xml:space="preserve">BASE + PBI(t-1)</t>
  </si>
  <si>
    <t xml:space="preserve">OPTIMO</t>
  </si>
  <si>
    <t xml:space="preserve">OPTIMO + dummies COVID</t>
  </si>
  <si>
    <t xml:space="preserve">n</t>
  </si>
  <si>
    <t xml:space="preserve">k (parametros)</t>
  </si>
  <si>
    <t xml:space="preserve">R2</t>
  </si>
  <si>
    <t xml:space="preserve">R2 ajustado</t>
  </si>
  <si>
    <t xml:space="preserve">SSR</t>
  </si>
  <si>
    <t xml:space="preserve">AIC</t>
  </si>
  <si>
    <t xml:space="preserve">BIC</t>
  </si>
  <si>
    <t xml:space="preserve">Durbin-Watson</t>
  </si>
  <si>
    <t xml:space="preserve">Autocorrel. residuos rezago 1</t>
  </si>
  <si>
    <t xml:space="preserve">Breusch-Pagan p</t>
  </si>
  <si>
    <t xml:space="preserve">Los dos rezagos largos de EMBI de tu especificacion</t>
  </si>
  <si>
    <t xml:space="preserve">H0: beta_EMBI(t-6) + beta_EMBI(t-7) = 0</t>
  </si>
  <si>
    <t xml:space="preserve">F</t>
  </si>
  <si>
    <t xml:space="preserve">Ninguno de los dos es significativo por separado y se cancelan entre si: no aportan.</t>
  </si>
  <si>
    <t xml:space="preserve">p-valor</t>
  </si>
  <si>
    <t xml:space="preserve">Test F de las dummies COVID (H0: ambas = 0)</t>
  </si>
  <si>
    <t xml:space="preserve">Test F: conviene diferenciar la dependiente? (H0: coef PBI(t-1) = 1)</t>
  </si>
  <si>
    <t xml:space="preserve">Coeficientes de la especificacion recomendada, errores HAC (Newey-West, L=4)</t>
  </si>
  <si>
    <t xml:space="preserve">Regresor</t>
  </si>
  <si>
    <t xml:space="preserve">Coef.</t>
  </si>
  <si>
    <t xml:space="preserve">se HAC</t>
  </si>
  <si>
    <t xml:space="preserve">t HAC</t>
  </si>
  <si>
    <t xml:space="preserve">p HAC</t>
  </si>
  <si>
    <t xml:space="preserve">COMO USAR ESTE ARCHIVO</t>
  </si>
  <si>
    <t xml:space="preserve">1. Editable solo lo azul de la hoja Datos. Todo lo demas es formula.</t>
  </si>
  <si>
    <t xml:space="preserve">2. Para agregar un trimestre: extender las filas de Datos y de cada hoja de modelo, y recalcular.</t>
  </si>
  <si>
    <t xml:space="preserve">3. Las regresiones usan INDEX(LINEST(...)) para devolver escalares, sin formulas matriciales.</t>
  </si>
  <si>
    <t xml:space="preserve">4. AIC y BIC siguen la convencion de statsmodels: -2logL + 2k y -2logL + ln(n)k.</t>
  </si>
  <si>
    <t xml:space="preserve">5. Cita los errores HAC, no los de LINEST.</t>
  </si>
  <si>
    <t xml:space="preserve">DATOS Y TRANSFORMACIONES</t>
  </si>
  <si>
    <t xml:space="preserve">Azul = dato original (editable). Negro = formula. Trimestral 2005Q1-2026Q1.</t>
  </si>
  <si>
    <t xml:space="preserve">PBI, PBI de Brasil, M3R y M1R ya vienen como variacion interanual (I(0)). EMBI y RPRIM son I(1) y requieren diferencia. d(.) es la primera diferencia de cada serie.</t>
  </si>
  <si>
    <t xml:space="preserve">Periodo</t>
  </si>
  <si>
    <t xml:space="preserve">EMBI (pb)</t>
  </si>
  <si>
    <t xml:space="preserve">PBI BR</t>
  </si>
  <si>
    <t xml:space="preserve">M3R</t>
  </si>
  <si>
    <t xml:space="preserve">M1R</t>
  </si>
  <si>
    <t xml:space="preserve">RPRIM</t>
  </si>
  <si>
    <t xml:space="preserve">PBI (dep.)</t>
  </si>
  <si>
    <t xml:space="preserve">d(EMBI)</t>
  </si>
  <si>
    <t xml:space="preserve">d(PBI BR)</t>
  </si>
  <si>
    <t xml:space="preserve">d(M3R)</t>
  </si>
  <si>
    <t xml:space="preserve">d(M1R)</t>
  </si>
  <si>
    <t xml:space="preserve">d(RPRIM)</t>
  </si>
  <si>
    <t xml:space="preserve">PBI (t-1)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</si>
  <si>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</si>
  <si>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</si>
  <si>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</si>
  <si>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</si>
  <si>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</si>
  <si>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</si>
  <si>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</si>
  <si>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</si>
  <si>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</si>
  <si>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</si>
  <si>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</si>
  <si>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</si>
  <si>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</si>
  <si>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</si>
  <si>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</si>
  <si>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</si>
  <si>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</si>
  <si>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</si>
  <si>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</si>
  <si>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</si>
  <si>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</si>
  <si>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</si>
  <si>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</si>
  <si>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</si>
  <si>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</si>
  <si>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</si>
  <si>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</si>
  <si>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</si>
  <si>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</si>
  <si>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</si>
  <si>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</si>
  <si>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</si>
  <si>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</si>
  <si>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</si>
  <si>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</si>
  <si>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</si>
  <si>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</si>
  <si>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</si>
  <si>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</si>
  <si>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</si>
  <si>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</si>
  <si>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</si>
  <si>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</si>
  <si>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</si>
  <si>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</si>
  <si>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</si>
  <si>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</si>
  <si>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</si>
  <si>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</si>
  <si>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</si>
  <si>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</si>
  <si>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</si>
  <si>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</si>
  <si>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</si>
  <si>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</si>
  <si>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</si>
  <si>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</si>
  <si>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</si>
  <si>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</si>
  <si>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</si>
  <si>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</si>
  <si>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</si>
  <si>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</si>
  <si>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</si>
  <si>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</si>
  <si>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</si>
  <si>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</si>
  <si>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</si>
  <si>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</si>
  <si>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</si>
  <si>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</si>
  <si>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</si>
  <si>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</si>
  <si>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</si>
  <si>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</si>
  <si>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</si>
  <si>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</si>
  <si>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</si>
  <si>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</si>
  <si>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</si>
  <si>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</si>
  <si>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</si>
  <si>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</si>
  <si>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</si>
  <si>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</si>
  <si>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EMBI 2005Q1-Q2 venia codificado como 0 en el origen: es un faltante, no un dato.</t>
  </si>
  <si>
    <t xml:space="preserve">MODELO BASE  —  PBI ~ d(PBI BR) + d(M3R) + d(RPRIM t-1) + d(EMBI t-2) + d(M1R t-3) + d(EMBI t-6) + d(EMBI t-7)</t>
  </si>
  <si>
    <t xml:space="preserve">Especificacion tal cual la usas: dependiente en NIVEL (variacion i.a.) contra regresores todos DIFERENCIADOS. Muestra comun 2007Q3-2026Q1 (n=75).</t>
  </si>
  <si>
    <t xml:space="preserve">y = PBI</t>
  </si>
  <si>
    <t xml:space="preserve">d(PBI BR) t</t>
  </si>
  <si>
    <t xml:space="preserve">d(M3R) t</t>
  </si>
  <si>
    <t xml:space="preserve">d(RPRIM) t-1</t>
  </si>
  <si>
    <t xml:space="preserve">d(EMBI) t-2</t>
  </si>
  <si>
    <t xml:space="preserve">d(M1R) t-3</t>
  </si>
  <si>
    <t xml:space="preserve">d(EMBI) t-6</t>
  </si>
  <si>
    <t xml:space="preserve">d(EMBI) t-7</t>
  </si>
  <si>
    <t xml:space="preserve">const=1</t>
  </si>
  <si>
    <t xml:space="preserve">residuo e</t>
  </si>
  <si>
    <t xml:space="preserve">e^2</t>
  </si>
  <si>
    <t xml:space="preserve">R: d(PBI BR)</t>
  </si>
  <si>
    <t xml:space="preserve">R: d(M3R)</t>
  </si>
  <si>
    <t xml:space="preserve">R: d(RPRIM t-1)</t>
  </si>
  <si>
    <t xml:space="preserve">R: d(EMBI t-2)</t>
  </si>
  <si>
    <t xml:space="preserve">R: d(M1R t-3)</t>
  </si>
  <si>
    <t xml:space="preserve">R: d(EMBI t-6)-d(EMBI t-7)</t>
  </si>
  <si>
    <t xml:space="preserve">A. ESTIMACION OLS   (LINEST devuelve los coeficientes en orden inverso; se extraen con INDEX)</t>
  </si>
  <si>
    <t xml:space="preserve">Error est.</t>
  </si>
  <si>
    <t xml:space="preserve">t</t>
  </si>
  <si>
    <t xml:space="preserve">gl resid.</t>
  </si>
  <si>
    <t xml:space="preserve">const</t>
  </si>
  <si>
    <t xml:space="preserve">B. BONDAD DE AJUSTE</t>
  </si>
  <si>
    <t xml:space="preserve">n (observaciones)</t>
  </si>
  <si>
    <t xml:space="preserve">log-verosimilitud</t>
  </si>
  <si>
    <t xml:space="preserve">C. TEST F:  H0 = beta_EMBI(t-6) + beta_EMBI(t-7) = 0</t>
  </si>
  <si>
    <t xml:space="preserve">Los dos rezagos largos de EMBI son individualmente no significativos y practicamente se cancelan entre si.</t>
  </si>
  <si>
    <t xml:space="preserve">SSR irrestricto</t>
  </si>
  <si>
    <t xml:space="preserve">SSR restringido</t>
  </si>
  <si>
    <t xml:space="preserve">q (restricciones)</t>
  </si>
  <si>
    <t xml:space="preserve">gl residuales</t>
  </si>
  <si>
    <t xml:space="preserve">MODELO BASE + PBI(t-1)</t>
  </si>
  <si>
    <t xml:space="preserve">La dependiente es persistente y todos los regresores estan diferenciados: sin termino autorregresivo el modelo no puede explicar esa persistencia. Aca se agrega PBI(t-1).</t>
  </si>
  <si>
    <t xml:space="preserve">PBI t-1</t>
  </si>
  <si>
    <t xml:space="preserve">MODELO OPTIMO  —  PBI ~ PBI(t-1) + d(PBI BR t) + d(EMBI t-2) + d(RPRIM t-2) + d(M1R t)</t>
  </si>
  <si>
    <t xml:space="preserve">Minimo BIC. Se buscaron 295.245 combinaciones de rezagos y despues se permitio excluir variables. d(M3R) sale (redundante con d(M1R)) y los rezagos 6 y 7 de EMBI colapsan a uno solo en t-2.</t>
  </si>
  <si>
    <t xml:space="preserve">d(RPRIM) t-2</t>
  </si>
  <si>
    <t xml:space="preserve">d(M1R) t</t>
  </si>
  <si>
    <t xml:space="preserve">h_0</t>
  </si>
  <si>
    <t xml:space="preserve">h_1</t>
  </si>
  <si>
    <t xml:space="preserve">h_2</t>
  </si>
  <si>
    <t xml:space="preserve">h_3</t>
  </si>
  <si>
    <t xml:space="preserve">h_4</t>
  </si>
  <si>
    <t xml:space="preserve">h_5</t>
  </si>
  <si>
    <t xml:space="preserve">C. ERRORES ESTANDAR HAC (Newey-West, nucleo de Bartlett, L=4)</t>
  </si>
  <si>
    <t xml:space="preserve">V = (X'X)^-1 S (X'X)^-1 ,  S = G0 + SUM_l w_l (G_l + G_l') ,  w_l = 1 - l/5. Obligatorio: el filtro interanual induce una MA(3) mecanica en los residuos.</t>
  </si>
  <si>
    <t xml:space="preserve">X'X</t>
  </si>
  <si>
    <t xml:space="preserve">(X'X)^-1 = A</t>
  </si>
  <si>
    <t xml:space="preserve">Gamma_0</t>
  </si>
  <si>
    <t xml:space="preserve">Gamma_1  (w=0.8)</t>
  </si>
  <si>
    <t xml:space="preserve">Gamma_2  (w=0.6)</t>
  </si>
  <si>
    <t xml:space="preserve">Gamma_3  (w=0.4)</t>
  </si>
  <si>
    <t xml:space="preserve">Gamma_4  (w=0.2)</t>
  </si>
  <si>
    <t xml:space="preserve">S (meat)</t>
  </si>
  <si>
    <t xml:space="preserve">V = A S A</t>
  </si>
  <si>
    <t xml:space="preserve">MODELO OPTIMO + DUMMIES IMPULSO COVID (2020Q2 y 2021Q2)</t>
  </si>
  <si>
    <t xml:space="preserve">Especificacion recomendada. El test F de las dos dummies y el de la restriccion sobre PBI(t-1) estan abajo.</t>
  </si>
  <si>
    <t xml:space="preserve">D_2020Q2</t>
  </si>
  <si>
    <t xml:space="preserve">D_2021Q2</t>
  </si>
  <si>
    <t xml:space="preserve">h_6</t>
  </si>
  <si>
    <t xml:space="preserve">h_7</t>
  </si>
  <si>
    <t xml:space="preserve">aux: PBI - PBI(t-1)</t>
  </si>
  <si>
    <t xml:space="preserve">D. TEST F CONJUNTO:  H0 = las dos dummies son cero</t>
  </si>
  <si>
    <t xml:space="preserve">Contrasta esta hoja contra Modelo_Optimo (misma muestra, sin dummies).</t>
  </si>
  <si>
    <t xml:space="preserve">E. TEST F:  H0 = coeficiente de PBI(t-1) igual a 1 (equivaldria a diferenciar la dependiente)</t>
  </si>
  <si>
    <t xml:space="preserve">SSR restringido (PBI - PBI(t-1))</t>
  </si>
  <si>
    <t xml:space="preserve">DIAGNOSTICOS DE RESIDUOS</t>
  </si>
  <si>
    <t xml:space="preserve">A. AUTOCORRELACION DE LOS RESIDUOS</t>
  </si>
  <si>
    <t xml:space="preserve">Rezago</t>
  </si>
  <si>
    <t xml:space="preserve">Base</t>
  </si>
  <si>
    <t xml:space="preserve">Base + PBI(t-1)</t>
  </si>
  <si>
    <t xml:space="preserve">Optimo</t>
  </si>
  <si>
    <t xml:space="preserve">Optimo + dummies</t>
  </si>
  <si>
    <t xml:space="preserve">En el modelo base el rezago 1 es enorme (0,65): eso es la persistencia del PBI que ningun regresor diferenciado puede capturar. Al agregar PBI(t-1) desaparece, pero queda un residuo negativo en el rezago 4 que es la MA que arrastra el filtro interanual de la dependiente. Por eso: errores HAC.</t>
  </si>
  <si>
    <t xml:space="preserve">B. HETEROCEDASTICIDAD — Breusch-Pagan (LM = n x R2 de e^2 sobre X)</t>
  </si>
  <si>
    <t xml:space="preserve">Modelo</t>
  </si>
  <si>
    <t xml:space="preserve">R2 auxiliar</t>
  </si>
  <si>
    <t xml:space="preserve">LM</t>
  </si>
  <si>
    <t xml:space="preserve">gl</t>
  </si>
  <si>
    <t xml:space="preserve">C. NORMALIDAD — Jarque-Bera</t>
  </si>
  <si>
    <t xml:space="preserve">Asimetria</t>
  </si>
  <si>
    <t xml:space="preserve">Curtosis exc.</t>
  </si>
  <si>
    <t xml:space="preserve">JB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</si>
</sst>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0000"/>
    <numFmt numFmtId="168" formatCode="0.0000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Modelo_Base!B97</f>
        <v>75</v>
      </c>
      <c r="C5" s="5" t="n">
        <f aca="false">Modelo_ADL!B98</f>
        <v>75</v>
      </c>
      <c r="D5" s="5" t="n">
        <f aca="false">Modelo_Optimo!B95</f>
        <v>75</v>
      </c>
      <c r="E5" s="5" t="n">
        <f aca="false">Modelo_COVID!B97</f>
        <v>75</v>
      </c>
    </row>
    <row r="6" customFormat="false" ht="15" hidden="false" customHeight="false" outlineLevel="0" collapsed="false">
      <c r="A6" s="4" t="s">
        <v>8</v>
      </c>
      <c r="B6" s="5" t="n">
        <f aca="false">Modelo_Base!B98</f>
        <v>8</v>
      </c>
      <c r="C6" s="5" t="n">
        <f aca="false">Modelo_ADL!B99</f>
        <v>9</v>
      </c>
      <c r="D6" s="5" t="n">
        <f aca="false">Modelo_Optimo!B96</f>
        <v>6</v>
      </c>
      <c r="E6" s="5" t="n">
        <f aca="false">Modelo_COVID!B98</f>
        <v>8</v>
      </c>
    </row>
    <row r="7" customFormat="false" ht="15" hidden="false" customHeight="false" outlineLevel="0" collapsed="false">
      <c r="A7" s="4" t="s">
        <v>9</v>
      </c>
      <c r="B7" s="6" t="n">
        <f aca="false">Modelo_Base!B99</f>
        <v>0.278843524975977</v>
      </c>
      <c r="C7" s="6" t="n">
        <f aca="false">Modelo_ADL!B100</f>
        <v>0.819044146164465</v>
      </c>
      <c r="D7" s="6" t="n">
        <f aca="false">Modelo_Optimo!B97</f>
        <v>0.810880714300356</v>
      </c>
      <c r="E7" s="6" t="n">
        <f aca="false">Modelo_COVID!B99</f>
        <v>0.850209790481968</v>
      </c>
    </row>
    <row r="8" customFormat="false" ht="15" hidden="false" customHeight="false" outlineLevel="0" collapsed="false">
      <c r="A8" s="4" t="s">
        <v>10</v>
      </c>
      <c r="B8" s="7" t="n">
        <f aca="false">Modelo_Base!B100</f>
        <v>0.203498818630184</v>
      </c>
      <c r="C8" s="7" t="n">
        <f aca="false">Modelo_ADL!B101</f>
        <v>0.797110103275309</v>
      </c>
      <c r="D8" s="7" t="n">
        <f aca="false">Modelo_Optimo!B98</f>
        <v>0.797176418235164</v>
      </c>
      <c r="E8" s="7" t="n">
        <f aca="false">Modelo_COVID!B100</f>
        <v>0.834560067099487</v>
      </c>
    </row>
    <row r="9" customFormat="false" ht="15" hidden="false" customHeight="false" outlineLevel="0" collapsed="false">
      <c r="A9" s="4" t="s">
        <v>11</v>
      </c>
      <c r="B9" s="8" t="n">
        <f aca="false">Modelo_Base!B101</f>
        <v>0.193992754724702</v>
      </c>
      <c r="C9" s="8" t="n">
        <f aca="false">Modelo_ADL!B102</f>
        <v>0.0486775419550196</v>
      </c>
      <c r="D9" s="8" t="n">
        <f aca="false">Modelo_Optimo!B99</f>
        <v>0.0508735239508454</v>
      </c>
      <c r="E9" s="8" t="n">
        <f aca="false">Modelo_COVID!B101</f>
        <v>0.0402939117675193</v>
      </c>
    </row>
    <row r="10" customFormat="false" ht="15" hidden="false" customHeight="false" outlineLevel="0" collapsed="false">
      <c r="A10" s="4" t="s">
        <v>12</v>
      </c>
      <c r="B10" s="9" t="n">
        <f aca="false">Modelo_Base!B103</f>
        <v>-217.96591358923</v>
      </c>
      <c r="C10" s="9" t="n">
        <f aca="false">Modelo_ADL!B104</f>
        <v>-319.661141490319</v>
      </c>
      <c r="D10" s="9" t="n">
        <f aca="false">Modelo_Optimo!B101</f>
        <v>-322.351777201382</v>
      </c>
      <c r="E10" s="9" t="n">
        <f aca="false">Modelo_COVID!B103</f>
        <v>-335.837445600153</v>
      </c>
    </row>
    <row r="11" customFormat="false" ht="15" hidden="false" customHeight="false" outlineLevel="0" collapsed="false">
      <c r="A11" s="4" t="s">
        <v>13</v>
      </c>
      <c r="B11" s="9" t="n">
        <f aca="false">Modelo_Base!B104</f>
        <v>-199.42600868094</v>
      </c>
      <c r="C11" s="9" t="n">
        <f aca="false">Modelo_ADL!B105</f>
        <v>-298.803748468492</v>
      </c>
      <c r="D11" s="9" t="n">
        <f aca="false">Modelo_Optimo!B102</f>
        <v>-308.446848520165</v>
      </c>
      <c r="E11" s="9" t="n">
        <f aca="false">Modelo_COVID!B104</f>
        <v>-317.297540691863</v>
      </c>
    </row>
    <row r="12" customFormat="false" ht="15" hidden="false" customHeight="false" outlineLevel="0" collapsed="false">
      <c r="A12" s="4" t="s">
        <v>14</v>
      </c>
      <c r="B12" s="6" t="n">
        <f aca="false">Modelo_Base!B106</f>
        <v>0.682760955803835</v>
      </c>
      <c r="C12" s="6" t="n">
        <f aca="false">Modelo_ADL!B107</f>
        <v>2.12184037194854</v>
      </c>
      <c r="D12" s="6" t="n">
        <f aca="false">Modelo_Optimo!B104</f>
        <v>2.19768342205222</v>
      </c>
      <c r="E12" s="6" t="n">
        <f aca="false">Modelo_COVID!B106</f>
        <v>2.18908315040365</v>
      </c>
    </row>
    <row r="13" customFormat="false" ht="15" hidden="false" customHeight="false" outlineLevel="0" collapsed="false">
      <c r="A13" s="4" t="s">
        <v>15</v>
      </c>
      <c r="B13" s="6" t="n">
        <f aca="false">Diagnosticos!B6</f>
        <v>0.646084990693095</v>
      </c>
      <c r="C13" s="6" t="n">
        <f aca="false">Diagnosticos!C6</f>
        <v>-0.0664662559162037</v>
      </c>
      <c r="D13" s="6" t="n">
        <f aca="false">Diagnosticos!D6</f>
        <v>-0.107771790473028</v>
      </c>
      <c r="E13" s="6" t="n">
        <f aca="false">Diagnosticos!E6</f>
        <v>-0.111132015568302</v>
      </c>
    </row>
    <row r="14" customFormat="false" ht="15" hidden="false" customHeight="false" outlineLevel="0" collapsed="false">
      <c r="A14" s="4" t="s">
        <v>16</v>
      </c>
      <c r="B14" s="6" t="n">
        <f aca="false">Diagnosticos!E19</f>
        <v>0.100765236607091</v>
      </c>
      <c r="C14" s="6" t="n">
        <f aca="false">Diagnosticos!E20</f>
        <v>0.353593421309585</v>
      </c>
      <c r="D14" s="6" t="n">
        <f aca="false">Diagnosticos!E21</f>
        <v>0.598987324136548</v>
      </c>
      <c r="E14" s="6" t="n">
        <f aca="false">Diagnosticos!E22</f>
        <v>0.86206859518605</v>
      </c>
    </row>
    <row r="16" customFormat="false" ht="15" hidden="false" customHeight="false" outlineLevel="0" collapsed="false">
      <c r="A16" s="10" t="s">
        <v>17</v>
      </c>
    </row>
    <row r="17" customFormat="false" ht="15" hidden="false" customHeight="false" outlineLevel="0" collapsed="false">
      <c r="A17" s="11" t="s">
        <v>18</v>
      </c>
    </row>
    <row r="18" customFormat="false" ht="15" hidden="false" customHeight="false" outlineLevel="0" collapsed="false">
      <c r="A18" s="11" t="s">
        <v>19</v>
      </c>
      <c r="B18" s="12" t="n">
        <f aca="false">Modelo_Base!B114</f>
        <v>0.00254773317383033</v>
      </c>
      <c r="C18" s="2" t="s">
        <v>20</v>
      </c>
    </row>
    <row r="19" customFormat="false" ht="15" hidden="false" customHeight="false" outlineLevel="0" collapsed="false">
      <c r="A19" s="11" t="s">
        <v>21</v>
      </c>
      <c r="B19" s="13" t="n">
        <f aca="false">Modelo_Base!B115</f>
        <v>0.959893989630384</v>
      </c>
    </row>
    <row r="21" customFormat="false" ht="15" hidden="false" customHeight="false" outlineLevel="0" collapsed="false">
      <c r="A21" s="10" t="s">
        <v>22</v>
      </c>
    </row>
    <row r="22" customFormat="false" ht="15" hidden="false" customHeight="false" outlineLevel="0" collapsed="false">
      <c r="A22" s="11" t="s">
        <v>19</v>
      </c>
      <c r="B22" s="12" t="n">
        <f aca="false">Modelo_COVID!B209</f>
        <v>8.79579550842014</v>
      </c>
    </row>
    <row r="23" customFormat="false" ht="15" hidden="false" customHeight="false" outlineLevel="0" collapsed="false">
      <c r="A23" s="11" t="s">
        <v>21</v>
      </c>
      <c r="B23" s="13" t="n">
        <f aca="false">Modelo_COVID!B210</f>
        <v>0.000405550474222191</v>
      </c>
    </row>
    <row r="25" customFormat="false" ht="15" hidden="false" customHeight="false" outlineLevel="0" collapsed="false">
      <c r="A25" s="10" t="s">
        <v>23</v>
      </c>
    </row>
    <row r="26" customFormat="false" ht="15" hidden="false" customHeight="false" outlineLevel="0" collapsed="false">
      <c r="A26" s="11" t="s">
        <v>19</v>
      </c>
      <c r="B26" s="12" t="n">
        <f aca="false">Modelo_COVID!B218</f>
        <v>6.83123295409889</v>
      </c>
    </row>
    <row r="27" customFormat="false" ht="15" hidden="false" customHeight="false" outlineLevel="0" collapsed="false">
      <c r="A27" s="11" t="s">
        <v>21</v>
      </c>
      <c r="B27" s="13" t="n">
        <f aca="false">Modelo_COVID!B219</f>
        <v>0.011051550688165</v>
      </c>
    </row>
    <row r="29" customFormat="false" ht="15" hidden="false" customHeight="false" outlineLevel="0" collapsed="false">
      <c r="A29" s="10" t="s">
        <v>24</v>
      </c>
    </row>
    <row r="30" customFormat="false" ht="15" hidden="false" customHeight="false" outlineLevel="0" collapsed="false">
      <c r="A30" s="14" t="s">
        <v>25</v>
      </c>
      <c r="B30" s="14" t="s">
        <v>26</v>
      </c>
      <c r="C30" s="14" t="s">
        <v>27</v>
      </c>
      <c r="D30" s="14" t="s">
        <v>28</v>
      </c>
      <c r="E30" s="14" t="s">
        <v>29</v>
      </c>
    </row>
    <row r="31" customFormat="false" ht="15" hidden="false" customHeight="false" outlineLevel="0" collapsed="false">
      <c r="A31" s="6" t="str">
        <f aca="false">Modelo_COVID!A193</f>
        <v>const</v>
      </c>
      <c r="B31" s="8" t="n">
        <f aca="false">Modelo_COVID!B193</f>
        <v>0.00209663649074231</v>
      </c>
      <c r="C31" s="8" t="n">
        <f aca="false">Modelo_COVID!C193</f>
        <v>0.00235649385251436</v>
      </c>
      <c r="D31" s="5" t="n">
        <f aca="false">Modelo_COVID!D193</f>
        <v>0.889727120868663</v>
      </c>
      <c r="E31" s="6" t="n">
        <f aca="false">Modelo_COVID!E193</f>
        <v>0.376796004695735</v>
      </c>
    </row>
    <row r="32" customFormat="false" ht="15" hidden="false" customHeight="false" outlineLevel="0" collapsed="false">
      <c r="A32" s="6" t="str">
        <f aca="false">Modelo_COVID!A194</f>
        <v>PBI t-1</v>
      </c>
      <c r="B32" s="8" t="n">
        <f aca="false">Modelo_COVID!B194</f>
        <v>0.847240372698584</v>
      </c>
      <c r="C32" s="8" t="n">
        <f aca="false">Modelo_COVID!C194</f>
        <v>0.0454681920534967</v>
      </c>
      <c r="D32" s="5" t="n">
        <f aca="false">Modelo_COVID!D194</f>
        <v>18.6336938953223</v>
      </c>
      <c r="E32" s="6" t="n">
        <f aca="false">Modelo_COVID!E194</f>
        <v>3.31776956213605E-028</v>
      </c>
    </row>
    <row r="33" customFormat="false" ht="15" hidden="false" customHeight="false" outlineLevel="0" collapsed="false">
      <c r="A33" s="6" t="str">
        <f aca="false">Modelo_COVID!A195</f>
        <v>d(PBI BR) t</v>
      </c>
      <c r="B33" s="8" t="n">
        <f aca="false">Modelo_COVID!B195</f>
        <v>0.627025903813829</v>
      </c>
      <c r="C33" s="8" t="n">
        <f aca="false">Modelo_COVID!C195</f>
        <v>0.172090882886003</v>
      </c>
      <c r="D33" s="5" t="n">
        <f aca="false">Modelo_COVID!D195</f>
        <v>3.64357421670726</v>
      </c>
      <c r="E33" s="6" t="n">
        <f aca="false">Modelo_COVID!E195</f>
        <v>0.000525441392389887</v>
      </c>
    </row>
    <row r="34" customFormat="false" ht="15" hidden="false" customHeight="false" outlineLevel="0" collapsed="false">
      <c r="A34" s="6" t="str">
        <f aca="false">Modelo_COVID!A196</f>
        <v>d(EMBI) t-2</v>
      </c>
      <c r="B34" s="8" t="n">
        <f aca="false">Modelo_COVID!B196</f>
        <v>-4.61925000920346E-005</v>
      </c>
      <c r="C34" s="8" t="n">
        <f aca="false">Modelo_COVID!C196</f>
        <v>6.93812261332395E-006</v>
      </c>
      <c r="D34" s="5" t="n">
        <f aca="false">Modelo_COVID!D196</f>
        <v>-6.65778088201075</v>
      </c>
      <c r="E34" s="6" t="n">
        <f aca="false">Modelo_COVID!E196</f>
        <v>6.17603134979727E-009</v>
      </c>
    </row>
    <row r="35" customFormat="false" ht="15" hidden="false" customHeight="false" outlineLevel="0" collapsed="false">
      <c r="A35" s="6" t="str">
        <f aca="false">Modelo_COVID!A197</f>
        <v>d(RPRIM) t-2</v>
      </c>
      <c r="B35" s="8" t="n">
        <f aca="false">Modelo_COVID!B197</f>
        <v>-1.60322261640931</v>
      </c>
      <c r="C35" s="8" t="n">
        <f aca="false">Modelo_COVID!C197</f>
        <v>0.440946850718579</v>
      </c>
      <c r="D35" s="5" t="n">
        <f aca="false">Modelo_COVID!D197</f>
        <v>-3.63586362800109</v>
      </c>
      <c r="E35" s="6" t="n">
        <f aca="false">Modelo_COVID!E197</f>
        <v>0.000538723860376548</v>
      </c>
    </row>
    <row r="36" customFormat="false" ht="15" hidden="false" customHeight="false" outlineLevel="0" collapsed="false">
      <c r="A36" s="6" t="str">
        <f aca="false">Modelo_COVID!A198</f>
        <v>d(M1R) t</v>
      </c>
      <c r="B36" s="8" t="n">
        <f aca="false">Modelo_COVID!B198</f>
        <v>0.242865944539068</v>
      </c>
      <c r="C36" s="8" t="n">
        <f aca="false">Modelo_COVID!C198</f>
        <v>0.0394308860698193</v>
      </c>
      <c r="D36" s="5" t="n">
        <f aca="false">Modelo_COVID!D198</f>
        <v>6.15928194230864</v>
      </c>
      <c r="E36" s="6" t="n">
        <f aca="false">Modelo_COVID!E198</f>
        <v>4.67893915158608E-008</v>
      </c>
    </row>
    <row r="37" customFormat="false" ht="15" hidden="false" customHeight="false" outlineLevel="0" collapsed="false">
      <c r="A37" s="6" t="str">
        <f aca="false">Modelo_COVID!A199</f>
        <v>D_2020Q2</v>
      </c>
      <c r="B37" s="8" t="n">
        <f aca="false">Modelo_COVID!B199</f>
        <v>-0.119674148804146</v>
      </c>
      <c r="C37" s="8" t="n">
        <f aca="false">Modelo_COVID!C199</f>
        <v>0.0243778718699036</v>
      </c>
      <c r="D37" s="5" t="n">
        <f aca="false">Modelo_COVID!D199</f>
        <v>-4.90913027366812</v>
      </c>
      <c r="E37" s="6" t="n">
        <f aca="false">Modelo_COVID!E199</f>
        <v>6.16164266984767E-006</v>
      </c>
    </row>
    <row r="38" customFormat="false" ht="15" hidden="false" customHeight="false" outlineLevel="0" collapsed="false">
      <c r="A38" s="6" t="str">
        <f aca="false">Modelo_COVID!A200</f>
        <v>D_2021Q2</v>
      </c>
      <c r="B38" s="8" t="n">
        <f aca="false">Modelo_COVID!B200</f>
        <v>0.113701935112374</v>
      </c>
      <c r="C38" s="8" t="n">
        <f aca="false">Modelo_COVID!C200</f>
        <v>0.021874487685705</v>
      </c>
      <c r="D38" s="5" t="n">
        <f aca="false">Modelo_COVID!D200</f>
        <v>5.19792448381219</v>
      </c>
      <c r="E38" s="6" t="n">
        <f aca="false">Modelo_COVID!E200</f>
        <v>2.06297283062104E-006</v>
      </c>
    </row>
    <row r="40" customFormat="false" ht="15" hidden="false" customHeight="false" outlineLevel="0" collapsed="false">
      <c r="A40" s="10" t="s">
        <v>30</v>
      </c>
    </row>
    <row r="41" customFormat="false" ht="15" hidden="false" customHeight="false" outlineLevel="0" collapsed="false">
      <c r="A41" s="2" t="s">
        <v>31</v>
      </c>
    </row>
    <row r="42" customFormat="false" ht="15" hidden="false" customHeight="false" outlineLevel="0" collapsed="false">
      <c r="A42" s="2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2" t="s">
        <v>34</v>
      </c>
    </row>
    <row r="45" customFormat="false" ht="15" hidden="false" customHeight="false" outlineLevel="0" collapsed="false">
      <c r="A4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1"/>
    <col collapsed="false" customWidth="true" hidden="false" outlineLevel="0" max="14" min="9" style="0" width="11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" t="s">
        <v>38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</row>
    <row r="5" customFormat="false" ht="15" hidden="false" customHeight="false" outlineLevel="0" collapsed="false">
      <c r="A5" s="11" t="s">
        <v>52</v>
      </c>
      <c r="B5" s="15"/>
      <c r="C5" s="16" t="n">
        <v>0.0419</v>
      </c>
      <c r="D5" s="16" t="n">
        <v>0.126266098180599</v>
      </c>
      <c r="E5" s="16" t="n">
        <v>0.166001621514056</v>
      </c>
      <c r="F5" s="16" t="n">
        <v>0.0349081393724577</v>
      </c>
      <c r="G5" s="16" t="n">
        <v>0.0721878676041452</v>
      </c>
      <c r="I5" s="17"/>
      <c r="J5" s="17"/>
      <c r="K5" s="17"/>
      <c r="L5" s="17"/>
      <c r="M5" s="17"/>
      <c r="N5" s="17"/>
    </row>
    <row r="6" customFormat="false" ht="15" hidden="false" customHeight="false" outlineLevel="0" collapsed="false">
      <c r="A6" s="11" t="s">
        <v>53</v>
      </c>
      <c r="B6" s="15"/>
      <c r="C6" s="16" t="n">
        <v>0.0447</v>
      </c>
      <c r="D6" s="16" t="n">
        <v>0.165052590466378</v>
      </c>
      <c r="E6" s="16" t="n">
        <v>0.170348034361075</v>
      </c>
      <c r="F6" s="16" t="n">
        <v>0.0323821214900586</v>
      </c>
      <c r="G6" s="16" t="n">
        <v>0.130779807239928</v>
      </c>
      <c r="I6" s="18" t="str">
        <f aca="false">IF(AND(ISNUMBER(B6),ISNUMBER(B5)),B6-B5,"")</f>
        <v/>
      </c>
      <c r="J6" s="18" t="n">
        <f aca="false">C6-C5</f>
        <v>0.00279999999999999</v>
      </c>
      <c r="K6" s="18" t="n">
        <f aca="false">D6-D5</f>
        <v>0.0387864922857784</v>
      </c>
      <c r="L6" s="18" t="n">
        <f aca="false">E6-E5</f>
        <v>0.004346412847019</v>
      </c>
      <c r="M6" s="18" t="n">
        <f aca="false">F6-F5</f>
        <v>-0.00252601788239908</v>
      </c>
      <c r="N6" s="18" t="n">
        <f aca="false">G5</f>
        <v>0.0721878676041452</v>
      </c>
    </row>
    <row r="7" customFormat="false" ht="15" hidden="false" customHeight="false" outlineLevel="0" collapsed="false">
      <c r="A7" s="11" t="s">
        <v>54</v>
      </c>
      <c r="B7" s="15" t="n">
        <v>413.72934375</v>
      </c>
      <c r="C7" s="16" t="n">
        <v>0.0211</v>
      </c>
      <c r="D7" s="16" t="n">
        <v>0.0831357686549594</v>
      </c>
      <c r="E7" s="16" t="n">
        <v>0.0954696690990746</v>
      </c>
      <c r="F7" s="16" t="n">
        <v>0.0314694654835298</v>
      </c>
      <c r="G7" s="16" t="n">
        <v>0.0697197786983204</v>
      </c>
      <c r="I7" s="18" t="str">
        <f aca="false">IF(AND(ISNUMBER(B7),ISNUMBER(B6)),B7-B6,"")</f>
        <v/>
      </c>
      <c r="J7" s="18" t="n">
        <f aca="false">C7-C6</f>
        <v>-0.0236</v>
      </c>
      <c r="K7" s="18" t="n">
        <f aca="false">D7-D6</f>
        <v>-0.0819168218114184</v>
      </c>
      <c r="L7" s="18" t="n">
        <f aca="false">E7-E6</f>
        <v>-0.074878365262</v>
      </c>
      <c r="M7" s="18" t="n">
        <f aca="false">F7-F6</f>
        <v>-0.000912656006528796</v>
      </c>
      <c r="N7" s="18" t="n">
        <f aca="false">G6</f>
        <v>0.130779807239928</v>
      </c>
    </row>
    <row r="8" customFormat="false" ht="15" hidden="false" customHeight="false" outlineLevel="0" collapsed="false">
      <c r="A8" s="11" t="s">
        <v>55</v>
      </c>
      <c r="B8" s="15" t="n">
        <v>423.416245901639</v>
      </c>
      <c r="C8" s="16" t="n">
        <v>0.0215</v>
      </c>
      <c r="D8" s="16" t="n">
        <v>0.0668307140193338</v>
      </c>
      <c r="E8" s="16" t="n">
        <v>0.107539486349547</v>
      </c>
      <c r="F8" s="16" t="n">
        <v>0.0336226074141088</v>
      </c>
      <c r="G8" s="16" t="n">
        <v>0.0778289449927467</v>
      </c>
      <c r="I8" s="18" t="n">
        <f aca="false">IF(AND(ISNUMBER(B8),ISNUMBER(B7)),B8-B7,"")</f>
        <v>9.68690215163929</v>
      </c>
      <c r="J8" s="18" t="n">
        <f aca="false">C8-C7</f>
        <v>0.000399999999999998</v>
      </c>
      <c r="K8" s="18" t="n">
        <f aca="false">D8-D7</f>
        <v>-0.0163050546356256</v>
      </c>
      <c r="L8" s="18" t="n">
        <f aca="false">E8-E7</f>
        <v>0.0120698172504725</v>
      </c>
      <c r="M8" s="18" t="n">
        <f aca="false">F8-F7</f>
        <v>0.00215314193057897</v>
      </c>
      <c r="N8" s="18" t="n">
        <f aca="false">G7</f>
        <v>0.0697197786983204</v>
      </c>
    </row>
    <row r="9" customFormat="false" ht="15" hidden="false" customHeight="false" outlineLevel="0" collapsed="false">
      <c r="A9" s="11" t="s">
        <v>56</v>
      </c>
      <c r="B9" s="15" t="n">
        <v>394.415177419355</v>
      </c>
      <c r="C9" s="16" t="n">
        <v>0.0428</v>
      </c>
      <c r="D9" s="16" t="n">
        <v>0.0249109045549891</v>
      </c>
      <c r="E9" s="16" t="n">
        <v>0.0655726912660659</v>
      </c>
      <c r="F9" s="16" t="n">
        <v>0.0329580027572748</v>
      </c>
      <c r="G9" s="16" t="n">
        <v>0.0784957106960194</v>
      </c>
      <c r="I9" s="18" t="n">
        <f aca="false">IF(AND(ISNUMBER(B9),ISNUMBER(B8)),B9-B8,"")</f>
        <v>-29.0010684822845</v>
      </c>
      <c r="J9" s="18" t="n">
        <f aca="false">C9-C8</f>
        <v>0.0213</v>
      </c>
      <c r="K9" s="18" t="n">
        <f aca="false">D9-D8</f>
        <v>-0.0419198094643447</v>
      </c>
      <c r="L9" s="18" t="n">
        <f aca="false">E9-E8</f>
        <v>-0.0419667950834812</v>
      </c>
      <c r="M9" s="18" t="n">
        <f aca="false">F9-F8</f>
        <v>-0.000664604656833913</v>
      </c>
      <c r="N9" s="18" t="n">
        <f aca="false">G8</f>
        <v>0.0778289449927467</v>
      </c>
    </row>
    <row r="10" customFormat="false" ht="15" hidden="false" customHeight="false" outlineLevel="0" collapsed="false">
      <c r="A10" s="11" t="s">
        <v>57</v>
      </c>
      <c r="B10" s="15" t="n">
        <v>353.71380952381</v>
      </c>
      <c r="C10" s="16" t="n">
        <v>0.0228</v>
      </c>
      <c r="D10" s="16" t="n">
        <v>0.0485206366195832</v>
      </c>
      <c r="E10" s="16" t="n">
        <v>0.0748260808498116</v>
      </c>
      <c r="F10" s="16" t="n">
        <v>0.0318622891210362</v>
      </c>
      <c r="G10" s="16" t="n">
        <v>0.0557158530410582</v>
      </c>
      <c r="I10" s="18" t="n">
        <f aca="false">IF(AND(ISNUMBER(B10),ISNUMBER(B9)),B10-B9,"")</f>
        <v>-40.7013678955453</v>
      </c>
      <c r="J10" s="18" t="n">
        <f aca="false">C10-C9</f>
        <v>-0.02</v>
      </c>
      <c r="K10" s="18" t="n">
        <f aca="false">D10-D9</f>
        <v>0.023609732064594</v>
      </c>
      <c r="L10" s="18" t="n">
        <f aca="false">E10-E9</f>
        <v>0.00925338958374566</v>
      </c>
      <c r="M10" s="18" t="n">
        <f aca="false">F10-F9</f>
        <v>-0.00109571363623866</v>
      </c>
      <c r="N10" s="18" t="n">
        <f aca="false">G9</f>
        <v>0.0784957106960194</v>
      </c>
    </row>
    <row r="11" customFormat="false" ht="15" hidden="false" customHeight="false" outlineLevel="0" collapsed="false">
      <c r="A11" s="11" t="s">
        <v>58</v>
      </c>
      <c r="B11" s="15" t="n">
        <v>339.045285714286</v>
      </c>
      <c r="C11" s="16" t="n">
        <v>0.0449</v>
      </c>
      <c r="D11" s="16" t="n">
        <v>0.0647453101736395</v>
      </c>
      <c r="E11" s="16" t="n">
        <v>0.072921799772433</v>
      </c>
      <c r="F11" s="16" t="n">
        <v>0.0319682511932788</v>
      </c>
      <c r="G11" s="16" t="n">
        <v>0.0938049028107186</v>
      </c>
      <c r="I11" s="18" t="n">
        <f aca="false">IF(AND(ISNUMBER(B11),ISNUMBER(B10)),B11-B10,"")</f>
        <v>-14.6685238095238</v>
      </c>
      <c r="J11" s="18" t="n">
        <f aca="false">C11-C10</f>
        <v>0.0221</v>
      </c>
      <c r="K11" s="18" t="n">
        <f aca="false">D11-D10</f>
        <v>0.0162246735540563</v>
      </c>
      <c r="L11" s="18" t="n">
        <f aca="false">E11-E10</f>
        <v>-0.00190428107737861</v>
      </c>
      <c r="M11" s="18" t="n">
        <f aca="false">F11-F10</f>
        <v>0.000105962072242567</v>
      </c>
      <c r="N11" s="18" t="n">
        <f aca="false">G10</f>
        <v>0.0557158530410582</v>
      </c>
    </row>
    <row r="12" customFormat="false" ht="15" hidden="false" customHeight="false" outlineLevel="0" collapsed="false">
      <c r="A12" s="11" t="s">
        <v>59</v>
      </c>
      <c r="B12" s="15" t="n">
        <v>281.705258064516</v>
      </c>
      <c r="C12" s="16" t="n">
        <v>0.048</v>
      </c>
      <c r="D12" s="16" t="n">
        <v>0.0924472490479791</v>
      </c>
      <c r="E12" s="16" t="n">
        <v>0.0821565159349993</v>
      </c>
      <c r="F12" s="16" t="n">
        <v>0.0322154741806181</v>
      </c>
      <c r="G12" s="16" t="n">
        <v>0.0967704037698498</v>
      </c>
      <c r="I12" s="18" t="n">
        <f aca="false">IF(AND(ISNUMBER(B12),ISNUMBER(B11)),B12-B11,"")</f>
        <v>-57.3400276497695</v>
      </c>
      <c r="J12" s="18" t="n">
        <f aca="false">C12-C11</f>
        <v>0.0031</v>
      </c>
      <c r="K12" s="18" t="n">
        <f aca="false">D12-D11</f>
        <v>0.0277019388743396</v>
      </c>
      <c r="L12" s="18" t="n">
        <f aca="false">E12-E11</f>
        <v>0.00923471616256633</v>
      </c>
      <c r="M12" s="18" t="n">
        <f aca="false">F12-F11</f>
        <v>0.000247222987339313</v>
      </c>
      <c r="N12" s="18" t="n">
        <f aca="false">G11</f>
        <v>0.0938049028107186</v>
      </c>
    </row>
    <row r="13" customFormat="false" ht="15" hidden="false" customHeight="false" outlineLevel="0" collapsed="false">
      <c r="A13" s="11" t="s">
        <v>60</v>
      </c>
      <c r="B13" s="15" t="n">
        <v>210.279435483871</v>
      </c>
      <c r="C13" s="16" t="n">
        <v>0.052</v>
      </c>
      <c r="D13" s="16" t="n">
        <v>0.126601797624711</v>
      </c>
      <c r="E13" s="16" t="n">
        <v>0.10364673016758</v>
      </c>
      <c r="F13" s="16" t="n">
        <v>0.0310428144753138</v>
      </c>
      <c r="G13" s="16" t="n">
        <v>0.0835894113627564</v>
      </c>
      <c r="I13" s="18" t="n">
        <f aca="false">IF(AND(ISNUMBER(B13),ISNUMBER(B12)),B13-B12,"")</f>
        <v>-71.4258225806452</v>
      </c>
      <c r="J13" s="18" t="n">
        <f aca="false">C13-C12</f>
        <v>0.004</v>
      </c>
      <c r="K13" s="18" t="n">
        <f aca="false">D13-D12</f>
        <v>0.0341545485767323</v>
      </c>
      <c r="L13" s="18" t="n">
        <f aca="false">E13-E12</f>
        <v>0.0214902142325806</v>
      </c>
      <c r="M13" s="18" t="n">
        <f aca="false">F13-F12</f>
        <v>-0.00117265970530427</v>
      </c>
      <c r="N13" s="18" t="n">
        <f aca="false">G12</f>
        <v>0.0967704037698498</v>
      </c>
    </row>
    <row r="14" customFormat="false" ht="15" hidden="false" customHeight="false" outlineLevel="0" collapsed="false">
      <c r="A14" s="11" t="s">
        <v>61</v>
      </c>
      <c r="B14" s="15" t="n">
        <v>268.385666666667</v>
      </c>
      <c r="C14" s="16" t="n">
        <v>0.0654</v>
      </c>
      <c r="D14" s="16" t="n">
        <v>0.113965939523165</v>
      </c>
      <c r="E14" s="16" t="n">
        <v>0.108781166847409</v>
      </c>
      <c r="F14" s="16" t="n">
        <v>0.0313215106681784</v>
      </c>
      <c r="G14" s="16" t="n">
        <v>0.0985938738676382</v>
      </c>
      <c r="I14" s="18" t="n">
        <f aca="false">IF(AND(ISNUMBER(B14),ISNUMBER(B13)),B14-B13,"")</f>
        <v>58.1062311827956</v>
      </c>
      <c r="J14" s="18" t="n">
        <f aca="false">C14-C13</f>
        <v>0.0134</v>
      </c>
      <c r="K14" s="18" t="n">
        <f aca="false">D14-D13</f>
        <v>-0.012635858101546</v>
      </c>
      <c r="L14" s="18" t="n">
        <f aca="false">E14-E13</f>
        <v>0.0051344366798293</v>
      </c>
      <c r="M14" s="18" t="n">
        <f aca="false">F14-F13</f>
        <v>0.000278696192864608</v>
      </c>
      <c r="N14" s="18" t="n">
        <f aca="false">G13</f>
        <v>0.0835894113627564</v>
      </c>
    </row>
    <row r="15" customFormat="false" ht="15" hidden="false" customHeight="false" outlineLevel="0" collapsed="false">
      <c r="A15" s="11" t="s">
        <v>62</v>
      </c>
      <c r="B15" s="15" t="n">
        <v>415.128063492064</v>
      </c>
      <c r="C15" s="16" t="n">
        <v>0.0587</v>
      </c>
      <c r="D15" s="16" t="n">
        <v>0.0893433207444097</v>
      </c>
      <c r="E15" s="16" t="n">
        <v>0.0950315375576127</v>
      </c>
      <c r="F15" s="16" t="n">
        <v>0.0319244313410138</v>
      </c>
      <c r="G15" s="16" t="n">
        <v>0.0842779771268098</v>
      </c>
      <c r="I15" s="18" t="n">
        <f aca="false">IF(AND(ISNUMBER(B15),ISNUMBER(B14)),B15-B14,"")</f>
        <v>146.742396825397</v>
      </c>
      <c r="J15" s="18" t="n">
        <f aca="false">C15-C14</f>
        <v>-0.0067</v>
      </c>
      <c r="K15" s="18" t="n">
        <f aca="false">D15-D14</f>
        <v>-0.0246226187787558</v>
      </c>
      <c r="L15" s="18" t="n">
        <f aca="false">E15-E14</f>
        <v>-0.0137496292897965</v>
      </c>
      <c r="M15" s="18" t="n">
        <f aca="false">F15-F14</f>
        <v>0.000602920672835385</v>
      </c>
      <c r="N15" s="18" t="n">
        <f aca="false">G14</f>
        <v>0.0985938738676382</v>
      </c>
    </row>
    <row r="16" customFormat="false" ht="15" hidden="false" customHeight="false" outlineLevel="0" collapsed="false">
      <c r="A16" s="11" t="s">
        <v>63</v>
      </c>
      <c r="B16" s="15" t="n">
        <v>386.901387096774</v>
      </c>
      <c r="C16" s="16" t="n">
        <v>0.0664</v>
      </c>
      <c r="D16" s="16" t="n">
        <v>0.0379736872499228</v>
      </c>
      <c r="E16" s="16" t="n">
        <v>0.0347947801855839</v>
      </c>
      <c r="F16" s="16" t="n">
        <v>0.0285430762810479</v>
      </c>
      <c r="G16" s="16" t="n">
        <v>0.092673486299768</v>
      </c>
      <c r="I16" s="18" t="n">
        <f aca="false">IF(AND(ISNUMBER(B16),ISNUMBER(B15)),B16-B15,"")</f>
        <v>-28.2266763952893</v>
      </c>
      <c r="J16" s="18" t="n">
        <f aca="false">C16-C15</f>
        <v>0.0077</v>
      </c>
      <c r="K16" s="18" t="n">
        <f aca="false">D16-D15</f>
        <v>-0.0513696334944869</v>
      </c>
      <c r="L16" s="18" t="n">
        <f aca="false">E16-E15</f>
        <v>-0.0602367573720288</v>
      </c>
      <c r="M16" s="18" t="n">
        <f aca="false">F16-F15</f>
        <v>-0.00338135505996591</v>
      </c>
      <c r="N16" s="18" t="n">
        <f aca="false">G15</f>
        <v>0.0842779771268098</v>
      </c>
    </row>
    <row r="17" customFormat="false" ht="15" hidden="false" customHeight="false" outlineLevel="0" collapsed="false">
      <c r="A17" s="11" t="s">
        <v>64</v>
      </c>
      <c r="B17" s="15" t="n">
        <v>482.238426229508</v>
      </c>
      <c r="C17" s="16" t="n">
        <v>0.0616</v>
      </c>
      <c r="D17" s="16" t="n">
        <v>0.00576829173150295</v>
      </c>
      <c r="E17" s="16" t="n">
        <v>0.00609959861693343</v>
      </c>
      <c r="F17" s="16" t="n">
        <v>0.0256079886958522</v>
      </c>
      <c r="G17" s="16" t="n">
        <v>0.0691231457663233</v>
      </c>
      <c r="I17" s="18" t="n">
        <f aca="false">IF(AND(ISNUMBER(B17),ISNUMBER(B16)),B17-B16,"")</f>
        <v>95.3370391327341</v>
      </c>
      <c r="J17" s="18" t="n">
        <f aca="false">C17-C16</f>
        <v>-0.0048</v>
      </c>
      <c r="K17" s="18" t="n">
        <f aca="false">D17-D16</f>
        <v>-0.0322053955184198</v>
      </c>
      <c r="L17" s="18" t="n">
        <f aca="false">E17-E16</f>
        <v>-0.0286951815686505</v>
      </c>
      <c r="M17" s="18" t="n">
        <f aca="false">F17-F16</f>
        <v>-0.0029350875851957</v>
      </c>
      <c r="N17" s="18" t="n">
        <f aca="false">G16</f>
        <v>0.092673486299768</v>
      </c>
    </row>
    <row r="18" customFormat="false" ht="15" hidden="false" customHeight="false" outlineLevel="0" collapsed="false">
      <c r="A18" s="11" t="s">
        <v>65</v>
      </c>
      <c r="B18" s="15" t="n">
        <v>556.653203125</v>
      </c>
      <c r="C18" s="16" t="n">
        <v>0.0634</v>
      </c>
      <c r="D18" s="16" t="n">
        <v>-0.0414443257073285</v>
      </c>
      <c r="E18" s="16" t="n">
        <v>-0.0328255925467914</v>
      </c>
      <c r="F18" s="16" t="n">
        <v>0.0232770938494175</v>
      </c>
      <c r="G18" s="16" t="n">
        <v>0.0545268547475248</v>
      </c>
      <c r="I18" s="18" t="n">
        <f aca="false">IF(AND(ISNUMBER(B18),ISNUMBER(B17)),B18-B17,"")</f>
        <v>74.4147768954915</v>
      </c>
      <c r="J18" s="18" t="n">
        <f aca="false">C18-C17</f>
        <v>0.0018</v>
      </c>
      <c r="K18" s="18" t="n">
        <f aca="false">D18-D17</f>
        <v>-0.0472126174388314</v>
      </c>
      <c r="L18" s="18" t="n">
        <f aca="false">E18-E17</f>
        <v>-0.0389251911637248</v>
      </c>
      <c r="M18" s="18" t="n">
        <f aca="false">F18-F17</f>
        <v>-0.00233089484643468</v>
      </c>
      <c r="N18" s="18" t="n">
        <f aca="false">G17</f>
        <v>0.0691231457663233</v>
      </c>
    </row>
    <row r="19" customFormat="false" ht="15" hidden="false" customHeight="false" outlineLevel="0" collapsed="false">
      <c r="A19" s="11" t="s">
        <v>66</v>
      </c>
      <c r="B19" s="15" t="n">
        <v>696.827171875</v>
      </c>
      <c r="C19" s="16" t="n">
        <v>0.0698</v>
      </c>
      <c r="D19" s="16" t="n">
        <v>-0.0310561338962782</v>
      </c>
      <c r="E19" s="16" t="n">
        <v>-0.0126062197467198</v>
      </c>
      <c r="F19" s="16" t="n">
        <v>0.0232351595546427</v>
      </c>
      <c r="G19" s="16" t="n">
        <v>0.060060161436698</v>
      </c>
      <c r="I19" s="18" t="n">
        <f aca="false">IF(AND(ISNUMBER(B19),ISNUMBER(B18)),B19-B18,"")</f>
        <v>140.17396875</v>
      </c>
      <c r="J19" s="18" t="n">
        <f aca="false">C19-C18</f>
        <v>0.0064</v>
      </c>
      <c r="K19" s="18" t="n">
        <f aca="false">D19-D18</f>
        <v>0.0103881918110503</v>
      </c>
      <c r="L19" s="18" t="n">
        <f aca="false">E19-E18</f>
        <v>0.0202193728000716</v>
      </c>
      <c r="M19" s="18" t="n">
        <f aca="false">F19-F18</f>
        <v>-4.19342947748196E-005</v>
      </c>
      <c r="N19" s="18" t="n">
        <f aca="false">G18</f>
        <v>0.0545268547475248</v>
      </c>
    </row>
    <row r="20" customFormat="false" ht="15" hidden="false" customHeight="false" outlineLevel="0" collapsed="false">
      <c r="A20" s="11" t="s">
        <v>67</v>
      </c>
      <c r="B20" s="15" t="n">
        <v>1696.59024193548</v>
      </c>
      <c r="C20" s="16" t="n">
        <v>0.0102</v>
      </c>
      <c r="D20" s="16" t="n">
        <v>-0.0433503245183842</v>
      </c>
      <c r="E20" s="16" t="n">
        <v>0.00821018468113888</v>
      </c>
      <c r="F20" s="16" t="n">
        <v>0.0205341223485445</v>
      </c>
      <c r="G20" s="16" t="n">
        <v>-0.019789908841391</v>
      </c>
      <c r="I20" s="18" t="n">
        <f aca="false">IF(AND(ISNUMBER(B20),ISNUMBER(B19)),B20-B19,"")</f>
        <v>999.763070060484</v>
      </c>
      <c r="J20" s="18" t="n">
        <f aca="false">C20-C19</f>
        <v>-0.0596</v>
      </c>
      <c r="K20" s="18" t="n">
        <f aca="false">D20-D19</f>
        <v>-0.012294190622106</v>
      </c>
      <c r="L20" s="18" t="n">
        <f aca="false">E20-E19</f>
        <v>0.0208164044278587</v>
      </c>
      <c r="M20" s="18" t="n">
        <f aca="false">F20-F19</f>
        <v>-0.00270103720609816</v>
      </c>
      <c r="N20" s="18" t="n">
        <f aca="false">G19</f>
        <v>0.060060161436698</v>
      </c>
    </row>
    <row r="21" customFormat="false" ht="15" hidden="false" customHeight="false" outlineLevel="0" collapsed="false">
      <c r="A21" s="11" t="s">
        <v>68</v>
      </c>
      <c r="B21" s="15" t="n">
        <v>1700.06040983607</v>
      </c>
      <c r="C21" s="16" t="n">
        <v>-0.0242</v>
      </c>
      <c r="D21" s="16" t="n">
        <v>-0.0939912544057393</v>
      </c>
      <c r="E21" s="16" t="n">
        <v>-0.0292286521142453</v>
      </c>
      <c r="F21" s="16" t="n">
        <v>0.0170542913939309</v>
      </c>
      <c r="G21" s="16" t="n">
        <v>-0.0618875514402444</v>
      </c>
      <c r="I21" s="18" t="n">
        <f aca="false">IF(AND(ISNUMBER(B21),ISNUMBER(B20)),B21-B20,"")</f>
        <v>3.47016790058183</v>
      </c>
      <c r="J21" s="18" t="n">
        <f aca="false">C21-C20</f>
        <v>-0.0344</v>
      </c>
      <c r="K21" s="18" t="n">
        <f aca="false">D21-D20</f>
        <v>-0.0506409298873551</v>
      </c>
      <c r="L21" s="18" t="n">
        <f aca="false">E21-E20</f>
        <v>-0.0374388367953842</v>
      </c>
      <c r="M21" s="18" t="n">
        <f aca="false">F21-F20</f>
        <v>-0.00347983095461357</v>
      </c>
      <c r="N21" s="18" t="n">
        <f aca="false">G20</f>
        <v>-0.019789908841391</v>
      </c>
    </row>
    <row r="22" customFormat="false" ht="15" hidden="false" customHeight="false" outlineLevel="0" collapsed="false">
      <c r="A22" s="11" t="s">
        <v>69</v>
      </c>
      <c r="B22" s="15" t="n">
        <v>1455.65919047619</v>
      </c>
      <c r="C22" s="16" t="n">
        <v>-0.022</v>
      </c>
      <c r="D22" s="16" t="n">
        <v>-0.121024937224579</v>
      </c>
      <c r="E22" s="16" t="n">
        <v>-0.0730327330801743</v>
      </c>
      <c r="F22" s="16" t="n">
        <v>0.00902295692768474</v>
      </c>
      <c r="G22" s="16" t="n">
        <v>-0.112745471526209</v>
      </c>
      <c r="I22" s="18" t="n">
        <f aca="false">IF(AND(ISNUMBER(B22),ISNUMBER(B21)),B22-B21,"")</f>
        <v>-244.401219359875</v>
      </c>
      <c r="J22" s="18" t="n">
        <f aca="false">C22-C21</f>
        <v>0.0022</v>
      </c>
      <c r="K22" s="18" t="n">
        <f aca="false">D22-D21</f>
        <v>-0.0270336828188397</v>
      </c>
      <c r="L22" s="18" t="n">
        <f aca="false">E22-E21</f>
        <v>-0.043804080965929</v>
      </c>
      <c r="M22" s="18" t="n">
        <f aca="false">F22-F21</f>
        <v>-0.0080313344662462</v>
      </c>
      <c r="N22" s="18" t="n">
        <f aca="false">G21</f>
        <v>-0.0618875514402444</v>
      </c>
    </row>
    <row r="23" customFormat="false" ht="15" hidden="false" customHeight="false" outlineLevel="0" collapsed="false">
      <c r="A23" s="11" t="s">
        <v>70</v>
      </c>
      <c r="B23" s="15" t="n">
        <v>921.669609375</v>
      </c>
      <c r="C23" s="16" t="n">
        <v>-0.0116</v>
      </c>
      <c r="D23" s="16" t="n">
        <v>-0.102129686835791</v>
      </c>
      <c r="E23" s="16" t="n">
        <v>-0.045861530337595</v>
      </c>
      <c r="F23" s="16" t="n">
        <v>0.000692745752247142</v>
      </c>
      <c r="G23" s="16" t="n">
        <v>-0.0565117996405296</v>
      </c>
      <c r="I23" s="18" t="n">
        <f aca="false">IF(AND(ISNUMBER(B23),ISNUMBER(B22)),B23-B22,"")</f>
        <v>-533.989581101191</v>
      </c>
      <c r="J23" s="18" t="n">
        <f aca="false">C23-C22</f>
        <v>0.0104</v>
      </c>
      <c r="K23" s="18" t="n">
        <f aca="false">D23-D22</f>
        <v>0.0188952503887881</v>
      </c>
      <c r="L23" s="18" t="n">
        <f aca="false">E23-E22</f>
        <v>0.0271712027425793</v>
      </c>
      <c r="M23" s="18" t="n">
        <f aca="false">F23-F22</f>
        <v>-0.0083302111754376</v>
      </c>
      <c r="N23" s="18" t="n">
        <f aca="false">G22</f>
        <v>-0.112745471526209</v>
      </c>
    </row>
    <row r="24" customFormat="false" ht="15" hidden="false" customHeight="false" outlineLevel="0" collapsed="false">
      <c r="A24" s="11" t="s">
        <v>71</v>
      </c>
      <c r="B24" s="15" t="n">
        <v>717.923774193549</v>
      </c>
      <c r="C24" s="16" t="n">
        <v>0.0533</v>
      </c>
      <c r="D24" s="16" t="n">
        <v>-0.0818636052035965</v>
      </c>
      <c r="E24" s="16" t="n">
        <v>-0.0516286645659259</v>
      </c>
      <c r="F24" s="16" t="n">
        <v>-0.00669065111177129</v>
      </c>
      <c r="G24" s="16" t="n">
        <v>0.00281998226127467</v>
      </c>
      <c r="I24" s="18" t="n">
        <f aca="false">IF(AND(ISNUMBER(B24),ISNUMBER(B23)),B24-B23,"")</f>
        <v>-203.745835181452</v>
      </c>
      <c r="J24" s="18" t="n">
        <f aca="false">C24-C23</f>
        <v>0.0649</v>
      </c>
      <c r="K24" s="18" t="n">
        <f aca="false">D24-D23</f>
        <v>0.0202660816321944</v>
      </c>
      <c r="L24" s="18" t="n">
        <f aca="false">E24-E23</f>
        <v>-0.00576713422833086</v>
      </c>
      <c r="M24" s="18" t="n">
        <f aca="false">F24-F23</f>
        <v>-0.00738339686401843</v>
      </c>
      <c r="N24" s="18" t="n">
        <f aca="false">G23</f>
        <v>-0.0565117996405296</v>
      </c>
    </row>
    <row r="25" customFormat="false" ht="15" hidden="false" customHeight="false" outlineLevel="0" collapsed="false">
      <c r="A25" s="11" t="s">
        <v>72</v>
      </c>
      <c r="B25" s="15" t="n">
        <v>733.365409836066</v>
      </c>
      <c r="C25" s="16" t="n">
        <v>0.0921</v>
      </c>
      <c r="D25" s="16" t="n">
        <v>-0.0453784606172778</v>
      </c>
      <c r="E25" s="16" t="n">
        <v>-0.0200868501071823</v>
      </c>
      <c r="F25" s="16" t="n">
        <v>-0.00943880193997824</v>
      </c>
      <c r="G25" s="16" t="n">
        <v>0.0571326910752132</v>
      </c>
      <c r="I25" s="18" t="n">
        <f aca="false">IF(AND(ISNUMBER(B25),ISNUMBER(B24)),B25-B24,"")</f>
        <v>15.4416356425168</v>
      </c>
      <c r="J25" s="18" t="n">
        <f aca="false">C25-C24</f>
        <v>0.0388</v>
      </c>
      <c r="K25" s="18" t="n">
        <f aca="false">D25-D24</f>
        <v>0.0364851445863187</v>
      </c>
      <c r="L25" s="18" t="n">
        <f aca="false">E25-E24</f>
        <v>0.0315418144587436</v>
      </c>
      <c r="M25" s="18" t="n">
        <f aca="false">F25-F24</f>
        <v>-0.00274815082820695</v>
      </c>
      <c r="N25" s="18" t="n">
        <f aca="false">G24</f>
        <v>0.00281998226127467</v>
      </c>
    </row>
    <row r="26" customFormat="false" ht="15" hidden="false" customHeight="false" outlineLevel="0" collapsed="false">
      <c r="A26" s="11" t="s">
        <v>73</v>
      </c>
      <c r="B26" s="15" t="n">
        <v>733.829920634921</v>
      </c>
      <c r="C26" s="16" t="n">
        <v>0.0852</v>
      </c>
      <c r="D26" s="16" t="n">
        <v>0.0701206886265153</v>
      </c>
      <c r="E26" s="16" t="n">
        <v>0.0734871227440328</v>
      </c>
      <c r="F26" s="16" t="n">
        <v>-0.00509602731466338</v>
      </c>
      <c r="G26" s="16" t="n">
        <v>0.162441995090574</v>
      </c>
      <c r="I26" s="18" t="n">
        <f aca="false">IF(AND(ISNUMBER(B26),ISNUMBER(B25)),B26-B25,"")</f>
        <v>0.464510798855258</v>
      </c>
      <c r="J26" s="18" t="n">
        <f aca="false">C26-C25</f>
        <v>-0.00690000000000002</v>
      </c>
      <c r="K26" s="18" t="n">
        <f aca="false">D26-D25</f>
        <v>0.115499149243793</v>
      </c>
      <c r="L26" s="18" t="n">
        <f aca="false">E26-E25</f>
        <v>0.0935739728512151</v>
      </c>
      <c r="M26" s="18" t="n">
        <f aca="false">F26-F25</f>
        <v>0.00434277462531486</v>
      </c>
      <c r="N26" s="18" t="n">
        <f aca="false">G25</f>
        <v>0.0571326910752132</v>
      </c>
    </row>
    <row r="27" customFormat="false" ht="15" hidden="false" customHeight="false" outlineLevel="0" collapsed="false">
      <c r="A27" s="11" t="s">
        <v>74</v>
      </c>
      <c r="B27" s="15" t="n">
        <v>711.107390625</v>
      </c>
      <c r="C27" s="16" t="n">
        <v>0.0691</v>
      </c>
      <c r="D27" s="16" t="n">
        <v>0.0832314622130852</v>
      </c>
      <c r="E27" s="16" t="n">
        <v>0.0611211881699143</v>
      </c>
      <c r="F27" s="16" t="n">
        <v>-0.00268335289896249</v>
      </c>
      <c r="G27" s="16" t="n">
        <v>0.0950774236722809</v>
      </c>
      <c r="I27" s="18" t="n">
        <f aca="false">IF(AND(ISNUMBER(B27),ISNUMBER(B26)),B27-B26,"")</f>
        <v>-22.7225300099209</v>
      </c>
      <c r="J27" s="18" t="n">
        <f aca="false">C27-C26</f>
        <v>-0.0161</v>
      </c>
      <c r="K27" s="18" t="n">
        <f aca="false">D27-D26</f>
        <v>0.0131107735865699</v>
      </c>
      <c r="L27" s="18" t="n">
        <f aca="false">E27-E26</f>
        <v>-0.0123659345741185</v>
      </c>
      <c r="M27" s="18" t="n">
        <f aca="false">F27-F26</f>
        <v>0.00241267441570089</v>
      </c>
      <c r="N27" s="18" t="n">
        <f aca="false">G26</f>
        <v>0.162441995090574</v>
      </c>
    </row>
    <row r="28" customFormat="false" ht="15" hidden="false" customHeight="false" outlineLevel="0" collapsed="false">
      <c r="A28" s="11" t="s">
        <v>75</v>
      </c>
      <c r="B28" s="15" t="n">
        <v>545.358806451613</v>
      </c>
      <c r="C28" s="16" t="n">
        <v>0.0569</v>
      </c>
      <c r="D28" s="16" t="n">
        <v>0.114478472935433</v>
      </c>
      <c r="E28" s="16" t="n">
        <v>0.0899428801072737</v>
      </c>
      <c r="F28" s="16" t="n">
        <v>-0.00484785281976724</v>
      </c>
      <c r="G28" s="16" t="n">
        <v>0.0860979311042298</v>
      </c>
      <c r="I28" s="18" t="n">
        <f aca="false">IF(AND(ISNUMBER(B28),ISNUMBER(B27)),B28-B27,"")</f>
        <v>-165.748584173387</v>
      </c>
      <c r="J28" s="18" t="n">
        <f aca="false">C28-C27</f>
        <v>-0.0122</v>
      </c>
      <c r="K28" s="18" t="n">
        <f aca="false">D28-D27</f>
        <v>0.0312470107223477</v>
      </c>
      <c r="L28" s="18" t="n">
        <f aca="false">E28-E27</f>
        <v>0.0288216919373594</v>
      </c>
      <c r="M28" s="18" t="n">
        <f aca="false">F28-F27</f>
        <v>-0.00216449992080475</v>
      </c>
      <c r="N28" s="18" t="n">
        <f aca="false">G27</f>
        <v>0.0950774236722809</v>
      </c>
    </row>
    <row r="29" customFormat="false" ht="15" hidden="false" customHeight="false" outlineLevel="0" collapsed="false">
      <c r="A29" s="11" t="s">
        <v>76</v>
      </c>
      <c r="B29" s="15" t="n">
        <v>532.410096774194</v>
      </c>
      <c r="C29" s="16" t="n">
        <v>0.0519</v>
      </c>
      <c r="D29" s="16" t="n">
        <v>0.156755092089227</v>
      </c>
      <c r="E29" s="16" t="n">
        <v>0.1251767611687</v>
      </c>
      <c r="F29" s="16" t="n">
        <v>-0.00333979628594599</v>
      </c>
      <c r="G29" s="16" t="n">
        <v>0.0829261625044686</v>
      </c>
      <c r="I29" s="18" t="n">
        <f aca="false">IF(AND(ISNUMBER(B29),ISNUMBER(B28)),B29-B28,"")</f>
        <v>-12.9487096774192</v>
      </c>
      <c r="J29" s="18" t="n">
        <f aca="false">C29-C28</f>
        <v>-0.00499999999999999</v>
      </c>
      <c r="K29" s="18" t="n">
        <f aca="false">D29-D28</f>
        <v>0.0422766191537938</v>
      </c>
      <c r="L29" s="18" t="n">
        <f aca="false">E29-E28</f>
        <v>0.0352338810614263</v>
      </c>
      <c r="M29" s="18" t="n">
        <f aca="false">F29-F28</f>
        <v>0.00150805653382125</v>
      </c>
      <c r="N29" s="18" t="n">
        <f aca="false">G28</f>
        <v>0.0860979311042298</v>
      </c>
    </row>
    <row r="30" customFormat="false" ht="15" hidden="false" customHeight="false" outlineLevel="0" collapsed="false">
      <c r="A30" s="11" t="s">
        <v>77</v>
      </c>
      <c r="B30" s="15" t="n">
        <v>573.933</v>
      </c>
      <c r="C30" s="16" t="n">
        <v>0.047</v>
      </c>
      <c r="D30" s="16" t="n">
        <v>0.118095794149657</v>
      </c>
      <c r="E30" s="16" t="n">
        <v>0.105783914038355</v>
      </c>
      <c r="F30" s="16" t="n">
        <v>-0.0043935989265737</v>
      </c>
      <c r="G30" s="16" t="n">
        <v>0.0444334376577356</v>
      </c>
      <c r="I30" s="18" t="n">
        <f aca="false">IF(AND(ISNUMBER(B30),ISNUMBER(B29)),B30-B29,"")</f>
        <v>41.5229032258063</v>
      </c>
      <c r="J30" s="18" t="n">
        <f aca="false">C30-C29</f>
        <v>-0.0049</v>
      </c>
      <c r="K30" s="18" t="n">
        <f aca="false">D30-D29</f>
        <v>-0.0386592979395697</v>
      </c>
      <c r="L30" s="18" t="n">
        <f aca="false">E30-E29</f>
        <v>-0.0193928471303448</v>
      </c>
      <c r="M30" s="18" t="n">
        <f aca="false">F30-F29</f>
        <v>-0.00105380264062771</v>
      </c>
      <c r="N30" s="18" t="n">
        <f aca="false">G29</f>
        <v>0.0829261625044686</v>
      </c>
    </row>
    <row r="31" customFormat="false" ht="15" hidden="false" customHeight="false" outlineLevel="0" collapsed="false">
      <c r="A31" s="11" t="s">
        <v>78</v>
      </c>
      <c r="B31" s="15" t="n">
        <v>732.377625</v>
      </c>
      <c r="C31" s="16" t="n">
        <v>0.0353</v>
      </c>
      <c r="D31" s="16" t="n">
        <v>0.124916134258139</v>
      </c>
      <c r="E31" s="16" t="n">
        <v>0.112212463576412</v>
      </c>
      <c r="F31" s="16" t="n">
        <v>-0.00791659877515082</v>
      </c>
      <c r="G31" s="16" t="n">
        <v>0.0640936718081673</v>
      </c>
      <c r="I31" s="18" t="n">
        <f aca="false">IF(AND(ISNUMBER(B31),ISNUMBER(B30)),B31-B30,"")</f>
        <v>158.444625</v>
      </c>
      <c r="J31" s="18" t="n">
        <f aca="false">C31-C30</f>
        <v>-0.0117</v>
      </c>
      <c r="K31" s="18" t="n">
        <f aca="false">D31-D30</f>
        <v>0.0068203401084819</v>
      </c>
      <c r="L31" s="18" t="n">
        <f aca="false">E31-E30</f>
        <v>0.0064285495380567</v>
      </c>
      <c r="M31" s="18" t="n">
        <f aca="false">F31-F30</f>
        <v>-0.00352299984857712</v>
      </c>
      <c r="N31" s="18" t="n">
        <f aca="false">G30</f>
        <v>0.0444334376577356</v>
      </c>
    </row>
    <row r="32" customFormat="false" ht="15" hidden="false" customHeight="false" outlineLevel="0" collapsed="false">
      <c r="A32" s="11" t="s">
        <v>79</v>
      </c>
      <c r="B32" s="15" t="n">
        <v>906.962666666667</v>
      </c>
      <c r="C32" s="16" t="n">
        <v>0.0257</v>
      </c>
      <c r="D32" s="16" t="n">
        <v>0.0978916859729002</v>
      </c>
      <c r="E32" s="16" t="n">
        <v>0.0925549924421212</v>
      </c>
      <c r="F32" s="16" t="n">
        <v>-0.00855438931333103</v>
      </c>
      <c r="G32" s="16" t="n">
        <v>0.0521713189216535</v>
      </c>
      <c r="I32" s="18" t="n">
        <f aca="false">IF(AND(ISNUMBER(B32),ISNUMBER(B31)),B32-B31,"")</f>
        <v>174.585041666667</v>
      </c>
      <c r="J32" s="18" t="n">
        <f aca="false">C32-C31</f>
        <v>-0.0096</v>
      </c>
      <c r="K32" s="18" t="n">
        <f aca="false">D32-D31</f>
        <v>-0.0270244482852387</v>
      </c>
      <c r="L32" s="18" t="n">
        <f aca="false">E32-E31</f>
        <v>-0.0196574711342907</v>
      </c>
      <c r="M32" s="18" t="n">
        <f aca="false">F32-F31</f>
        <v>-0.000637790538180211</v>
      </c>
      <c r="N32" s="18" t="n">
        <f aca="false">G31</f>
        <v>0.0640936718081673</v>
      </c>
    </row>
    <row r="33" customFormat="false" ht="15" hidden="false" customHeight="false" outlineLevel="0" collapsed="false">
      <c r="A33" s="11" t="s">
        <v>80</v>
      </c>
      <c r="B33" s="15" t="n">
        <v>831.861633870968</v>
      </c>
      <c r="C33" s="16" t="n">
        <v>0.0171</v>
      </c>
      <c r="D33" s="16" t="n">
        <v>0.068851867103453</v>
      </c>
      <c r="E33" s="16" t="n">
        <v>0.0620545390001266</v>
      </c>
      <c r="F33" s="16" t="n">
        <v>-0.00955595061984585</v>
      </c>
      <c r="G33" s="16" t="n">
        <v>0.0156424693190642</v>
      </c>
      <c r="I33" s="18" t="n">
        <f aca="false">IF(AND(ISNUMBER(B33),ISNUMBER(B32)),B33-B32,"")</f>
        <v>-75.1010327956988</v>
      </c>
      <c r="J33" s="18" t="n">
        <f aca="false">C33-C32</f>
        <v>-0.0086</v>
      </c>
      <c r="K33" s="18" t="n">
        <f aca="false">D33-D32</f>
        <v>-0.0290398188694472</v>
      </c>
      <c r="L33" s="18" t="n">
        <f aca="false">E33-E32</f>
        <v>-0.0305004534419946</v>
      </c>
      <c r="M33" s="18" t="n">
        <f aca="false">F33-F32</f>
        <v>-0.00100156130651481</v>
      </c>
      <c r="N33" s="18" t="n">
        <f aca="false">G32</f>
        <v>0.0521713189216535</v>
      </c>
    </row>
    <row r="34" customFormat="false" ht="15" hidden="false" customHeight="false" outlineLevel="0" collapsed="false">
      <c r="A34" s="11" t="s">
        <v>81</v>
      </c>
      <c r="B34" s="15" t="n">
        <v>1063.70031904762</v>
      </c>
      <c r="C34" s="16" t="n">
        <v>0.0099</v>
      </c>
      <c r="D34" s="16" t="n">
        <v>0.042741373530764</v>
      </c>
      <c r="E34" s="16" t="n">
        <v>0.0457795868219466</v>
      </c>
      <c r="F34" s="16" t="n">
        <v>-0.0125586410651718</v>
      </c>
      <c r="G34" s="16" t="n">
        <v>-0.0463175722342237</v>
      </c>
      <c r="I34" s="18" t="n">
        <f aca="false">IF(AND(ISNUMBER(B34),ISNUMBER(B33)),B34-B33,"")</f>
        <v>231.838685176651</v>
      </c>
      <c r="J34" s="18" t="n">
        <f aca="false">C34-C33</f>
        <v>-0.0072</v>
      </c>
      <c r="K34" s="18" t="n">
        <f aca="false">D34-D33</f>
        <v>-0.026110493572689</v>
      </c>
      <c r="L34" s="18" t="n">
        <f aca="false">E34-E33</f>
        <v>-0.01627495217818</v>
      </c>
      <c r="M34" s="18" t="n">
        <f aca="false">F34-F33</f>
        <v>-0.00300269044532598</v>
      </c>
      <c r="N34" s="18" t="n">
        <f aca="false">G33</f>
        <v>0.0156424693190642</v>
      </c>
    </row>
    <row r="35" customFormat="false" ht="15" hidden="false" customHeight="false" outlineLevel="0" collapsed="false">
      <c r="A35" s="11" t="s">
        <v>82</v>
      </c>
      <c r="B35" s="15" t="n">
        <v>1019.98701587302</v>
      </c>
      <c r="C35" s="16" t="n">
        <v>0.0249</v>
      </c>
      <c r="D35" s="16" t="n">
        <v>0.0813586595172222</v>
      </c>
      <c r="E35" s="16" t="n">
        <v>0.112108810343498</v>
      </c>
      <c r="F35" s="16" t="n">
        <v>-0.0113027241609998</v>
      </c>
      <c r="G35" s="16" t="n">
        <v>-0.0111829419552486</v>
      </c>
      <c r="I35" s="18" t="n">
        <f aca="false">IF(AND(ISNUMBER(B35),ISNUMBER(B34)),B35-B34,"")</f>
        <v>-43.7133031746029</v>
      </c>
      <c r="J35" s="18" t="n">
        <f aca="false">C35-C34</f>
        <v>0.015</v>
      </c>
      <c r="K35" s="18" t="n">
        <f aca="false">D35-D34</f>
        <v>0.0386172859864582</v>
      </c>
      <c r="L35" s="18" t="n">
        <f aca="false">E35-E34</f>
        <v>0.0663292235215516</v>
      </c>
      <c r="M35" s="18" t="n">
        <f aca="false">F35-F34</f>
        <v>0.00125591690417205</v>
      </c>
      <c r="N35" s="18" t="n">
        <f aca="false">G34</f>
        <v>-0.0463175722342237</v>
      </c>
    </row>
    <row r="36" customFormat="false" ht="15" hidden="false" customHeight="false" outlineLevel="0" collapsed="false">
      <c r="A36" s="11" t="s">
        <v>83</v>
      </c>
      <c r="B36" s="15" t="n">
        <v>1036.44275</v>
      </c>
      <c r="C36" s="16" t="n">
        <v>0.0248</v>
      </c>
      <c r="D36" s="16" t="n">
        <v>0.120861080407254</v>
      </c>
      <c r="E36" s="16" t="n">
        <v>0.142539933794164</v>
      </c>
      <c r="F36" s="16" t="n">
        <v>-0.0126115843108923</v>
      </c>
      <c r="G36" s="16" t="n">
        <v>0.00555804016441552</v>
      </c>
      <c r="I36" s="18" t="n">
        <f aca="false">IF(AND(ISNUMBER(B36),ISNUMBER(B35)),B36-B35,"")</f>
        <v>16.4557341269839</v>
      </c>
      <c r="J36" s="18" t="n">
        <f aca="false">C36-C35</f>
        <v>-9.99999999999994E-005</v>
      </c>
      <c r="K36" s="18" t="n">
        <f aca="false">D36-D35</f>
        <v>0.0395024208900321</v>
      </c>
      <c r="L36" s="18" t="n">
        <f aca="false">E36-E35</f>
        <v>0.0304311234506662</v>
      </c>
      <c r="M36" s="18" t="n">
        <f aca="false">F36-F35</f>
        <v>-0.00130886014989251</v>
      </c>
      <c r="N36" s="18" t="n">
        <f aca="false">G35</f>
        <v>-0.0111829419552486</v>
      </c>
    </row>
    <row r="37" customFormat="false" ht="15" hidden="false" customHeight="false" outlineLevel="0" collapsed="false">
      <c r="A37" s="11" t="s">
        <v>84</v>
      </c>
      <c r="B37" s="15" t="n">
        <v>1125.36748333333</v>
      </c>
      <c r="C37" s="16" t="n">
        <v>0.0272</v>
      </c>
      <c r="D37" s="16" t="n">
        <v>0.107248415474464</v>
      </c>
      <c r="E37" s="16" t="n">
        <v>0.109151497090353</v>
      </c>
      <c r="F37" s="16" t="n">
        <v>-0.0143683867155794</v>
      </c>
      <c r="G37" s="16" t="n">
        <v>0.00654025144614989</v>
      </c>
      <c r="I37" s="18" t="n">
        <f aca="false">IF(AND(ISNUMBER(B37),ISNUMBER(B36)),B37-B36,"")</f>
        <v>88.9247333333331</v>
      </c>
      <c r="J37" s="18" t="n">
        <f aca="false">C37-C36</f>
        <v>0.0024</v>
      </c>
      <c r="K37" s="18" t="n">
        <f aca="false">D37-D36</f>
        <v>-0.0136126649327899</v>
      </c>
      <c r="L37" s="18" t="n">
        <f aca="false">E37-E36</f>
        <v>-0.0333884367038117</v>
      </c>
      <c r="M37" s="18" t="n">
        <f aca="false">F37-F36</f>
        <v>-0.00175680240468713</v>
      </c>
      <c r="N37" s="18" t="n">
        <f aca="false">G36</f>
        <v>0.00555804016441552</v>
      </c>
    </row>
    <row r="38" customFormat="false" ht="15" hidden="false" customHeight="false" outlineLevel="0" collapsed="false">
      <c r="A38" s="11" t="s">
        <v>85</v>
      </c>
      <c r="B38" s="15" t="n">
        <v>1200.253</v>
      </c>
      <c r="C38" s="16" t="n">
        <v>0.0402</v>
      </c>
      <c r="D38" s="16" t="n">
        <v>0.108154333714891</v>
      </c>
      <c r="E38" s="16" t="n">
        <v>0.110236615534545</v>
      </c>
      <c r="F38" s="16" t="n">
        <v>-0.0131158023590668</v>
      </c>
      <c r="G38" s="16" t="n">
        <v>0.0624602349363816</v>
      </c>
      <c r="I38" s="18" t="n">
        <f aca="false">IF(AND(ISNUMBER(B38),ISNUMBER(B37)),B38-B37,"")</f>
        <v>74.8855166666669</v>
      </c>
      <c r="J38" s="18" t="n">
        <f aca="false">C38-C37</f>
        <v>0.013</v>
      </c>
      <c r="K38" s="18" t="n">
        <f aca="false">D38-D37</f>
        <v>0.000905918240426698</v>
      </c>
      <c r="L38" s="18" t="n">
        <f aca="false">E38-E37</f>
        <v>0.0010851184441924</v>
      </c>
      <c r="M38" s="18" t="n">
        <f aca="false">F38-F37</f>
        <v>0.00125258435651265</v>
      </c>
      <c r="N38" s="18" t="n">
        <f aca="false">G37</f>
        <v>0.00654025144614989</v>
      </c>
    </row>
    <row r="39" customFormat="false" ht="15" hidden="false" customHeight="false" outlineLevel="0" collapsed="false">
      <c r="A39" s="11" t="s">
        <v>86</v>
      </c>
      <c r="B39" s="15" t="n">
        <v>1090.527046875</v>
      </c>
      <c r="C39" s="16" t="n">
        <v>0.0276</v>
      </c>
      <c r="D39" s="16" t="n">
        <v>0.0412334785190116</v>
      </c>
      <c r="E39" s="16" t="n">
        <v>0.0325763832684258</v>
      </c>
      <c r="F39" s="16" t="n">
        <v>-0.017181481296823</v>
      </c>
      <c r="G39" s="16" t="n">
        <v>0.0255838987402566</v>
      </c>
      <c r="I39" s="18" t="n">
        <f aca="false">IF(AND(ISNUMBER(B39),ISNUMBER(B38)),B39-B38,"")</f>
        <v>-109.725953125</v>
      </c>
      <c r="J39" s="18" t="n">
        <f aca="false">C39-C38</f>
        <v>-0.0126</v>
      </c>
      <c r="K39" s="18" t="n">
        <f aca="false">D39-D38</f>
        <v>-0.0669208551958795</v>
      </c>
      <c r="L39" s="18" t="n">
        <f aca="false">E39-E38</f>
        <v>-0.0776602322661193</v>
      </c>
      <c r="M39" s="18" t="n">
        <f aca="false">F39-F38</f>
        <v>-0.00406567893775619</v>
      </c>
      <c r="N39" s="18" t="n">
        <f aca="false">G38</f>
        <v>0.0624602349363816</v>
      </c>
    </row>
    <row r="40" customFormat="false" ht="15" hidden="false" customHeight="false" outlineLevel="0" collapsed="false">
      <c r="A40" s="11" t="s">
        <v>87</v>
      </c>
      <c r="B40" s="15" t="n">
        <v>854.052754098361</v>
      </c>
      <c r="C40" s="16" t="n">
        <v>0.0253</v>
      </c>
      <c r="D40" s="16" t="n">
        <v>-0.0160774079518586</v>
      </c>
      <c r="E40" s="16" t="n">
        <v>-0.0304774941480642</v>
      </c>
      <c r="F40" s="16" t="n">
        <v>-0.0244587752237886</v>
      </c>
      <c r="G40" s="16" t="n">
        <v>-0.000510205754616022</v>
      </c>
      <c r="I40" s="18" t="n">
        <f aca="false">IF(AND(ISNUMBER(B40),ISNUMBER(B39)),B40-B39,"")</f>
        <v>-236.474292776639</v>
      </c>
      <c r="J40" s="18" t="n">
        <f aca="false">C40-C39</f>
        <v>-0.0023</v>
      </c>
      <c r="K40" s="18" t="n">
        <f aca="false">D40-D39</f>
        <v>-0.0573108864708702</v>
      </c>
      <c r="L40" s="18" t="n">
        <f aca="false">E40-E39</f>
        <v>-0.0630538774164901</v>
      </c>
      <c r="M40" s="18" t="n">
        <f aca="false">F40-F39</f>
        <v>-0.00727729392696567</v>
      </c>
      <c r="N40" s="18" t="n">
        <f aca="false">G39</f>
        <v>0.0255838987402566</v>
      </c>
    </row>
    <row r="41" customFormat="false" ht="15" hidden="false" customHeight="false" outlineLevel="0" collapsed="false">
      <c r="A41" s="11" t="s">
        <v>88</v>
      </c>
      <c r="B41" s="15" t="n">
        <v>926.047377049181</v>
      </c>
      <c r="C41" s="16" t="n">
        <v>0.0347</v>
      </c>
      <c r="D41" s="16" t="n">
        <v>-0.111957420383261</v>
      </c>
      <c r="E41" s="16" t="n">
        <v>-0.114758840789371</v>
      </c>
      <c r="F41" s="16" t="n">
        <v>-0.025643174359677</v>
      </c>
      <c r="G41" s="16" t="n">
        <v>-0.00889028383967849</v>
      </c>
      <c r="I41" s="18" t="n">
        <f aca="false">IF(AND(ISNUMBER(B41),ISNUMBER(B40)),B41-B40,"")</f>
        <v>71.9946229508196</v>
      </c>
      <c r="J41" s="18" t="n">
        <f aca="false">C41-C40</f>
        <v>0.00939999999999999</v>
      </c>
      <c r="K41" s="18" t="n">
        <f aca="false">D41-D40</f>
        <v>-0.0958800124314026</v>
      </c>
      <c r="L41" s="18" t="n">
        <f aca="false">E41-E40</f>
        <v>-0.0842813466413068</v>
      </c>
      <c r="M41" s="18" t="n">
        <f aca="false">F41-F40</f>
        <v>-0.00118439913588839</v>
      </c>
      <c r="N41" s="18" t="n">
        <f aca="false">G40</f>
        <v>-0.000510205754616022</v>
      </c>
    </row>
    <row r="42" customFormat="false" ht="15" hidden="false" customHeight="false" outlineLevel="0" collapsed="false">
      <c r="A42" s="11" t="s">
        <v>89</v>
      </c>
      <c r="B42" s="15" t="n">
        <v>782.844825396825</v>
      </c>
      <c r="C42" s="16" t="n">
        <v>-0.0044</v>
      </c>
      <c r="D42" s="16" t="n">
        <v>-0.14532455085246</v>
      </c>
      <c r="E42" s="16" t="n">
        <v>-0.151433708670598</v>
      </c>
      <c r="F42" s="16" t="n">
        <v>-0.0297486529976643</v>
      </c>
      <c r="G42" s="16" t="n">
        <v>-0.0204893869308982</v>
      </c>
      <c r="I42" s="18" t="n">
        <f aca="false">IF(AND(ISNUMBER(B42),ISNUMBER(B41)),B42-B41,"")</f>
        <v>-143.202551652355</v>
      </c>
      <c r="J42" s="18" t="n">
        <f aca="false">C42-C41</f>
        <v>-0.0391</v>
      </c>
      <c r="K42" s="18" t="n">
        <f aca="false">D42-D41</f>
        <v>-0.0333671304691989</v>
      </c>
      <c r="L42" s="18" t="n">
        <f aca="false">E42-E41</f>
        <v>-0.0366748678812265</v>
      </c>
      <c r="M42" s="18" t="n">
        <f aca="false">F42-F41</f>
        <v>-0.00410547863798731</v>
      </c>
      <c r="N42" s="18" t="n">
        <f aca="false">G41</f>
        <v>-0.00889028383967849</v>
      </c>
    </row>
    <row r="43" customFormat="false" ht="15" hidden="false" customHeight="false" outlineLevel="0" collapsed="false">
      <c r="A43" s="11" t="s">
        <v>90</v>
      </c>
      <c r="B43" s="15" t="n">
        <v>709.32415625</v>
      </c>
      <c r="C43" s="16" t="n">
        <v>-0.0064</v>
      </c>
      <c r="D43" s="16" t="n">
        <v>-0.14803025350379</v>
      </c>
      <c r="E43" s="16" t="n">
        <v>-0.138372355737692</v>
      </c>
      <c r="F43" s="16" t="n">
        <v>-0.0341635822640758</v>
      </c>
      <c r="G43" s="16" t="n">
        <v>-0.0423851505475772</v>
      </c>
      <c r="I43" s="18" t="n">
        <f aca="false">IF(AND(ISNUMBER(B43),ISNUMBER(B42)),B43-B42,"")</f>
        <v>-73.5206691468252</v>
      </c>
      <c r="J43" s="18" t="n">
        <f aca="false">C43-C42</f>
        <v>-0.002</v>
      </c>
      <c r="K43" s="18" t="n">
        <f aca="false">D43-D42</f>
        <v>-0.00270570265133011</v>
      </c>
      <c r="L43" s="18" t="n">
        <f aca="false">E43-E42</f>
        <v>0.0130613529329055</v>
      </c>
      <c r="M43" s="18" t="n">
        <f aca="false">F43-F42</f>
        <v>-0.00441492926641144</v>
      </c>
      <c r="N43" s="18" t="n">
        <f aca="false">G42</f>
        <v>-0.0204893869308982</v>
      </c>
    </row>
    <row r="44" customFormat="false" ht="15" hidden="false" customHeight="false" outlineLevel="0" collapsed="false">
      <c r="A44" s="11" t="s">
        <v>91</v>
      </c>
      <c r="B44" s="15" t="n">
        <v>730.34393442623</v>
      </c>
      <c r="C44" s="16" t="n">
        <v>-0.0023</v>
      </c>
      <c r="D44" s="16" t="n">
        <v>-0.127371025772678</v>
      </c>
      <c r="E44" s="16" t="n">
        <v>-0.0907464994660634</v>
      </c>
      <c r="F44" s="16" t="n">
        <v>-0.0346554193393561</v>
      </c>
      <c r="G44" s="16" t="n">
        <v>-0.0281573013880524</v>
      </c>
      <c r="I44" s="18" t="n">
        <f aca="false">IF(AND(ISNUMBER(B44),ISNUMBER(B43)),B44-B43,"")</f>
        <v>21.0197781762296</v>
      </c>
      <c r="J44" s="18" t="n">
        <f aca="false">C44-C43</f>
        <v>0.0041</v>
      </c>
      <c r="K44" s="18" t="n">
        <f aca="false">D44-D43</f>
        <v>0.0206592277311123</v>
      </c>
      <c r="L44" s="18" t="n">
        <f aca="false">E44-E43</f>
        <v>0.0476258562716286</v>
      </c>
      <c r="M44" s="18" t="n">
        <f aca="false">F44-F43</f>
        <v>-0.000491837075280319</v>
      </c>
      <c r="N44" s="18" t="n">
        <f aca="false">G43</f>
        <v>-0.0423851505475772</v>
      </c>
    </row>
    <row r="45" customFormat="false" ht="15" hidden="false" customHeight="false" outlineLevel="0" collapsed="false">
      <c r="A45" s="11" t="s">
        <v>92</v>
      </c>
      <c r="B45" s="15" t="n">
        <v>667.094442622951</v>
      </c>
      <c r="C45" s="16" t="n">
        <v>-0.0161</v>
      </c>
      <c r="D45" s="16" t="n">
        <v>1.31761638200167E-006</v>
      </c>
      <c r="E45" s="16" t="n">
        <v>0.00628195685987731</v>
      </c>
      <c r="F45" s="16" t="n">
        <v>-0.0384512526355543</v>
      </c>
      <c r="G45" s="16" t="n">
        <v>0.00250908947797246</v>
      </c>
      <c r="I45" s="18" t="n">
        <f aca="false">IF(AND(ISNUMBER(B45),ISNUMBER(B44)),B45-B44,"")</f>
        <v>-63.2494918032786</v>
      </c>
      <c r="J45" s="18" t="n">
        <f aca="false">C45-C44</f>
        <v>-0.0138</v>
      </c>
      <c r="K45" s="18" t="n">
        <f aca="false">D45-D44</f>
        <v>0.12737234338906</v>
      </c>
      <c r="L45" s="18" t="n">
        <f aca="false">E45-E44</f>
        <v>0.0970284563259407</v>
      </c>
      <c r="M45" s="18" t="n">
        <f aca="false">F45-F44</f>
        <v>-0.00379583329619817</v>
      </c>
      <c r="N45" s="18" t="n">
        <f aca="false">G44</f>
        <v>-0.0281573013880524</v>
      </c>
    </row>
    <row r="46" customFormat="false" ht="15" hidden="false" customHeight="false" outlineLevel="0" collapsed="false">
      <c r="A46" s="11" t="s">
        <v>93</v>
      </c>
      <c r="B46" s="15" t="n">
        <v>597.646153846154</v>
      </c>
      <c r="C46" s="16" t="n">
        <v>-0.0273</v>
      </c>
      <c r="D46" s="16" t="n">
        <v>0.079306676131361</v>
      </c>
      <c r="E46" s="16" t="n">
        <v>0.101200094474078</v>
      </c>
      <c r="F46" s="16" t="n">
        <v>-0.0406277451673595</v>
      </c>
      <c r="G46" s="16" t="n">
        <v>0.0403103203233863</v>
      </c>
      <c r="I46" s="18" t="n">
        <f aca="false">IF(AND(ISNUMBER(B46),ISNUMBER(B45)),B46-B45,"")</f>
        <v>-69.448288776797</v>
      </c>
      <c r="J46" s="18" t="n">
        <f aca="false">C46-C45</f>
        <v>-0.0112</v>
      </c>
      <c r="K46" s="18" t="n">
        <f aca="false">D46-D45</f>
        <v>0.079305358514979</v>
      </c>
      <c r="L46" s="18" t="n">
        <f aca="false">E46-E45</f>
        <v>0.0949181376142003</v>
      </c>
      <c r="M46" s="18" t="n">
        <f aca="false">F46-F45</f>
        <v>-0.00217649253180521</v>
      </c>
      <c r="N46" s="18" t="n">
        <f aca="false">G45</f>
        <v>0.00250908947797246</v>
      </c>
    </row>
    <row r="47" customFormat="false" ht="15" hidden="false" customHeight="false" outlineLevel="0" collapsed="false">
      <c r="A47" s="11" t="s">
        <v>94</v>
      </c>
      <c r="B47" s="15" t="n">
        <v>585.257575757576</v>
      </c>
      <c r="C47" s="16" t="n">
        <v>-0.0426</v>
      </c>
      <c r="D47" s="16" t="n">
        <v>0.0573749097069822</v>
      </c>
      <c r="E47" s="16" t="n">
        <v>0.0560260007251707</v>
      </c>
      <c r="F47" s="16" t="n">
        <v>-0.0398545603507998</v>
      </c>
      <c r="G47" s="16" t="n">
        <v>0.0396616998607275</v>
      </c>
      <c r="I47" s="18" t="n">
        <f aca="false">IF(AND(ISNUMBER(B47),ISNUMBER(B46)),B47-B46,"")</f>
        <v>-12.3885780885781</v>
      </c>
      <c r="J47" s="18" t="n">
        <f aca="false">C47-C46</f>
        <v>-0.0153</v>
      </c>
      <c r="K47" s="18" t="n">
        <f aca="false">D47-D46</f>
        <v>-0.0219317664243788</v>
      </c>
      <c r="L47" s="18" t="n">
        <f aca="false">E47-E46</f>
        <v>-0.0451740937489069</v>
      </c>
      <c r="M47" s="18" t="n">
        <f aca="false">F47-F46</f>
        <v>0.000773184816559663</v>
      </c>
      <c r="N47" s="18" t="n">
        <f aca="false">G46</f>
        <v>0.0403103203233863</v>
      </c>
    </row>
    <row r="48" customFormat="false" ht="15" hidden="false" customHeight="false" outlineLevel="0" collapsed="false">
      <c r="A48" s="11" t="s">
        <v>95</v>
      </c>
      <c r="B48" s="15" t="n">
        <v>506.984615384615</v>
      </c>
      <c r="C48" s="16" t="n">
        <v>-0.0553</v>
      </c>
      <c r="D48" s="16" t="n">
        <v>0.0602218094670735</v>
      </c>
      <c r="E48" s="16" t="n">
        <v>0.0484206303604911</v>
      </c>
      <c r="F48" s="16" t="n">
        <v>-0.0426546606893059</v>
      </c>
      <c r="G48" s="16" t="n">
        <v>0.0247270091543546</v>
      </c>
      <c r="I48" s="18" t="n">
        <f aca="false">IF(AND(ISNUMBER(B48),ISNUMBER(B47)),B48-B47,"")</f>
        <v>-78.2729603729604</v>
      </c>
      <c r="J48" s="18" t="n">
        <f aca="false">C48-C47</f>
        <v>-0.0127</v>
      </c>
      <c r="K48" s="18" t="n">
        <f aca="false">D48-D47</f>
        <v>0.00284689976009123</v>
      </c>
      <c r="L48" s="18" t="n">
        <f aca="false">E48-E47</f>
        <v>-0.00760537036467967</v>
      </c>
      <c r="M48" s="18" t="n">
        <f aca="false">F48-F47</f>
        <v>-0.00280010033850613</v>
      </c>
      <c r="N48" s="18" t="n">
        <f aca="false">G47</f>
        <v>0.0396616998607275</v>
      </c>
    </row>
    <row r="49" customFormat="false" ht="15" hidden="false" customHeight="false" outlineLevel="0" collapsed="false">
      <c r="A49" s="11" t="s">
        <v>96</v>
      </c>
      <c r="B49" s="15" t="n">
        <v>468.698412698413</v>
      </c>
      <c r="C49" s="16" t="n">
        <v>-0.0516</v>
      </c>
      <c r="D49" s="16" t="n">
        <v>-0.0545739774105225</v>
      </c>
      <c r="E49" s="16" t="n">
        <v>-0.0433211464470484</v>
      </c>
      <c r="F49" s="16" t="n">
        <v>-0.040049186364211</v>
      </c>
      <c r="G49" s="16" t="n">
        <v>0.00728692545281007</v>
      </c>
      <c r="I49" s="18" t="n">
        <f aca="false">IF(AND(ISNUMBER(B49),ISNUMBER(B48)),B49-B48,"")</f>
        <v>-38.2862026862027</v>
      </c>
      <c r="J49" s="18" t="n">
        <f aca="false">C49-C48</f>
        <v>0.0037</v>
      </c>
      <c r="K49" s="18" t="n">
        <f aca="false">D49-D48</f>
        <v>-0.114795786877596</v>
      </c>
      <c r="L49" s="18" t="n">
        <f aca="false">E49-E48</f>
        <v>-0.0917417768075395</v>
      </c>
      <c r="M49" s="18" t="n">
        <f aca="false">F49-F48</f>
        <v>0.00260547432509496</v>
      </c>
      <c r="N49" s="18" t="n">
        <f aca="false">G48</f>
        <v>0.0247270091543546</v>
      </c>
    </row>
    <row r="50" customFormat="false" ht="15" hidden="false" customHeight="false" outlineLevel="0" collapsed="false">
      <c r="A50" s="11" t="s">
        <v>97</v>
      </c>
      <c r="B50" s="15" t="n">
        <v>448.541666666667</v>
      </c>
      <c r="C50" s="16" t="n">
        <v>-0.0324</v>
      </c>
      <c r="D50" s="16" t="n">
        <v>-0.150938894023428</v>
      </c>
      <c r="E50" s="16" t="n">
        <v>-0.148910975388297</v>
      </c>
      <c r="F50" s="16" t="n">
        <v>-0.0393038274852273</v>
      </c>
      <c r="G50" s="16" t="n">
        <v>-0.0385885964740134</v>
      </c>
      <c r="I50" s="18" t="n">
        <f aca="false">IF(AND(ISNUMBER(B50),ISNUMBER(B49)),B50-B49,"")</f>
        <v>-20.156746031746</v>
      </c>
      <c r="J50" s="18" t="n">
        <f aca="false">C50-C49</f>
        <v>0.0192</v>
      </c>
      <c r="K50" s="18" t="n">
        <f aca="false">D50-D49</f>
        <v>-0.0963649166129051</v>
      </c>
      <c r="L50" s="18" t="n">
        <f aca="false">E50-E49</f>
        <v>-0.105589828941248</v>
      </c>
      <c r="M50" s="18" t="n">
        <f aca="false">F50-F49</f>
        <v>0.000745358878983644</v>
      </c>
      <c r="N50" s="18" t="n">
        <f aca="false">G49</f>
        <v>0.00728692545281007</v>
      </c>
    </row>
    <row r="51" customFormat="false" ht="15" hidden="false" customHeight="false" outlineLevel="0" collapsed="false">
      <c r="A51" s="11" t="s">
        <v>98</v>
      </c>
      <c r="B51" s="15" t="n">
        <v>500.06976744186</v>
      </c>
      <c r="C51" s="16" t="n">
        <v>-0.0245</v>
      </c>
      <c r="D51" s="16" t="n">
        <v>-0.138350590990196</v>
      </c>
      <c r="E51" s="16" t="n">
        <v>-0.139819367126712</v>
      </c>
      <c r="F51" s="16" t="n">
        <v>-0.0415537465116089</v>
      </c>
      <c r="G51" s="16" t="n">
        <v>-0.0332721885187776</v>
      </c>
      <c r="I51" s="18" t="n">
        <f aca="false">IF(AND(ISNUMBER(B51),ISNUMBER(B50)),B51-B50,"")</f>
        <v>51.5281007751937</v>
      </c>
      <c r="J51" s="18" t="n">
        <f aca="false">C51-C50</f>
        <v>0.00790000000000001</v>
      </c>
      <c r="K51" s="18" t="n">
        <f aca="false">D51-D50</f>
        <v>0.0125883030332315</v>
      </c>
      <c r="L51" s="18" t="n">
        <f aca="false">E51-E50</f>
        <v>0.00909160826158509</v>
      </c>
      <c r="M51" s="18" t="n">
        <f aca="false">F51-F50</f>
        <v>-0.00224991902638157</v>
      </c>
      <c r="N51" s="18" t="n">
        <f aca="false">G50</f>
        <v>-0.0385885964740134</v>
      </c>
    </row>
    <row r="52" customFormat="false" ht="15" hidden="false" customHeight="false" outlineLevel="0" collapsed="false">
      <c r="A52" s="11" t="s">
        <v>99</v>
      </c>
      <c r="B52" s="15" t="n">
        <v>473.569230769231</v>
      </c>
      <c r="C52" s="16" t="n">
        <v>-0.0221</v>
      </c>
      <c r="D52" s="16" t="n">
        <v>-0.116842476166157</v>
      </c>
      <c r="E52" s="16" t="n">
        <v>-0.11418596424082</v>
      </c>
      <c r="F52" s="16" t="n">
        <v>-0.0436770820413306</v>
      </c>
      <c r="G52" s="16" t="n">
        <v>-0.0149328839288507</v>
      </c>
      <c r="I52" s="18" t="n">
        <f aca="false">IF(AND(ISNUMBER(B52),ISNUMBER(B51)),B52-B51,"")</f>
        <v>-26.5005366726296</v>
      </c>
      <c r="J52" s="18" t="n">
        <f aca="false">C52-C51</f>
        <v>0.0024</v>
      </c>
      <c r="K52" s="18" t="n">
        <f aca="false">D52-D51</f>
        <v>0.0215081148240396</v>
      </c>
      <c r="L52" s="18" t="n">
        <f aca="false">E52-E51</f>
        <v>0.0256334028858917</v>
      </c>
      <c r="M52" s="18" t="n">
        <f aca="false">F52-F51</f>
        <v>-0.00212333552972169</v>
      </c>
      <c r="N52" s="18" t="n">
        <f aca="false">G51</f>
        <v>-0.0332721885187776</v>
      </c>
    </row>
    <row r="53" customFormat="false" ht="15" hidden="false" customHeight="false" outlineLevel="0" collapsed="false">
      <c r="A53" s="11" t="s">
        <v>100</v>
      </c>
      <c r="B53" s="15" t="n">
        <v>457.661538461538</v>
      </c>
      <c r="C53" s="16" t="n">
        <v>0.0039</v>
      </c>
      <c r="D53" s="16" t="n">
        <v>-0.0239177917893462</v>
      </c>
      <c r="E53" s="16" t="n">
        <v>-0.0321393526652914</v>
      </c>
      <c r="F53" s="16" t="n">
        <v>-0.0405391259881425</v>
      </c>
      <c r="G53" s="16" t="n">
        <v>0.00559679082443165</v>
      </c>
      <c r="I53" s="18" t="n">
        <f aca="false">IF(AND(ISNUMBER(B53),ISNUMBER(B52)),B53-B52,"")</f>
        <v>-15.9076923076924</v>
      </c>
      <c r="J53" s="18" t="n">
        <f aca="false">C53-C52</f>
        <v>0.026</v>
      </c>
      <c r="K53" s="18" t="n">
        <f aca="false">D53-D52</f>
        <v>0.0929246843768103</v>
      </c>
      <c r="L53" s="18" t="n">
        <f aca="false">E53-E52</f>
        <v>0.0820466115755285</v>
      </c>
      <c r="M53" s="18" t="n">
        <f aca="false">F53-F52</f>
        <v>0.00313795605318815</v>
      </c>
      <c r="N53" s="18" t="n">
        <f aca="false">G52</f>
        <v>-0.0149328839288507</v>
      </c>
    </row>
    <row r="54" customFormat="false" ht="15" hidden="false" customHeight="false" outlineLevel="0" collapsed="false">
      <c r="A54" s="11" t="s">
        <v>101</v>
      </c>
      <c r="B54" s="15" t="n">
        <v>417.265625</v>
      </c>
      <c r="C54" s="16" t="n">
        <v>0.0088</v>
      </c>
      <c r="D54" s="16" t="n">
        <v>0.0524572469807845</v>
      </c>
      <c r="E54" s="16" t="n">
        <v>0.0586655897650446</v>
      </c>
      <c r="F54" s="16" t="n">
        <v>-0.0418513692680939</v>
      </c>
      <c r="G54" s="16" t="n">
        <v>0.0232658340767662</v>
      </c>
      <c r="I54" s="18" t="n">
        <f aca="false">IF(AND(ISNUMBER(B54),ISNUMBER(B53)),B54-B53,"")</f>
        <v>-40.3959134615384</v>
      </c>
      <c r="J54" s="18" t="n">
        <f aca="false">C54-C53</f>
        <v>0.0049</v>
      </c>
      <c r="K54" s="18" t="n">
        <f aca="false">D54-D53</f>
        <v>0.0763750387701306</v>
      </c>
      <c r="L54" s="18" t="n">
        <f aca="false">E54-E53</f>
        <v>0.090804942430336</v>
      </c>
      <c r="M54" s="18" t="n">
        <f aca="false">F54-F53</f>
        <v>-0.00131224327995142</v>
      </c>
      <c r="N54" s="18" t="n">
        <f aca="false">G53</f>
        <v>0.00559679082443165</v>
      </c>
    </row>
    <row r="55" customFormat="false" ht="15" hidden="false" customHeight="false" outlineLevel="0" collapsed="false">
      <c r="A55" s="11" t="s">
        <v>102</v>
      </c>
      <c r="B55" s="15" t="n">
        <v>417.764390625</v>
      </c>
      <c r="C55" s="16" t="n">
        <v>0.0163</v>
      </c>
      <c r="D55" s="16" t="n">
        <v>0.0143092701681657</v>
      </c>
      <c r="E55" s="16" t="n">
        <v>0.0331389887053348</v>
      </c>
      <c r="F55" s="16" t="n">
        <v>-0.0374781928094767</v>
      </c>
      <c r="G55" s="16" t="n">
        <v>0.0385060856362685</v>
      </c>
      <c r="I55" s="18" t="n">
        <f aca="false">IF(AND(ISNUMBER(B55),ISNUMBER(B54)),B55-B54,"")</f>
        <v>0.498765624999805</v>
      </c>
      <c r="J55" s="18" t="n">
        <f aca="false">C55-C54</f>
        <v>0.0075</v>
      </c>
      <c r="K55" s="18" t="n">
        <f aca="false">D55-D54</f>
        <v>-0.0381479768126187</v>
      </c>
      <c r="L55" s="18" t="n">
        <f aca="false">E55-E54</f>
        <v>-0.0255266010597097</v>
      </c>
      <c r="M55" s="18" t="n">
        <f aca="false">F55-F54</f>
        <v>0.00437317645861715</v>
      </c>
      <c r="N55" s="18" t="n">
        <f aca="false">G54</f>
        <v>0.0232658340767662</v>
      </c>
    </row>
    <row r="56" customFormat="false" ht="15" hidden="false" customHeight="false" outlineLevel="0" collapsed="false">
      <c r="A56" s="11" t="s">
        <v>103</v>
      </c>
      <c r="B56" s="15" t="n">
        <v>363.1925625</v>
      </c>
      <c r="C56" s="16" t="n">
        <v>0.0238</v>
      </c>
      <c r="D56" s="16" t="n">
        <v>0.00583013263178356</v>
      </c>
      <c r="E56" s="16" t="n">
        <v>0.0175797079620306</v>
      </c>
      <c r="F56" s="16" t="n">
        <v>-0.040301758081876</v>
      </c>
      <c r="G56" s="16" t="n">
        <v>0.0453268482640472</v>
      </c>
      <c r="I56" s="18" t="n">
        <f aca="false">IF(AND(ISNUMBER(B56),ISNUMBER(B55)),B56-B55,"")</f>
        <v>-54.5718281249997</v>
      </c>
      <c r="J56" s="18" t="n">
        <f aca="false">C56-C55</f>
        <v>0.0075</v>
      </c>
      <c r="K56" s="18" t="n">
        <f aca="false">D56-D55</f>
        <v>-0.00847913753638218</v>
      </c>
      <c r="L56" s="18" t="n">
        <f aca="false">E56-E55</f>
        <v>-0.0155592807433043</v>
      </c>
      <c r="M56" s="18" t="n">
        <f aca="false">F56-F55</f>
        <v>-0.00282356527239929</v>
      </c>
      <c r="N56" s="18" t="n">
        <f aca="false">G55</f>
        <v>0.0385060856362685</v>
      </c>
    </row>
    <row r="57" customFormat="false" ht="15" hidden="false" customHeight="false" outlineLevel="0" collapsed="false">
      <c r="A57" s="11" t="s">
        <v>104</v>
      </c>
      <c r="B57" s="15" t="n">
        <v>391.724661290322</v>
      </c>
      <c r="C57" s="16" t="n">
        <v>0.0145</v>
      </c>
      <c r="D57" s="16" t="n">
        <v>0.0215080939713706</v>
      </c>
      <c r="E57" s="16" t="n">
        <v>-0.0145618881352685</v>
      </c>
      <c r="F57" s="16" t="n">
        <v>-0.0373950386949101</v>
      </c>
      <c r="G57" s="16" t="n">
        <v>0.0379774021814201</v>
      </c>
      <c r="I57" s="18" t="n">
        <f aca="false">IF(AND(ISNUMBER(B57),ISNUMBER(B56)),B57-B56,"")</f>
        <v>28.5320987903223</v>
      </c>
      <c r="J57" s="18" t="n">
        <f aca="false">C57-C56</f>
        <v>-0.0093</v>
      </c>
      <c r="K57" s="18" t="n">
        <f aca="false">D57-D56</f>
        <v>0.015677961339587</v>
      </c>
      <c r="L57" s="18" t="n">
        <f aca="false">E57-E56</f>
        <v>-0.0321415960972991</v>
      </c>
      <c r="M57" s="18" t="n">
        <f aca="false">F57-F56</f>
        <v>0.00290671938696596</v>
      </c>
      <c r="N57" s="18" t="n">
        <f aca="false">G56</f>
        <v>0.0453268482640472</v>
      </c>
    </row>
    <row r="58" customFormat="false" ht="15" hidden="false" customHeight="false" outlineLevel="0" collapsed="false">
      <c r="A58" s="11" t="s">
        <v>105</v>
      </c>
      <c r="B58" s="15" t="n">
        <v>468.946476923077</v>
      </c>
      <c r="C58" s="16" t="n">
        <v>0.0105</v>
      </c>
      <c r="D58" s="16" t="n">
        <v>-0.0527729109335391</v>
      </c>
      <c r="E58" s="16" t="n">
        <v>-0.10076918517865</v>
      </c>
      <c r="F58" s="16" t="n">
        <v>-0.0329093160222246</v>
      </c>
      <c r="G58" s="16" t="n">
        <v>-0.039790994073943</v>
      </c>
      <c r="I58" s="18" t="n">
        <f aca="false">IF(AND(ISNUMBER(B58),ISNUMBER(B57)),B58-B57,"")</f>
        <v>77.2218156327545</v>
      </c>
      <c r="J58" s="18" t="n">
        <f aca="false">C58-C57</f>
        <v>-0.004</v>
      </c>
      <c r="K58" s="18" t="n">
        <f aca="false">D58-D57</f>
        <v>-0.0742810049049096</v>
      </c>
      <c r="L58" s="18" t="n">
        <f aca="false">E58-E57</f>
        <v>-0.0862072970433814</v>
      </c>
      <c r="M58" s="18" t="n">
        <f aca="false">F58-F57</f>
        <v>0.00448572267268541</v>
      </c>
      <c r="N58" s="18" t="n">
        <f aca="false">G57</f>
        <v>0.0379774021814201</v>
      </c>
    </row>
    <row r="59" customFormat="false" ht="15" hidden="false" customHeight="false" outlineLevel="0" collapsed="false">
      <c r="A59" s="11" t="s">
        <v>106</v>
      </c>
      <c r="B59" s="15" t="n">
        <v>635.11576119403</v>
      </c>
      <c r="C59" s="16" t="n">
        <v>0.0154</v>
      </c>
      <c r="D59" s="16" t="n">
        <v>-0.0230142843222727</v>
      </c>
      <c r="E59" s="16" t="n">
        <v>-0.107955814358483</v>
      </c>
      <c r="F59" s="16" t="n">
        <v>-0.0289227122540838</v>
      </c>
      <c r="G59" s="16" t="n">
        <v>-0.0346944038739507</v>
      </c>
      <c r="I59" s="18" t="n">
        <f aca="false">IF(AND(ISNUMBER(B59),ISNUMBER(B58)),B59-B58,"")</f>
        <v>166.169284270953</v>
      </c>
      <c r="J59" s="18" t="n">
        <f aca="false">C59-C58</f>
        <v>0.0049</v>
      </c>
      <c r="K59" s="18" t="n">
        <f aca="false">D59-D58</f>
        <v>0.0297586266112664</v>
      </c>
      <c r="L59" s="18" t="n">
        <f aca="false">E59-E58</f>
        <v>-0.007186629179833</v>
      </c>
      <c r="M59" s="18" t="n">
        <f aca="false">F59-F58</f>
        <v>0.00398660376814081</v>
      </c>
      <c r="N59" s="18" t="n">
        <f aca="false">G58</f>
        <v>-0.039790994073943</v>
      </c>
    </row>
    <row r="60" customFormat="false" ht="15" hidden="false" customHeight="false" outlineLevel="0" collapsed="false">
      <c r="A60" s="11" t="s">
        <v>107</v>
      </c>
      <c r="B60" s="15" t="n">
        <v>691.6339375</v>
      </c>
      <c r="C60" s="16" t="n">
        <v>0.0122</v>
      </c>
      <c r="D60" s="16" t="n">
        <v>-0.0731605453380152</v>
      </c>
      <c r="E60" s="16" t="n">
        <v>-0.250802935114858</v>
      </c>
      <c r="F60" s="16" t="n">
        <v>-0.0265512937784696</v>
      </c>
      <c r="G60" s="16" t="n">
        <v>-0.0633973916700751</v>
      </c>
      <c r="I60" s="18" t="n">
        <f aca="false">IF(AND(ISNUMBER(B60),ISNUMBER(B59)),B60-B59,"")</f>
        <v>56.51817630597</v>
      </c>
      <c r="J60" s="18" t="n">
        <f aca="false">C60-C59</f>
        <v>-0.0032</v>
      </c>
      <c r="K60" s="18" t="n">
        <f aca="false">D60-D59</f>
        <v>-0.0501462610157425</v>
      </c>
      <c r="L60" s="18" t="n">
        <f aca="false">E60-E59</f>
        <v>-0.142847120756375</v>
      </c>
      <c r="M60" s="18" t="n">
        <f aca="false">F60-F59</f>
        <v>0.00237141847561423</v>
      </c>
      <c r="N60" s="18" t="n">
        <f aca="false">G59</f>
        <v>-0.0346944038739507</v>
      </c>
    </row>
    <row r="61" customFormat="false" ht="15" hidden="false" customHeight="false" outlineLevel="0" collapsed="false">
      <c r="A61" s="11" t="s">
        <v>108</v>
      </c>
      <c r="B61" s="15" t="n">
        <v>710.835638888889</v>
      </c>
      <c r="C61" s="16" t="n">
        <v>0.0059</v>
      </c>
      <c r="D61" s="16" t="n">
        <v>-0.123187672025664</v>
      </c>
      <c r="E61" s="16" t="n">
        <v>-0.253878367581224</v>
      </c>
      <c r="F61" s="16" t="n">
        <v>-0.0226409638850728</v>
      </c>
      <c r="G61" s="16" t="n">
        <v>-0.0586372539873753</v>
      </c>
      <c r="I61" s="18" t="n">
        <f aca="false">IF(AND(ISNUMBER(B61),ISNUMBER(B60)),B61-B60,"")</f>
        <v>19.2017013888889</v>
      </c>
      <c r="J61" s="18" t="n">
        <f aca="false">C61-C60</f>
        <v>-0.0063</v>
      </c>
      <c r="K61" s="18" t="n">
        <f aca="false">D61-D60</f>
        <v>-0.0500271266876492</v>
      </c>
      <c r="L61" s="18" t="n">
        <f aca="false">E61-E60</f>
        <v>-0.00307543246636571</v>
      </c>
      <c r="M61" s="18" t="n">
        <f aca="false">F61-F60</f>
        <v>0.00391032989339685</v>
      </c>
      <c r="N61" s="18" t="n">
        <f aca="false">G60</f>
        <v>-0.0633973916700751</v>
      </c>
    </row>
    <row r="62" customFormat="false" ht="15" hidden="false" customHeight="false" outlineLevel="0" collapsed="false">
      <c r="A62" s="11" t="s">
        <v>109</v>
      </c>
      <c r="B62" s="15" t="n">
        <v>873.625898550725</v>
      </c>
      <c r="C62" s="16" t="n">
        <v>0.0108</v>
      </c>
      <c r="D62" s="16" t="n">
        <v>-0.123073375139329</v>
      </c>
      <c r="E62" s="16" t="n">
        <v>-0.236108996995008</v>
      </c>
      <c r="F62" s="16" t="n">
        <v>-0.0158690650528972</v>
      </c>
      <c r="G62" s="16" t="n">
        <v>0.00582819893603537</v>
      </c>
      <c r="I62" s="18" t="n">
        <f aca="false">IF(AND(ISNUMBER(B62),ISNUMBER(B61)),B62-B61,"")</f>
        <v>162.790259661836</v>
      </c>
      <c r="J62" s="18" t="n">
        <f aca="false">C62-C61</f>
        <v>0.0049</v>
      </c>
      <c r="K62" s="18" t="n">
        <f aca="false">D62-D61</f>
        <v>0.000114296886335796</v>
      </c>
      <c r="L62" s="18" t="n">
        <f aca="false">E62-E61</f>
        <v>0.0177693705862153</v>
      </c>
      <c r="M62" s="18" t="n">
        <f aca="false">F62-F61</f>
        <v>0.00677189883217557</v>
      </c>
      <c r="N62" s="18" t="n">
        <f aca="false">G61</f>
        <v>-0.0586372539873753</v>
      </c>
    </row>
    <row r="63" customFormat="false" ht="15" hidden="false" customHeight="false" outlineLevel="0" collapsed="false">
      <c r="A63" s="11" t="s">
        <v>110</v>
      </c>
      <c r="B63" s="15" t="n">
        <v>1553.24458536585</v>
      </c>
      <c r="C63" s="16" t="n">
        <v>0.0119</v>
      </c>
      <c r="D63" s="16" t="n">
        <v>-0.146986580926159</v>
      </c>
      <c r="E63" s="16" t="n">
        <v>-0.20557363698353</v>
      </c>
      <c r="F63" s="16" t="n">
        <v>-0.0132299195087067</v>
      </c>
      <c r="G63" s="16" t="n">
        <v>-0.0175271616356651</v>
      </c>
      <c r="I63" s="18" t="n">
        <f aca="false">IF(AND(ISNUMBER(B63),ISNUMBER(B62)),B63-B62,"")</f>
        <v>679.618686815129</v>
      </c>
      <c r="J63" s="18" t="n">
        <f aca="false">C63-C62</f>
        <v>0.0011</v>
      </c>
      <c r="K63" s="18" t="n">
        <f aca="false">D63-D62</f>
        <v>-0.0239132057868301</v>
      </c>
      <c r="L63" s="18" t="n">
        <f aca="false">E63-E62</f>
        <v>0.0305353600114784</v>
      </c>
      <c r="M63" s="18" t="n">
        <f aca="false">F63-F62</f>
        <v>0.00263914554419044</v>
      </c>
      <c r="N63" s="18" t="n">
        <f aca="false">G62</f>
        <v>0.00582819893603537</v>
      </c>
    </row>
    <row r="64" customFormat="false" ht="15" hidden="false" customHeight="false" outlineLevel="0" collapsed="false">
      <c r="A64" s="11" t="s">
        <v>111</v>
      </c>
      <c r="B64" s="15" t="n">
        <v>2152.12583695652</v>
      </c>
      <c r="C64" s="16" t="n">
        <v>0.0167</v>
      </c>
      <c r="D64" s="16" t="n">
        <v>-0.191423635260996</v>
      </c>
      <c r="E64" s="16" t="n">
        <v>-0.0926086528016115</v>
      </c>
      <c r="F64" s="16" t="n">
        <v>-0.00984137345587934</v>
      </c>
      <c r="G64" s="16" t="n">
        <v>-0.0107484273951806</v>
      </c>
      <c r="I64" s="18" t="n">
        <f aca="false">IF(AND(ISNUMBER(B64),ISNUMBER(B63)),B64-B63,"")</f>
        <v>598.881251590669</v>
      </c>
      <c r="J64" s="18" t="n">
        <f aca="false">C64-C63</f>
        <v>0.0048</v>
      </c>
      <c r="K64" s="18" t="n">
        <f aca="false">D64-D63</f>
        <v>-0.0444370543348369</v>
      </c>
      <c r="L64" s="18" t="n">
        <f aca="false">E64-E63</f>
        <v>0.112964984181918</v>
      </c>
      <c r="M64" s="18" t="n">
        <f aca="false">F64-F63</f>
        <v>0.00338854605282741</v>
      </c>
      <c r="N64" s="18" t="n">
        <f aca="false">G63</f>
        <v>-0.0175271616356651</v>
      </c>
    </row>
    <row r="65" customFormat="false" ht="15" hidden="false" customHeight="false" outlineLevel="0" collapsed="false">
      <c r="A65" s="11" t="s">
        <v>112</v>
      </c>
      <c r="B65" s="15" t="n">
        <v>2339.24403614458</v>
      </c>
      <c r="C65" s="16" t="n">
        <v>0.0041</v>
      </c>
      <c r="D65" s="16" t="n">
        <v>-0.0764776255884909</v>
      </c>
      <c r="E65" s="16" t="n">
        <v>0.0122906221442038</v>
      </c>
      <c r="F65" s="16" t="n">
        <v>-0.0162507510370619</v>
      </c>
      <c r="G65" s="16" t="n">
        <v>-0.0502506965865937</v>
      </c>
      <c r="I65" s="18" t="n">
        <f aca="false">IF(AND(ISNUMBER(B65),ISNUMBER(B64)),B65-B64,"")</f>
        <v>187.118199188056</v>
      </c>
      <c r="J65" s="18" t="n">
        <f aca="false">C65-C64</f>
        <v>-0.0126</v>
      </c>
      <c r="K65" s="18" t="n">
        <f aca="false">D65-D64</f>
        <v>0.114946009672505</v>
      </c>
      <c r="L65" s="18" t="n">
        <f aca="false">E65-E64</f>
        <v>0.104899274945815</v>
      </c>
      <c r="M65" s="18" t="n">
        <f aca="false">F65-F64</f>
        <v>-0.00640937758118261</v>
      </c>
      <c r="N65" s="18" t="n">
        <f aca="false">G64</f>
        <v>-0.0107484273951806</v>
      </c>
    </row>
    <row r="66" customFormat="false" ht="15" hidden="false" customHeight="false" outlineLevel="0" collapsed="false">
      <c r="A66" s="11" t="s">
        <v>113</v>
      </c>
      <c r="B66" s="15" t="n">
        <v>3096.11088888889</v>
      </c>
      <c r="C66" s="16" t="n">
        <v>-0.1014</v>
      </c>
      <c r="D66" s="16" t="n">
        <v>0.185703438057814</v>
      </c>
      <c r="E66" s="16" t="n">
        <v>0.300423401546326</v>
      </c>
      <c r="F66" s="16" t="n">
        <v>-0.046365380648293</v>
      </c>
      <c r="G66" s="16" t="n">
        <v>-0.189421940385846</v>
      </c>
      <c r="I66" s="18" t="n">
        <f aca="false">IF(AND(ISNUMBER(B66),ISNUMBER(B65)),B66-B65,"")</f>
        <v>756.86685274431</v>
      </c>
      <c r="J66" s="18" t="n">
        <f aca="false">C66-C65</f>
        <v>-0.1055</v>
      </c>
      <c r="K66" s="18" t="n">
        <f aca="false">D66-D65</f>
        <v>0.262181063646304</v>
      </c>
      <c r="L66" s="18" t="n">
        <f aca="false">E66-E65</f>
        <v>0.288132779402122</v>
      </c>
      <c r="M66" s="18" t="n">
        <f aca="false">F66-F65</f>
        <v>-0.0301146296112311</v>
      </c>
      <c r="N66" s="18" t="n">
        <f aca="false">G65</f>
        <v>-0.0502506965865937</v>
      </c>
    </row>
    <row r="67" customFormat="false" ht="15" hidden="false" customHeight="false" outlineLevel="0" collapsed="false">
      <c r="A67" s="11" t="s">
        <v>114</v>
      </c>
      <c r="B67" s="15" t="n">
        <v>1998.70695454545</v>
      </c>
      <c r="C67" s="16" t="n">
        <v>-0.0304</v>
      </c>
      <c r="D67" s="16" t="n">
        <v>0.305364489239062</v>
      </c>
      <c r="E67" s="16" t="n">
        <v>0.333534308594002</v>
      </c>
      <c r="F67" s="16" t="n">
        <v>-0.0595286899214876</v>
      </c>
      <c r="G67" s="16" t="n">
        <v>-0.101927662759163</v>
      </c>
      <c r="I67" s="18" t="n">
        <f aca="false">IF(AND(ISNUMBER(B67),ISNUMBER(B66)),B67-B66,"")</f>
        <v>-1097.40393434344</v>
      </c>
      <c r="J67" s="18" t="n">
        <f aca="false">C67-C66</f>
        <v>0.071</v>
      </c>
      <c r="K67" s="18" t="n">
        <f aca="false">D67-D66</f>
        <v>0.119661051181248</v>
      </c>
      <c r="L67" s="18" t="n">
        <f aca="false">E67-E66</f>
        <v>0.0331109070476762</v>
      </c>
      <c r="M67" s="18" t="n">
        <f aca="false">F67-F66</f>
        <v>-0.0131633092731946</v>
      </c>
      <c r="N67" s="18" t="n">
        <f aca="false">G66</f>
        <v>-0.189421940385846</v>
      </c>
    </row>
    <row r="68" customFormat="false" ht="15" hidden="false" customHeight="false" outlineLevel="0" collapsed="false">
      <c r="A68" s="11" t="s">
        <v>115</v>
      </c>
      <c r="B68" s="15" t="n">
        <v>1391.81681538462</v>
      </c>
      <c r="C68" s="16" t="n">
        <v>-0.0033</v>
      </c>
      <c r="D68" s="16" t="n">
        <v>0.369601994334412</v>
      </c>
      <c r="E68" s="16" t="n">
        <v>0.310601242607967</v>
      </c>
      <c r="F68" s="16" t="n">
        <v>-0.0682479460853291</v>
      </c>
      <c r="G68" s="16" t="n">
        <v>-0.0431329947641036</v>
      </c>
      <c r="I68" s="18" t="n">
        <f aca="false">IF(AND(ISNUMBER(B68),ISNUMBER(B67)),B68-B67,"")</f>
        <v>-606.890139160839</v>
      </c>
      <c r="J68" s="18" t="n">
        <f aca="false">C68-C67</f>
        <v>0.0271</v>
      </c>
      <c r="K68" s="18" t="n">
        <f aca="false">D68-D67</f>
        <v>0.0642375050953509</v>
      </c>
      <c r="L68" s="18" t="n">
        <f aca="false">E68-E67</f>
        <v>-0.0229330659860356</v>
      </c>
      <c r="M68" s="18" t="n">
        <f aca="false">F68-F67</f>
        <v>-0.00871925616384151</v>
      </c>
      <c r="N68" s="18" t="n">
        <f aca="false">G67</f>
        <v>-0.101927662759163</v>
      </c>
    </row>
    <row r="69" customFormat="false" ht="15" hidden="false" customHeight="false" outlineLevel="0" collapsed="false">
      <c r="A69" s="11" t="s">
        <v>116</v>
      </c>
      <c r="B69" s="15" t="n">
        <v>1492.04128571429</v>
      </c>
      <c r="C69" s="16" t="n">
        <v>0.0175</v>
      </c>
      <c r="D69" s="16" t="n">
        <v>0.175963133598871</v>
      </c>
      <c r="E69" s="16" t="n">
        <v>0.133348854537539</v>
      </c>
      <c r="F69" s="16" t="n">
        <v>-0.0588514760538491</v>
      </c>
      <c r="G69" s="16" t="n">
        <v>0.0323260077948051</v>
      </c>
      <c r="I69" s="18" t="n">
        <f aca="false">IF(AND(ISNUMBER(B69),ISNUMBER(B68)),B69-B68,"")</f>
        <v>100.224470329671</v>
      </c>
      <c r="J69" s="18" t="n">
        <f aca="false">C69-C68</f>
        <v>0.0208</v>
      </c>
      <c r="K69" s="18" t="n">
        <f aca="false">D69-D68</f>
        <v>-0.193638860735541</v>
      </c>
      <c r="L69" s="18" t="n">
        <f aca="false">E69-E68</f>
        <v>-0.177252388070428</v>
      </c>
      <c r="M69" s="18" t="n">
        <f aca="false">F69-F68</f>
        <v>0.00939647003148</v>
      </c>
      <c r="N69" s="18" t="n">
        <f aca="false">G68</f>
        <v>-0.0431329947641036</v>
      </c>
    </row>
    <row r="70" customFormat="false" ht="15" hidden="false" customHeight="false" outlineLevel="0" collapsed="false">
      <c r="A70" s="11" t="s">
        <v>117</v>
      </c>
      <c r="B70" s="15" t="n">
        <v>1543.4644</v>
      </c>
      <c r="C70" s="16" t="n">
        <v>0.124</v>
      </c>
      <c r="D70" s="16" t="n">
        <v>-0.0687862848682503</v>
      </c>
      <c r="E70" s="16" t="n">
        <v>-0.132961858833637</v>
      </c>
      <c r="F70" s="16" t="n">
        <v>-0.0342372368395977</v>
      </c>
      <c r="G70" s="16" t="n">
        <v>0.187299607796633</v>
      </c>
      <c r="I70" s="18" t="n">
        <f aca="false">IF(AND(ISNUMBER(B70),ISNUMBER(B69)),B70-B69,"")</f>
        <v>51.4231142857141</v>
      </c>
      <c r="J70" s="18" t="n">
        <f aca="false">C70-C69</f>
        <v>0.1065</v>
      </c>
      <c r="K70" s="18" t="n">
        <f aca="false">D70-D69</f>
        <v>-0.244749418467121</v>
      </c>
      <c r="L70" s="18" t="n">
        <f aca="false">E70-E69</f>
        <v>-0.266310713371175</v>
      </c>
      <c r="M70" s="18" t="n">
        <f aca="false">F70-F69</f>
        <v>0.0246142392142514</v>
      </c>
      <c r="N70" s="18" t="n">
        <f aca="false">G69</f>
        <v>0.0323260077948051</v>
      </c>
    </row>
    <row r="71" customFormat="false" ht="15" hidden="false" customHeight="false" outlineLevel="0" collapsed="false">
      <c r="A71" s="11" t="s">
        <v>118</v>
      </c>
      <c r="B71" s="15" t="n">
        <v>1568.15139130435</v>
      </c>
      <c r="C71" s="16" t="n">
        <v>0.0421</v>
      </c>
      <c r="D71" s="16" t="n">
        <v>-0.0532486979446212</v>
      </c>
      <c r="E71" s="16" t="n">
        <v>-0.0957517156450476</v>
      </c>
      <c r="F71" s="16" t="n">
        <v>-0.0296192532316029</v>
      </c>
      <c r="G71" s="16" t="n">
        <v>0.118145356665691</v>
      </c>
      <c r="I71" s="18" t="n">
        <f aca="false">IF(AND(ISNUMBER(B71),ISNUMBER(B70)),B71-B70,"")</f>
        <v>24.6869913043479</v>
      </c>
      <c r="J71" s="18" t="n">
        <f aca="false">C71-C70</f>
        <v>-0.0819</v>
      </c>
      <c r="K71" s="18" t="n">
        <f aca="false">D71-D70</f>
        <v>0.0155375869236292</v>
      </c>
      <c r="L71" s="18" t="n">
        <f aca="false">E71-E70</f>
        <v>0.0372101431885892</v>
      </c>
      <c r="M71" s="18" t="n">
        <f aca="false">F71-F70</f>
        <v>0.00461798360799486</v>
      </c>
      <c r="N71" s="18" t="n">
        <f aca="false">G70</f>
        <v>0.187299607796633</v>
      </c>
    </row>
    <row r="72" customFormat="false" ht="15" hidden="false" customHeight="false" outlineLevel="0" collapsed="false">
      <c r="A72" s="11" t="s">
        <v>119</v>
      </c>
      <c r="B72" s="15" t="n">
        <v>1712.31386956522</v>
      </c>
      <c r="C72" s="16" t="n">
        <v>0.0146</v>
      </c>
      <c r="D72" s="16" t="n">
        <v>-0.0159975558547977</v>
      </c>
      <c r="E72" s="16" t="n">
        <v>-0.0404740937876135</v>
      </c>
      <c r="F72" s="16" t="n">
        <v>-0.0362756435717513</v>
      </c>
      <c r="G72" s="16" t="n">
        <v>0.08364113941174</v>
      </c>
      <c r="I72" s="18" t="n">
        <f aca="false">IF(AND(ISNUMBER(B72),ISNUMBER(B71)),B72-B71,"")</f>
        <v>144.162478260869</v>
      </c>
      <c r="J72" s="18" t="n">
        <f aca="false">C72-C71</f>
        <v>-0.0275</v>
      </c>
      <c r="K72" s="18" t="n">
        <f aca="false">D72-D71</f>
        <v>0.0372511420898235</v>
      </c>
      <c r="L72" s="18" t="n">
        <f aca="false">E72-E71</f>
        <v>0.0552776218574341</v>
      </c>
      <c r="M72" s="18" t="n">
        <f aca="false">F72-F71</f>
        <v>-0.00665639034014846</v>
      </c>
      <c r="N72" s="18" t="n">
        <f aca="false">G71</f>
        <v>0.118145356665691</v>
      </c>
    </row>
    <row r="73" customFormat="false" ht="15" hidden="false" customHeight="false" outlineLevel="0" collapsed="false">
      <c r="A73" s="11" t="s">
        <v>120</v>
      </c>
      <c r="B73" s="15" t="n">
        <v>1807.04372222222</v>
      </c>
      <c r="C73" s="16" t="n">
        <v>0.0148</v>
      </c>
      <c r="D73" s="16" t="n">
        <v>0.0195040598594907</v>
      </c>
      <c r="E73" s="16" t="n">
        <v>0.0113625688003993</v>
      </c>
      <c r="F73" s="16" t="n">
        <v>-0.0354583467697064</v>
      </c>
      <c r="G73" s="16" t="n">
        <v>0.0686138387185451</v>
      </c>
      <c r="I73" s="18" t="n">
        <f aca="false">IF(AND(ISNUMBER(B73),ISNUMBER(B72)),B73-B72,"")</f>
        <v>94.729852657005</v>
      </c>
      <c r="J73" s="18" t="n">
        <f aca="false">C73-C72</f>
        <v>0.000200000000000001</v>
      </c>
      <c r="K73" s="18" t="n">
        <f aca="false">D73-D72</f>
        <v>0.0355016157142883</v>
      </c>
      <c r="L73" s="18" t="n">
        <f aca="false">E73-E72</f>
        <v>0.0518366625880128</v>
      </c>
      <c r="M73" s="18" t="n">
        <f aca="false">F73-F72</f>
        <v>0.000817296802044967</v>
      </c>
      <c r="N73" s="18" t="n">
        <f aca="false">G72</f>
        <v>0.08364113941174</v>
      </c>
    </row>
    <row r="74" customFormat="false" ht="15" hidden="false" customHeight="false" outlineLevel="0" collapsed="false">
      <c r="A74" s="11" t="s">
        <v>121</v>
      </c>
      <c r="B74" s="15" t="n">
        <v>1918.61072527473</v>
      </c>
      <c r="C74" s="16" t="n">
        <v>0.0354</v>
      </c>
      <c r="D74" s="16" t="n">
        <v>0.0127622795944336</v>
      </c>
      <c r="E74" s="16" t="n">
        <v>-0.0258001512588706</v>
      </c>
      <c r="F74" s="16" t="n">
        <v>-0.0374328135609977</v>
      </c>
      <c r="G74" s="16" t="n">
        <v>0.0813001446194395</v>
      </c>
      <c r="I74" s="18" t="n">
        <f aca="false">IF(AND(ISNUMBER(B74),ISNUMBER(B73)),B74-B73,"")</f>
        <v>111.567003052503</v>
      </c>
      <c r="J74" s="18" t="n">
        <f aca="false">C74-C73</f>
        <v>0.0206</v>
      </c>
      <c r="K74" s="18" t="n">
        <f aca="false">D74-D73</f>
        <v>-0.00674178026505711</v>
      </c>
      <c r="L74" s="18" t="n">
        <f aca="false">E74-E73</f>
        <v>-0.0371627200592699</v>
      </c>
      <c r="M74" s="18" t="n">
        <f aca="false">F74-F73</f>
        <v>-0.00197446679129137</v>
      </c>
      <c r="N74" s="18" t="n">
        <f aca="false">G73</f>
        <v>0.0686138387185451</v>
      </c>
    </row>
    <row r="75" customFormat="false" ht="15" hidden="false" customHeight="false" outlineLevel="0" collapsed="false">
      <c r="A75" s="11" t="s">
        <v>122</v>
      </c>
      <c r="B75" s="15" t="n">
        <v>2532.03854666667</v>
      </c>
      <c r="C75" s="16" t="n">
        <v>0.0432</v>
      </c>
      <c r="D75" s="16" t="n">
        <v>-0.0244173185065185</v>
      </c>
      <c r="E75" s="16" t="n">
        <v>-0.0831824560773343</v>
      </c>
      <c r="F75" s="16" t="n">
        <v>-0.0309804361066031</v>
      </c>
      <c r="G75" s="16" t="n">
        <v>0.066844213632383</v>
      </c>
      <c r="I75" s="18" t="n">
        <f aca="false">IF(AND(ISNUMBER(B75),ISNUMBER(B74)),B75-B74,"")</f>
        <v>613.427821391941</v>
      </c>
      <c r="J75" s="18" t="n">
        <f aca="false">C75-C74</f>
        <v>0.0078</v>
      </c>
      <c r="K75" s="18" t="n">
        <f aca="false">D75-D74</f>
        <v>-0.0371795981009521</v>
      </c>
      <c r="L75" s="18" t="n">
        <f aca="false">E75-E74</f>
        <v>-0.0573823048184637</v>
      </c>
      <c r="M75" s="18" t="n">
        <f aca="false">F75-F74</f>
        <v>0.0064523774543946</v>
      </c>
      <c r="N75" s="18" t="n">
        <f aca="false">G74</f>
        <v>0.0813001446194395</v>
      </c>
    </row>
    <row r="76" customFormat="false" ht="15" hidden="false" customHeight="false" outlineLevel="0" collapsed="false">
      <c r="A76" s="11" t="s">
        <v>123</v>
      </c>
      <c r="B76" s="15" t="n">
        <v>2462.75393478261</v>
      </c>
      <c r="C76" s="16" t="n">
        <v>0.027</v>
      </c>
      <c r="D76" s="16" t="n">
        <v>-0.0496809971557082</v>
      </c>
      <c r="E76" s="16" t="n">
        <v>-0.163911151341187</v>
      </c>
      <c r="F76" s="16" t="n">
        <v>-0.0266073782171967</v>
      </c>
      <c r="G76" s="16" t="n">
        <v>0.023854276267842</v>
      </c>
      <c r="I76" s="18" t="n">
        <f aca="false">IF(AND(ISNUMBER(B76),ISNUMBER(B75)),B76-B75,"")</f>
        <v>-69.2846118840562</v>
      </c>
      <c r="J76" s="18" t="n">
        <f aca="false">C76-C75</f>
        <v>-0.0162</v>
      </c>
      <c r="K76" s="18" t="n">
        <f aca="false">D76-D75</f>
        <v>-0.0252636786491897</v>
      </c>
      <c r="L76" s="18" t="n">
        <f aca="false">E76-E75</f>
        <v>-0.0807286952638523</v>
      </c>
      <c r="M76" s="18" t="n">
        <f aca="false">F76-F75</f>
        <v>0.00437305788940643</v>
      </c>
      <c r="N76" s="18" t="n">
        <f aca="false">G75</f>
        <v>0.066844213632383</v>
      </c>
    </row>
    <row r="77" customFormat="false" ht="15" hidden="false" customHeight="false" outlineLevel="0" collapsed="false">
      <c r="A77" s="11" t="s">
        <v>124</v>
      </c>
      <c r="B77" s="15" t="n">
        <v>2085.99497777778</v>
      </c>
      <c r="C77" s="16" t="n">
        <v>0.0444</v>
      </c>
      <c r="D77" s="16" t="n">
        <v>-0.0548662138193043</v>
      </c>
      <c r="E77" s="16" t="n">
        <v>-0.176790692165209</v>
      </c>
      <c r="F77" s="16" t="n">
        <v>-0.0271781008066982</v>
      </c>
      <c r="G77" s="16" t="n">
        <v>0.00911982377224452</v>
      </c>
      <c r="I77" s="18" t="n">
        <f aca="false">IF(AND(ISNUMBER(B77),ISNUMBER(B76)),B77-B76,"")</f>
        <v>-376.758957004832</v>
      </c>
      <c r="J77" s="18" t="n">
        <f aca="false">C77-C76</f>
        <v>0.0174</v>
      </c>
      <c r="K77" s="18" t="n">
        <f aca="false">D77-D76</f>
        <v>-0.00518521666359616</v>
      </c>
      <c r="L77" s="18" t="n">
        <f aca="false">E77-E76</f>
        <v>-0.0128795408240223</v>
      </c>
      <c r="M77" s="18" t="n">
        <f aca="false">F77-F76</f>
        <v>-0.000570722589501509</v>
      </c>
      <c r="N77" s="18" t="n">
        <f aca="false">G76</f>
        <v>0.023854276267842</v>
      </c>
    </row>
    <row r="78" customFormat="false" ht="15" hidden="false" customHeight="false" outlineLevel="0" collapsed="false">
      <c r="A78" s="11" t="s">
        <v>125</v>
      </c>
      <c r="B78" s="15" t="n">
        <v>2482.34095061728</v>
      </c>
      <c r="C78" s="16" t="n">
        <v>0.0385</v>
      </c>
      <c r="D78" s="16" t="n">
        <v>-0.07604765516223</v>
      </c>
      <c r="E78" s="16" t="n">
        <v>-0.230734676239312</v>
      </c>
      <c r="F78" s="16" t="n">
        <v>-0.0279640655909577</v>
      </c>
      <c r="G78" s="16" t="n">
        <v>-0.0567487243252599</v>
      </c>
      <c r="I78" s="18" t="n">
        <f aca="false">IF(AND(ISNUMBER(B78),ISNUMBER(B77)),B78-B77,"")</f>
        <v>396.345972839506</v>
      </c>
      <c r="J78" s="18" t="n">
        <f aca="false">C78-C77</f>
        <v>-0.0059</v>
      </c>
      <c r="K78" s="18" t="n">
        <f aca="false">D78-D77</f>
        <v>-0.0211814413429257</v>
      </c>
      <c r="L78" s="18" t="n">
        <f aca="false">E78-E77</f>
        <v>-0.0539439840741031</v>
      </c>
      <c r="M78" s="18" t="n">
        <f aca="false">F78-F77</f>
        <v>-0.000785964784259512</v>
      </c>
      <c r="N78" s="18" t="n">
        <f aca="false">G77</f>
        <v>0.00911982377224452</v>
      </c>
    </row>
    <row r="79" customFormat="false" ht="15" hidden="false" customHeight="false" outlineLevel="0" collapsed="false">
      <c r="A79" s="11" t="s">
        <v>126</v>
      </c>
      <c r="B79" s="15" t="n">
        <v>2088.37973417722</v>
      </c>
      <c r="C79" s="16" t="n">
        <v>0.0235</v>
      </c>
      <c r="D79" s="16" t="n">
        <v>-0.131285711761803</v>
      </c>
      <c r="E79" s="16" t="n">
        <v>-0.2598328892436</v>
      </c>
      <c r="F79" s="16" t="n">
        <v>-0.0262022150389589</v>
      </c>
      <c r="G79" s="16" t="n">
        <v>-0.00549172525238073</v>
      </c>
      <c r="I79" s="18" t="n">
        <f aca="false">IF(AND(ISNUMBER(B79),ISNUMBER(B78)),B79-B78,"")</f>
        <v>-393.961216440069</v>
      </c>
      <c r="J79" s="18" t="n">
        <f aca="false">C79-C78</f>
        <v>-0.015</v>
      </c>
      <c r="K79" s="18" t="n">
        <f aca="false">D79-D78</f>
        <v>-0.0552380565995734</v>
      </c>
      <c r="L79" s="18" t="n">
        <f aca="false">E79-E78</f>
        <v>-0.029098213004288</v>
      </c>
      <c r="M79" s="18" t="n">
        <f aca="false">F79-F78</f>
        <v>0.00176185055199882</v>
      </c>
      <c r="N79" s="18" t="n">
        <f aca="false">G78</f>
        <v>-0.0567487243252599</v>
      </c>
    </row>
    <row r="80" customFormat="false" ht="15" hidden="false" customHeight="false" outlineLevel="0" collapsed="false">
      <c r="A80" s="11" t="s">
        <v>127</v>
      </c>
      <c r="B80" s="15" t="n">
        <v>2210.46063380282</v>
      </c>
      <c r="C80" s="16" t="n">
        <v>0.0238</v>
      </c>
      <c r="D80" s="16" t="n">
        <v>-0.236116080959184</v>
      </c>
      <c r="E80" s="16" t="n">
        <v>-0.252313761190249</v>
      </c>
      <c r="F80" s="16" t="n">
        <v>-0.0319664513502558</v>
      </c>
      <c r="G80" s="16" t="n">
        <v>-0.0171598554874708</v>
      </c>
      <c r="I80" s="18" t="n">
        <f aca="false">IF(AND(ISNUMBER(B80),ISNUMBER(B79)),B80-B79,"")</f>
        <v>122.080899625603</v>
      </c>
      <c r="J80" s="18" t="n">
        <f aca="false">C80-C79</f>
        <v>0.000300000000000002</v>
      </c>
      <c r="K80" s="18" t="n">
        <f aca="false">D80-D79</f>
        <v>-0.104830369197381</v>
      </c>
      <c r="L80" s="18" t="n">
        <f aca="false">E80-E79</f>
        <v>0.00751912805335137</v>
      </c>
      <c r="M80" s="18" t="n">
        <f aca="false">F80-F79</f>
        <v>-0.00576423631129689</v>
      </c>
      <c r="N80" s="18" t="n">
        <f aca="false">G79</f>
        <v>-0.00549172525238073</v>
      </c>
    </row>
    <row r="81" customFormat="false" ht="15" hidden="false" customHeight="false" outlineLevel="0" collapsed="false">
      <c r="A81" s="11" t="s">
        <v>128</v>
      </c>
      <c r="B81" s="15" t="n">
        <v>1755.52208</v>
      </c>
      <c r="C81" s="16" t="n">
        <v>0.0246</v>
      </c>
      <c r="D81" s="16" t="n">
        <v>-0.335645872225436</v>
      </c>
      <c r="E81" s="16" t="n">
        <v>-0.326696830055503</v>
      </c>
      <c r="F81" s="16" t="n">
        <v>-0.00837817469784405</v>
      </c>
      <c r="G81" s="16" t="n">
        <v>-0.0496170325779741</v>
      </c>
      <c r="I81" s="18" t="n">
        <f aca="false">IF(AND(ISNUMBER(B81),ISNUMBER(B80)),B81-B80,"")</f>
        <v>-454.938553802817</v>
      </c>
      <c r="J81" s="18" t="n">
        <f aca="false">C81-C80</f>
        <v>0.000799999999999999</v>
      </c>
      <c r="K81" s="18" t="n">
        <f aca="false">D81-D80</f>
        <v>-0.0995297912662513</v>
      </c>
      <c r="L81" s="18" t="n">
        <f aca="false">E81-E80</f>
        <v>-0.0743830688652541</v>
      </c>
      <c r="M81" s="18" t="n">
        <f aca="false">F81-F80</f>
        <v>0.0235882766524118</v>
      </c>
      <c r="N81" s="18" t="n">
        <f aca="false">G80</f>
        <v>-0.0171598554874708</v>
      </c>
    </row>
    <row r="82" customFormat="false" ht="15" hidden="false" customHeight="false" outlineLevel="0" collapsed="false">
      <c r="A82" s="11" t="s">
        <v>129</v>
      </c>
      <c r="B82" s="15" t="n">
        <v>1343.77188059702</v>
      </c>
      <c r="C82" s="16" t="n">
        <v>0.0347</v>
      </c>
      <c r="D82" s="16" t="n">
        <v>-0.251664772237069</v>
      </c>
      <c r="E82" s="16" t="n">
        <v>-0.191082261820379</v>
      </c>
      <c r="F82" s="16" t="n">
        <v>0.00368231900120495</v>
      </c>
      <c r="G82" s="16" t="n">
        <v>-0.0108329991805178</v>
      </c>
      <c r="I82" s="18" t="n">
        <f aca="false">IF(AND(ISNUMBER(B82),ISNUMBER(B81)),B82-B81,"")</f>
        <v>-411.750199402986</v>
      </c>
      <c r="J82" s="18" t="n">
        <f aca="false">C82-C81</f>
        <v>0.0101</v>
      </c>
      <c r="K82" s="18" t="n">
        <f aca="false">D82-D81</f>
        <v>0.0839810999883668</v>
      </c>
      <c r="L82" s="18" t="n">
        <f aca="false">E82-E81</f>
        <v>0.135614568235124</v>
      </c>
      <c r="M82" s="18" t="n">
        <f aca="false">F82-F81</f>
        <v>0.012060493699049</v>
      </c>
      <c r="N82" s="18" t="n">
        <f aca="false">G81</f>
        <v>-0.0496170325779741</v>
      </c>
    </row>
    <row r="83" customFormat="false" ht="15" hidden="false" customHeight="false" outlineLevel="0" collapsed="false">
      <c r="A83" s="11" t="s">
        <v>130</v>
      </c>
      <c r="B83" s="15" t="n">
        <v>1484.54545454546</v>
      </c>
      <c r="C83" s="16" t="n">
        <v>0.0414</v>
      </c>
      <c r="D83" s="16" t="n">
        <v>-0.193270893828479</v>
      </c>
      <c r="E83" s="16" t="n">
        <v>-0.0855806865756779</v>
      </c>
      <c r="F83" s="16" t="n">
        <v>0.00915354376141288</v>
      </c>
      <c r="G83" s="16" t="n">
        <v>-0.0193706719869603</v>
      </c>
      <c r="I83" s="18" t="n">
        <f aca="false">IF(AND(ISNUMBER(B83),ISNUMBER(B82)),B83-B82,"")</f>
        <v>140.77357394844</v>
      </c>
      <c r="J83" s="18" t="n">
        <f aca="false">C83-C82</f>
        <v>0.0067</v>
      </c>
      <c r="K83" s="18" t="n">
        <f aca="false">D83-D82</f>
        <v>0.0583938784085901</v>
      </c>
      <c r="L83" s="18" t="n">
        <f aca="false">E83-E82</f>
        <v>0.105501575244701</v>
      </c>
      <c r="M83" s="18" t="n">
        <f aca="false">F83-F82</f>
        <v>0.00547122476020793</v>
      </c>
      <c r="N83" s="18" t="n">
        <f aca="false">G82</f>
        <v>-0.0108329991805178</v>
      </c>
    </row>
    <row r="84" customFormat="false" ht="15" hidden="false" customHeight="false" outlineLevel="0" collapsed="false">
      <c r="A84" s="11" t="s">
        <v>131</v>
      </c>
      <c r="B84" s="15" t="n">
        <v>920.4</v>
      </c>
      <c r="C84" s="16" t="n">
        <v>0.0358</v>
      </c>
      <c r="D84" s="16" t="n">
        <v>0.0165797586683372</v>
      </c>
      <c r="E84" s="16" t="n">
        <v>0.055546860701615</v>
      </c>
      <c r="F84" s="16" t="n">
        <v>0.0123744463289381</v>
      </c>
      <c r="G84" s="16" t="n">
        <v>0.0263829611146622</v>
      </c>
      <c r="I84" s="18" t="n">
        <f aca="false">IF(AND(ISNUMBER(B84),ISNUMBER(B83)),B84-B83,"")</f>
        <v>-564.145454545455</v>
      </c>
      <c r="J84" s="18" t="n">
        <f aca="false">C84-C83</f>
        <v>-0.0056</v>
      </c>
      <c r="K84" s="18" t="n">
        <f aca="false">D84-D83</f>
        <v>0.209850652496816</v>
      </c>
      <c r="L84" s="18" t="n">
        <f aca="false">E84-E83</f>
        <v>0.141127547277293</v>
      </c>
      <c r="M84" s="18" t="n">
        <f aca="false">F84-F83</f>
        <v>0.0032209025675252</v>
      </c>
      <c r="N84" s="18" t="n">
        <f aca="false">G83</f>
        <v>-0.0193706719869603</v>
      </c>
    </row>
    <row r="85" customFormat="false" ht="15" hidden="false" customHeight="false" outlineLevel="0" collapsed="false">
      <c r="A85" s="11" t="s">
        <v>132</v>
      </c>
      <c r="B85" s="15" t="n">
        <v>684.538461538462</v>
      </c>
      <c r="C85" s="16" t="n">
        <v>0.0315</v>
      </c>
      <c r="D85" s="16" t="n">
        <v>0.265562805722639</v>
      </c>
      <c r="E85" s="16" t="n">
        <v>0.260662333761717</v>
      </c>
      <c r="F85" s="16" t="n">
        <v>0.0120712716933245</v>
      </c>
      <c r="G85" s="16" t="n">
        <v>0.0583747415748432</v>
      </c>
      <c r="I85" s="18" t="n">
        <f aca="false">IF(AND(ISNUMBER(B85),ISNUMBER(B84)),B85-B84,"")</f>
        <v>-235.861538461538</v>
      </c>
      <c r="J85" s="18" t="n">
        <f aca="false">C85-C84</f>
        <v>-0.0043</v>
      </c>
      <c r="K85" s="18" t="n">
        <f aca="false">D85-D84</f>
        <v>0.248983047054301</v>
      </c>
      <c r="L85" s="18" t="n">
        <f aca="false">E85-E84</f>
        <v>0.205115473060102</v>
      </c>
      <c r="M85" s="18" t="n">
        <f aca="false">F85-F84</f>
        <v>-0.00030317463561357</v>
      </c>
      <c r="N85" s="18" t="n">
        <f aca="false">G84</f>
        <v>0.0263829611146622</v>
      </c>
    </row>
    <row r="86" customFormat="false" ht="15" hidden="false" customHeight="false" outlineLevel="0" collapsed="false">
      <c r="A86" s="11" t="s">
        <v>133</v>
      </c>
      <c r="B86" s="15" t="n">
        <v>723.846153846154</v>
      </c>
      <c r="C86" s="16" t="n">
        <v>0.0236</v>
      </c>
      <c r="D86" s="16" t="n">
        <v>0.240817001757097</v>
      </c>
      <c r="E86" s="16" t="n">
        <v>0.289256985193463</v>
      </c>
      <c r="F86" s="16" t="n">
        <v>0.0113717526396036</v>
      </c>
      <c r="G86" s="16" t="n">
        <v>0.0638141408959982</v>
      </c>
      <c r="I86" s="18" t="n">
        <f aca="false">IF(AND(ISNUMBER(B86),ISNUMBER(B85)),B86-B85,"")</f>
        <v>39.3076923076923</v>
      </c>
      <c r="J86" s="18" t="n">
        <f aca="false">C86-C85</f>
        <v>-0.0079</v>
      </c>
      <c r="K86" s="18" t="n">
        <f aca="false">D86-D85</f>
        <v>-0.0247458039655413</v>
      </c>
      <c r="L86" s="18" t="n">
        <f aca="false">E86-E85</f>
        <v>0.0285946514317457</v>
      </c>
      <c r="M86" s="18" t="n">
        <f aca="false">F86-F85</f>
        <v>-0.000699519053720961</v>
      </c>
      <c r="N86" s="18" t="n">
        <f aca="false">G85</f>
        <v>0.0583747415748432</v>
      </c>
    </row>
    <row r="87" customFormat="false" ht="15" hidden="false" customHeight="false" outlineLevel="0" collapsed="false">
      <c r="A87" s="11" t="s">
        <v>134</v>
      </c>
      <c r="B87" s="15" t="n">
        <v>866.153846153846</v>
      </c>
      <c r="C87" s="16" t="n">
        <v>0.0182</v>
      </c>
      <c r="D87" s="16" t="n">
        <v>0.180053312281566</v>
      </c>
      <c r="E87" s="16" t="n">
        <v>0.166412356112257</v>
      </c>
      <c r="F87" s="16" t="n">
        <v>0.0113330996249166</v>
      </c>
      <c r="G87" s="16" t="n">
        <v>0.0325690447876617</v>
      </c>
      <c r="I87" s="18" t="n">
        <f aca="false">IF(AND(ISNUMBER(B87),ISNUMBER(B86)),B87-B86,"")</f>
        <v>142.307692307692</v>
      </c>
      <c r="J87" s="18" t="n">
        <f aca="false">C87-C86</f>
        <v>-0.0054</v>
      </c>
      <c r="K87" s="18" t="n">
        <f aca="false">D87-D86</f>
        <v>-0.0607636894755312</v>
      </c>
      <c r="L87" s="18" t="n">
        <f aca="false">E87-E86</f>
        <v>-0.122844629081206</v>
      </c>
      <c r="M87" s="18" t="n">
        <f aca="false">F87-F86</f>
        <v>-3.86530146869388E-005</v>
      </c>
      <c r="N87" s="18" t="n">
        <f aca="false">G86</f>
        <v>0.0638141408959982</v>
      </c>
    </row>
    <row r="88" customFormat="false" ht="15" hidden="false" customHeight="false" outlineLevel="0" collapsed="false">
      <c r="A88" s="11" t="s">
        <v>135</v>
      </c>
      <c r="B88" s="15" t="n">
        <v>753</v>
      </c>
      <c r="C88" s="16" t="n">
        <v>0.0182</v>
      </c>
      <c r="D88" s="16" t="n">
        <v>0.105017787438131</v>
      </c>
      <c r="E88" s="16" t="n">
        <v>0.0721765345604324</v>
      </c>
      <c r="F88" s="16" t="n">
        <v>0.00965674908470707</v>
      </c>
      <c r="G88" s="16" t="n">
        <v>0.0205805070747371</v>
      </c>
      <c r="I88" s="18" t="n">
        <f aca="false">IF(AND(ISNUMBER(B88),ISNUMBER(B87)),B88-B87,"")</f>
        <v>-113.153846153846</v>
      </c>
      <c r="J88" s="18" t="n">
        <f aca="false">C88-C87</f>
        <v>0</v>
      </c>
      <c r="K88" s="18" t="n">
        <f aca="false">D88-D87</f>
        <v>-0.0750355248434347</v>
      </c>
      <c r="L88" s="18" t="n">
        <f aca="false">E88-E87</f>
        <v>-0.0942358215518242</v>
      </c>
      <c r="M88" s="18" t="n">
        <f aca="false">F88-F87</f>
        <v>-0.00167635054020954</v>
      </c>
      <c r="N88" s="18" t="n">
        <f aca="false">G87</f>
        <v>0.0325690447876617</v>
      </c>
    </row>
    <row r="89" customFormat="false" ht="15" hidden="false" customHeight="false" outlineLevel="0" collapsed="false">
      <c r="A89" s="11" t="s">
        <v>136</v>
      </c>
      <c r="B89" s="15" t="n">
        <v>536.222222222222</v>
      </c>
      <c r="C89" s="16" t="n">
        <v>0.0182</v>
      </c>
      <c r="D89" s="16" t="n">
        <v>0.00536818485745405</v>
      </c>
      <c r="E89" s="16" t="n">
        <v>-0.0302608259736679</v>
      </c>
      <c r="F89" s="16" t="n">
        <v>0.012</v>
      </c>
      <c r="G89" s="16" t="n">
        <v>0.024694045208276</v>
      </c>
      <c r="I89" s="18" t="n">
        <f aca="false">IF(AND(ISNUMBER(B89),ISNUMBER(B88)),B89-B88,"")</f>
        <v>-216.777777777778</v>
      </c>
      <c r="J89" s="18" t="n">
        <f aca="false">C89-C88</f>
        <v>0</v>
      </c>
      <c r="K89" s="18" t="n">
        <f aca="false">D89-D88</f>
        <v>-0.0996496025806773</v>
      </c>
      <c r="L89" s="18" t="n">
        <f aca="false">E89-E88</f>
        <v>-0.1024373605341</v>
      </c>
      <c r="M89" s="18" t="n">
        <f aca="false">F89-F88</f>
        <v>0.00234325091529293</v>
      </c>
      <c r="N89" s="18" t="n">
        <f aca="false">G88</f>
        <v>0.0205805070747371</v>
      </c>
    </row>
    <row r="91" customFormat="false" ht="15" hidden="false" customHeight="false" outlineLevel="0" collapsed="false">
      <c r="B91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1" min="2" style="0" width="13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5" customFormat="false" ht="23.85" hidden="false" customHeight="false" outlineLevel="0" collapsed="false">
      <c r="A5" s="3" t="s">
        <v>39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150</v>
      </c>
      <c r="P5" s="3" t="s">
        <v>151</v>
      </c>
      <c r="Q5" s="3" t="s">
        <v>152</v>
      </c>
      <c r="R5" s="3" t="s">
        <v>153</v>
      </c>
      <c r="S5" s="3" t="s">
        <v>154</v>
      </c>
      <c r="T5" s="3" t="s">
        <v>155</v>
      </c>
      <c r="U5" s="3" t="s">
        <v>156</v>
      </c>
    </row>
    <row r="6" customFormat="false" ht="15" hidden="false" customHeight="false" outlineLevel="0" collapsed="false">
      <c r="A6" s="19" t="str">
        <f aca="false">Datos!A15</f>
        <v>2007Q3</v>
      </c>
      <c r="B6" s="20" t="n">
        <f aca="false">Datos!G15</f>
        <v>0.0842779771268098</v>
      </c>
      <c r="C6" s="20" t="n">
        <f aca="false">Datos!J15</f>
        <v>-0.0067</v>
      </c>
      <c r="D6" s="20" t="n">
        <f aca="false">Datos!K15</f>
        <v>-0.0246226187787558</v>
      </c>
      <c r="E6" s="20" t="n">
        <f aca="false">Datos!M14</f>
        <v>0.000278696192864608</v>
      </c>
      <c r="F6" s="20" t="n">
        <f aca="false">Datos!I13</f>
        <v>-71.4258225806452</v>
      </c>
      <c r="G6" s="20" t="n">
        <f aca="false">Datos!L12</f>
        <v>0.00923471616256633</v>
      </c>
      <c r="H6" s="20" t="n">
        <f aca="false">Datos!I9</f>
        <v>-29.0010684822845</v>
      </c>
      <c r="I6" s="20" t="n">
        <f aca="false">Datos!I8</f>
        <v>9.68690215163929</v>
      </c>
      <c r="J6" s="18" t="n">
        <v>1</v>
      </c>
      <c r="K6" s="18" t="n">
        <f aca="false">B6-($B$87+$B$88*C6+$B$89*D6+$B$90*E6+$B$91*F6+$B$92*G6+$B$93*H6+$B$94*I6)</f>
        <v>0.0651452794858293</v>
      </c>
      <c r="L6" s="18" t="n">
        <f aca="false">K6^2</f>
        <v>0.00424390743928681</v>
      </c>
      <c r="P6" s="18" t="n">
        <f aca="false">C6</f>
        <v>-0.0067</v>
      </c>
      <c r="Q6" s="18" t="n">
        <f aca="false">D6</f>
        <v>-0.0246226187787558</v>
      </c>
      <c r="R6" s="18" t="n">
        <f aca="false">E6</f>
        <v>0.000278696192864608</v>
      </c>
      <c r="S6" s="18" t="n">
        <f aca="false">F6</f>
        <v>-71.4258225806452</v>
      </c>
      <c r="T6" s="18" t="n">
        <f aca="false">G6</f>
        <v>0.00923471616256633</v>
      </c>
      <c r="U6" s="18" t="n">
        <f aca="false">H6-I6</f>
        <v>-38.6879706339238</v>
      </c>
    </row>
    <row r="7" customFormat="false" ht="15" hidden="false" customHeight="false" outlineLevel="0" collapsed="false">
      <c r="A7" s="19" t="str">
        <f aca="false">Datos!A16</f>
        <v>2007Q4</v>
      </c>
      <c r="B7" s="20" t="n">
        <f aca="false">Datos!G16</f>
        <v>0.092673486299768</v>
      </c>
      <c r="C7" s="20" t="n">
        <f aca="false">Datos!J16</f>
        <v>0.0077</v>
      </c>
      <c r="D7" s="20" t="n">
        <f aca="false">Datos!K16</f>
        <v>-0.0513696334944869</v>
      </c>
      <c r="E7" s="20" t="n">
        <f aca="false">Datos!M15</f>
        <v>0.000602920672835385</v>
      </c>
      <c r="F7" s="20" t="n">
        <f aca="false">Datos!I14</f>
        <v>58.1062311827956</v>
      </c>
      <c r="G7" s="20" t="n">
        <f aca="false">Datos!L13</f>
        <v>0.0214902142325806</v>
      </c>
      <c r="H7" s="20" t="n">
        <f aca="false">Datos!I10</f>
        <v>-40.7013678955453</v>
      </c>
      <c r="I7" s="20" t="n">
        <f aca="false">Datos!I9</f>
        <v>-29.0010684822845</v>
      </c>
      <c r="J7" s="18" t="n">
        <v>1</v>
      </c>
      <c r="K7" s="18" t="n">
        <f aca="false">B7-($B$87+$B$88*C7+$B$89*D7+$B$90*E7+$B$91*F7+$B$92*G7+$B$93*H7+$B$94*I7)</f>
        <v>0.0742826015501706</v>
      </c>
      <c r="L7" s="18" t="n">
        <f aca="false">K7^2</f>
        <v>0.0055179048930614</v>
      </c>
      <c r="P7" s="18" t="n">
        <f aca="false">C7</f>
        <v>0.0077</v>
      </c>
      <c r="Q7" s="18" t="n">
        <f aca="false">D7</f>
        <v>-0.0513696334944869</v>
      </c>
      <c r="R7" s="18" t="n">
        <f aca="false">E7</f>
        <v>0.000602920672835385</v>
      </c>
      <c r="S7" s="18" t="n">
        <f aca="false">F7</f>
        <v>58.1062311827956</v>
      </c>
      <c r="T7" s="18" t="n">
        <f aca="false">G7</f>
        <v>0.0214902142325806</v>
      </c>
      <c r="U7" s="18" t="n">
        <f aca="false">H7-I7</f>
        <v>-11.7002994132608</v>
      </c>
    </row>
    <row r="8" customFormat="false" ht="15" hidden="false" customHeight="false" outlineLevel="0" collapsed="false">
      <c r="A8" s="19" t="str">
        <f aca="false">Datos!A17</f>
        <v>2008Q1</v>
      </c>
      <c r="B8" s="20" t="n">
        <f aca="false">Datos!G17</f>
        <v>0.0691231457663233</v>
      </c>
      <c r="C8" s="20" t="n">
        <f aca="false">Datos!J17</f>
        <v>-0.0048</v>
      </c>
      <c r="D8" s="20" t="n">
        <f aca="false">Datos!K17</f>
        <v>-0.0322053955184198</v>
      </c>
      <c r="E8" s="20" t="n">
        <f aca="false">Datos!M16</f>
        <v>-0.00338135505996591</v>
      </c>
      <c r="F8" s="20" t="n">
        <f aca="false">Datos!I15</f>
        <v>146.742396825397</v>
      </c>
      <c r="G8" s="20" t="n">
        <f aca="false">Datos!L14</f>
        <v>0.0051344366798293</v>
      </c>
      <c r="H8" s="20" t="n">
        <f aca="false">Datos!I11</f>
        <v>-14.6685238095238</v>
      </c>
      <c r="I8" s="20" t="n">
        <f aca="false">Datos!I10</f>
        <v>-40.7013678955453</v>
      </c>
      <c r="J8" s="18" t="n">
        <v>1</v>
      </c>
      <c r="K8" s="18" t="n">
        <f aca="false">B8-($B$87+$B$88*C8+$B$89*D8+$B$90*E8+$B$91*F8+$B$92*G8+$B$93*H8+$B$94*I8)</f>
        <v>0.0758544666694231</v>
      </c>
      <c r="L8" s="18" t="n">
        <f aca="false">K8^2</f>
        <v>0.00575390011370262</v>
      </c>
      <c r="P8" s="18" t="n">
        <f aca="false">C8</f>
        <v>-0.0048</v>
      </c>
      <c r="Q8" s="18" t="n">
        <f aca="false">D8</f>
        <v>-0.0322053955184198</v>
      </c>
      <c r="R8" s="18" t="n">
        <f aca="false">E8</f>
        <v>-0.00338135505996591</v>
      </c>
      <c r="S8" s="18" t="n">
        <f aca="false">F8</f>
        <v>146.742396825397</v>
      </c>
      <c r="T8" s="18" t="n">
        <f aca="false">G8</f>
        <v>0.0051344366798293</v>
      </c>
      <c r="U8" s="18" t="n">
        <f aca="false">H8-I8</f>
        <v>26.0328440860214</v>
      </c>
    </row>
    <row r="9" customFormat="false" ht="15" hidden="false" customHeight="false" outlineLevel="0" collapsed="false">
      <c r="A9" s="19" t="str">
        <f aca="false">Datos!A18</f>
        <v>2008Q2</v>
      </c>
      <c r="B9" s="20" t="n">
        <f aca="false">Datos!G18</f>
        <v>0.0545268547475248</v>
      </c>
      <c r="C9" s="20" t="n">
        <f aca="false">Datos!J18</f>
        <v>0.0018</v>
      </c>
      <c r="D9" s="20" t="n">
        <f aca="false">Datos!K18</f>
        <v>-0.0472126174388314</v>
      </c>
      <c r="E9" s="20" t="n">
        <f aca="false">Datos!M17</f>
        <v>-0.0029350875851957</v>
      </c>
      <c r="F9" s="20" t="n">
        <f aca="false">Datos!I16</f>
        <v>-28.2266763952893</v>
      </c>
      <c r="G9" s="20" t="n">
        <f aca="false">Datos!L15</f>
        <v>-0.0137496292897965</v>
      </c>
      <c r="H9" s="20" t="n">
        <f aca="false">Datos!I12</f>
        <v>-57.3400276497695</v>
      </c>
      <c r="I9" s="20" t="n">
        <f aca="false">Datos!I11</f>
        <v>-14.6685238095238</v>
      </c>
      <c r="J9" s="18" t="n">
        <v>1</v>
      </c>
      <c r="K9" s="18" t="n">
        <f aca="false">B9-($B$87+$B$88*C9+$B$89*D9+$B$90*E9+$B$91*F9+$B$92*G9+$B$93*H9+$B$94*I9)</f>
        <v>0.0469405309472775</v>
      </c>
      <c r="L9" s="18" t="n">
        <f aca="false">K9^2</f>
        <v>0.00220341344561232</v>
      </c>
      <c r="P9" s="18" t="n">
        <f aca="false">C9</f>
        <v>0.0018</v>
      </c>
      <c r="Q9" s="18" t="n">
        <f aca="false">D9</f>
        <v>-0.0472126174388314</v>
      </c>
      <c r="R9" s="18" t="n">
        <f aca="false">E9</f>
        <v>-0.0029350875851957</v>
      </c>
      <c r="S9" s="18" t="n">
        <f aca="false">F9</f>
        <v>-28.2266763952893</v>
      </c>
      <c r="T9" s="18" t="n">
        <f aca="false">G9</f>
        <v>-0.0137496292897965</v>
      </c>
      <c r="U9" s="18" t="n">
        <f aca="false">H9-I9</f>
        <v>-42.6715038402456</v>
      </c>
    </row>
    <row r="10" customFormat="false" ht="15" hidden="false" customHeight="false" outlineLevel="0" collapsed="false">
      <c r="A10" s="19" t="str">
        <f aca="false">Datos!A19</f>
        <v>2008Q3</v>
      </c>
      <c r="B10" s="20" t="n">
        <f aca="false">Datos!G19</f>
        <v>0.060060161436698</v>
      </c>
      <c r="C10" s="20" t="n">
        <f aca="false">Datos!J19</f>
        <v>0.0064</v>
      </c>
      <c r="D10" s="20" t="n">
        <f aca="false">Datos!K19</f>
        <v>0.0103881918110503</v>
      </c>
      <c r="E10" s="20" t="n">
        <f aca="false">Datos!M18</f>
        <v>-0.00233089484643468</v>
      </c>
      <c r="F10" s="20" t="n">
        <f aca="false">Datos!I17</f>
        <v>95.3370391327341</v>
      </c>
      <c r="G10" s="20" t="n">
        <f aca="false">Datos!L16</f>
        <v>-0.0602367573720288</v>
      </c>
      <c r="H10" s="20" t="n">
        <f aca="false">Datos!I13</f>
        <v>-71.4258225806452</v>
      </c>
      <c r="I10" s="20" t="n">
        <f aca="false">Datos!I12</f>
        <v>-57.3400276497695</v>
      </c>
      <c r="J10" s="18" t="n">
        <v>1</v>
      </c>
      <c r="K10" s="18" t="n">
        <f aca="false">B10-($B$87+$B$88*C10+$B$89*D10+$B$90*E10+$B$91*F10+$B$92*G10+$B$93*H10+$B$94*I10)</f>
        <v>0.0619070929730627</v>
      </c>
      <c r="L10" s="18" t="n">
        <f aca="false">K10^2</f>
        <v>0.00383248816037543</v>
      </c>
      <c r="P10" s="18" t="n">
        <f aca="false">C10</f>
        <v>0.0064</v>
      </c>
      <c r="Q10" s="18" t="n">
        <f aca="false">D10</f>
        <v>0.0103881918110503</v>
      </c>
      <c r="R10" s="18" t="n">
        <f aca="false">E10</f>
        <v>-0.00233089484643468</v>
      </c>
      <c r="S10" s="18" t="n">
        <f aca="false">F10</f>
        <v>95.3370391327341</v>
      </c>
      <c r="T10" s="18" t="n">
        <f aca="false">G10</f>
        <v>-0.0602367573720288</v>
      </c>
      <c r="U10" s="18" t="n">
        <f aca="false">H10-I10</f>
        <v>-14.0857949308758</v>
      </c>
    </row>
    <row r="11" customFormat="false" ht="15" hidden="false" customHeight="false" outlineLevel="0" collapsed="false">
      <c r="A11" s="19" t="str">
        <f aca="false">Datos!A20</f>
        <v>2008Q4</v>
      </c>
      <c r="B11" s="20" t="n">
        <f aca="false">Datos!G20</f>
        <v>-0.019789908841391</v>
      </c>
      <c r="C11" s="20" t="n">
        <f aca="false">Datos!J20</f>
        <v>-0.0596</v>
      </c>
      <c r="D11" s="20" t="n">
        <f aca="false">Datos!K20</f>
        <v>-0.012294190622106</v>
      </c>
      <c r="E11" s="20" t="n">
        <f aca="false">Datos!M19</f>
        <v>-4.19342947748196E-005</v>
      </c>
      <c r="F11" s="20" t="n">
        <f aca="false">Datos!I18</f>
        <v>74.4147768954915</v>
      </c>
      <c r="G11" s="20" t="n">
        <f aca="false">Datos!L17</f>
        <v>-0.0286951815686505</v>
      </c>
      <c r="H11" s="20" t="n">
        <f aca="false">Datos!I14</f>
        <v>58.1062311827956</v>
      </c>
      <c r="I11" s="20" t="n">
        <f aca="false">Datos!I13</f>
        <v>-71.4258225806452</v>
      </c>
      <c r="J11" s="18" t="n">
        <v>1</v>
      </c>
      <c r="K11" s="18" t="n">
        <f aca="false">B11-($B$87+$B$88*C11+$B$89*D11+$B$90*E11+$B$91*F11+$B$92*G11+$B$93*H11+$B$94*I11)</f>
        <v>-0.00183750438168576</v>
      </c>
      <c r="L11" s="18" t="n">
        <f aca="false">K11^2</f>
        <v>3.37642235271437E-006</v>
      </c>
      <c r="P11" s="18" t="n">
        <f aca="false">C11</f>
        <v>-0.0596</v>
      </c>
      <c r="Q11" s="18" t="n">
        <f aca="false">D11</f>
        <v>-0.012294190622106</v>
      </c>
      <c r="R11" s="18" t="n">
        <f aca="false">E11</f>
        <v>-4.19342947748196E-005</v>
      </c>
      <c r="S11" s="18" t="n">
        <f aca="false">F11</f>
        <v>74.4147768954915</v>
      </c>
      <c r="T11" s="18" t="n">
        <f aca="false">G11</f>
        <v>-0.0286951815686505</v>
      </c>
      <c r="U11" s="18" t="n">
        <f aca="false">H11-I11</f>
        <v>129.532053763441</v>
      </c>
    </row>
    <row r="12" customFormat="false" ht="15" hidden="false" customHeight="false" outlineLevel="0" collapsed="false">
      <c r="A12" s="19" t="str">
        <f aca="false">Datos!A21</f>
        <v>2009Q1</v>
      </c>
      <c r="B12" s="20" t="n">
        <f aca="false">Datos!G21</f>
        <v>-0.0618875514402444</v>
      </c>
      <c r="C12" s="20" t="n">
        <f aca="false">Datos!J21</f>
        <v>-0.0344</v>
      </c>
      <c r="D12" s="20" t="n">
        <f aca="false">Datos!K21</f>
        <v>-0.0506409298873551</v>
      </c>
      <c r="E12" s="20" t="n">
        <f aca="false">Datos!M20</f>
        <v>-0.00270103720609816</v>
      </c>
      <c r="F12" s="20" t="n">
        <f aca="false">Datos!I19</f>
        <v>140.17396875</v>
      </c>
      <c r="G12" s="20" t="n">
        <f aca="false">Datos!L18</f>
        <v>-0.0389251911637248</v>
      </c>
      <c r="H12" s="20" t="n">
        <f aca="false">Datos!I15</f>
        <v>146.742396825397</v>
      </c>
      <c r="I12" s="20" t="n">
        <f aca="false">Datos!I14</f>
        <v>58.1062311827956</v>
      </c>
      <c r="J12" s="18" t="n">
        <v>1</v>
      </c>
      <c r="K12" s="18" t="n">
        <f aca="false">B12-($B$87+$B$88*C12+$B$89*D12+$B$90*E12+$B$91*F12+$B$92*G12+$B$93*H12+$B$94*I12)</f>
        <v>-0.0411056032678365</v>
      </c>
      <c r="L12" s="18" t="n">
        <f aca="false">K12^2</f>
        <v>0.00168967062001277</v>
      </c>
      <c r="P12" s="18" t="n">
        <f aca="false">C12</f>
        <v>-0.0344</v>
      </c>
      <c r="Q12" s="18" t="n">
        <f aca="false">D12</f>
        <v>-0.0506409298873551</v>
      </c>
      <c r="R12" s="18" t="n">
        <f aca="false">E12</f>
        <v>-0.00270103720609816</v>
      </c>
      <c r="S12" s="18" t="n">
        <f aca="false">F12</f>
        <v>140.17396875</v>
      </c>
      <c r="T12" s="18" t="n">
        <f aca="false">G12</f>
        <v>-0.0389251911637248</v>
      </c>
      <c r="U12" s="18" t="n">
        <f aca="false">H12-I12</f>
        <v>88.6361656426013</v>
      </c>
    </row>
    <row r="13" customFormat="false" ht="15" hidden="false" customHeight="false" outlineLevel="0" collapsed="false">
      <c r="A13" s="19" t="str">
        <f aca="false">Datos!A22</f>
        <v>2009Q2</v>
      </c>
      <c r="B13" s="20" t="n">
        <f aca="false">Datos!G22</f>
        <v>-0.112745471526209</v>
      </c>
      <c r="C13" s="20" t="n">
        <f aca="false">Datos!J22</f>
        <v>0.0022</v>
      </c>
      <c r="D13" s="20" t="n">
        <f aca="false">Datos!K22</f>
        <v>-0.0270336828188397</v>
      </c>
      <c r="E13" s="20" t="n">
        <f aca="false">Datos!M21</f>
        <v>-0.00347983095461357</v>
      </c>
      <c r="F13" s="20" t="n">
        <f aca="false">Datos!I20</f>
        <v>999.763070060484</v>
      </c>
      <c r="G13" s="20" t="n">
        <f aca="false">Datos!L19</f>
        <v>0.0202193728000716</v>
      </c>
      <c r="H13" s="20" t="n">
        <f aca="false">Datos!I16</f>
        <v>-28.2266763952893</v>
      </c>
      <c r="I13" s="20" t="n">
        <f aca="false">Datos!I15</f>
        <v>146.742396825397</v>
      </c>
      <c r="J13" s="18" t="n">
        <v>1</v>
      </c>
      <c r="K13" s="18" t="n">
        <f aca="false">B13-($B$87+$B$88*C13+$B$89*D13+$B$90*E13+$B$91*F13+$B$92*G13+$B$93*H13+$B$94*I13)</f>
        <v>-0.0543914016780266</v>
      </c>
      <c r="L13" s="18" t="n">
        <f aca="false">K13^2</f>
        <v>0.00295842457650043</v>
      </c>
      <c r="P13" s="18" t="n">
        <f aca="false">C13</f>
        <v>0.0022</v>
      </c>
      <c r="Q13" s="18" t="n">
        <f aca="false">D13</f>
        <v>-0.0270336828188397</v>
      </c>
      <c r="R13" s="18" t="n">
        <f aca="false">E13</f>
        <v>-0.00347983095461357</v>
      </c>
      <c r="S13" s="18" t="n">
        <f aca="false">F13</f>
        <v>999.763070060484</v>
      </c>
      <c r="T13" s="18" t="n">
        <f aca="false">G13</f>
        <v>0.0202193728000716</v>
      </c>
      <c r="U13" s="18" t="n">
        <f aca="false">H13-I13</f>
        <v>-174.969073220686</v>
      </c>
    </row>
    <row r="14" customFormat="false" ht="15" hidden="false" customHeight="false" outlineLevel="0" collapsed="false">
      <c r="A14" s="19" t="str">
        <f aca="false">Datos!A23</f>
        <v>2009Q3</v>
      </c>
      <c r="B14" s="20" t="n">
        <f aca="false">Datos!G23</f>
        <v>-0.0565117996405296</v>
      </c>
      <c r="C14" s="20" t="n">
        <f aca="false">Datos!J23</f>
        <v>0.0104</v>
      </c>
      <c r="D14" s="20" t="n">
        <f aca="false">Datos!K23</f>
        <v>0.0188952503887881</v>
      </c>
      <c r="E14" s="20" t="n">
        <f aca="false">Datos!M22</f>
        <v>-0.0080313344662462</v>
      </c>
      <c r="F14" s="20" t="n">
        <f aca="false">Datos!I21</f>
        <v>3.47016790058183</v>
      </c>
      <c r="G14" s="20" t="n">
        <f aca="false">Datos!L20</f>
        <v>0.0208164044278587</v>
      </c>
      <c r="H14" s="20" t="n">
        <f aca="false">Datos!I17</f>
        <v>95.3370391327341</v>
      </c>
      <c r="I14" s="20" t="n">
        <f aca="false">Datos!I16</f>
        <v>-28.2266763952893</v>
      </c>
      <c r="J14" s="18" t="n">
        <v>1</v>
      </c>
      <c r="K14" s="18" t="n">
        <f aca="false">B14-($B$87+$B$88*C14+$B$89*D14+$B$90*E14+$B$91*F14+$B$92*G14+$B$93*H14+$B$94*I14)</f>
        <v>-0.0522386609225638</v>
      </c>
      <c r="L14" s="18" t="n">
        <f aca="false">K14^2</f>
        <v>0.0027288776949826</v>
      </c>
      <c r="P14" s="18" t="n">
        <f aca="false">C14</f>
        <v>0.0104</v>
      </c>
      <c r="Q14" s="18" t="n">
        <f aca="false">D14</f>
        <v>0.0188952503887881</v>
      </c>
      <c r="R14" s="18" t="n">
        <f aca="false">E14</f>
        <v>-0.0080313344662462</v>
      </c>
      <c r="S14" s="18" t="n">
        <f aca="false">F14</f>
        <v>3.47016790058183</v>
      </c>
      <c r="T14" s="18" t="n">
        <f aca="false">G14</f>
        <v>0.0208164044278587</v>
      </c>
      <c r="U14" s="18" t="n">
        <f aca="false">H14-I14</f>
        <v>123.563715528023</v>
      </c>
    </row>
    <row r="15" customFormat="false" ht="15" hidden="false" customHeight="false" outlineLevel="0" collapsed="false">
      <c r="A15" s="19" t="str">
        <f aca="false">Datos!A24</f>
        <v>2009Q4</v>
      </c>
      <c r="B15" s="20" t="n">
        <f aca="false">Datos!G24</f>
        <v>0.00281998226127467</v>
      </c>
      <c r="C15" s="20" t="n">
        <f aca="false">Datos!J24</f>
        <v>0.0649</v>
      </c>
      <c r="D15" s="20" t="n">
        <f aca="false">Datos!K24</f>
        <v>0.0202660816321944</v>
      </c>
      <c r="E15" s="20" t="n">
        <f aca="false">Datos!M23</f>
        <v>-0.0083302111754376</v>
      </c>
      <c r="F15" s="20" t="n">
        <f aca="false">Datos!I22</f>
        <v>-244.401219359875</v>
      </c>
      <c r="G15" s="20" t="n">
        <f aca="false">Datos!L21</f>
        <v>-0.0374388367953842</v>
      </c>
      <c r="H15" s="20" t="n">
        <f aca="false">Datos!I18</f>
        <v>74.4147768954915</v>
      </c>
      <c r="I15" s="20" t="n">
        <f aca="false">Datos!I17</f>
        <v>95.3370391327341</v>
      </c>
      <c r="J15" s="18" t="n">
        <v>1</v>
      </c>
      <c r="K15" s="18" t="n">
        <f aca="false">B15-($B$87+$B$88*C15+$B$89*D15+$B$90*E15+$B$91*F15+$B$92*G15+$B$93*H15+$B$94*I15)</f>
        <v>-0.0259634991241091</v>
      </c>
      <c r="L15" s="18" t="n">
        <f aca="false">K15^2</f>
        <v>0.000674103286767613</v>
      </c>
      <c r="P15" s="18" t="n">
        <f aca="false">C15</f>
        <v>0.0649</v>
      </c>
      <c r="Q15" s="18" t="n">
        <f aca="false">D15</f>
        <v>0.0202660816321944</v>
      </c>
      <c r="R15" s="18" t="n">
        <f aca="false">E15</f>
        <v>-0.0083302111754376</v>
      </c>
      <c r="S15" s="18" t="n">
        <f aca="false">F15</f>
        <v>-244.401219359875</v>
      </c>
      <c r="T15" s="18" t="n">
        <f aca="false">G15</f>
        <v>-0.0374388367953842</v>
      </c>
      <c r="U15" s="18" t="n">
        <f aca="false">H15-I15</f>
        <v>-20.9222622372427</v>
      </c>
    </row>
    <row r="16" customFormat="false" ht="15" hidden="false" customHeight="false" outlineLevel="0" collapsed="false">
      <c r="A16" s="19" t="str">
        <f aca="false">Datos!A25</f>
        <v>2010Q1</v>
      </c>
      <c r="B16" s="20" t="n">
        <f aca="false">Datos!G25</f>
        <v>0.0571326910752132</v>
      </c>
      <c r="C16" s="20" t="n">
        <f aca="false">Datos!J25</f>
        <v>0.0388</v>
      </c>
      <c r="D16" s="20" t="n">
        <f aca="false">Datos!K25</f>
        <v>0.0364851445863187</v>
      </c>
      <c r="E16" s="20" t="n">
        <f aca="false">Datos!M24</f>
        <v>-0.00738339686401843</v>
      </c>
      <c r="F16" s="20" t="n">
        <f aca="false">Datos!I23</f>
        <v>-533.989581101191</v>
      </c>
      <c r="G16" s="20" t="n">
        <f aca="false">Datos!L22</f>
        <v>-0.043804080965929</v>
      </c>
      <c r="H16" s="20" t="n">
        <f aca="false">Datos!I19</f>
        <v>140.17396875</v>
      </c>
      <c r="I16" s="20" t="n">
        <f aca="false">Datos!I18</f>
        <v>74.4147768954915</v>
      </c>
      <c r="J16" s="18" t="n">
        <v>1</v>
      </c>
      <c r="K16" s="18" t="n">
        <f aca="false">B16-($B$87+$B$88*C16+$B$89*D16+$B$90*E16+$B$91*F16+$B$92*G16+$B$93*H16+$B$94*I16)</f>
        <v>0.0178732571658725</v>
      </c>
      <c r="L16" s="18" t="n">
        <f aca="false">K16^2</f>
        <v>0.000319453321717411</v>
      </c>
      <c r="P16" s="18" t="n">
        <f aca="false">C16</f>
        <v>0.0388</v>
      </c>
      <c r="Q16" s="18" t="n">
        <f aca="false">D16</f>
        <v>0.0364851445863187</v>
      </c>
      <c r="R16" s="18" t="n">
        <f aca="false">E16</f>
        <v>-0.00738339686401843</v>
      </c>
      <c r="S16" s="18" t="n">
        <f aca="false">F16</f>
        <v>-533.989581101191</v>
      </c>
      <c r="T16" s="18" t="n">
        <f aca="false">G16</f>
        <v>-0.043804080965929</v>
      </c>
      <c r="U16" s="18" t="n">
        <f aca="false">H16-I16</f>
        <v>65.7591918545086</v>
      </c>
    </row>
    <row r="17" customFormat="false" ht="15" hidden="false" customHeight="false" outlineLevel="0" collapsed="false">
      <c r="A17" s="19" t="str">
        <f aca="false">Datos!A26</f>
        <v>2010Q2</v>
      </c>
      <c r="B17" s="20" t="n">
        <f aca="false">Datos!G26</f>
        <v>0.162441995090574</v>
      </c>
      <c r="C17" s="20" t="n">
        <f aca="false">Datos!J26</f>
        <v>-0.00690000000000002</v>
      </c>
      <c r="D17" s="20" t="n">
        <f aca="false">Datos!K26</f>
        <v>0.115499149243793</v>
      </c>
      <c r="E17" s="20" t="n">
        <f aca="false">Datos!M25</f>
        <v>-0.00274815082820695</v>
      </c>
      <c r="F17" s="20" t="n">
        <f aca="false">Datos!I24</f>
        <v>-203.745835181452</v>
      </c>
      <c r="G17" s="20" t="n">
        <f aca="false">Datos!L23</f>
        <v>0.0271712027425793</v>
      </c>
      <c r="H17" s="20" t="n">
        <f aca="false">Datos!I20</f>
        <v>999.763070060484</v>
      </c>
      <c r="I17" s="20" t="n">
        <f aca="false">Datos!I19</f>
        <v>140.17396875</v>
      </c>
      <c r="J17" s="18" t="n">
        <v>1</v>
      </c>
      <c r="K17" s="18" t="n">
        <f aca="false">B17-($B$87+$B$88*C17+$B$89*D17+$B$90*E17+$B$91*F17+$B$92*G17+$B$93*H17+$B$94*I17)</f>
        <v>0.146898214470246</v>
      </c>
      <c r="L17" s="18" t="n">
        <f aca="false">K17^2</f>
        <v>0.0215790854145464</v>
      </c>
      <c r="P17" s="18" t="n">
        <f aca="false">C17</f>
        <v>-0.00690000000000002</v>
      </c>
      <c r="Q17" s="18" t="n">
        <f aca="false">D17</f>
        <v>0.115499149243793</v>
      </c>
      <c r="R17" s="18" t="n">
        <f aca="false">E17</f>
        <v>-0.00274815082820695</v>
      </c>
      <c r="S17" s="18" t="n">
        <f aca="false">F17</f>
        <v>-203.745835181452</v>
      </c>
      <c r="T17" s="18" t="n">
        <f aca="false">G17</f>
        <v>0.0271712027425793</v>
      </c>
      <c r="U17" s="18" t="n">
        <f aca="false">H17-I17</f>
        <v>859.589101310484</v>
      </c>
    </row>
    <row r="18" customFormat="false" ht="15" hidden="false" customHeight="false" outlineLevel="0" collapsed="false">
      <c r="A18" s="19" t="str">
        <f aca="false">Datos!A27</f>
        <v>2010Q3</v>
      </c>
      <c r="B18" s="20" t="n">
        <f aca="false">Datos!G27</f>
        <v>0.0950774236722809</v>
      </c>
      <c r="C18" s="20" t="n">
        <f aca="false">Datos!J27</f>
        <v>-0.0161</v>
      </c>
      <c r="D18" s="20" t="n">
        <f aca="false">Datos!K27</f>
        <v>0.0131107735865699</v>
      </c>
      <c r="E18" s="20" t="n">
        <f aca="false">Datos!M26</f>
        <v>0.00434277462531486</v>
      </c>
      <c r="F18" s="20" t="n">
        <f aca="false">Datos!I25</f>
        <v>15.4416356425168</v>
      </c>
      <c r="G18" s="20" t="n">
        <f aca="false">Datos!L24</f>
        <v>-0.00576713422833086</v>
      </c>
      <c r="H18" s="20" t="n">
        <f aca="false">Datos!I21</f>
        <v>3.47016790058183</v>
      </c>
      <c r="I18" s="20" t="n">
        <f aca="false">Datos!I20</f>
        <v>999.763070060484</v>
      </c>
      <c r="J18" s="18" t="n">
        <v>1</v>
      </c>
      <c r="K18" s="18" t="n">
        <f aca="false">B18-($B$87+$B$88*C18+$B$89*D18+$B$90*E18+$B$91*F18+$B$92*G18+$B$93*H18+$B$94*I18)</f>
        <v>0.0680301905918501</v>
      </c>
      <c r="L18" s="18" t="n">
        <f aca="false">K18^2</f>
        <v>0.00462810683196346</v>
      </c>
      <c r="P18" s="18" t="n">
        <f aca="false">C18</f>
        <v>-0.0161</v>
      </c>
      <c r="Q18" s="18" t="n">
        <f aca="false">D18</f>
        <v>0.0131107735865699</v>
      </c>
      <c r="R18" s="18" t="n">
        <f aca="false">E18</f>
        <v>0.00434277462531486</v>
      </c>
      <c r="S18" s="18" t="n">
        <f aca="false">F18</f>
        <v>15.4416356425168</v>
      </c>
      <c r="T18" s="18" t="n">
        <f aca="false">G18</f>
        <v>-0.00576713422833086</v>
      </c>
      <c r="U18" s="18" t="n">
        <f aca="false">H18-I18</f>
        <v>-996.292902159902</v>
      </c>
    </row>
    <row r="19" customFormat="false" ht="15" hidden="false" customHeight="false" outlineLevel="0" collapsed="false">
      <c r="A19" s="19" t="str">
        <f aca="false">Datos!A28</f>
        <v>2010Q4</v>
      </c>
      <c r="B19" s="20" t="n">
        <f aca="false">Datos!G28</f>
        <v>0.0860979311042298</v>
      </c>
      <c r="C19" s="20" t="n">
        <f aca="false">Datos!J28</f>
        <v>-0.0122</v>
      </c>
      <c r="D19" s="20" t="n">
        <f aca="false">Datos!K28</f>
        <v>0.0312470107223477</v>
      </c>
      <c r="E19" s="20" t="n">
        <f aca="false">Datos!M27</f>
        <v>0.00241267441570089</v>
      </c>
      <c r="F19" s="20" t="n">
        <f aca="false">Datos!I26</f>
        <v>0.464510798855258</v>
      </c>
      <c r="G19" s="20" t="n">
        <f aca="false">Datos!L25</f>
        <v>0.0315418144587436</v>
      </c>
      <c r="H19" s="20" t="n">
        <f aca="false">Datos!I22</f>
        <v>-244.401219359875</v>
      </c>
      <c r="I19" s="20" t="n">
        <f aca="false">Datos!I21</f>
        <v>3.47016790058183</v>
      </c>
      <c r="J19" s="18" t="n">
        <v>1</v>
      </c>
      <c r="K19" s="18" t="n">
        <f aca="false">B19-($B$87+$B$88*C19+$B$89*D19+$B$90*E19+$B$91*F19+$B$92*G19+$B$93*H19+$B$94*I19)</f>
        <v>0.0642290745744165</v>
      </c>
      <c r="L19" s="18" t="n">
        <f aca="false">K19^2</f>
        <v>0.00412537402068596</v>
      </c>
      <c r="P19" s="18" t="n">
        <f aca="false">C19</f>
        <v>-0.0122</v>
      </c>
      <c r="Q19" s="18" t="n">
        <f aca="false">D19</f>
        <v>0.0312470107223477</v>
      </c>
      <c r="R19" s="18" t="n">
        <f aca="false">E19</f>
        <v>0.00241267441570089</v>
      </c>
      <c r="S19" s="18" t="n">
        <f aca="false">F19</f>
        <v>0.464510798855258</v>
      </c>
      <c r="T19" s="18" t="n">
        <f aca="false">G19</f>
        <v>0.0315418144587436</v>
      </c>
      <c r="U19" s="18" t="n">
        <f aca="false">H19-I19</f>
        <v>-247.871387260457</v>
      </c>
    </row>
    <row r="20" customFormat="false" ht="15" hidden="false" customHeight="false" outlineLevel="0" collapsed="false">
      <c r="A20" s="19" t="str">
        <f aca="false">Datos!A29</f>
        <v>2011Q1</v>
      </c>
      <c r="B20" s="20" t="n">
        <f aca="false">Datos!G29</f>
        <v>0.0829261625044686</v>
      </c>
      <c r="C20" s="20" t="n">
        <f aca="false">Datos!J29</f>
        <v>-0.00499999999999999</v>
      </c>
      <c r="D20" s="20" t="n">
        <f aca="false">Datos!K29</f>
        <v>0.0422766191537938</v>
      </c>
      <c r="E20" s="20" t="n">
        <f aca="false">Datos!M28</f>
        <v>-0.00216449992080475</v>
      </c>
      <c r="F20" s="20" t="n">
        <f aca="false">Datos!I27</f>
        <v>-22.7225300099209</v>
      </c>
      <c r="G20" s="20" t="n">
        <f aca="false">Datos!L26</f>
        <v>0.0935739728512151</v>
      </c>
      <c r="H20" s="20" t="n">
        <f aca="false">Datos!I23</f>
        <v>-533.989581101191</v>
      </c>
      <c r="I20" s="20" t="n">
        <f aca="false">Datos!I22</f>
        <v>-244.401219359875</v>
      </c>
      <c r="J20" s="18" t="n">
        <v>1</v>
      </c>
      <c r="K20" s="18" t="n">
        <f aca="false">B20-($B$87+$B$88*C20+$B$89*D20+$B$90*E20+$B$91*F20+$B$92*G20+$B$93*H20+$B$94*I20)</f>
        <v>0.0646618570181737</v>
      </c>
      <c r="L20" s="18" t="n">
        <f aca="false">K20^2</f>
        <v>0.00418115575303873</v>
      </c>
      <c r="P20" s="18" t="n">
        <f aca="false">C20</f>
        <v>-0.00499999999999999</v>
      </c>
      <c r="Q20" s="18" t="n">
        <f aca="false">D20</f>
        <v>0.0422766191537938</v>
      </c>
      <c r="R20" s="18" t="n">
        <f aca="false">E20</f>
        <v>-0.00216449992080475</v>
      </c>
      <c r="S20" s="18" t="n">
        <f aca="false">F20</f>
        <v>-22.7225300099209</v>
      </c>
      <c r="T20" s="18" t="n">
        <f aca="false">G20</f>
        <v>0.0935739728512151</v>
      </c>
      <c r="U20" s="18" t="n">
        <f aca="false">H20-I20</f>
        <v>-289.588361741316</v>
      </c>
    </row>
    <row r="21" customFormat="false" ht="15" hidden="false" customHeight="false" outlineLevel="0" collapsed="false">
      <c r="A21" s="19" t="str">
        <f aca="false">Datos!A30</f>
        <v>2011Q2</v>
      </c>
      <c r="B21" s="20" t="n">
        <f aca="false">Datos!G30</f>
        <v>0.0444334376577356</v>
      </c>
      <c r="C21" s="20" t="n">
        <f aca="false">Datos!J30</f>
        <v>-0.0049</v>
      </c>
      <c r="D21" s="20" t="n">
        <f aca="false">Datos!K30</f>
        <v>-0.0386592979395697</v>
      </c>
      <c r="E21" s="20" t="n">
        <f aca="false">Datos!M29</f>
        <v>0.00150805653382125</v>
      </c>
      <c r="F21" s="20" t="n">
        <f aca="false">Datos!I28</f>
        <v>-165.748584173387</v>
      </c>
      <c r="G21" s="20" t="n">
        <f aca="false">Datos!L27</f>
        <v>-0.0123659345741185</v>
      </c>
      <c r="H21" s="20" t="n">
        <f aca="false">Datos!I24</f>
        <v>-203.745835181452</v>
      </c>
      <c r="I21" s="20" t="n">
        <f aca="false">Datos!I23</f>
        <v>-533.989581101191</v>
      </c>
      <c r="J21" s="18" t="n">
        <v>1</v>
      </c>
      <c r="K21" s="18" t="n">
        <f aca="false">B21-($B$87+$B$88*C21+$B$89*D21+$B$90*E21+$B$91*F21+$B$92*G21+$B$93*H21+$B$94*I21)</f>
        <v>0.0193932792749274</v>
      </c>
      <c r="L21" s="18" t="n">
        <f aca="false">K21^2</f>
        <v>0.00037609928103533</v>
      </c>
      <c r="P21" s="18" t="n">
        <f aca="false">C21</f>
        <v>-0.0049</v>
      </c>
      <c r="Q21" s="18" t="n">
        <f aca="false">D21</f>
        <v>-0.0386592979395697</v>
      </c>
      <c r="R21" s="18" t="n">
        <f aca="false">E21</f>
        <v>0.00150805653382125</v>
      </c>
      <c r="S21" s="18" t="n">
        <f aca="false">F21</f>
        <v>-165.748584173387</v>
      </c>
      <c r="T21" s="18" t="n">
        <f aca="false">G21</f>
        <v>-0.0123659345741185</v>
      </c>
      <c r="U21" s="18" t="n">
        <f aca="false">H21-I21</f>
        <v>330.243745919739</v>
      </c>
    </row>
    <row r="22" customFormat="false" ht="15" hidden="false" customHeight="false" outlineLevel="0" collapsed="false">
      <c r="A22" s="19" t="str">
        <f aca="false">Datos!A31</f>
        <v>2011Q3</v>
      </c>
      <c r="B22" s="20" t="n">
        <f aca="false">Datos!G31</f>
        <v>0.0640936718081673</v>
      </c>
      <c r="C22" s="20" t="n">
        <f aca="false">Datos!J31</f>
        <v>-0.0117</v>
      </c>
      <c r="D22" s="20" t="n">
        <f aca="false">Datos!K31</f>
        <v>0.0068203401084819</v>
      </c>
      <c r="E22" s="20" t="n">
        <f aca="false">Datos!M30</f>
        <v>-0.00105380264062771</v>
      </c>
      <c r="F22" s="20" t="n">
        <f aca="false">Datos!I29</f>
        <v>-12.9487096774192</v>
      </c>
      <c r="G22" s="20" t="n">
        <f aca="false">Datos!L28</f>
        <v>0.0288216919373594</v>
      </c>
      <c r="H22" s="20" t="n">
        <f aca="false">Datos!I25</f>
        <v>15.4416356425168</v>
      </c>
      <c r="I22" s="20" t="n">
        <f aca="false">Datos!I24</f>
        <v>-203.745835181452</v>
      </c>
      <c r="J22" s="18" t="n">
        <v>1</v>
      </c>
      <c r="K22" s="18" t="n">
        <f aca="false">B22-($B$87+$B$88*C22+$B$89*D22+$B$90*E22+$B$91*F22+$B$92*G22+$B$93*H22+$B$94*I22)</f>
        <v>0.0548123486241229</v>
      </c>
      <c r="L22" s="18" t="n">
        <f aca="false">K22^2</f>
        <v>0.00300439356169239</v>
      </c>
      <c r="P22" s="18" t="n">
        <f aca="false">C22</f>
        <v>-0.0117</v>
      </c>
      <c r="Q22" s="18" t="n">
        <f aca="false">D22</f>
        <v>0.0068203401084819</v>
      </c>
      <c r="R22" s="18" t="n">
        <f aca="false">E22</f>
        <v>-0.00105380264062771</v>
      </c>
      <c r="S22" s="18" t="n">
        <f aca="false">F22</f>
        <v>-12.9487096774192</v>
      </c>
      <c r="T22" s="18" t="n">
        <f aca="false">G22</f>
        <v>0.0288216919373594</v>
      </c>
      <c r="U22" s="18" t="n">
        <f aca="false">H22-I22</f>
        <v>219.187470823968</v>
      </c>
    </row>
    <row r="23" customFormat="false" ht="15" hidden="false" customHeight="false" outlineLevel="0" collapsed="false">
      <c r="A23" s="19" t="str">
        <f aca="false">Datos!A32</f>
        <v>2011Q4</v>
      </c>
      <c r="B23" s="20" t="n">
        <f aca="false">Datos!G32</f>
        <v>0.0521713189216535</v>
      </c>
      <c r="C23" s="20" t="n">
        <f aca="false">Datos!J32</f>
        <v>-0.0096</v>
      </c>
      <c r="D23" s="20" t="n">
        <f aca="false">Datos!K32</f>
        <v>-0.0270244482852387</v>
      </c>
      <c r="E23" s="20" t="n">
        <f aca="false">Datos!M31</f>
        <v>-0.00352299984857712</v>
      </c>
      <c r="F23" s="20" t="n">
        <f aca="false">Datos!I30</f>
        <v>41.5229032258063</v>
      </c>
      <c r="G23" s="20" t="n">
        <f aca="false">Datos!L29</f>
        <v>0.0352338810614263</v>
      </c>
      <c r="H23" s="20" t="n">
        <f aca="false">Datos!I26</f>
        <v>0.464510798855258</v>
      </c>
      <c r="I23" s="20" t="n">
        <f aca="false">Datos!I25</f>
        <v>15.4416356425168</v>
      </c>
      <c r="J23" s="18" t="n">
        <v>1</v>
      </c>
      <c r="K23" s="18" t="n">
        <f aca="false">B23-($B$87+$B$88*C23+$B$89*D23+$B$90*E23+$B$91*F23+$B$92*G23+$B$93*H23+$B$94*I23)</f>
        <v>0.0509885525143668</v>
      </c>
      <c r="L23" s="18" t="n">
        <f aca="false">K23^2</f>
        <v>0.00259983248751034</v>
      </c>
      <c r="P23" s="18" t="n">
        <f aca="false">C23</f>
        <v>-0.0096</v>
      </c>
      <c r="Q23" s="18" t="n">
        <f aca="false">D23</f>
        <v>-0.0270244482852387</v>
      </c>
      <c r="R23" s="18" t="n">
        <f aca="false">E23</f>
        <v>-0.00352299984857712</v>
      </c>
      <c r="S23" s="18" t="n">
        <f aca="false">F23</f>
        <v>41.5229032258063</v>
      </c>
      <c r="T23" s="18" t="n">
        <f aca="false">G23</f>
        <v>0.0352338810614263</v>
      </c>
      <c r="U23" s="18" t="n">
        <f aca="false">H23-I23</f>
        <v>-14.9771248436615</v>
      </c>
    </row>
    <row r="24" customFormat="false" ht="15" hidden="false" customHeight="false" outlineLevel="0" collapsed="false">
      <c r="A24" s="19" t="str">
        <f aca="false">Datos!A33</f>
        <v>2012Q1</v>
      </c>
      <c r="B24" s="20" t="n">
        <f aca="false">Datos!G33</f>
        <v>0.0156424693190642</v>
      </c>
      <c r="C24" s="20" t="n">
        <f aca="false">Datos!J33</f>
        <v>-0.0086</v>
      </c>
      <c r="D24" s="20" t="n">
        <f aca="false">Datos!K33</f>
        <v>-0.0290398188694472</v>
      </c>
      <c r="E24" s="20" t="n">
        <f aca="false">Datos!M32</f>
        <v>-0.000637790538180211</v>
      </c>
      <c r="F24" s="20" t="n">
        <f aca="false">Datos!I31</f>
        <v>158.444625</v>
      </c>
      <c r="G24" s="20" t="n">
        <f aca="false">Datos!L30</f>
        <v>-0.0193928471303448</v>
      </c>
      <c r="H24" s="20" t="n">
        <f aca="false">Datos!I27</f>
        <v>-22.7225300099209</v>
      </c>
      <c r="I24" s="20" t="n">
        <f aca="false">Datos!I26</f>
        <v>0.464510798855258</v>
      </c>
      <c r="J24" s="18" t="n">
        <v>1</v>
      </c>
      <c r="K24" s="18" t="n">
        <f aca="false">B24-($B$87+$B$88*C24+$B$89*D24+$B$90*E24+$B$91*F24+$B$92*G24+$B$93*H24+$B$94*I24)</f>
        <v>0.0183842336895028</v>
      </c>
      <c r="L24" s="18" t="n">
        <f aca="false">K24^2</f>
        <v>0.000337980048350251</v>
      </c>
      <c r="P24" s="18" t="n">
        <f aca="false">C24</f>
        <v>-0.0086</v>
      </c>
      <c r="Q24" s="18" t="n">
        <f aca="false">D24</f>
        <v>-0.0290398188694472</v>
      </c>
      <c r="R24" s="18" t="n">
        <f aca="false">E24</f>
        <v>-0.000637790538180211</v>
      </c>
      <c r="S24" s="18" t="n">
        <f aca="false">F24</f>
        <v>158.444625</v>
      </c>
      <c r="T24" s="18" t="n">
        <f aca="false">G24</f>
        <v>-0.0193928471303448</v>
      </c>
      <c r="U24" s="18" t="n">
        <f aca="false">H24-I24</f>
        <v>-23.1870408087761</v>
      </c>
    </row>
    <row r="25" customFormat="false" ht="15" hidden="false" customHeight="false" outlineLevel="0" collapsed="false">
      <c r="A25" s="19" t="str">
        <f aca="false">Datos!A34</f>
        <v>2012Q2</v>
      </c>
      <c r="B25" s="20" t="n">
        <f aca="false">Datos!G34</f>
        <v>-0.0463175722342237</v>
      </c>
      <c r="C25" s="20" t="n">
        <f aca="false">Datos!J34</f>
        <v>-0.0072</v>
      </c>
      <c r="D25" s="20" t="n">
        <f aca="false">Datos!K34</f>
        <v>-0.026110493572689</v>
      </c>
      <c r="E25" s="20" t="n">
        <f aca="false">Datos!M33</f>
        <v>-0.00100156130651481</v>
      </c>
      <c r="F25" s="20" t="n">
        <f aca="false">Datos!I32</f>
        <v>174.585041666667</v>
      </c>
      <c r="G25" s="20" t="n">
        <f aca="false">Datos!L31</f>
        <v>0.0064285495380567</v>
      </c>
      <c r="H25" s="20" t="n">
        <f aca="false">Datos!I28</f>
        <v>-165.748584173387</v>
      </c>
      <c r="I25" s="20" t="n">
        <f aca="false">Datos!I27</f>
        <v>-22.7225300099209</v>
      </c>
      <c r="J25" s="18" t="n">
        <v>1</v>
      </c>
      <c r="K25" s="18" t="n">
        <f aca="false">B25-($B$87+$B$88*C25+$B$89*D25+$B$90*E25+$B$91*F25+$B$92*G25+$B$93*H25+$B$94*I25)</f>
        <v>-0.0451060369053201</v>
      </c>
      <c r="L25" s="18" t="n">
        <f aca="false">K25^2</f>
        <v>0.0020345545653041</v>
      </c>
      <c r="P25" s="18" t="n">
        <f aca="false">C25</f>
        <v>-0.0072</v>
      </c>
      <c r="Q25" s="18" t="n">
        <f aca="false">D25</f>
        <v>-0.026110493572689</v>
      </c>
      <c r="R25" s="18" t="n">
        <f aca="false">E25</f>
        <v>-0.00100156130651481</v>
      </c>
      <c r="S25" s="18" t="n">
        <f aca="false">F25</f>
        <v>174.585041666667</v>
      </c>
      <c r="T25" s="18" t="n">
        <f aca="false">G25</f>
        <v>0.0064285495380567</v>
      </c>
      <c r="U25" s="18" t="n">
        <f aca="false">H25-I25</f>
        <v>-143.026054163466</v>
      </c>
    </row>
    <row r="26" customFormat="false" ht="15" hidden="false" customHeight="false" outlineLevel="0" collapsed="false">
      <c r="A26" s="19" t="str">
        <f aca="false">Datos!A35</f>
        <v>2012Q3</v>
      </c>
      <c r="B26" s="20" t="n">
        <f aca="false">Datos!G35</f>
        <v>-0.0111829419552486</v>
      </c>
      <c r="C26" s="20" t="n">
        <f aca="false">Datos!J35</f>
        <v>0.015</v>
      </c>
      <c r="D26" s="20" t="n">
        <f aca="false">Datos!K35</f>
        <v>0.0386172859864582</v>
      </c>
      <c r="E26" s="20" t="n">
        <f aca="false">Datos!M34</f>
        <v>-0.00300269044532598</v>
      </c>
      <c r="F26" s="20" t="n">
        <f aca="false">Datos!I33</f>
        <v>-75.1010327956988</v>
      </c>
      <c r="G26" s="20" t="n">
        <f aca="false">Datos!L32</f>
        <v>-0.0196574711342907</v>
      </c>
      <c r="H26" s="20" t="n">
        <f aca="false">Datos!I29</f>
        <v>-12.9487096774192</v>
      </c>
      <c r="I26" s="20" t="n">
        <f aca="false">Datos!I28</f>
        <v>-165.748584173387</v>
      </c>
      <c r="J26" s="18" t="n">
        <v>1</v>
      </c>
      <c r="K26" s="18" t="n">
        <f aca="false">B26-($B$87+$B$88*C26+$B$89*D26+$B$90*E26+$B$91*F26+$B$92*G26+$B$93*H26+$B$94*I26)</f>
        <v>-0.0250829111041934</v>
      </c>
      <c r="L26" s="18" t="n">
        <f aca="false">K26^2</f>
        <v>0.00062915242946087</v>
      </c>
      <c r="P26" s="18" t="n">
        <f aca="false">C26</f>
        <v>0.015</v>
      </c>
      <c r="Q26" s="18" t="n">
        <f aca="false">D26</f>
        <v>0.0386172859864582</v>
      </c>
      <c r="R26" s="18" t="n">
        <f aca="false">E26</f>
        <v>-0.00300269044532598</v>
      </c>
      <c r="S26" s="18" t="n">
        <f aca="false">F26</f>
        <v>-75.1010327956988</v>
      </c>
      <c r="T26" s="18" t="n">
        <f aca="false">G26</f>
        <v>-0.0196574711342907</v>
      </c>
      <c r="U26" s="18" t="n">
        <f aca="false">H26-I26</f>
        <v>152.799874495968</v>
      </c>
    </row>
    <row r="27" customFormat="false" ht="15" hidden="false" customHeight="false" outlineLevel="0" collapsed="false">
      <c r="A27" s="19" t="str">
        <f aca="false">Datos!A36</f>
        <v>2012Q4</v>
      </c>
      <c r="B27" s="20" t="n">
        <f aca="false">Datos!G36</f>
        <v>0.00555804016441552</v>
      </c>
      <c r="C27" s="20" t="n">
        <f aca="false">Datos!J36</f>
        <v>-9.99999999999994E-005</v>
      </c>
      <c r="D27" s="20" t="n">
        <f aca="false">Datos!K36</f>
        <v>0.0395024208900321</v>
      </c>
      <c r="E27" s="20" t="n">
        <f aca="false">Datos!M35</f>
        <v>0.00125591690417205</v>
      </c>
      <c r="F27" s="20" t="n">
        <f aca="false">Datos!I34</f>
        <v>231.838685176651</v>
      </c>
      <c r="G27" s="20" t="n">
        <f aca="false">Datos!L33</f>
        <v>-0.0305004534419946</v>
      </c>
      <c r="H27" s="20" t="n">
        <f aca="false">Datos!I30</f>
        <v>41.5229032258063</v>
      </c>
      <c r="I27" s="20" t="n">
        <f aca="false">Datos!I29</f>
        <v>-12.9487096774192</v>
      </c>
      <c r="J27" s="18" t="n">
        <v>1</v>
      </c>
      <c r="K27" s="18" t="n">
        <f aca="false">B27-($B$87+$B$88*C27+$B$89*D27+$B$90*E27+$B$91*F27+$B$92*G27+$B$93*H27+$B$94*I27)</f>
        <v>0.0055665832766036</v>
      </c>
      <c r="L27" s="18" t="n">
        <f aca="false">K27^2</f>
        <v>3.09868493753629E-005</v>
      </c>
      <c r="P27" s="18" t="n">
        <f aca="false">C27</f>
        <v>-9.99999999999994E-005</v>
      </c>
      <c r="Q27" s="18" t="n">
        <f aca="false">D27</f>
        <v>0.0395024208900321</v>
      </c>
      <c r="R27" s="18" t="n">
        <f aca="false">E27</f>
        <v>0.00125591690417205</v>
      </c>
      <c r="S27" s="18" t="n">
        <f aca="false">F27</f>
        <v>231.838685176651</v>
      </c>
      <c r="T27" s="18" t="n">
        <f aca="false">G27</f>
        <v>-0.0305004534419946</v>
      </c>
      <c r="U27" s="18" t="n">
        <f aca="false">H27-I27</f>
        <v>54.4716129032255</v>
      </c>
    </row>
    <row r="28" customFormat="false" ht="15" hidden="false" customHeight="false" outlineLevel="0" collapsed="false">
      <c r="A28" s="19" t="str">
        <f aca="false">Datos!A37</f>
        <v>2013Q1</v>
      </c>
      <c r="B28" s="20" t="n">
        <f aca="false">Datos!G37</f>
        <v>0.00654025144614989</v>
      </c>
      <c r="C28" s="20" t="n">
        <f aca="false">Datos!J37</f>
        <v>0.0024</v>
      </c>
      <c r="D28" s="20" t="n">
        <f aca="false">Datos!K37</f>
        <v>-0.0136126649327899</v>
      </c>
      <c r="E28" s="20" t="n">
        <f aca="false">Datos!M36</f>
        <v>-0.00130886014989251</v>
      </c>
      <c r="F28" s="20" t="n">
        <f aca="false">Datos!I35</f>
        <v>-43.7133031746029</v>
      </c>
      <c r="G28" s="20" t="n">
        <f aca="false">Datos!L34</f>
        <v>-0.01627495217818</v>
      </c>
      <c r="H28" s="20" t="n">
        <f aca="false">Datos!I31</f>
        <v>158.444625</v>
      </c>
      <c r="I28" s="20" t="n">
        <f aca="false">Datos!I30</f>
        <v>41.5229032258063</v>
      </c>
      <c r="J28" s="18" t="n">
        <v>1</v>
      </c>
      <c r="K28" s="18" t="n">
        <f aca="false">B28-($B$87+$B$88*C28+$B$89*D28+$B$90*E28+$B$91*F28+$B$92*G28+$B$93*H28+$B$94*I28)</f>
        <v>-0.00624834411132722</v>
      </c>
      <c r="L28" s="18" t="n">
        <f aca="false">K28^2</f>
        <v>3.90418041335576E-005</v>
      </c>
      <c r="P28" s="18" t="n">
        <f aca="false">C28</f>
        <v>0.0024</v>
      </c>
      <c r="Q28" s="18" t="n">
        <f aca="false">D28</f>
        <v>-0.0136126649327899</v>
      </c>
      <c r="R28" s="18" t="n">
        <f aca="false">E28</f>
        <v>-0.00130886014989251</v>
      </c>
      <c r="S28" s="18" t="n">
        <f aca="false">F28</f>
        <v>-43.7133031746029</v>
      </c>
      <c r="T28" s="18" t="n">
        <f aca="false">G28</f>
        <v>-0.01627495217818</v>
      </c>
      <c r="U28" s="18" t="n">
        <f aca="false">H28-I28</f>
        <v>116.921721774194</v>
      </c>
    </row>
    <row r="29" customFormat="false" ht="15" hidden="false" customHeight="false" outlineLevel="0" collapsed="false">
      <c r="A29" s="19" t="str">
        <f aca="false">Datos!A38</f>
        <v>2013Q2</v>
      </c>
      <c r="B29" s="20" t="n">
        <f aca="false">Datos!G38</f>
        <v>0.0624602349363816</v>
      </c>
      <c r="C29" s="20" t="n">
        <f aca="false">Datos!J38</f>
        <v>0.013</v>
      </c>
      <c r="D29" s="20" t="n">
        <f aca="false">Datos!K38</f>
        <v>0.000905918240426698</v>
      </c>
      <c r="E29" s="20" t="n">
        <f aca="false">Datos!M37</f>
        <v>-0.00175680240468713</v>
      </c>
      <c r="F29" s="20" t="n">
        <f aca="false">Datos!I36</f>
        <v>16.4557341269839</v>
      </c>
      <c r="G29" s="20" t="n">
        <f aca="false">Datos!L35</f>
        <v>0.0663292235215516</v>
      </c>
      <c r="H29" s="20" t="n">
        <f aca="false">Datos!I32</f>
        <v>174.585041666667</v>
      </c>
      <c r="I29" s="20" t="n">
        <f aca="false">Datos!I31</f>
        <v>158.444625</v>
      </c>
      <c r="J29" s="18" t="n">
        <v>1</v>
      </c>
      <c r="K29" s="18" t="n">
        <f aca="false">B29-($B$87+$B$88*C29+$B$89*D29+$B$90*E29+$B$91*F29+$B$92*G29+$B$93*H29+$B$94*I29)</f>
        <v>0.0418866239107864</v>
      </c>
      <c r="L29" s="18" t="n">
        <f aca="false">K29^2</f>
        <v>0.00175448926264366</v>
      </c>
      <c r="P29" s="18" t="n">
        <f aca="false">C29</f>
        <v>0.013</v>
      </c>
      <c r="Q29" s="18" t="n">
        <f aca="false">D29</f>
        <v>0.000905918240426698</v>
      </c>
      <c r="R29" s="18" t="n">
        <f aca="false">E29</f>
        <v>-0.00175680240468713</v>
      </c>
      <c r="S29" s="18" t="n">
        <f aca="false">F29</f>
        <v>16.4557341269839</v>
      </c>
      <c r="T29" s="18" t="n">
        <f aca="false">G29</f>
        <v>0.0663292235215516</v>
      </c>
      <c r="U29" s="18" t="n">
        <f aca="false">H29-I29</f>
        <v>16.1404166666667</v>
      </c>
    </row>
    <row r="30" customFormat="false" ht="15" hidden="false" customHeight="false" outlineLevel="0" collapsed="false">
      <c r="A30" s="19" t="str">
        <f aca="false">Datos!A39</f>
        <v>2013Q3</v>
      </c>
      <c r="B30" s="20" t="n">
        <f aca="false">Datos!G39</f>
        <v>0.0255838987402566</v>
      </c>
      <c r="C30" s="20" t="n">
        <f aca="false">Datos!J39</f>
        <v>-0.0126</v>
      </c>
      <c r="D30" s="20" t="n">
        <f aca="false">Datos!K39</f>
        <v>-0.0669208551958795</v>
      </c>
      <c r="E30" s="20" t="n">
        <f aca="false">Datos!M38</f>
        <v>0.00125258435651265</v>
      </c>
      <c r="F30" s="20" t="n">
        <f aca="false">Datos!I37</f>
        <v>88.9247333333331</v>
      </c>
      <c r="G30" s="20" t="n">
        <f aca="false">Datos!L36</f>
        <v>0.0304311234506662</v>
      </c>
      <c r="H30" s="20" t="n">
        <f aca="false">Datos!I33</f>
        <v>-75.1010327956988</v>
      </c>
      <c r="I30" s="20" t="n">
        <f aca="false">Datos!I32</f>
        <v>174.585041666667</v>
      </c>
      <c r="J30" s="18" t="n">
        <v>1</v>
      </c>
      <c r="K30" s="18" t="n">
        <f aca="false">B30-($B$87+$B$88*C30+$B$89*D30+$B$90*E30+$B$91*F30+$B$92*G30+$B$93*H30+$B$94*I30)</f>
        <v>0.013042938883141</v>
      </c>
      <c r="L30" s="18" t="n">
        <f aca="false">K30^2</f>
        <v>0.000170118254709351</v>
      </c>
      <c r="P30" s="18" t="n">
        <f aca="false">C30</f>
        <v>-0.0126</v>
      </c>
      <c r="Q30" s="18" t="n">
        <f aca="false">D30</f>
        <v>-0.0669208551958795</v>
      </c>
      <c r="R30" s="18" t="n">
        <f aca="false">E30</f>
        <v>0.00125258435651265</v>
      </c>
      <c r="S30" s="18" t="n">
        <f aca="false">F30</f>
        <v>88.9247333333331</v>
      </c>
      <c r="T30" s="18" t="n">
        <f aca="false">G30</f>
        <v>0.0304311234506662</v>
      </c>
      <c r="U30" s="18" t="n">
        <f aca="false">H30-I30</f>
        <v>-249.686074462365</v>
      </c>
    </row>
    <row r="31" customFormat="false" ht="15" hidden="false" customHeight="false" outlineLevel="0" collapsed="false">
      <c r="A31" s="19" t="str">
        <f aca="false">Datos!A40</f>
        <v>2013Q4</v>
      </c>
      <c r="B31" s="20" t="n">
        <f aca="false">Datos!G40</f>
        <v>-0.000510205754616022</v>
      </c>
      <c r="C31" s="20" t="n">
        <f aca="false">Datos!J40</f>
        <v>-0.0023</v>
      </c>
      <c r="D31" s="20" t="n">
        <f aca="false">Datos!K40</f>
        <v>-0.0573108864708702</v>
      </c>
      <c r="E31" s="20" t="n">
        <f aca="false">Datos!M39</f>
        <v>-0.00406567893775619</v>
      </c>
      <c r="F31" s="20" t="n">
        <f aca="false">Datos!I38</f>
        <v>74.8855166666669</v>
      </c>
      <c r="G31" s="20" t="n">
        <f aca="false">Datos!L37</f>
        <v>-0.0333884367038117</v>
      </c>
      <c r="H31" s="20" t="n">
        <f aca="false">Datos!I34</f>
        <v>231.838685176651</v>
      </c>
      <c r="I31" s="20" t="n">
        <f aca="false">Datos!I33</f>
        <v>-75.1010327956988</v>
      </c>
      <c r="J31" s="18" t="n">
        <v>1</v>
      </c>
      <c r="K31" s="18" t="n">
        <f aca="false">B31-($B$87+$B$88*C31+$B$89*D31+$B$90*E31+$B$91*F31+$B$92*G31+$B$93*H31+$B$94*I31)</f>
        <v>0.00782678074129702</v>
      </c>
      <c r="L31" s="18" t="n">
        <f aca="false">K31^2</f>
        <v>6.12584967723379E-005</v>
      </c>
      <c r="P31" s="18" t="n">
        <f aca="false">C31</f>
        <v>-0.0023</v>
      </c>
      <c r="Q31" s="18" t="n">
        <f aca="false">D31</f>
        <v>-0.0573108864708702</v>
      </c>
      <c r="R31" s="18" t="n">
        <f aca="false">E31</f>
        <v>-0.00406567893775619</v>
      </c>
      <c r="S31" s="18" t="n">
        <f aca="false">F31</f>
        <v>74.8855166666669</v>
      </c>
      <c r="T31" s="18" t="n">
        <f aca="false">G31</f>
        <v>-0.0333884367038117</v>
      </c>
      <c r="U31" s="18" t="n">
        <f aca="false">H31-I31</f>
        <v>306.93971797235</v>
      </c>
    </row>
    <row r="32" customFormat="false" ht="15" hidden="false" customHeight="false" outlineLevel="0" collapsed="false">
      <c r="A32" s="19" t="str">
        <f aca="false">Datos!A41</f>
        <v>2014Q1</v>
      </c>
      <c r="B32" s="20" t="n">
        <f aca="false">Datos!G41</f>
        <v>-0.00889028383967849</v>
      </c>
      <c r="C32" s="20" t="n">
        <f aca="false">Datos!J41</f>
        <v>0.00939999999999999</v>
      </c>
      <c r="D32" s="20" t="n">
        <f aca="false">Datos!K41</f>
        <v>-0.0958800124314026</v>
      </c>
      <c r="E32" s="20" t="n">
        <f aca="false">Datos!M40</f>
        <v>-0.00727729392696567</v>
      </c>
      <c r="F32" s="20" t="n">
        <f aca="false">Datos!I39</f>
        <v>-109.725953125</v>
      </c>
      <c r="G32" s="20" t="n">
        <f aca="false">Datos!L38</f>
        <v>0.0010851184441924</v>
      </c>
      <c r="H32" s="20" t="n">
        <f aca="false">Datos!I35</f>
        <v>-43.7133031746029</v>
      </c>
      <c r="I32" s="20" t="n">
        <f aca="false">Datos!I34</f>
        <v>231.838685176651</v>
      </c>
      <c r="J32" s="18" t="n">
        <v>1</v>
      </c>
      <c r="K32" s="18" t="n">
        <f aca="false">B32-($B$87+$B$88*C32+$B$89*D32+$B$90*E32+$B$91*F32+$B$92*G32+$B$93*H32+$B$94*I32)</f>
        <v>-0.0148457653151793</v>
      </c>
      <c r="L32" s="18" t="n">
        <f aca="false">K32^2</f>
        <v>0.000220396747793382</v>
      </c>
      <c r="P32" s="18" t="n">
        <f aca="false">C32</f>
        <v>0.00939999999999999</v>
      </c>
      <c r="Q32" s="18" t="n">
        <f aca="false">D32</f>
        <v>-0.0958800124314026</v>
      </c>
      <c r="R32" s="18" t="n">
        <f aca="false">E32</f>
        <v>-0.00727729392696567</v>
      </c>
      <c r="S32" s="18" t="n">
        <f aca="false">F32</f>
        <v>-109.725953125</v>
      </c>
      <c r="T32" s="18" t="n">
        <f aca="false">G32</f>
        <v>0.0010851184441924</v>
      </c>
      <c r="U32" s="18" t="n">
        <f aca="false">H32-I32</f>
        <v>-275.551988351254</v>
      </c>
    </row>
    <row r="33" customFormat="false" ht="15" hidden="false" customHeight="false" outlineLevel="0" collapsed="false">
      <c r="A33" s="19" t="str">
        <f aca="false">Datos!A42</f>
        <v>2014Q2</v>
      </c>
      <c r="B33" s="20" t="n">
        <f aca="false">Datos!G42</f>
        <v>-0.0204893869308982</v>
      </c>
      <c r="C33" s="20" t="n">
        <f aca="false">Datos!J42</f>
        <v>-0.0391</v>
      </c>
      <c r="D33" s="20" t="n">
        <f aca="false">Datos!K42</f>
        <v>-0.0333671304691989</v>
      </c>
      <c r="E33" s="20" t="n">
        <f aca="false">Datos!M41</f>
        <v>-0.00118439913588839</v>
      </c>
      <c r="F33" s="20" t="n">
        <f aca="false">Datos!I40</f>
        <v>-236.474292776639</v>
      </c>
      <c r="G33" s="20" t="n">
        <f aca="false">Datos!L39</f>
        <v>-0.0776602322661193</v>
      </c>
      <c r="H33" s="20" t="n">
        <f aca="false">Datos!I36</f>
        <v>16.4557341269839</v>
      </c>
      <c r="I33" s="20" t="n">
        <f aca="false">Datos!I35</f>
        <v>-43.7133031746029</v>
      </c>
      <c r="J33" s="18" t="n">
        <v>1</v>
      </c>
      <c r="K33" s="18" t="n">
        <f aca="false">B33-($B$87+$B$88*C33+$B$89*D33+$B$90*E33+$B$91*F33+$B$92*G33+$B$93*H33+$B$94*I33)</f>
        <v>-0.0237655611403765</v>
      </c>
      <c r="L33" s="18" t="n">
        <f aca="false">K33^2</f>
        <v>0.000564801896316973</v>
      </c>
      <c r="P33" s="18" t="n">
        <f aca="false">C33</f>
        <v>-0.0391</v>
      </c>
      <c r="Q33" s="18" t="n">
        <f aca="false">D33</f>
        <v>-0.0333671304691989</v>
      </c>
      <c r="R33" s="18" t="n">
        <f aca="false">E33</f>
        <v>-0.00118439913588839</v>
      </c>
      <c r="S33" s="18" t="n">
        <f aca="false">F33</f>
        <v>-236.474292776639</v>
      </c>
      <c r="T33" s="18" t="n">
        <f aca="false">G33</f>
        <v>-0.0776602322661193</v>
      </c>
      <c r="U33" s="18" t="n">
        <f aca="false">H33-I33</f>
        <v>60.1690373015867</v>
      </c>
    </row>
    <row r="34" customFormat="false" ht="15" hidden="false" customHeight="false" outlineLevel="0" collapsed="false">
      <c r="A34" s="19" t="str">
        <f aca="false">Datos!A43</f>
        <v>2014Q3</v>
      </c>
      <c r="B34" s="20" t="n">
        <f aca="false">Datos!G43</f>
        <v>-0.0423851505475772</v>
      </c>
      <c r="C34" s="20" t="n">
        <f aca="false">Datos!J43</f>
        <v>-0.002</v>
      </c>
      <c r="D34" s="20" t="n">
        <f aca="false">Datos!K43</f>
        <v>-0.00270570265133011</v>
      </c>
      <c r="E34" s="20" t="n">
        <f aca="false">Datos!M42</f>
        <v>-0.00410547863798731</v>
      </c>
      <c r="F34" s="20" t="n">
        <f aca="false">Datos!I41</f>
        <v>71.9946229508196</v>
      </c>
      <c r="G34" s="20" t="n">
        <f aca="false">Datos!L40</f>
        <v>-0.0630538774164901</v>
      </c>
      <c r="H34" s="20" t="n">
        <f aca="false">Datos!I37</f>
        <v>88.9247333333331</v>
      </c>
      <c r="I34" s="20" t="n">
        <f aca="false">Datos!I36</f>
        <v>16.4557341269839</v>
      </c>
      <c r="J34" s="18" t="n">
        <v>1</v>
      </c>
      <c r="K34" s="18" t="n">
        <f aca="false">B34-($B$87+$B$88*C34+$B$89*D34+$B$90*E34+$B$91*F34+$B$92*G34+$B$93*H34+$B$94*I34)</f>
        <v>-0.0326144817237493</v>
      </c>
      <c r="L34" s="18" t="n">
        <f aca="false">K34^2</f>
        <v>0.00106370441810878</v>
      </c>
      <c r="P34" s="18" t="n">
        <f aca="false">C34</f>
        <v>-0.002</v>
      </c>
      <c r="Q34" s="18" t="n">
        <f aca="false">D34</f>
        <v>-0.00270570265133011</v>
      </c>
      <c r="R34" s="18" t="n">
        <f aca="false">E34</f>
        <v>-0.00410547863798731</v>
      </c>
      <c r="S34" s="18" t="n">
        <f aca="false">F34</f>
        <v>71.9946229508196</v>
      </c>
      <c r="T34" s="18" t="n">
        <f aca="false">G34</f>
        <v>-0.0630538774164901</v>
      </c>
      <c r="U34" s="18" t="n">
        <f aca="false">H34-I34</f>
        <v>72.4689992063492</v>
      </c>
    </row>
    <row r="35" customFormat="false" ht="15" hidden="false" customHeight="false" outlineLevel="0" collapsed="false">
      <c r="A35" s="19" t="str">
        <f aca="false">Datos!A44</f>
        <v>2014Q4</v>
      </c>
      <c r="B35" s="20" t="n">
        <f aca="false">Datos!G44</f>
        <v>-0.0281573013880524</v>
      </c>
      <c r="C35" s="20" t="n">
        <f aca="false">Datos!J44</f>
        <v>0.0041</v>
      </c>
      <c r="D35" s="20" t="n">
        <f aca="false">Datos!K44</f>
        <v>0.0206592277311123</v>
      </c>
      <c r="E35" s="20" t="n">
        <f aca="false">Datos!M43</f>
        <v>-0.00441492926641144</v>
      </c>
      <c r="F35" s="20" t="n">
        <f aca="false">Datos!I42</f>
        <v>-143.202551652355</v>
      </c>
      <c r="G35" s="20" t="n">
        <f aca="false">Datos!L41</f>
        <v>-0.0842813466413068</v>
      </c>
      <c r="H35" s="20" t="n">
        <f aca="false">Datos!I38</f>
        <v>74.8855166666669</v>
      </c>
      <c r="I35" s="20" t="n">
        <f aca="false">Datos!I37</f>
        <v>88.9247333333331</v>
      </c>
      <c r="J35" s="18" t="n">
        <v>1</v>
      </c>
      <c r="K35" s="18" t="n">
        <f aca="false">B35-($B$87+$B$88*C35+$B$89*D35+$B$90*E35+$B$91*F35+$B$92*G35+$B$93*H35+$B$94*I35)</f>
        <v>-0.0327417294361697</v>
      </c>
      <c r="L35" s="18" t="n">
        <f aca="false">K35^2</f>
        <v>0.00107202084647134</v>
      </c>
      <c r="P35" s="18" t="n">
        <f aca="false">C35</f>
        <v>0.0041</v>
      </c>
      <c r="Q35" s="18" t="n">
        <f aca="false">D35</f>
        <v>0.0206592277311123</v>
      </c>
      <c r="R35" s="18" t="n">
        <f aca="false">E35</f>
        <v>-0.00441492926641144</v>
      </c>
      <c r="S35" s="18" t="n">
        <f aca="false">F35</f>
        <v>-143.202551652355</v>
      </c>
      <c r="T35" s="18" t="n">
        <f aca="false">G35</f>
        <v>-0.0842813466413068</v>
      </c>
      <c r="U35" s="18" t="n">
        <f aca="false">H35-I35</f>
        <v>-14.0392166666661</v>
      </c>
    </row>
    <row r="36" customFormat="false" ht="15" hidden="false" customHeight="false" outlineLevel="0" collapsed="false">
      <c r="A36" s="19" t="str">
        <f aca="false">Datos!A45</f>
        <v>2015Q1</v>
      </c>
      <c r="B36" s="20" t="n">
        <f aca="false">Datos!G45</f>
        <v>0.00250908947797246</v>
      </c>
      <c r="C36" s="20" t="n">
        <f aca="false">Datos!J45</f>
        <v>-0.0138</v>
      </c>
      <c r="D36" s="20" t="n">
        <f aca="false">Datos!K45</f>
        <v>0.12737234338906</v>
      </c>
      <c r="E36" s="20" t="n">
        <f aca="false">Datos!M44</f>
        <v>-0.000491837075280319</v>
      </c>
      <c r="F36" s="20" t="n">
        <f aca="false">Datos!I43</f>
        <v>-73.5206691468252</v>
      </c>
      <c r="G36" s="20" t="n">
        <f aca="false">Datos!L42</f>
        <v>-0.0366748678812265</v>
      </c>
      <c r="H36" s="20" t="n">
        <f aca="false">Datos!I39</f>
        <v>-109.725953125</v>
      </c>
      <c r="I36" s="20" t="n">
        <f aca="false">Datos!I38</f>
        <v>74.8855166666669</v>
      </c>
      <c r="J36" s="18" t="n">
        <v>1</v>
      </c>
      <c r="K36" s="18" t="n">
        <f aca="false">B36-($B$87+$B$88*C36+$B$89*D36+$B$90*E36+$B$91*F36+$B$92*G36+$B$93*H36+$B$94*I36)</f>
        <v>-0.00760440210121639</v>
      </c>
      <c r="L36" s="18" t="n">
        <f aca="false">K36^2</f>
        <v>5.78269313169842E-005</v>
      </c>
      <c r="P36" s="18" t="n">
        <f aca="false">C36</f>
        <v>-0.0138</v>
      </c>
      <c r="Q36" s="18" t="n">
        <f aca="false">D36</f>
        <v>0.12737234338906</v>
      </c>
      <c r="R36" s="18" t="n">
        <f aca="false">E36</f>
        <v>-0.000491837075280319</v>
      </c>
      <c r="S36" s="18" t="n">
        <f aca="false">F36</f>
        <v>-73.5206691468252</v>
      </c>
      <c r="T36" s="18" t="n">
        <f aca="false">G36</f>
        <v>-0.0366748678812265</v>
      </c>
      <c r="U36" s="18" t="n">
        <f aca="false">H36-I36</f>
        <v>-184.611469791667</v>
      </c>
    </row>
    <row r="37" customFormat="false" ht="15" hidden="false" customHeight="false" outlineLevel="0" collapsed="false">
      <c r="A37" s="19" t="str">
        <f aca="false">Datos!A46</f>
        <v>2015Q2</v>
      </c>
      <c r="B37" s="20" t="n">
        <f aca="false">Datos!G46</f>
        <v>0.0403103203233863</v>
      </c>
      <c r="C37" s="20" t="n">
        <f aca="false">Datos!J46</f>
        <v>-0.0112</v>
      </c>
      <c r="D37" s="20" t="n">
        <f aca="false">Datos!K46</f>
        <v>0.079305358514979</v>
      </c>
      <c r="E37" s="20" t="n">
        <f aca="false">Datos!M45</f>
        <v>-0.00379583329619817</v>
      </c>
      <c r="F37" s="20" t="n">
        <f aca="false">Datos!I44</f>
        <v>21.0197781762296</v>
      </c>
      <c r="G37" s="20" t="n">
        <f aca="false">Datos!L43</f>
        <v>0.0130613529329055</v>
      </c>
      <c r="H37" s="20" t="n">
        <f aca="false">Datos!I40</f>
        <v>-236.474292776639</v>
      </c>
      <c r="I37" s="20" t="n">
        <f aca="false">Datos!I39</f>
        <v>-109.725953125</v>
      </c>
      <c r="J37" s="18" t="n">
        <v>1</v>
      </c>
      <c r="K37" s="18" t="n">
        <f aca="false">B37-($B$87+$B$88*C37+$B$89*D37+$B$90*E37+$B$91*F37+$B$92*G37+$B$93*H37+$B$94*I37)</f>
        <v>0.0411962765317201</v>
      </c>
      <c r="L37" s="18" t="n">
        <f aca="false">K37^2</f>
        <v>0.00169713320007795</v>
      </c>
      <c r="P37" s="18" t="n">
        <f aca="false">C37</f>
        <v>-0.0112</v>
      </c>
      <c r="Q37" s="18" t="n">
        <f aca="false">D37</f>
        <v>0.079305358514979</v>
      </c>
      <c r="R37" s="18" t="n">
        <f aca="false">E37</f>
        <v>-0.00379583329619817</v>
      </c>
      <c r="S37" s="18" t="n">
        <f aca="false">F37</f>
        <v>21.0197781762296</v>
      </c>
      <c r="T37" s="18" t="n">
        <f aca="false">G37</f>
        <v>0.0130613529329055</v>
      </c>
      <c r="U37" s="18" t="n">
        <f aca="false">H37-I37</f>
        <v>-126.748339651639</v>
      </c>
    </row>
    <row r="38" customFormat="false" ht="15" hidden="false" customHeight="false" outlineLevel="0" collapsed="false">
      <c r="A38" s="19" t="str">
        <f aca="false">Datos!A47</f>
        <v>2015Q3</v>
      </c>
      <c r="B38" s="20" t="n">
        <f aca="false">Datos!G47</f>
        <v>0.0396616998607275</v>
      </c>
      <c r="C38" s="20" t="n">
        <f aca="false">Datos!J47</f>
        <v>-0.0153</v>
      </c>
      <c r="D38" s="20" t="n">
        <f aca="false">Datos!K47</f>
        <v>-0.0219317664243788</v>
      </c>
      <c r="E38" s="20" t="n">
        <f aca="false">Datos!M46</f>
        <v>-0.00217649253180521</v>
      </c>
      <c r="F38" s="20" t="n">
        <f aca="false">Datos!I45</f>
        <v>-63.2494918032786</v>
      </c>
      <c r="G38" s="20" t="n">
        <f aca="false">Datos!L44</f>
        <v>0.0476258562716286</v>
      </c>
      <c r="H38" s="20" t="n">
        <f aca="false">Datos!I41</f>
        <v>71.9946229508196</v>
      </c>
      <c r="I38" s="20" t="n">
        <f aca="false">Datos!I40</f>
        <v>-236.474292776639</v>
      </c>
      <c r="J38" s="18" t="n">
        <v>1</v>
      </c>
      <c r="K38" s="18" t="n">
        <f aca="false">B38-($B$87+$B$88*C38+$B$89*D38+$B$90*E38+$B$91*F38+$B$92*G38+$B$93*H38+$B$94*I38)</f>
        <v>0.0305557986811298</v>
      </c>
      <c r="L38" s="18" t="n">
        <f aca="false">K38^2</f>
        <v>0.000933656833041734</v>
      </c>
      <c r="P38" s="18" t="n">
        <f aca="false">C38</f>
        <v>-0.0153</v>
      </c>
      <c r="Q38" s="18" t="n">
        <f aca="false">D38</f>
        <v>-0.0219317664243788</v>
      </c>
      <c r="R38" s="18" t="n">
        <f aca="false">E38</f>
        <v>-0.00217649253180521</v>
      </c>
      <c r="S38" s="18" t="n">
        <f aca="false">F38</f>
        <v>-63.2494918032786</v>
      </c>
      <c r="T38" s="18" t="n">
        <f aca="false">G38</f>
        <v>0.0476258562716286</v>
      </c>
      <c r="U38" s="18" t="n">
        <f aca="false">H38-I38</f>
        <v>308.468915727459</v>
      </c>
    </row>
    <row r="39" customFormat="false" ht="15" hidden="false" customHeight="false" outlineLevel="0" collapsed="false">
      <c r="A39" s="19" t="str">
        <f aca="false">Datos!A48</f>
        <v>2015Q4</v>
      </c>
      <c r="B39" s="20" t="n">
        <f aca="false">Datos!G48</f>
        <v>0.0247270091543546</v>
      </c>
      <c r="C39" s="20" t="n">
        <f aca="false">Datos!J48</f>
        <v>-0.0127</v>
      </c>
      <c r="D39" s="20" t="n">
        <f aca="false">Datos!K48</f>
        <v>0.00284689976009123</v>
      </c>
      <c r="E39" s="20" t="n">
        <f aca="false">Datos!M47</f>
        <v>0.000773184816559663</v>
      </c>
      <c r="F39" s="20" t="n">
        <f aca="false">Datos!I46</f>
        <v>-69.448288776797</v>
      </c>
      <c r="G39" s="20" t="n">
        <f aca="false">Datos!L45</f>
        <v>0.0970284563259407</v>
      </c>
      <c r="H39" s="20" t="n">
        <f aca="false">Datos!I42</f>
        <v>-143.202551652355</v>
      </c>
      <c r="I39" s="20" t="n">
        <f aca="false">Datos!I41</f>
        <v>71.9946229508196</v>
      </c>
      <c r="J39" s="18" t="n">
        <v>1</v>
      </c>
      <c r="K39" s="18" t="n">
        <f aca="false">B39-($B$87+$B$88*C39+$B$89*D39+$B$90*E39+$B$91*F39+$B$92*G39+$B$93*H39+$B$94*I39)</f>
        <v>-0.00302514524011935</v>
      </c>
      <c r="L39" s="18" t="n">
        <f aca="false">K39^2</f>
        <v>9.15150372381675E-006</v>
      </c>
      <c r="P39" s="18" t="n">
        <f aca="false">C39</f>
        <v>-0.0127</v>
      </c>
      <c r="Q39" s="18" t="n">
        <f aca="false">D39</f>
        <v>0.00284689976009123</v>
      </c>
      <c r="R39" s="18" t="n">
        <f aca="false">E39</f>
        <v>0.000773184816559663</v>
      </c>
      <c r="S39" s="18" t="n">
        <f aca="false">F39</f>
        <v>-69.448288776797</v>
      </c>
      <c r="T39" s="18" t="n">
        <f aca="false">G39</f>
        <v>0.0970284563259407</v>
      </c>
      <c r="U39" s="18" t="n">
        <f aca="false">H39-I39</f>
        <v>-215.197174603175</v>
      </c>
    </row>
    <row r="40" customFormat="false" ht="15" hidden="false" customHeight="false" outlineLevel="0" collapsed="false">
      <c r="A40" s="19" t="str">
        <f aca="false">Datos!A49</f>
        <v>2016Q1</v>
      </c>
      <c r="B40" s="20" t="n">
        <f aca="false">Datos!G49</f>
        <v>0.00728692545281007</v>
      </c>
      <c r="C40" s="20" t="n">
        <f aca="false">Datos!J49</f>
        <v>0.0037</v>
      </c>
      <c r="D40" s="20" t="n">
        <f aca="false">Datos!K49</f>
        <v>-0.114795786877596</v>
      </c>
      <c r="E40" s="20" t="n">
        <f aca="false">Datos!M48</f>
        <v>-0.00280010033850613</v>
      </c>
      <c r="F40" s="20" t="n">
        <f aca="false">Datos!I47</f>
        <v>-12.3885780885781</v>
      </c>
      <c r="G40" s="20" t="n">
        <f aca="false">Datos!L46</f>
        <v>0.0949181376142003</v>
      </c>
      <c r="H40" s="20" t="n">
        <f aca="false">Datos!I43</f>
        <v>-73.5206691468252</v>
      </c>
      <c r="I40" s="20" t="n">
        <f aca="false">Datos!I42</f>
        <v>-143.202551652355</v>
      </c>
      <c r="J40" s="18" t="n">
        <v>1</v>
      </c>
      <c r="K40" s="18" t="n">
        <f aca="false">B40-($B$87+$B$88*C40+$B$89*D40+$B$90*E40+$B$91*F40+$B$92*G40+$B$93*H40+$B$94*I40)</f>
        <v>-0.010488361984778</v>
      </c>
      <c r="L40" s="18" t="n">
        <f aca="false">K40^2</f>
        <v>0.000110005737123735</v>
      </c>
      <c r="P40" s="18" t="n">
        <f aca="false">C40</f>
        <v>0.0037</v>
      </c>
      <c r="Q40" s="18" t="n">
        <f aca="false">D40</f>
        <v>-0.114795786877596</v>
      </c>
      <c r="R40" s="18" t="n">
        <f aca="false">E40</f>
        <v>-0.00280010033850613</v>
      </c>
      <c r="S40" s="18" t="n">
        <f aca="false">F40</f>
        <v>-12.3885780885781</v>
      </c>
      <c r="T40" s="18" t="n">
        <f aca="false">G40</f>
        <v>0.0949181376142003</v>
      </c>
      <c r="U40" s="18" t="n">
        <f aca="false">H40-I40</f>
        <v>69.6818825055302</v>
      </c>
    </row>
    <row r="41" customFormat="false" ht="15" hidden="false" customHeight="false" outlineLevel="0" collapsed="false">
      <c r="A41" s="19" t="str">
        <f aca="false">Datos!A50</f>
        <v>2016Q2</v>
      </c>
      <c r="B41" s="20" t="n">
        <f aca="false">Datos!G50</f>
        <v>-0.0385885964740134</v>
      </c>
      <c r="C41" s="20" t="n">
        <f aca="false">Datos!J50</f>
        <v>0.0192</v>
      </c>
      <c r="D41" s="20" t="n">
        <f aca="false">Datos!K50</f>
        <v>-0.0963649166129051</v>
      </c>
      <c r="E41" s="20" t="n">
        <f aca="false">Datos!M49</f>
        <v>0.00260547432509496</v>
      </c>
      <c r="F41" s="20" t="n">
        <f aca="false">Datos!I48</f>
        <v>-78.2729603729604</v>
      </c>
      <c r="G41" s="20" t="n">
        <f aca="false">Datos!L47</f>
        <v>-0.0451740937489069</v>
      </c>
      <c r="H41" s="20" t="n">
        <f aca="false">Datos!I44</f>
        <v>21.0197781762296</v>
      </c>
      <c r="I41" s="20" t="n">
        <f aca="false">Datos!I43</f>
        <v>-73.5206691468252</v>
      </c>
      <c r="J41" s="18" t="n">
        <v>1</v>
      </c>
      <c r="K41" s="18" t="n">
        <f aca="false">B41-($B$87+$B$88*C41+$B$89*D41+$B$90*E41+$B$91*F41+$B$92*G41+$B$93*H41+$B$94*I41)</f>
        <v>-0.0697734978020816</v>
      </c>
      <c r="L41" s="18" t="n">
        <f aca="false">K41^2</f>
        <v>0.00486834099553709</v>
      </c>
      <c r="P41" s="18" t="n">
        <f aca="false">C41</f>
        <v>0.0192</v>
      </c>
      <c r="Q41" s="18" t="n">
        <f aca="false">D41</f>
        <v>-0.0963649166129051</v>
      </c>
      <c r="R41" s="18" t="n">
        <f aca="false">E41</f>
        <v>0.00260547432509496</v>
      </c>
      <c r="S41" s="18" t="n">
        <f aca="false">F41</f>
        <v>-78.2729603729604</v>
      </c>
      <c r="T41" s="18" t="n">
        <f aca="false">G41</f>
        <v>-0.0451740937489069</v>
      </c>
      <c r="U41" s="18" t="n">
        <f aca="false">H41-I41</f>
        <v>94.5404473230548</v>
      </c>
    </row>
    <row r="42" customFormat="false" ht="15" hidden="false" customHeight="false" outlineLevel="0" collapsed="false">
      <c r="A42" s="19" t="str">
        <f aca="false">Datos!A51</f>
        <v>2016Q3</v>
      </c>
      <c r="B42" s="20" t="n">
        <f aca="false">Datos!G51</f>
        <v>-0.0332721885187776</v>
      </c>
      <c r="C42" s="20" t="n">
        <f aca="false">Datos!J51</f>
        <v>0.00790000000000001</v>
      </c>
      <c r="D42" s="20" t="n">
        <f aca="false">Datos!K51</f>
        <v>0.0125883030332315</v>
      </c>
      <c r="E42" s="20" t="n">
        <f aca="false">Datos!M50</f>
        <v>0.000745358878983644</v>
      </c>
      <c r="F42" s="20" t="n">
        <f aca="false">Datos!I49</f>
        <v>-38.2862026862027</v>
      </c>
      <c r="G42" s="20" t="n">
        <f aca="false">Datos!L48</f>
        <v>-0.00760537036467967</v>
      </c>
      <c r="H42" s="20" t="n">
        <f aca="false">Datos!I45</f>
        <v>-63.2494918032786</v>
      </c>
      <c r="I42" s="20" t="n">
        <f aca="false">Datos!I44</f>
        <v>21.0197781762296</v>
      </c>
      <c r="J42" s="18" t="n">
        <v>1</v>
      </c>
      <c r="K42" s="18" t="n">
        <f aca="false">B42-($B$87+$B$88*C42+$B$89*D42+$B$90*E42+$B$91*F42+$B$92*G42+$B$93*H42+$B$94*I42)</f>
        <v>-0.0561107466672004</v>
      </c>
      <c r="L42" s="18" t="n">
        <f aca="false">K42^2</f>
        <v>0.00314841589155074</v>
      </c>
      <c r="P42" s="18" t="n">
        <f aca="false">C42</f>
        <v>0.00790000000000001</v>
      </c>
      <c r="Q42" s="18" t="n">
        <f aca="false">D42</f>
        <v>0.0125883030332315</v>
      </c>
      <c r="R42" s="18" t="n">
        <f aca="false">E42</f>
        <v>0.000745358878983644</v>
      </c>
      <c r="S42" s="18" t="n">
        <f aca="false">F42</f>
        <v>-38.2862026862027</v>
      </c>
      <c r="T42" s="18" t="n">
        <f aca="false">G42</f>
        <v>-0.00760537036467967</v>
      </c>
      <c r="U42" s="18" t="n">
        <f aca="false">H42-I42</f>
        <v>-84.2692699795082</v>
      </c>
    </row>
    <row r="43" customFormat="false" ht="15" hidden="false" customHeight="false" outlineLevel="0" collapsed="false">
      <c r="A43" s="19" t="str">
        <f aca="false">Datos!A52</f>
        <v>2016Q4</v>
      </c>
      <c r="B43" s="20" t="n">
        <f aca="false">Datos!G52</f>
        <v>-0.0149328839288507</v>
      </c>
      <c r="C43" s="20" t="n">
        <f aca="false">Datos!J52</f>
        <v>0.0024</v>
      </c>
      <c r="D43" s="20" t="n">
        <f aca="false">Datos!K52</f>
        <v>0.0215081148240396</v>
      </c>
      <c r="E43" s="20" t="n">
        <f aca="false">Datos!M51</f>
        <v>-0.00224991902638157</v>
      </c>
      <c r="F43" s="20" t="n">
        <f aca="false">Datos!I50</f>
        <v>-20.156746031746</v>
      </c>
      <c r="G43" s="20" t="n">
        <f aca="false">Datos!L49</f>
        <v>-0.0917417768075395</v>
      </c>
      <c r="H43" s="20" t="n">
        <f aca="false">Datos!I46</f>
        <v>-69.448288776797</v>
      </c>
      <c r="I43" s="20" t="n">
        <f aca="false">Datos!I45</f>
        <v>-63.2494918032786</v>
      </c>
      <c r="J43" s="18" t="n">
        <v>1</v>
      </c>
      <c r="K43" s="18" t="n">
        <f aca="false">B43-($B$87+$B$88*C43+$B$89*D43+$B$90*E43+$B$91*F43+$B$92*G43+$B$93*H43+$B$94*I43)</f>
        <v>-0.0162394303708364</v>
      </c>
      <c r="L43" s="18" t="n">
        <f aca="false">K43^2</f>
        <v>0.000263719098769245</v>
      </c>
      <c r="P43" s="18" t="n">
        <f aca="false">C43</f>
        <v>0.0024</v>
      </c>
      <c r="Q43" s="18" t="n">
        <f aca="false">D43</f>
        <v>0.0215081148240396</v>
      </c>
      <c r="R43" s="18" t="n">
        <f aca="false">E43</f>
        <v>-0.00224991902638157</v>
      </c>
      <c r="S43" s="18" t="n">
        <f aca="false">F43</f>
        <v>-20.156746031746</v>
      </c>
      <c r="T43" s="18" t="n">
        <f aca="false">G43</f>
        <v>-0.0917417768075395</v>
      </c>
      <c r="U43" s="18" t="n">
        <f aca="false">H43-I43</f>
        <v>-6.19879697351837</v>
      </c>
    </row>
    <row r="44" customFormat="false" ht="15" hidden="false" customHeight="false" outlineLevel="0" collapsed="false">
      <c r="A44" s="19" t="str">
        <f aca="false">Datos!A53</f>
        <v>2017Q1</v>
      </c>
      <c r="B44" s="20" t="n">
        <f aca="false">Datos!G53</f>
        <v>0.00559679082443165</v>
      </c>
      <c r="C44" s="20" t="n">
        <f aca="false">Datos!J53</f>
        <v>0.026</v>
      </c>
      <c r="D44" s="20" t="n">
        <f aca="false">Datos!K53</f>
        <v>0.0929246843768103</v>
      </c>
      <c r="E44" s="20" t="n">
        <f aca="false">Datos!M52</f>
        <v>-0.00212333552972169</v>
      </c>
      <c r="F44" s="20" t="n">
        <f aca="false">Datos!I51</f>
        <v>51.5281007751937</v>
      </c>
      <c r="G44" s="20" t="n">
        <f aca="false">Datos!L50</f>
        <v>-0.105589828941248</v>
      </c>
      <c r="H44" s="20" t="n">
        <f aca="false">Datos!I47</f>
        <v>-12.3885780885781</v>
      </c>
      <c r="I44" s="20" t="n">
        <f aca="false">Datos!I46</f>
        <v>-69.448288776797</v>
      </c>
      <c r="J44" s="18" t="n">
        <v>1</v>
      </c>
      <c r="K44" s="18" t="n">
        <f aca="false">B44-($B$87+$B$88*C44+$B$89*D44+$B$90*E44+$B$91*F44+$B$92*G44+$B$93*H44+$B$94*I44)</f>
        <v>0.000903375193643622</v>
      </c>
      <c r="L44" s="18" t="n">
        <f aca="false">K44^2</f>
        <v>8.16086740490651E-007</v>
      </c>
      <c r="P44" s="18" t="n">
        <f aca="false">C44</f>
        <v>0.026</v>
      </c>
      <c r="Q44" s="18" t="n">
        <f aca="false">D44</f>
        <v>0.0929246843768103</v>
      </c>
      <c r="R44" s="18" t="n">
        <f aca="false">E44</f>
        <v>-0.00212333552972169</v>
      </c>
      <c r="S44" s="18" t="n">
        <f aca="false">F44</f>
        <v>51.5281007751937</v>
      </c>
      <c r="T44" s="18" t="n">
        <f aca="false">G44</f>
        <v>-0.105589828941248</v>
      </c>
      <c r="U44" s="18" t="n">
        <f aca="false">H44-I44</f>
        <v>57.0597106882188</v>
      </c>
    </row>
    <row r="45" customFormat="false" ht="15" hidden="false" customHeight="false" outlineLevel="0" collapsed="false">
      <c r="A45" s="19" t="str">
        <f aca="false">Datos!A54</f>
        <v>2017Q2</v>
      </c>
      <c r="B45" s="20" t="n">
        <f aca="false">Datos!G54</f>
        <v>0.0232658340767662</v>
      </c>
      <c r="C45" s="20" t="n">
        <f aca="false">Datos!J54</f>
        <v>0.0049</v>
      </c>
      <c r="D45" s="20" t="n">
        <f aca="false">Datos!K54</f>
        <v>0.0763750387701306</v>
      </c>
      <c r="E45" s="20" t="n">
        <f aca="false">Datos!M53</f>
        <v>0.00313795605318815</v>
      </c>
      <c r="F45" s="20" t="n">
        <f aca="false">Datos!I52</f>
        <v>-26.5005366726296</v>
      </c>
      <c r="G45" s="20" t="n">
        <f aca="false">Datos!L51</f>
        <v>0.00909160826158509</v>
      </c>
      <c r="H45" s="20" t="n">
        <f aca="false">Datos!I48</f>
        <v>-78.2729603729604</v>
      </c>
      <c r="I45" s="20" t="n">
        <f aca="false">Datos!I47</f>
        <v>-12.3885780885781</v>
      </c>
      <c r="J45" s="18" t="n">
        <v>1</v>
      </c>
      <c r="K45" s="18" t="n">
        <f aca="false">B45-($B$87+$B$88*C45+$B$89*D45+$B$90*E45+$B$91*F45+$B$92*G45+$B$93*H45+$B$94*I45)</f>
        <v>-0.00631348130926286</v>
      </c>
      <c r="L45" s="18" t="n">
        <f aca="false">K45^2</f>
        <v>3.98600462424115E-005</v>
      </c>
      <c r="P45" s="18" t="n">
        <f aca="false">C45</f>
        <v>0.0049</v>
      </c>
      <c r="Q45" s="18" t="n">
        <f aca="false">D45</f>
        <v>0.0763750387701306</v>
      </c>
      <c r="R45" s="18" t="n">
        <f aca="false">E45</f>
        <v>0.00313795605318815</v>
      </c>
      <c r="S45" s="18" t="n">
        <f aca="false">F45</f>
        <v>-26.5005366726296</v>
      </c>
      <c r="T45" s="18" t="n">
        <f aca="false">G45</f>
        <v>0.00909160826158509</v>
      </c>
      <c r="U45" s="18" t="n">
        <f aca="false">H45-I45</f>
        <v>-65.8843822843822</v>
      </c>
    </row>
    <row r="46" customFormat="false" ht="15" hidden="false" customHeight="false" outlineLevel="0" collapsed="false">
      <c r="A46" s="19" t="str">
        <f aca="false">Datos!A55</f>
        <v>2017Q3</v>
      </c>
      <c r="B46" s="20" t="n">
        <f aca="false">Datos!G55</f>
        <v>0.0385060856362685</v>
      </c>
      <c r="C46" s="20" t="n">
        <f aca="false">Datos!J55</f>
        <v>0.0075</v>
      </c>
      <c r="D46" s="20" t="n">
        <f aca="false">Datos!K55</f>
        <v>-0.0381479768126187</v>
      </c>
      <c r="E46" s="20" t="n">
        <f aca="false">Datos!M54</f>
        <v>-0.00131224327995142</v>
      </c>
      <c r="F46" s="20" t="n">
        <f aca="false">Datos!I53</f>
        <v>-15.9076923076924</v>
      </c>
      <c r="G46" s="20" t="n">
        <f aca="false">Datos!L52</f>
        <v>0.0256334028858917</v>
      </c>
      <c r="H46" s="20" t="n">
        <f aca="false">Datos!I49</f>
        <v>-38.2862026862027</v>
      </c>
      <c r="I46" s="20" t="n">
        <f aca="false">Datos!I48</f>
        <v>-78.2729603729604</v>
      </c>
      <c r="J46" s="18" t="n">
        <v>1</v>
      </c>
      <c r="K46" s="18" t="n">
        <f aca="false">B46-($B$87+$B$88*C46+$B$89*D46+$B$90*E46+$B$91*F46+$B$92*G46+$B$93*H46+$B$94*I46)</f>
        <v>0.0210930629761952</v>
      </c>
      <c r="L46" s="18" t="n">
        <f aca="false">K46^2</f>
        <v>0.000444917305717737</v>
      </c>
      <c r="P46" s="18" t="n">
        <f aca="false">C46</f>
        <v>0.0075</v>
      </c>
      <c r="Q46" s="18" t="n">
        <f aca="false">D46</f>
        <v>-0.0381479768126187</v>
      </c>
      <c r="R46" s="18" t="n">
        <f aca="false">E46</f>
        <v>-0.00131224327995142</v>
      </c>
      <c r="S46" s="18" t="n">
        <f aca="false">F46</f>
        <v>-15.9076923076924</v>
      </c>
      <c r="T46" s="18" t="n">
        <f aca="false">G46</f>
        <v>0.0256334028858917</v>
      </c>
      <c r="U46" s="18" t="n">
        <f aca="false">H46-I46</f>
        <v>39.9867576867577</v>
      </c>
    </row>
    <row r="47" customFormat="false" ht="15" hidden="false" customHeight="false" outlineLevel="0" collapsed="false">
      <c r="A47" s="19" t="str">
        <f aca="false">Datos!A56</f>
        <v>2017Q4</v>
      </c>
      <c r="B47" s="20" t="n">
        <f aca="false">Datos!G56</f>
        <v>0.0453268482640472</v>
      </c>
      <c r="C47" s="20" t="n">
        <f aca="false">Datos!J56</f>
        <v>0.0075</v>
      </c>
      <c r="D47" s="20" t="n">
        <f aca="false">Datos!K56</f>
        <v>-0.00847913753638218</v>
      </c>
      <c r="E47" s="20" t="n">
        <f aca="false">Datos!M55</f>
        <v>0.00437317645861715</v>
      </c>
      <c r="F47" s="20" t="n">
        <f aca="false">Datos!I54</f>
        <v>-40.3959134615384</v>
      </c>
      <c r="G47" s="20" t="n">
        <f aca="false">Datos!L53</f>
        <v>0.0820466115755285</v>
      </c>
      <c r="H47" s="20" t="n">
        <f aca="false">Datos!I50</f>
        <v>-20.156746031746</v>
      </c>
      <c r="I47" s="20" t="n">
        <f aca="false">Datos!I49</f>
        <v>-38.2862026862027</v>
      </c>
      <c r="J47" s="18" t="n">
        <v>1</v>
      </c>
      <c r="K47" s="18" t="n">
        <f aca="false">B47-($B$87+$B$88*C47+$B$89*D47+$B$90*E47+$B$91*F47+$B$92*G47+$B$93*H47+$B$94*I47)</f>
        <v>0.00310609177841706</v>
      </c>
      <c r="L47" s="18" t="n">
        <f aca="false">K47^2</f>
        <v>9.64780613595004E-006</v>
      </c>
      <c r="P47" s="18" t="n">
        <f aca="false">C47</f>
        <v>0.0075</v>
      </c>
      <c r="Q47" s="18" t="n">
        <f aca="false">D47</f>
        <v>-0.00847913753638218</v>
      </c>
      <c r="R47" s="18" t="n">
        <f aca="false">E47</f>
        <v>0.00437317645861715</v>
      </c>
      <c r="S47" s="18" t="n">
        <f aca="false">F47</f>
        <v>-40.3959134615384</v>
      </c>
      <c r="T47" s="18" t="n">
        <f aca="false">G47</f>
        <v>0.0820466115755285</v>
      </c>
      <c r="U47" s="18" t="n">
        <f aca="false">H47-I47</f>
        <v>18.1294566544566</v>
      </c>
    </row>
    <row r="48" customFormat="false" ht="15" hidden="false" customHeight="false" outlineLevel="0" collapsed="false">
      <c r="A48" s="19" t="str">
        <f aca="false">Datos!A57</f>
        <v>2018Q1</v>
      </c>
      <c r="B48" s="20" t="n">
        <f aca="false">Datos!G57</f>
        <v>0.0379774021814201</v>
      </c>
      <c r="C48" s="20" t="n">
        <f aca="false">Datos!J57</f>
        <v>-0.0093</v>
      </c>
      <c r="D48" s="20" t="n">
        <f aca="false">Datos!K57</f>
        <v>0.015677961339587</v>
      </c>
      <c r="E48" s="20" t="n">
        <f aca="false">Datos!M56</f>
        <v>-0.00282356527239929</v>
      </c>
      <c r="F48" s="20" t="n">
        <f aca="false">Datos!I55</f>
        <v>0.498765624999805</v>
      </c>
      <c r="G48" s="20" t="n">
        <f aca="false">Datos!L54</f>
        <v>0.090804942430336</v>
      </c>
      <c r="H48" s="20" t="n">
        <f aca="false">Datos!I51</f>
        <v>51.5281007751937</v>
      </c>
      <c r="I48" s="20" t="n">
        <f aca="false">Datos!I50</f>
        <v>-20.156746031746</v>
      </c>
      <c r="J48" s="18" t="n">
        <v>1</v>
      </c>
      <c r="K48" s="18" t="n">
        <f aca="false">B48-($B$87+$B$88*C48+$B$89*D48+$B$90*E48+$B$91*F48+$B$92*G48+$B$93*H48+$B$94*I48)</f>
        <v>0.0268701492882113</v>
      </c>
      <c r="L48" s="18" t="n">
        <f aca="false">K48^2</f>
        <v>0.00072200492277076</v>
      </c>
      <c r="P48" s="18" t="n">
        <f aca="false">C48</f>
        <v>-0.0093</v>
      </c>
      <c r="Q48" s="18" t="n">
        <f aca="false">D48</f>
        <v>0.015677961339587</v>
      </c>
      <c r="R48" s="18" t="n">
        <f aca="false">E48</f>
        <v>-0.00282356527239929</v>
      </c>
      <c r="S48" s="18" t="n">
        <f aca="false">F48</f>
        <v>0.498765624999805</v>
      </c>
      <c r="T48" s="18" t="n">
        <f aca="false">G48</f>
        <v>0.090804942430336</v>
      </c>
      <c r="U48" s="18" t="n">
        <f aca="false">H48-I48</f>
        <v>71.6848468069397</v>
      </c>
    </row>
    <row r="49" customFormat="false" ht="15" hidden="false" customHeight="false" outlineLevel="0" collapsed="false">
      <c r="A49" s="19" t="str">
        <f aca="false">Datos!A58</f>
        <v>2018Q2</v>
      </c>
      <c r="B49" s="20" t="n">
        <f aca="false">Datos!G58</f>
        <v>-0.039790994073943</v>
      </c>
      <c r="C49" s="20" t="n">
        <f aca="false">Datos!J58</f>
        <v>-0.004</v>
      </c>
      <c r="D49" s="20" t="n">
        <f aca="false">Datos!K58</f>
        <v>-0.0742810049049096</v>
      </c>
      <c r="E49" s="20" t="n">
        <f aca="false">Datos!M57</f>
        <v>0.00290671938696596</v>
      </c>
      <c r="F49" s="20" t="n">
        <f aca="false">Datos!I56</f>
        <v>-54.5718281249997</v>
      </c>
      <c r="G49" s="20" t="n">
        <f aca="false">Datos!L55</f>
        <v>-0.0255266010597097</v>
      </c>
      <c r="H49" s="20" t="n">
        <f aca="false">Datos!I52</f>
        <v>-26.5005366726296</v>
      </c>
      <c r="I49" s="20" t="n">
        <f aca="false">Datos!I51</f>
        <v>51.5281007751937</v>
      </c>
      <c r="J49" s="18" t="n">
        <v>1</v>
      </c>
      <c r="K49" s="18" t="n">
        <f aca="false">B49-($B$87+$B$88*C49+$B$89*D49+$B$90*E49+$B$91*F49+$B$92*G49+$B$93*H49+$B$94*I49)</f>
        <v>-0.0638816949007753</v>
      </c>
      <c r="L49" s="18" t="n">
        <f aca="false">K49^2</f>
        <v>0.00408087094339574</v>
      </c>
      <c r="P49" s="18" t="n">
        <f aca="false">C49</f>
        <v>-0.004</v>
      </c>
      <c r="Q49" s="18" t="n">
        <f aca="false">D49</f>
        <v>-0.0742810049049096</v>
      </c>
      <c r="R49" s="18" t="n">
        <f aca="false">E49</f>
        <v>0.00290671938696596</v>
      </c>
      <c r="S49" s="18" t="n">
        <f aca="false">F49</f>
        <v>-54.5718281249997</v>
      </c>
      <c r="T49" s="18" t="n">
        <f aca="false">G49</f>
        <v>-0.0255266010597097</v>
      </c>
      <c r="U49" s="18" t="n">
        <f aca="false">H49-I49</f>
        <v>-78.0286374478233</v>
      </c>
    </row>
    <row r="50" customFormat="false" ht="15" hidden="false" customHeight="false" outlineLevel="0" collapsed="false">
      <c r="A50" s="19" t="str">
        <f aca="false">Datos!A59</f>
        <v>2018Q3</v>
      </c>
      <c r="B50" s="20" t="n">
        <f aca="false">Datos!G59</f>
        <v>-0.0346944038739507</v>
      </c>
      <c r="C50" s="20" t="n">
        <f aca="false">Datos!J59</f>
        <v>0.0049</v>
      </c>
      <c r="D50" s="20" t="n">
        <f aca="false">Datos!K59</f>
        <v>0.0297586266112664</v>
      </c>
      <c r="E50" s="20" t="n">
        <f aca="false">Datos!M58</f>
        <v>0.00448572267268541</v>
      </c>
      <c r="F50" s="20" t="n">
        <f aca="false">Datos!I57</f>
        <v>28.5320987903223</v>
      </c>
      <c r="G50" s="20" t="n">
        <f aca="false">Datos!L56</f>
        <v>-0.0155592807433043</v>
      </c>
      <c r="H50" s="20" t="n">
        <f aca="false">Datos!I53</f>
        <v>-15.9076923076924</v>
      </c>
      <c r="I50" s="20" t="n">
        <f aca="false">Datos!I52</f>
        <v>-26.5005366726296</v>
      </c>
      <c r="J50" s="18" t="n">
        <v>1</v>
      </c>
      <c r="K50" s="18" t="n">
        <f aca="false">B50-($B$87+$B$88*C50+$B$89*D50+$B$90*E50+$B$91*F50+$B$92*G50+$B$93*H50+$B$94*I50)</f>
        <v>-0.0619389528637408</v>
      </c>
      <c r="L50" s="18" t="n">
        <f aca="false">K50^2</f>
        <v>0.0038364338818567</v>
      </c>
      <c r="P50" s="18" t="n">
        <f aca="false">C50</f>
        <v>0.0049</v>
      </c>
      <c r="Q50" s="18" t="n">
        <f aca="false">D50</f>
        <v>0.0297586266112664</v>
      </c>
      <c r="R50" s="18" t="n">
        <f aca="false">E50</f>
        <v>0.00448572267268541</v>
      </c>
      <c r="S50" s="18" t="n">
        <f aca="false">F50</f>
        <v>28.5320987903223</v>
      </c>
      <c r="T50" s="18" t="n">
        <f aca="false">G50</f>
        <v>-0.0155592807433043</v>
      </c>
      <c r="U50" s="18" t="n">
        <f aca="false">H50-I50</f>
        <v>10.5928443649372</v>
      </c>
    </row>
    <row r="51" customFormat="false" ht="15" hidden="false" customHeight="false" outlineLevel="0" collapsed="false">
      <c r="A51" s="19" t="str">
        <f aca="false">Datos!A60</f>
        <v>2018Q4</v>
      </c>
      <c r="B51" s="20" t="n">
        <f aca="false">Datos!G60</f>
        <v>-0.0633973916700751</v>
      </c>
      <c r="C51" s="20" t="n">
        <f aca="false">Datos!J60</f>
        <v>-0.0032</v>
      </c>
      <c r="D51" s="20" t="n">
        <f aca="false">Datos!K60</f>
        <v>-0.0501462610157425</v>
      </c>
      <c r="E51" s="20" t="n">
        <f aca="false">Datos!M59</f>
        <v>0.00398660376814081</v>
      </c>
      <c r="F51" s="20" t="n">
        <f aca="false">Datos!I58</f>
        <v>77.2218156327545</v>
      </c>
      <c r="G51" s="20" t="n">
        <f aca="false">Datos!L57</f>
        <v>-0.0321415960972991</v>
      </c>
      <c r="H51" s="20" t="n">
        <f aca="false">Datos!I54</f>
        <v>-40.3959134615384</v>
      </c>
      <c r="I51" s="20" t="n">
        <f aca="false">Datos!I53</f>
        <v>-15.9076923076924</v>
      </c>
      <c r="J51" s="18" t="n">
        <v>1</v>
      </c>
      <c r="K51" s="18" t="n">
        <f aca="false">B51-($B$87+$B$88*C51+$B$89*D51+$B$90*E51+$B$91*F51+$B$92*G51+$B$93*H51+$B$94*I51)</f>
        <v>-0.0812419271709328</v>
      </c>
      <c r="L51" s="18" t="n">
        <f aca="false">K51^2</f>
        <v>0.00660025073044715</v>
      </c>
      <c r="P51" s="18" t="n">
        <f aca="false">C51</f>
        <v>-0.0032</v>
      </c>
      <c r="Q51" s="18" t="n">
        <f aca="false">D51</f>
        <v>-0.0501462610157425</v>
      </c>
      <c r="R51" s="18" t="n">
        <f aca="false">E51</f>
        <v>0.00398660376814081</v>
      </c>
      <c r="S51" s="18" t="n">
        <f aca="false">F51</f>
        <v>77.2218156327545</v>
      </c>
      <c r="T51" s="18" t="n">
        <f aca="false">G51</f>
        <v>-0.0321415960972991</v>
      </c>
      <c r="U51" s="18" t="n">
        <f aca="false">H51-I51</f>
        <v>-24.488221153846</v>
      </c>
    </row>
    <row r="52" customFormat="false" ht="15" hidden="false" customHeight="false" outlineLevel="0" collapsed="false">
      <c r="A52" s="19" t="str">
        <f aca="false">Datos!A61</f>
        <v>2019Q1</v>
      </c>
      <c r="B52" s="20" t="n">
        <f aca="false">Datos!G61</f>
        <v>-0.0586372539873753</v>
      </c>
      <c r="C52" s="20" t="n">
        <f aca="false">Datos!J61</f>
        <v>-0.0063</v>
      </c>
      <c r="D52" s="20" t="n">
        <f aca="false">Datos!K61</f>
        <v>-0.0500271266876492</v>
      </c>
      <c r="E52" s="20" t="n">
        <f aca="false">Datos!M60</f>
        <v>0.00237141847561423</v>
      </c>
      <c r="F52" s="20" t="n">
        <f aca="false">Datos!I59</f>
        <v>166.169284270953</v>
      </c>
      <c r="G52" s="20" t="n">
        <f aca="false">Datos!L58</f>
        <v>-0.0862072970433814</v>
      </c>
      <c r="H52" s="20" t="n">
        <f aca="false">Datos!I55</f>
        <v>0.498765624999805</v>
      </c>
      <c r="I52" s="20" t="n">
        <f aca="false">Datos!I54</f>
        <v>-40.3959134615384</v>
      </c>
      <c r="J52" s="18" t="n">
        <v>1</v>
      </c>
      <c r="K52" s="18" t="n">
        <f aca="false">B52-($B$87+$B$88*C52+$B$89*D52+$B$90*E52+$B$91*F52+$B$92*G52+$B$93*H52+$B$94*I52)</f>
        <v>-0.058578640073805</v>
      </c>
      <c r="L52" s="18" t="n">
        <f aca="false">K52^2</f>
        <v>0.00343145707289639</v>
      </c>
      <c r="P52" s="18" t="n">
        <f aca="false">C52</f>
        <v>-0.0063</v>
      </c>
      <c r="Q52" s="18" t="n">
        <f aca="false">D52</f>
        <v>-0.0500271266876492</v>
      </c>
      <c r="R52" s="18" t="n">
        <f aca="false">E52</f>
        <v>0.00237141847561423</v>
      </c>
      <c r="S52" s="18" t="n">
        <f aca="false">F52</f>
        <v>166.169284270953</v>
      </c>
      <c r="T52" s="18" t="n">
        <f aca="false">G52</f>
        <v>-0.0862072970433814</v>
      </c>
      <c r="U52" s="18" t="n">
        <f aca="false">H52-I52</f>
        <v>40.8946790865382</v>
      </c>
    </row>
    <row r="53" customFormat="false" ht="15" hidden="false" customHeight="false" outlineLevel="0" collapsed="false">
      <c r="A53" s="19" t="str">
        <f aca="false">Datos!A62</f>
        <v>2019Q2</v>
      </c>
      <c r="B53" s="20" t="n">
        <f aca="false">Datos!G62</f>
        <v>0.00582819893603537</v>
      </c>
      <c r="C53" s="20" t="n">
        <f aca="false">Datos!J62</f>
        <v>0.0049</v>
      </c>
      <c r="D53" s="20" t="n">
        <f aca="false">Datos!K62</f>
        <v>0.000114296886335796</v>
      </c>
      <c r="E53" s="20" t="n">
        <f aca="false">Datos!M61</f>
        <v>0.00391032989339685</v>
      </c>
      <c r="F53" s="20" t="n">
        <f aca="false">Datos!I60</f>
        <v>56.51817630597</v>
      </c>
      <c r="G53" s="20" t="n">
        <f aca="false">Datos!L59</f>
        <v>-0.007186629179833</v>
      </c>
      <c r="H53" s="20" t="n">
        <f aca="false">Datos!I56</f>
        <v>-54.5718281249997</v>
      </c>
      <c r="I53" s="20" t="n">
        <f aca="false">Datos!I55</f>
        <v>0.498765624999805</v>
      </c>
      <c r="J53" s="18" t="n">
        <v>1</v>
      </c>
      <c r="K53" s="18" t="n">
        <f aca="false">B53-($B$87+$B$88*C53+$B$89*D53+$B$90*E53+$B$91*F53+$B$92*G53+$B$93*H53+$B$94*I53)</f>
        <v>-0.0190450373640708</v>
      </c>
      <c r="L53" s="18" t="n">
        <f aca="false">K53^2</f>
        <v>0.000362713448198853</v>
      </c>
      <c r="P53" s="18" t="n">
        <f aca="false">C53</f>
        <v>0.0049</v>
      </c>
      <c r="Q53" s="18" t="n">
        <f aca="false">D53</f>
        <v>0.000114296886335796</v>
      </c>
      <c r="R53" s="18" t="n">
        <f aca="false">E53</f>
        <v>0.00391032989339685</v>
      </c>
      <c r="S53" s="18" t="n">
        <f aca="false">F53</f>
        <v>56.51817630597</v>
      </c>
      <c r="T53" s="18" t="n">
        <f aca="false">G53</f>
        <v>-0.007186629179833</v>
      </c>
      <c r="U53" s="18" t="n">
        <f aca="false">H53-I53</f>
        <v>-55.0705937499995</v>
      </c>
    </row>
    <row r="54" customFormat="false" ht="15" hidden="false" customHeight="false" outlineLevel="0" collapsed="false">
      <c r="A54" s="19" t="str">
        <f aca="false">Datos!A63</f>
        <v>2019Q3</v>
      </c>
      <c r="B54" s="20" t="n">
        <f aca="false">Datos!G63</f>
        <v>-0.0175271616356651</v>
      </c>
      <c r="C54" s="20" t="n">
        <f aca="false">Datos!J63</f>
        <v>0.0011</v>
      </c>
      <c r="D54" s="20" t="n">
        <f aca="false">Datos!K63</f>
        <v>-0.0239132057868301</v>
      </c>
      <c r="E54" s="20" t="n">
        <f aca="false">Datos!M62</f>
        <v>0.00677189883217557</v>
      </c>
      <c r="F54" s="20" t="n">
        <f aca="false">Datos!I61</f>
        <v>19.2017013888889</v>
      </c>
      <c r="G54" s="20" t="n">
        <f aca="false">Datos!L60</f>
        <v>-0.142847120756375</v>
      </c>
      <c r="H54" s="20" t="n">
        <f aca="false">Datos!I57</f>
        <v>28.5320987903223</v>
      </c>
      <c r="I54" s="20" t="n">
        <f aca="false">Datos!I56</f>
        <v>-54.5718281249997</v>
      </c>
      <c r="J54" s="18" t="n">
        <v>1</v>
      </c>
      <c r="K54" s="18" t="n">
        <f aca="false">B54-($B$87+$B$88*C54+$B$89*D54+$B$90*E54+$B$91*F54+$B$92*G54+$B$93*H54+$B$94*I54)</f>
        <v>-0.0379323301327522</v>
      </c>
      <c r="L54" s="18" t="n">
        <f aca="false">K54^2</f>
        <v>0.0014388616693001</v>
      </c>
      <c r="P54" s="18" t="n">
        <f aca="false">C54</f>
        <v>0.0011</v>
      </c>
      <c r="Q54" s="18" t="n">
        <f aca="false">D54</f>
        <v>-0.0239132057868301</v>
      </c>
      <c r="R54" s="18" t="n">
        <f aca="false">E54</f>
        <v>0.00677189883217557</v>
      </c>
      <c r="S54" s="18" t="n">
        <f aca="false">F54</f>
        <v>19.2017013888889</v>
      </c>
      <c r="T54" s="18" t="n">
        <f aca="false">G54</f>
        <v>-0.142847120756375</v>
      </c>
      <c r="U54" s="18" t="n">
        <f aca="false">H54-I54</f>
        <v>83.103926915322</v>
      </c>
    </row>
    <row r="55" customFormat="false" ht="15" hidden="false" customHeight="false" outlineLevel="0" collapsed="false">
      <c r="A55" s="19" t="str">
        <f aca="false">Datos!A64</f>
        <v>2019Q4</v>
      </c>
      <c r="B55" s="20" t="n">
        <f aca="false">Datos!G64</f>
        <v>-0.0107484273951806</v>
      </c>
      <c r="C55" s="20" t="n">
        <f aca="false">Datos!J64</f>
        <v>0.0048</v>
      </c>
      <c r="D55" s="20" t="n">
        <f aca="false">Datos!K64</f>
        <v>-0.0444370543348369</v>
      </c>
      <c r="E55" s="20" t="n">
        <f aca="false">Datos!M63</f>
        <v>0.00263914554419044</v>
      </c>
      <c r="F55" s="20" t="n">
        <f aca="false">Datos!I62</f>
        <v>162.790259661836</v>
      </c>
      <c r="G55" s="20" t="n">
        <f aca="false">Datos!L61</f>
        <v>-0.00307543246636571</v>
      </c>
      <c r="H55" s="20" t="n">
        <f aca="false">Datos!I58</f>
        <v>77.2218156327545</v>
      </c>
      <c r="I55" s="20" t="n">
        <f aca="false">Datos!I57</f>
        <v>28.5320987903223</v>
      </c>
      <c r="J55" s="18" t="n">
        <v>1</v>
      </c>
      <c r="K55" s="18" t="n">
        <f aca="false">B55-($B$87+$B$88*C55+$B$89*D55+$B$90*E55+$B$91*F55+$B$92*G55+$B$93*H55+$B$94*I55)</f>
        <v>-0.0245369596861385</v>
      </c>
      <c r="L55" s="18" t="n">
        <f aca="false">K55^2</f>
        <v>0.000602062390639184</v>
      </c>
      <c r="P55" s="18" t="n">
        <f aca="false">C55</f>
        <v>0.0048</v>
      </c>
      <c r="Q55" s="18" t="n">
        <f aca="false">D55</f>
        <v>-0.0444370543348369</v>
      </c>
      <c r="R55" s="18" t="n">
        <f aca="false">E55</f>
        <v>0.00263914554419044</v>
      </c>
      <c r="S55" s="18" t="n">
        <f aca="false">F55</f>
        <v>162.790259661836</v>
      </c>
      <c r="T55" s="18" t="n">
        <f aca="false">G55</f>
        <v>-0.00307543246636571</v>
      </c>
      <c r="U55" s="18" t="n">
        <f aca="false">H55-I55</f>
        <v>48.6897168424322</v>
      </c>
    </row>
    <row r="56" customFormat="false" ht="15" hidden="false" customHeight="false" outlineLevel="0" collapsed="false">
      <c r="A56" s="19" t="str">
        <f aca="false">Datos!A65</f>
        <v>2020Q1</v>
      </c>
      <c r="B56" s="20" t="n">
        <f aca="false">Datos!G65</f>
        <v>-0.0502506965865937</v>
      </c>
      <c r="C56" s="20" t="n">
        <f aca="false">Datos!J65</f>
        <v>-0.0126</v>
      </c>
      <c r="D56" s="20" t="n">
        <f aca="false">Datos!K65</f>
        <v>0.114946009672505</v>
      </c>
      <c r="E56" s="20" t="n">
        <f aca="false">Datos!M64</f>
        <v>0.00338854605282741</v>
      </c>
      <c r="F56" s="20" t="n">
        <f aca="false">Datos!I63</f>
        <v>679.618686815129</v>
      </c>
      <c r="G56" s="20" t="n">
        <f aca="false">Datos!L62</f>
        <v>0.0177693705862153</v>
      </c>
      <c r="H56" s="20" t="n">
        <f aca="false">Datos!I59</f>
        <v>166.169284270953</v>
      </c>
      <c r="I56" s="20" t="n">
        <f aca="false">Datos!I58</f>
        <v>77.2218156327545</v>
      </c>
      <c r="J56" s="18" t="n">
        <v>1</v>
      </c>
      <c r="K56" s="18" t="n">
        <f aca="false">B56-($B$87+$B$88*C56+$B$89*D56+$B$90*E56+$B$91*F56+$B$92*G56+$B$93*H56+$B$94*I56)</f>
        <v>-0.0263756730982994</v>
      </c>
      <c r="L56" s="18" t="n">
        <f aca="false">K56^2</f>
        <v>0.000695676131388354</v>
      </c>
      <c r="P56" s="18" t="n">
        <f aca="false">C56</f>
        <v>-0.0126</v>
      </c>
      <c r="Q56" s="18" t="n">
        <f aca="false">D56</f>
        <v>0.114946009672505</v>
      </c>
      <c r="R56" s="18" t="n">
        <f aca="false">E56</f>
        <v>0.00338854605282741</v>
      </c>
      <c r="S56" s="18" t="n">
        <f aca="false">F56</f>
        <v>679.618686815129</v>
      </c>
      <c r="T56" s="18" t="n">
        <f aca="false">G56</f>
        <v>0.0177693705862153</v>
      </c>
      <c r="U56" s="18" t="n">
        <f aca="false">H56-I56</f>
        <v>88.9474686381986</v>
      </c>
    </row>
    <row r="57" customFormat="false" ht="15" hidden="false" customHeight="false" outlineLevel="0" collapsed="false">
      <c r="A57" s="19" t="str">
        <f aca="false">Datos!A66</f>
        <v>2020Q2</v>
      </c>
      <c r="B57" s="20" t="n">
        <f aca="false">Datos!G66</f>
        <v>-0.189421940385846</v>
      </c>
      <c r="C57" s="20" t="n">
        <f aca="false">Datos!J66</f>
        <v>-0.1055</v>
      </c>
      <c r="D57" s="20" t="n">
        <f aca="false">Datos!K66</f>
        <v>0.262181063646304</v>
      </c>
      <c r="E57" s="20" t="n">
        <f aca="false">Datos!M65</f>
        <v>-0.00640937758118261</v>
      </c>
      <c r="F57" s="20" t="n">
        <f aca="false">Datos!I64</f>
        <v>598.881251590669</v>
      </c>
      <c r="G57" s="20" t="n">
        <f aca="false">Datos!L63</f>
        <v>0.0305353600114784</v>
      </c>
      <c r="H57" s="20" t="n">
        <f aca="false">Datos!I60</f>
        <v>56.51817630597</v>
      </c>
      <c r="I57" s="20" t="n">
        <f aca="false">Datos!I59</f>
        <v>166.169284270953</v>
      </c>
      <c r="J57" s="18" t="n">
        <v>1</v>
      </c>
      <c r="K57" s="18" t="n">
        <f aca="false">B57-($B$87+$B$88*C57+$B$89*D57+$B$90*E57+$B$91*F57+$B$92*G57+$B$93*H57+$B$94*I57)</f>
        <v>-0.105219093891959</v>
      </c>
      <c r="L57" s="18" t="n">
        <f aca="false">K57^2</f>
        <v>0.011071057719445</v>
      </c>
      <c r="P57" s="18" t="n">
        <f aca="false">C57</f>
        <v>-0.1055</v>
      </c>
      <c r="Q57" s="18" t="n">
        <f aca="false">D57</f>
        <v>0.262181063646304</v>
      </c>
      <c r="R57" s="18" t="n">
        <f aca="false">E57</f>
        <v>-0.00640937758118261</v>
      </c>
      <c r="S57" s="18" t="n">
        <f aca="false">F57</f>
        <v>598.881251590669</v>
      </c>
      <c r="T57" s="18" t="n">
        <f aca="false">G57</f>
        <v>0.0305353600114784</v>
      </c>
      <c r="U57" s="18" t="n">
        <f aca="false">H57-I57</f>
        <v>-109.651107964983</v>
      </c>
    </row>
    <row r="58" customFormat="false" ht="15" hidden="false" customHeight="false" outlineLevel="0" collapsed="false">
      <c r="A58" s="19" t="str">
        <f aca="false">Datos!A67</f>
        <v>2020Q3</v>
      </c>
      <c r="B58" s="20" t="n">
        <f aca="false">Datos!G67</f>
        <v>-0.101927662759163</v>
      </c>
      <c r="C58" s="20" t="n">
        <f aca="false">Datos!J67</f>
        <v>0.071</v>
      </c>
      <c r="D58" s="20" t="n">
        <f aca="false">Datos!K67</f>
        <v>0.119661051181248</v>
      </c>
      <c r="E58" s="20" t="n">
        <f aca="false">Datos!M66</f>
        <v>-0.0301146296112311</v>
      </c>
      <c r="F58" s="20" t="n">
        <f aca="false">Datos!I65</f>
        <v>187.118199188056</v>
      </c>
      <c r="G58" s="20" t="n">
        <f aca="false">Datos!L64</f>
        <v>0.112964984181918</v>
      </c>
      <c r="H58" s="20" t="n">
        <f aca="false">Datos!I61</f>
        <v>19.2017013888889</v>
      </c>
      <c r="I58" s="20" t="n">
        <f aca="false">Datos!I60</f>
        <v>56.51817630597</v>
      </c>
      <c r="J58" s="18" t="n">
        <v>1</v>
      </c>
      <c r="K58" s="18" t="n">
        <f aca="false">B58-($B$87+$B$88*C58+$B$89*D58+$B$90*E58+$B$91*F58+$B$92*G58+$B$93*H58+$B$94*I58)</f>
        <v>-0.0522012399352692</v>
      </c>
      <c r="L58" s="18" t="n">
        <f aca="false">K58^2</f>
        <v>0.00272496945077954</v>
      </c>
      <c r="P58" s="18" t="n">
        <f aca="false">C58</f>
        <v>0.071</v>
      </c>
      <c r="Q58" s="18" t="n">
        <f aca="false">D58</f>
        <v>0.119661051181248</v>
      </c>
      <c r="R58" s="18" t="n">
        <f aca="false">E58</f>
        <v>-0.0301146296112311</v>
      </c>
      <c r="S58" s="18" t="n">
        <f aca="false">F58</f>
        <v>187.118199188056</v>
      </c>
      <c r="T58" s="18" t="n">
        <f aca="false">G58</f>
        <v>0.112964984181918</v>
      </c>
      <c r="U58" s="18" t="n">
        <f aca="false">H58-I58</f>
        <v>-37.3164749170811</v>
      </c>
    </row>
    <row r="59" customFormat="false" ht="15" hidden="false" customHeight="false" outlineLevel="0" collapsed="false">
      <c r="A59" s="19" t="str">
        <f aca="false">Datos!A68</f>
        <v>2020Q4</v>
      </c>
      <c r="B59" s="20" t="n">
        <f aca="false">Datos!G68</f>
        <v>-0.0431329947641036</v>
      </c>
      <c r="C59" s="20" t="n">
        <f aca="false">Datos!J68</f>
        <v>0.0271</v>
      </c>
      <c r="D59" s="20" t="n">
        <f aca="false">Datos!K68</f>
        <v>0.0642375050953509</v>
      </c>
      <c r="E59" s="20" t="n">
        <f aca="false">Datos!M67</f>
        <v>-0.0131633092731946</v>
      </c>
      <c r="F59" s="20" t="n">
        <f aca="false">Datos!I66</f>
        <v>756.86685274431</v>
      </c>
      <c r="G59" s="20" t="n">
        <f aca="false">Datos!L65</f>
        <v>0.104899274945815</v>
      </c>
      <c r="H59" s="20" t="n">
        <f aca="false">Datos!I62</f>
        <v>162.790259661836</v>
      </c>
      <c r="I59" s="20" t="n">
        <f aca="false">Datos!I61</f>
        <v>19.2017013888889</v>
      </c>
      <c r="J59" s="18" t="n">
        <v>1</v>
      </c>
      <c r="K59" s="18" t="n">
        <f aca="false">B59-($B$87+$B$88*C59+$B$89*D59+$B$90*E59+$B$91*F59+$B$92*G59+$B$93*H59+$B$94*I59)</f>
        <v>0.0122414693293919</v>
      </c>
      <c r="L59" s="18" t="n">
        <f aca="false">K59^2</f>
        <v>0.000149853571342442</v>
      </c>
      <c r="P59" s="18" t="n">
        <f aca="false">C59</f>
        <v>0.0271</v>
      </c>
      <c r="Q59" s="18" t="n">
        <f aca="false">D59</f>
        <v>0.0642375050953509</v>
      </c>
      <c r="R59" s="18" t="n">
        <f aca="false">E59</f>
        <v>-0.0131633092731946</v>
      </c>
      <c r="S59" s="18" t="n">
        <f aca="false">F59</f>
        <v>756.86685274431</v>
      </c>
      <c r="T59" s="18" t="n">
        <f aca="false">G59</f>
        <v>0.104899274945815</v>
      </c>
      <c r="U59" s="18" t="n">
        <f aca="false">H59-I59</f>
        <v>143.588558272947</v>
      </c>
    </row>
    <row r="60" customFormat="false" ht="15" hidden="false" customHeight="false" outlineLevel="0" collapsed="false">
      <c r="A60" s="19" t="str">
        <f aca="false">Datos!A69</f>
        <v>2021Q1</v>
      </c>
      <c r="B60" s="20" t="n">
        <f aca="false">Datos!G69</f>
        <v>0.0323260077948051</v>
      </c>
      <c r="C60" s="20" t="n">
        <f aca="false">Datos!J69</f>
        <v>0.0208</v>
      </c>
      <c r="D60" s="20" t="n">
        <f aca="false">Datos!K69</f>
        <v>-0.193638860735541</v>
      </c>
      <c r="E60" s="20" t="n">
        <f aca="false">Datos!M68</f>
        <v>-0.00871925616384151</v>
      </c>
      <c r="F60" s="20" t="n">
        <f aca="false">Datos!I67</f>
        <v>-1097.40393434344</v>
      </c>
      <c r="G60" s="20" t="n">
        <f aca="false">Datos!L66</f>
        <v>0.288132779402122</v>
      </c>
      <c r="H60" s="20" t="n">
        <f aca="false">Datos!I63</f>
        <v>679.618686815129</v>
      </c>
      <c r="I60" s="20" t="n">
        <f aca="false">Datos!I62</f>
        <v>162.790259661836</v>
      </c>
      <c r="J60" s="18" t="n">
        <v>1</v>
      </c>
      <c r="K60" s="18" t="n">
        <f aca="false">B60-($B$87+$B$88*C60+$B$89*D60+$B$90*E60+$B$91*F60+$B$92*G60+$B$93*H60+$B$94*I60)</f>
        <v>-0.06406047141413</v>
      </c>
      <c r="L60" s="18" t="n">
        <f aca="false">K60^2</f>
        <v>0.00410374399780056</v>
      </c>
      <c r="P60" s="18" t="n">
        <f aca="false">C60</f>
        <v>0.0208</v>
      </c>
      <c r="Q60" s="18" t="n">
        <f aca="false">D60</f>
        <v>-0.193638860735541</v>
      </c>
      <c r="R60" s="18" t="n">
        <f aca="false">E60</f>
        <v>-0.00871925616384151</v>
      </c>
      <c r="S60" s="18" t="n">
        <f aca="false">F60</f>
        <v>-1097.40393434344</v>
      </c>
      <c r="T60" s="18" t="n">
        <f aca="false">G60</f>
        <v>0.288132779402122</v>
      </c>
      <c r="U60" s="18" t="n">
        <f aca="false">H60-I60</f>
        <v>516.828427153294</v>
      </c>
    </row>
    <row r="61" customFormat="false" ht="15" hidden="false" customHeight="false" outlineLevel="0" collapsed="false">
      <c r="A61" s="19" t="str">
        <f aca="false">Datos!A70</f>
        <v>2021Q2</v>
      </c>
      <c r="B61" s="20" t="n">
        <f aca="false">Datos!G70</f>
        <v>0.187299607796633</v>
      </c>
      <c r="C61" s="20" t="n">
        <f aca="false">Datos!J70</f>
        <v>0.1065</v>
      </c>
      <c r="D61" s="20" t="n">
        <f aca="false">Datos!K70</f>
        <v>-0.244749418467121</v>
      </c>
      <c r="E61" s="20" t="n">
        <f aca="false">Datos!M69</f>
        <v>0.00939647003148</v>
      </c>
      <c r="F61" s="20" t="n">
        <f aca="false">Datos!I68</f>
        <v>-606.890139160839</v>
      </c>
      <c r="G61" s="20" t="n">
        <f aca="false">Datos!L67</f>
        <v>0.0331109070476762</v>
      </c>
      <c r="H61" s="20" t="n">
        <f aca="false">Datos!I64</f>
        <v>598.881251590669</v>
      </c>
      <c r="I61" s="20" t="n">
        <f aca="false">Datos!I63</f>
        <v>679.618686815129</v>
      </c>
      <c r="J61" s="18" t="n">
        <v>1</v>
      </c>
      <c r="K61" s="18" t="n">
        <f aca="false">B61-($B$87+$B$88*C61+$B$89*D61+$B$90*E61+$B$91*F61+$B$92*G61+$B$93*H61+$B$94*I61)</f>
        <v>0.05430193160227</v>
      </c>
      <c r="L61" s="18" t="n">
        <f aca="false">K61^2</f>
        <v>0.00294869977573761</v>
      </c>
      <c r="P61" s="18" t="n">
        <f aca="false">C61</f>
        <v>0.1065</v>
      </c>
      <c r="Q61" s="18" t="n">
        <f aca="false">D61</f>
        <v>-0.244749418467121</v>
      </c>
      <c r="R61" s="18" t="n">
        <f aca="false">E61</f>
        <v>0.00939647003148</v>
      </c>
      <c r="S61" s="18" t="n">
        <f aca="false">F61</f>
        <v>-606.890139160839</v>
      </c>
      <c r="T61" s="18" t="n">
        <f aca="false">G61</f>
        <v>0.0331109070476762</v>
      </c>
      <c r="U61" s="18" t="n">
        <f aca="false">H61-I61</f>
        <v>-80.7374352244603</v>
      </c>
    </row>
    <row r="62" customFormat="false" ht="15" hidden="false" customHeight="false" outlineLevel="0" collapsed="false">
      <c r="A62" s="19" t="str">
        <f aca="false">Datos!A71</f>
        <v>2021Q3</v>
      </c>
      <c r="B62" s="20" t="n">
        <f aca="false">Datos!G71</f>
        <v>0.118145356665691</v>
      </c>
      <c r="C62" s="20" t="n">
        <f aca="false">Datos!J71</f>
        <v>-0.0819</v>
      </c>
      <c r="D62" s="20" t="n">
        <f aca="false">Datos!K71</f>
        <v>0.0155375869236292</v>
      </c>
      <c r="E62" s="20" t="n">
        <f aca="false">Datos!M70</f>
        <v>0.0246142392142514</v>
      </c>
      <c r="F62" s="20" t="n">
        <f aca="false">Datos!I69</f>
        <v>100.224470329671</v>
      </c>
      <c r="G62" s="20" t="n">
        <f aca="false">Datos!L68</f>
        <v>-0.0229330659860356</v>
      </c>
      <c r="H62" s="20" t="n">
        <f aca="false">Datos!I65</f>
        <v>187.118199188056</v>
      </c>
      <c r="I62" s="20" t="n">
        <f aca="false">Datos!I64</f>
        <v>598.881251590669</v>
      </c>
      <c r="J62" s="18" t="n">
        <v>1</v>
      </c>
      <c r="K62" s="18" t="n">
        <f aca="false">B62-($B$87+$B$88*C62+$B$89*D62+$B$90*E62+$B$91*F62+$B$92*G62+$B$93*H62+$B$94*I62)</f>
        <v>0.0667575971858629</v>
      </c>
      <c r="L62" s="18" t="n">
        <f aca="false">K62^2</f>
        <v>0.00445657678202992</v>
      </c>
      <c r="P62" s="18" t="n">
        <f aca="false">C62</f>
        <v>-0.0819</v>
      </c>
      <c r="Q62" s="18" t="n">
        <f aca="false">D62</f>
        <v>0.0155375869236292</v>
      </c>
      <c r="R62" s="18" t="n">
        <f aca="false">E62</f>
        <v>0.0246142392142514</v>
      </c>
      <c r="S62" s="18" t="n">
        <f aca="false">F62</f>
        <v>100.224470329671</v>
      </c>
      <c r="T62" s="18" t="n">
        <f aca="false">G62</f>
        <v>-0.0229330659860356</v>
      </c>
      <c r="U62" s="18" t="n">
        <f aca="false">H62-I62</f>
        <v>-411.763052402613</v>
      </c>
    </row>
    <row r="63" customFormat="false" ht="15" hidden="false" customHeight="false" outlineLevel="0" collapsed="false">
      <c r="A63" s="19" t="str">
        <f aca="false">Datos!A72</f>
        <v>2021Q4</v>
      </c>
      <c r="B63" s="20" t="n">
        <f aca="false">Datos!G72</f>
        <v>0.08364113941174</v>
      </c>
      <c r="C63" s="20" t="n">
        <f aca="false">Datos!J72</f>
        <v>-0.0275</v>
      </c>
      <c r="D63" s="20" t="n">
        <f aca="false">Datos!K72</f>
        <v>0.0372511420898235</v>
      </c>
      <c r="E63" s="20" t="n">
        <f aca="false">Datos!M71</f>
        <v>0.00461798360799486</v>
      </c>
      <c r="F63" s="20" t="n">
        <f aca="false">Datos!I70</f>
        <v>51.4231142857141</v>
      </c>
      <c r="G63" s="20" t="n">
        <f aca="false">Datos!L69</f>
        <v>-0.177252388070428</v>
      </c>
      <c r="H63" s="20" t="n">
        <f aca="false">Datos!I66</f>
        <v>756.86685274431</v>
      </c>
      <c r="I63" s="20" t="n">
        <f aca="false">Datos!I65</f>
        <v>187.118199188056</v>
      </c>
      <c r="J63" s="18" t="n">
        <v>1</v>
      </c>
      <c r="K63" s="18" t="n">
        <f aca="false">B63-($B$87+$B$88*C63+$B$89*D63+$B$90*E63+$B$91*F63+$B$92*G63+$B$93*H63+$B$94*I63)</f>
        <v>0.0893998433790488</v>
      </c>
      <c r="L63" s="18" t="n">
        <f aca="false">K63^2</f>
        <v>0.00799233199619846</v>
      </c>
      <c r="P63" s="18" t="n">
        <f aca="false">C63</f>
        <v>-0.0275</v>
      </c>
      <c r="Q63" s="18" t="n">
        <f aca="false">D63</f>
        <v>0.0372511420898235</v>
      </c>
      <c r="R63" s="18" t="n">
        <f aca="false">E63</f>
        <v>0.00461798360799486</v>
      </c>
      <c r="S63" s="18" t="n">
        <f aca="false">F63</f>
        <v>51.4231142857141</v>
      </c>
      <c r="T63" s="18" t="n">
        <f aca="false">G63</f>
        <v>-0.177252388070428</v>
      </c>
      <c r="U63" s="18" t="n">
        <f aca="false">H63-I63</f>
        <v>569.748653556254</v>
      </c>
    </row>
    <row r="64" customFormat="false" ht="15" hidden="false" customHeight="false" outlineLevel="0" collapsed="false">
      <c r="A64" s="19" t="str">
        <f aca="false">Datos!A73</f>
        <v>2022Q1</v>
      </c>
      <c r="B64" s="20" t="n">
        <f aca="false">Datos!G73</f>
        <v>0.0686138387185451</v>
      </c>
      <c r="C64" s="20" t="n">
        <f aca="false">Datos!J73</f>
        <v>0.000200000000000001</v>
      </c>
      <c r="D64" s="20" t="n">
        <f aca="false">Datos!K73</f>
        <v>0.0355016157142883</v>
      </c>
      <c r="E64" s="20" t="n">
        <f aca="false">Datos!M72</f>
        <v>-0.00665639034014846</v>
      </c>
      <c r="F64" s="20" t="n">
        <f aca="false">Datos!I71</f>
        <v>24.6869913043479</v>
      </c>
      <c r="G64" s="20" t="n">
        <f aca="false">Datos!L70</f>
        <v>-0.266310713371175</v>
      </c>
      <c r="H64" s="20" t="n">
        <f aca="false">Datos!I67</f>
        <v>-1097.40393434344</v>
      </c>
      <c r="I64" s="20" t="n">
        <f aca="false">Datos!I66</f>
        <v>756.86685274431</v>
      </c>
      <c r="J64" s="18" t="n">
        <v>1</v>
      </c>
      <c r="K64" s="18" t="n">
        <f aca="false">B64-($B$87+$B$88*C64+$B$89*D64+$B$90*E64+$B$91*F64+$B$92*G64+$B$93*H64+$B$94*I64)</f>
        <v>0.0908989836503171</v>
      </c>
      <c r="L64" s="18" t="n">
        <f aca="false">K64^2</f>
        <v>0.00826262522866061</v>
      </c>
      <c r="P64" s="18" t="n">
        <f aca="false">C64</f>
        <v>0.000200000000000001</v>
      </c>
      <c r="Q64" s="18" t="n">
        <f aca="false">D64</f>
        <v>0.0355016157142883</v>
      </c>
      <c r="R64" s="18" t="n">
        <f aca="false">E64</f>
        <v>-0.00665639034014846</v>
      </c>
      <c r="S64" s="18" t="n">
        <f aca="false">F64</f>
        <v>24.6869913043479</v>
      </c>
      <c r="T64" s="18" t="n">
        <f aca="false">G64</f>
        <v>-0.266310713371175</v>
      </c>
      <c r="U64" s="18" t="n">
        <f aca="false">H64-I64</f>
        <v>-1854.27078708775</v>
      </c>
    </row>
    <row r="65" customFormat="false" ht="15" hidden="false" customHeight="false" outlineLevel="0" collapsed="false">
      <c r="A65" s="19" t="str">
        <f aca="false">Datos!A74</f>
        <v>2022Q2</v>
      </c>
      <c r="B65" s="20" t="n">
        <f aca="false">Datos!G74</f>
        <v>0.0813001446194395</v>
      </c>
      <c r="C65" s="20" t="n">
        <f aca="false">Datos!J74</f>
        <v>0.0206</v>
      </c>
      <c r="D65" s="20" t="n">
        <f aca="false">Datos!K74</f>
        <v>-0.00674178026505711</v>
      </c>
      <c r="E65" s="20" t="n">
        <f aca="false">Datos!M73</f>
        <v>0.000817296802044967</v>
      </c>
      <c r="F65" s="20" t="n">
        <f aca="false">Datos!I72</f>
        <v>144.162478260869</v>
      </c>
      <c r="G65" s="20" t="n">
        <f aca="false">Datos!L71</f>
        <v>0.0372101431885892</v>
      </c>
      <c r="H65" s="20" t="n">
        <f aca="false">Datos!I68</f>
        <v>-606.890139160839</v>
      </c>
      <c r="I65" s="20" t="n">
        <f aca="false">Datos!I67</f>
        <v>-1097.40393434344</v>
      </c>
      <c r="J65" s="18" t="n">
        <v>1</v>
      </c>
      <c r="K65" s="18" t="n">
        <f aca="false">B65-($B$87+$B$88*C65+$B$89*D65+$B$90*E65+$B$91*F65+$B$92*G65+$B$93*H65+$B$94*I65)</f>
        <v>0.06555400327742</v>
      </c>
      <c r="L65" s="18" t="n">
        <f aca="false">K65^2</f>
        <v>0.004297327345696</v>
      </c>
      <c r="P65" s="18" t="n">
        <f aca="false">C65</f>
        <v>0.0206</v>
      </c>
      <c r="Q65" s="18" t="n">
        <f aca="false">D65</f>
        <v>-0.00674178026505711</v>
      </c>
      <c r="R65" s="18" t="n">
        <f aca="false">E65</f>
        <v>0.000817296802044967</v>
      </c>
      <c r="S65" s="18" t="n">
        <f aca="false">F65</f>
        <v>144.162478260869</v>
      </c>
      <c r="T65" s="18" t="n">
        <f aca="false">G65</f>
        <v>0.0372101431885892</v>
      </c>
      <c r="U65" s="18" t="n">
        <f aca="false">H65-I65</f>
        <v>490.513795182596</v>
      </c>
    </row>
    <row r="66" customFormat="false" ht="15" hidden="false" customHeight="false" outlineLevel="0" collapsed="false">
      <c r="A66" s="19" t="str">
        <f aca="false">Datos!A75</f>
        <v>2022Q3</v>
      </c>
      <c r="B66" s="20" t="n">
        <f aca="false">Datos!G75</f>
        <v>0.066844213632383</v>
      </c>
      <c r="C66" s="20" t="n">
        <f aca="false">Datos!J75</f>
        <v>0.0078</v>
      </c>
      <c r="D66" s="20" t="n">
        <f aca="false">Datos!K75</f>
        <v>-0.0371795981009521</v>
      </c>
      <c r="E66" s="20" t="n">
        <f aca="false">Datos!M74</f>
        <v>-0.00197446679129137</v>
      </c>
      <c r="F66" s="20" t="n">
        <f aca="false">Datos!I73</f>
        <v>94.729852657005</v>
      </c>
      <c r="G66" s="20" t="n">
        <f aca="false">Datos!L72</f>
        <v>0.0552776218574341</v>
      </c>
      <c r="H66" s="20" t="n">
        <f aca="false">Datos!I69</f>
        <v>100.224470329671</v>
      </c>
      <c r="I66" s="20" t="n">
        <f aca="false">Datos!I68</f>
        <v>-606.890139160839</v>
      </c>
      <c r="J66" s="18" t="n">
        <v>1</v>
      </c>
      <c r="K66" s="18" t="n">
        <f aca="false">B66-($B$87+$B$88*C66+$B$89*D66+$B$90*E66+$B$91*F66+$B$92*G66+$B$93*H66+$B$94*I66)</f>
        <v>0.0601718694599277</v>
      </c>
      <c r="L66" s="18" t="n">
        <f aca="false">K66^2</f>
        <v>0.00362065387430258</v>
      </c>
      <c r="P66" s="18" t="n">
        <f aca="false">C66</f>
        <v>0.0078</v>
      </c>
      <c r="Q66" s="18" t="n">
        <f aca="false">D66</f>
        <v>-0.0371795981009521</v>
      </c>
      <c r="R66" s="18" t="n">
        <f aca="false">E66</f>
        <v>-0.00197446679129137</v>
      </c>
      <c r="S66" s="18" t="n">
        <f aca="false">F66</f>
        <v>94.729852657005</v>
      </c>
      <c r="T66" s="18" t="n">
        <f aca="false">G66</f>
        <v>0.0552776218574341</v>
      </c>
      <c r="U66" s="18" t="n">
        <f aca="false">H66-I66</f>
        <v>707.11460949051</v>
      </c>
    </row>
    <row r="67" customFormat="false" ht="15" hidden="false" customHeight="false" outlineLevel="0" collapsed="false">
      <c r="A67" s="19" t="str">
        <f aca="false">Datos!A76</f>
        <v>2022Q4</v>
      </c>
      <c r="B67" s="20" t="n">
        <f aca="false">Datos!G76</f>
        <v>0.023854276267842</v>
      </c>
      <c r="C67" s="20" t="n">
        <f aca="false">Datos!J76</f>
        <v>-0.0162</v>
      </c>
      <c r="D67" s="20" t="n">
        <f aca="false">Datos!K76</f>
        <v>-0.0252636786491897</v>
      </c>
      <c r="E67" s="20" t="n">
        <f aca="false">Datos!M75</f>
        <v>0.0064523774543946</v>
      </c>
      <c r="F67" s="20" t="n">
        <f aca="false">Datos!I74</f>
        <v>111.567003052503</v>
      </c>
      <c r="G67" s="20" t="n">
        <f aca="false">Datos!L73</f>
        <v>0.0518366625880128</v>
      </c>
      <c r="H67" s="20" t="n">
        <f aca="false">Datos!I70</f>
        <v>51.4231142857141</v>
      </c>
      <c r="I67" s="20" t="n">
        <f aca="false">Datos!I69</f>
        <v>100.224470329671</v>
      </c>
      <c r="J67" s="18" t="n">
        <v>1</v>
      </c>
      <c r="K67" s="18" t="n">
        <f aca="false">B67-($B$87+$B$88*C67+$B$89*D67+$B$90*E67+$B$91*F67+$B$92*G67+$B$93*H67+$B$94*I67)</f>
        <v>-0.00254071130531607</v>
      </c>
      <c r="L67" s="18" t="n">
        <f aca="false">K67^2</f>
        <v>6.45521393696088E-006</v>
      </c>
      <c r="P67" s="18" t="n">
        <f aca="false">C67</f>
        <v>-0.0162</v>
      </c>
      <c r="Q67" s="18" t="n">
        <f aca="false">D67</f>
        <v>-0.0252636786491897</v>
      </c>
      <c r="R67" s="18" t="n">
        <f aca="false">E67</f>
        <v>0.0064523774543946</v>
      </c>
      <c r="S67" s="18" t="n">
        <f aca="false">F67</f>
        <v>111.567003052503</v>
      </c>
      <c r="T67" s="18" t="n">
        <f aca="false">G67</f>
        <v>0.0518366625880128</v>
      </c>
      <c r="U67" s="18" t="n">
        <f aca="false">H67-I67</f>
        <v>-48.801356043957</v>
      </c>
    </row>
    <row r="68" customFormat="false" ht="15" hidden="false" customHeight="false" outlineLevel="0" collapsed="false">
      <c r="A68" s="19" t="str">
        <f aca="false">Datos!A77</f>
        <v>2023Q1</v>
      </c>
      <c r="B68" s="20" t="n">
        <f aca="false">Datos!G77</f>
        <v>0.00911982377224452</v>
      </c>
      <c r="C68" s="20" t="n">
        <f aca="false">Datos!J77</f>
        <v>0.0174</v>
      </c>
      <c r="D68" s="20" t="n">
        <f aca="false">Datos!K77</f>
        <v>-0.00518521666359616</v>
      </c>
      <c r="E68" s="20" t="n">
        <f aca="false">Datos!M76</f>
        <v>0.00437305788940643</v>
      </c>
      <c r="F68" s="20" t="n">
        <f aca="false">Datos!I75</f>
        <v>613.427821391941</v>
      </c>
      <c r="G68" s="20" t="n">
        <f aca="false">Datos!L74</f>
        <v>-0.0371627200592699</v>
      </c>
      <c r="H68" s="20" t="n">
        <f aca="false">Datos!I71</f>
        <v>24.6869913043479</v>
      </c>
      <c r="I68" s="20" t="n">
        <f aca="false">Datos!I70</f>
        <v>51.4231142857141</v>
      </c>
      <c r="J68" s="18" t="n">
        <v>1</v>
      </c>
      <c r="K68" s="18" t="n">
        <f aca="false">B68-($B$87+$B$88*C68+$B$89*D68+$B$90*E68+$B$91*F68+$B$92*G68+$B$93*H68+$B$94*I68)</f>
        <v>0.0179854096590563</v>
      </c>
      <c r="L68" s="18" t="n">
        <f aca="false">K68^2</f>
        <v>0.000323474960604075</v>
      </c>
      <c r="P68" s="18" t="n">
        <f aca="false">C68</f>
        <v>0.0174</v>
      </c>
      <c r="Q68" s="18" t="n">
        <f aca="false">D68</f>
        <v>-0.00518521666359616</v>
      </c>
      <c r="R68" s="18" t="n">
        <f aca="false">E68</f>
        <v>0.00437305788940643</v>
      </c>
      <c r="S68" s="18" t="n">
        <f aca="false">F68</f>
        <v>613.427821391941</v>
      </c>
      <c r="T68" s="18" t="n">
        <f aca="false">G68</f>
        <v>-0.0371627200592699</v>
      </c>
      <c r="U68" s="18" t="n">
        <f aca="false">H68-I68</f>
        <v>-26.7361229813662</v>
      </c>
    </row>
    <row r="69" customFormat="false" ht="15" hidden="false" customHeight="false" outlineLevel="0" collapsed="false">
      <c r="A69" s="19" t="str">
        <f aca="false">Datos!A78</f>
        <v>2023Q2</v>
      </c>
      <c r="B69" s="20" t="n">
        <f aca="false">Datos!G78</f>
        <v>-0.0567487243252599</v>
      </c>
      <c r="C69" s="20" t="n">
        <f aca="false">Datos!J78</f>
        <v>-0.0059</v>
      </c>
      <c r="D69" s="20" t="n">
        <f aca="false">Datos!K78</f>
        <v>-0.0211814413429257</v>
      </c>
      <c r="E69" s="20" t="n">
        <f aca="false">Datos!M77</f>
        <v>-0.000570722589501509</v>
      </c>
      <c r="F69" s="20" t="n">
        <f aca="false">Datos!I76</f>
        <v>-69.2846118840562</v>
      </c>
      <c r="G69" s="20" t="n">
        <f aca="false">Datos!L75</f>
        <v>-0.0573823048184637</v>
      </c>
      <c r="H69" s="20" t="n">
        <f aca="false">Datos!I72</f>
        <v>144.162478260869</v>
      </c>
      <c r="I69" s="20" t="n">
        <f aca="false">Datos!I71</f>
        <v>24.6869913043479</v>
      </c>
      <c r="J69" s="18" t="n">
        <v>1</v>
      </c>
      <c r="K69" s="18" t="n">
        <f aca="false">B69-($B$87+$B$88*C69+$B$89*D69+$B$90*E69+$B$91*F69+$B$92*G69+$B$93*H69+$B$94*I69)</f>
        <v>-0.0660378753694936</v>
      </c>
      <c r="L69" s="18" t="n">
        <f aca="false">K69^2</f>
        <v>0.00436100098331677</v>
      </c>
      <c r="P69" s="18" t="n">
        <f aca="false">C69</f>
        <v>-0.0059</v>
      </c>
      <c r="Q69" s="18" t="n">
        <f aca="false">D69</f>
        <v>-0.0211814413429257</v>
      </c>
      <c r="R69" s="18" t="n">
        <f aca="false">E69</f>
        <v>-0.000570722589501509</v>
      </c>
      <c r="S69" s="18" t="n">
        <f aca="false">F69</f>
        <v>-69.2846118840562</v>
      </c>
      <c r="T69" s="18" t="n">
        <f aca="false">G69</f>
        <v>-0.0573823048184637</v>
      </c>
      <c r="U69" s="18" t="n">
        <f aca="false">H69-I69</f>
        <v>119.475486956521</v>
      </c>
    </row>
    <row r="70" customFormat="false" ht="15" hidden="false" customHeight="false" outlineLevel="0" collapsed="false">
      <c r="A70" s="19" t="str">
        <f aca="false">Datos!A79</f>
        <v>2023Q3</v>
      </c>
      <c r="B70" s="20" t="n">
        <f aca="false">Datos!G79</f>
        <v>-0.00549172525238073</v>
      </c>
      <c r="C70" s="20" t="n">
        <f aca="false">Datos!J79</f>
        <v>-0.015</v>
      </c>
      <c r="D70" s="20" t="n">
        <f aca="false">Datos!K79</f>
        <v>-0.0552380565995734</v>
      </c>
      <c r="E70" s="20" t="n">
        <f aca="false">Datos!M78</f>
        <v>-0.000785964784259512</v>
      </c>
      <c r="F70" s="20" t="n">
        <f aca="false">Datos!I77</f>
        <v>-376.758957004832</v>
      </c>
      <c r="G70" s="20" t="n">
        <f aca="false">Datos!L76</f>
        <v>-0.0807286952638523</v>
      </c>
      <c r="H70" s="20" t="n">
        <f aca="false">Datos!I73</f>
        <v>94.729852657005</v>
      </c>
      <c r="I70" s="20" t="n">
        <f aca="false">Datos!I72</f>
        <v>144.162478260869</v>
      </c>
      <c r="J70" s="18" t="n">
        <v>1</v>
      </c>
      <c r="K70" s="18" t="n">
        <f aca="false">B70-($B$87+$B$88*C70+$B$89*D70+$B$90*E70+$B$91*F70+$B$92*G70+$B$93*H70+$B$94*I70)</f>
        <v>-0.0297897946398915</v>
      </c>
      <c r="L70" s="18" t="n">
        <f aca="false">K70^2</f>
        <v>0.000887431864686909</v>
      </c>
      <c r="P70" s="18" t="n">
        <f aca="false">C70</f>
        <v>-0.015</v>
      </c>
      <c r="Q70" s="18" t="n">
        <f aca="false">D70</f>
        <v>-0.0552380565995734</v>
      </c>
      <c r="R70" s="18" t="n">
        <f aca="false">E70</f>
        <v>-0.000785964784259512</v>
      </c>
      <c r="S70" s="18" t="n">
        <f aca="false">F70</f>
        <v>-376.758957004832</v>
      </c>
      <c r="T70" s="18" t="n">
        <f aca="false">G70</f>
        <v>-0.0807286952638523</v>
      </c>
      <c r="U70" s="18" t="n">
        <f aca="false">H70-I70</f>
        <v>-49.4326256038639</v>
      </c>
    </row>
    <row r="71" customFormat="false" ht="15" hidden="false" customHeight="false" outlineLevel="0" collapsed="false">
      <c r="A71" s="19" t="str">
        <f aca="false">Datos!A80</f>
        <v>2023Q4</v>
      </c>
      <c r="B71" s="20" t="n">
        <f aca="false">Datos!G80</f>
        <v>-0.0171598554874708</v>
      </c>
      <c r="C71" s="20" t="n">
        <f aca="false">Datos!J80</f>
        <v>0.000300000000000002</v>
      </c>
      <c r="D71" s="20" t="n">
        <f aca="false">Datos!K80</f>
        <v>-0.104830369197381</v>
      </c>
      <c r="E71" s="20" t="n">
        <f aca="false">Datos!M79</f>
        <v>0.00176185055199882</v>
      </c>
      <c r="F71" s="20" t="n">
        <f aca="false">Datos!I78</f>
        <v>396.345972839506</v>
      </c>
      <c r="G71" s="20" t="n">
        <f aca="false">Datos!L77</f>
        <v>-0.0128795408240223</v>
      </c>
      <c r="H71" s="20" t="n">
        <f aca="false">Datos!I74</f>
        <v>111.567003052503</v>
      </c>
      <c r="I71" s="20" t="n">
        <f aca="false">Datos!I73</f>
        <v>94.729852657005</v>
      </c>
      <c r="J71" s="18" t="n">
        <v>1</v>
      </c>
      <c r="K71" s="18" t="n">
        <f aca="false">B71-($B$87+$B$88*C71+$B$89*D71+$B$90*E71+$B$91*F71+$B$92*G71+$B$93*H71+$B$94*I71)</f>
        <v>-0.0102042400710452</v>
      </c>
      <c r="L71" s="18" t="n">
        <f aca="false">K71^2</f>
        <v>0.000104126515427525</v>
      </c>
      <c r="P71" s="18" t="n">
        <f aca="false">C71</f>
        <v>0.000300000000000002</v>
      </c>
      <c r="Q71" s="18" t="n">
        <f aca="false">D71</f>
        <v>-0.104830369197381</v>
      </c>
      <c r="R71" s="18" t="n">
        <f aca="false">E71</f>
        <v>0.00176185055199882</v>
      </c>
      <c r="S71" s="18" t="n">
        <f aca="false">F71</f>
        <v>396.345972839506</v>
      </c>
      <c r="T71" s="18" t="n">
        <f aca="false">G71</f>
        <v>-0.0128795408240223</v>
      </c>
      <c r="U71" s="18" t="n">
        <f aca="false">H71-I71</f>
        <v>16.8371503954979</v>
      </c>
    </row>
    <row r="72" customFormat="false" ht="15" hidden="false" customHeight="false" outlineLevel="0" collapsed="false">
      <c r="A72" s="19" t="str">
        <f aca="false">Datos!A81</f>
        <v>2024Q1</v>
      </c>
      <c r="B72" s="20" t="n">
        <f aca="false">Datos!G81</f>
        <v>-0.0496170325779741</v>
      </c>
      <c r="C72" s="20" t="n">
        <f aca="false">Datos!J81</f>
        <v>0.000799999999999999</v>
      </c>
      <c r="D72" s="20" t="n">
        <f aca="false">Datos!K81</f>
        <v>-0.0995297912662513</v>
      </c>
      <c r="E72" s="20" t="n">
        <f aca="false">Datos!M80</f>
        <v>-0.00576423631129689</v>
      </c>
      <c r="F72" s="20" t="n">
        <f aca="false">Datos!I79</f>
        <v>-393.961216440069</v>
      </c>
      <c r="G72" s="20" t="n">
        <f aca="false">Datos!L78</f>
        <v>-0.0539439840741031</v>
      </c>
      <c r="H72" s="20" t="n">
        <f aca="false">Datos!I75</f>
        <v>613.427821391941</v>
      </c>
      <c r="I72" s="20" t="n">
        <f aca="false">Datos!I74</f>
        <v>111.567003052503</v>
      </c>
      <c r="J72" s="18" t="n">
        <v>1</v>
      </c>
      <c r="K72" s="18" t="n">
        <f aca="false">B72-($B$87+$B$88*C72+$B$89*D72+$B$90*E72+$B$91*F72+$B$92*G72+$B$93*H72+$B$94*I72)</f>
        <v>-0.0659344568322994</v>
      </c>
      <c r="L72" s="18" t="n">
        <f aca="false">K72^2</f>
        <v>0.00434735259777035</v>
      </c>
      <c r="P72" s="18" t="n">
        <f aca="false">C72</f>
        <v>0.000799999999999999</v>
      </c>
      <c r="Q72" s="18" t="n">
        <f aca="false">D72</f>
        <v>-0.0995297912662513</v>
      </c>
      <c r="R72" s="18" t="n">
        <f aca="false">E72</f>
        <v>-0.00576423631129689</v>
      </c>
      <c r="S72" s="18" t="n">
        <f aca="false">F72</f>
        <v>-393.961216440069</v>
      </c>
      <c r="T72" s="18" t="n">
        <f aca="false">G72</f>
        <v>-0.0539439840741031</v>
      </c>
      <c r="U72" s="18" t="n">
        <f aca="false">H72-I72</f>
        <v>501.860818339438</v>
      </c>
    </row>
    <row r="73" customFormat="false" ht="15" hidden="false" customHeight="false" outlineLevel="0" collapsed="false">
      <c r="A73" s="19" t="str">
        <f aca="false">Datos!A82</f>
        <v>2024Q2</v>
      </c>
      <c r="B73" s="20" t="n">
        <f aca="false">Datos!G82</f>
        <v>-0.0108329991805178</v>
      </c>
      <c r="C73" s="20" t="n">
        <f aca="false">Datos!J82</f>
        <v>0.0101</v>
      </c>
      <c r="D73" s="20" t="n">
        <f aca="false">Datos!K82</f>
        <v>0.0839810999883668</v>
      </c>
      <c r="E73" s="20" t="n">
        <f aca="false">Datos!M81</f>
        <v>0.0235882766524118</v>
      </c>
      <c r="F73" s="20" t="n">
        <f aca="false">Datos!I80</f>
        <v>122.080899625603</v>
      </c>
      <c r="G73" s="20" t="n">
        <f aca="false">Datos!L79</f>
        <v>-0.029098213004288</v>
      </c>
      <c r="H73" s="20" t="n">
        <f aca="false">Datos!I76</f>
        <v>-69.2846118840562</v>
      </c>
      <c r="I73" s="20" t="n">
        <f aca="false">Datos!I75</f>
        <v>613.427821391941</v>
      </c>
      <c r="J73" s="18" t="n">
        <v>1</v>
      </c>
      <c r="K73" s="18" t="n">
        <f aca="false">B73-($B$87+$B$88*C73+$B$89*D73+$B$90*E73+$B$91*F73+$B$92*G73+$B$93*H73+$B$94*I73)</f>
        <v>-0.095859582548293</v>
      </c>
      <c r="L73" s="18" t="n">
        <f aca="false">K73^2</f>
        <v>0.00918905956633299</v>
      </c>
      <c r="P73" s="18" t="n">
        <f aca="false">C73</f>
        <v>0.0101</v>
      </c>
      <c r="Q73" s="18" t="n">
        <f aca="false">D73</f>
        <v>0.0839810999883668</v>
      </c>
      <c r="R73" s="18" t="n">
        <f aca="false">E73</f>
        <v>0.0235882766524118</v>
      </c>
      <c r="S73" s="18" t="n">
        <f aca="false">F73</f>
        <v>122.080899625603</v>
      </c>
      <c r="T73" s="18" t="n">
        <f aca="false">G73</f>
        <v>-0.029098213004288</v>
      </c>
      <c r="U73" s="18" t="n">
        <f aca="false">H73-I73</f>
        <v>-682.712433275998</v>
      </c>
    </row>
    <row r="74" customFormat="false" ht="15" hidden="false" customHeight="false" outlineLevel="0" collapsed="false">
      <c r="A74" s="19" t="str">
        <f aca="false">Datos!A83</f>
        <v>2024Q3</v>
      </c>
      <c r="B74" s="20" t="n">
        <f aca="false">Datos!G83</f>
        <v>-0.0193706719869603</v>
      </c>
      <c r="C74" s="20" t="n">
        <f aca="false">Datos!J83</f>
        <v>0.0067</v>
      </c>
      <c r="D74" s="20" t="n">
        <f aca="false">Datos!K83</f>
        <v>0.0583938784085901</v>
      </c>
      <c r="E74" s="20" t="n">
        <f aca="false">Datos!M82</f>
        <v>0.012060493699049</v>
      </c>
      <c r="F74" s="20" t="n">
        <f aca="false">Datos!I81</f>
        <v>-454.938553802817</v>
      </c>
      <c r="G74" s="20" t="n">
        <f aca="false">Datos!L80</f>
        <v>0.00751912805335137</v>
      </c>
      <c r="H74" s="20" t="n">
        <f aca="false">Datos!I77</f>
        <v>-376.758957004832</v>
      </c>
      <c r="I74" s="20" t="n">
        <f aca="false">Datos!I76</f>
        <v>-69.2846118840562</v>
      </c>
      <c r="J74" s="18" t="n">
        <v>1</v>
      </c>
      <c r="K74" s="18" t="n">
        <f aca="false">B74-($B$87+$B$88*C74+$B$89*D74+$B$90*E74+$B$91*F74+$B$92*G74+$B$93*H74+$B$94*I74)</f>
        <v>-0.106802023779711</v>
      </c>
      <c r="L74" s="18" t="n">
        <f aca="false">K74^2</f>
        <v>0.011406672283442</v>
      </c>
      <c r="P74" s="18" t="n">
        <f aca="false">C74</f>
        <v>0.0067</v>
      </c>
      <c r="Q74" s="18" t="n">
        <f aca="false">D74</f>
        <v>0.0583938784085901</v>
      </c>
      <c r="R74" s="18" t="n">
        <f aca="false">E74</f>
        <v>0.012060493699049</v>
      </c>
      <c r="S74" s="18" t="n">
        <f aca="false">F74</f>
        <v>-454.938553802817</v>
      </c>
      <c r="T74" s="18" t="n">
        <f aca="false">G74</f>
        <v>0.00751912805335137</v>
      </c>
      <c r="U74" s="18" t="n">
        <f aca="false">H74-I74</f>
        <v>-307.474345120776</v>
      </c>
    </row>
    <row r="75" customFormat="false" ht="15" hidden="false" customHeight="false" outlineLevel="0" collapsed="false">
      <c r="A75" s="19" t="str">
        <f aca="false">Datos!A84</f>
        <v>2024Q4</v>
      </c>
      <c r="B75" s="20" t="n">
        <f aca="false">Datos!G84</f>
        <v>0.0263829611146622</v>
      </c>
      <c r="C75" s="20" t="n">
        <f aca="false">Datos!J84</f>
        <v>-0.0056</v>
      </c>
      <c r="D75" s="20" t="n">
        <f aca="false">Datos!K84</f>
        <v>0.209850652496816</v>
      </c>
      <c r="E75" s="20" t="n">
        <f aca="false">Datos!M83</f>
        <v>0.00547122476020793</v>
      </c>
      <c r="F75" s="20" t="n">
        <f aca="false">Datos!I82</f>
        <v>-411.750199402986</v>
      </c>
      <c r="G75" s="20" t="n">
        <f aca="false">Datos!L81</f>
        <v>-0.0743830688652541</v>
      </c>
      <c r="H75" s="20" t="n">
        <f aca="false">Datos!I78</f>
        <v>396.345972839506</v>
      </c>
      <c r="I75" s="20" t="n">
        <f aca="false">Datos!I77</f>
        <v>-376.758957004832</v>
      </c>
      <c r="J75" s="18" t="n">
        <v>1</v>
      </c>
      <c r="K75" s="18" t="n">
        <f aca="false">B75-($B$87+$B$88*C75+$B$89*D75+$B$90*E75+$B$91*F75+$B$92*G75+$B$93*H75+$B$94*I75)</f>
        <v>-0.0183305086110711</v>
      </c>
      <c r="L75" s="18" t="n">
        <f aca="false">K75^2</f>
        <v>0.00033600754594055</v>
      </c>
      <c r="P75" s="18" t="n">
        <f aca="false">C75</f>
        <v>-0.0056</v>
      </c>
      <c r="Q75" s="18" t="n">
        <f aca="false">D75</f>
        <v>0.209850652496816</v>
      </c>
      <c r="R75" s="18" t="n">
        <f aca="false">E75</f>
        <v>0.00547122476020793</v>
      </c>
      <c r="S75" s="18" t="n">
        <f aca="false">F75</f>
        <v>-411.750199402986</v>
      </c>
      <c r="T75" s="18" t="n">
        <f aca="false">G75</f>
        <v>-0.0743830688652541</v>
      </c>
      <c r="U75" s="18" t="n">
        <f aca="false">H75-I75</f>
        <v>773.104929844338</v>
      </c>
    </row>
    <row r="76" customFormat="false" ht="15" hidden="false" customHeight="false" outlineLevel="0" collapsed="false">
      <c r="A76" s="19" t="str">
        <f aca="false">Datos!A85</f>
        <v>2025Q1</v>
      </c>
      <c r="B76" s="20" t="n">
        <f aca="false">Datos!G85</f>
        <v>0.0583747415748432</v>
      </c>
      <c r="C76" s="20" t="n">
        <f aca="false">Datos!J85</f>
        <v>-0.0043</v>
      </c>
      <c r="D76" s="20" t="n">
        <f aca="false">Datos!K85</f>
        <v>0.248983047054301</v>
      </c>
      <c r="E76" s="20" t="n">
        <f aca="false">Datos!M84</f>
        <v>0.0032209025675252</v>
      </c>
      <c r="F76" s="20" t="n">
        <f aca="false">Datos!I83</f>
        <v>140.77357394844</v>
      </c>
      <c r="G76" s="20" t="n">
        <f aca="false">Datos!L82</f>
        <v>0.135614568235124</v>
      </c>
      <c r="H76" s="20" t="n">
        <f aca="false">Datos!I79</f>
        <v>-393.961216440069</v>
      </c>
      <c r="I76" s="20" t="n">
        <f aca="false">Datos!I78</f>
        <v>396.345972839506</v>
      </c>
      <c r="J76" s="18" t="n">
        <v>1</v>
      </c>
      <c r="K76" s="18" t="n">
        <f aca="false">B76-($B$87+$B$88*C76+$B$89*D76+$B$90*E76+$B$91*F76+$B$92*G76+$B$93*H76+$B$94*I76)</f>
        <v>0.0267356831199431</v>
      </c>
      <c r="L76" s="18" t="n">
        <f aca="false">K76^2</f>
        <v>0.000714796751890012</v>
      </c>
      <c r="P76" s="18" t="n">
        <f aca="false">C76</f>
        <v>-0.0043</v>
      </c>
      <c r="Q76" s="18" t="n">
        <f aca="false">D76</f>
        <v>0.248983047054301</v>
      </c>
      <c r="R76" s="18" t="n">
        <f aca="false">E76</f>
        <v>0.0032209025675252</v>
      </c>
      <c r="S76" s="18" t="n">
        <f aca="false">F76</f>
        <v>140.77357394844</v>
      </c>
      <c r="T76" s="18" t="n">
        <f aca="false">G76</f>
        <v>0.135614568235124</v>
      </c>
      <c r="U76" s="18" t="n">
        <f aca="false">H76-I76</f>
        <v>-790.307189279575</v>
      </c>
    </row>
    <row r="77" customFormat="false" ht="15" hidden="false" customHeight="false" outlineLevel="0" collapsed="false">
      <c r="A77" s="19" t="str">
        <f aca="false">Datos!A86</f>
        <v>2025Q2</v>
      </c>
      <c r="B77" s="20" t="n">
        <f aca="false">Datos!G86</f>
        <v>0.0638141408959982</v>
      </c>
      <c r="C77" s="20" t="n">
        <f aca="false">Datos!J86</f>
        <v>-0.0079</v>
      </c>
      <c r="D77" s="20" t="n">
        <f aca="false">Datos!K86</f>
        <v>-0.0247458039655413</v>
      </c>
      <c r="E77" s="20" t="n">
        <f aca="false">Datos!M85</f>
        <v>-0.00030317463561357</v>
      </c>
      <c r="F77" s="20" t="n">
        <f aca="false">Datos!I84</f>
        <v>-564.145454545455</v>
      </c>
      <c r="G77" s="20" t="n">
        <f aca="false">Datos!L83</f>
        <v>0.105501575244701</v>
      </c>
      <c r="H77" s="20" t="n">
        <f aca="false">Datos!I80</f>
        <v>122.080899625603</v>
      </c>
      <c r="I77" s="20" t="n">
        <f aca="false">Datos!I79</f>
        <v>-393.961216440069</v>
      </c>
      <c r="J77" s="18" t="n">
        <v>1</v>
      </c>
      <c r="K77" s="18" t="n">
        <f aca="false">B77-($B$87+$B$88*C77+$B$89*D77+$B$90*E77+$B$91*F77+$B$92*G77+$B$93*H77+$B$94*I77)</f>
        <v>0.00807905756914402</v>
      </c>
      <c r="L77" s="18" t="n">
        <f aca="false">K77^2</f>
        <v>6.52711712055434E-005</v>
      </c>
      <c r="P77" s="18" t="n">
        <f aca="false">C77</f>
        <v>-0.0079</v>
      </c>
      <c r="Q77" s="18" t="n">
        <f aca="false">D77</f>
        <v>-0.0247458039655413</v>
      </c>
      <c r="R77" s="18" t="n">
        <f aca="false">E77</f>
        <v>-0.00030317463561357</v>
      </c>
      <c r="S77" s="18" t="n">
        <f aca="false">F77</f>
        <v>-564.145454545455</v>
      </c>
      <c r="T77" s="18" t="n">
        <f aca="false">G77</f>
        <v>0.105501575244701</v>
      </c>
      <c r="U77" s="18" t="n">
        <f aca="false">H77-I77</f>
        <v>516.042116065672</v>
      </c>
    </row>
    <row r="78" customFormat="false" ht="15" hidden="false" customHeight="false" outlineLevel="0" collapsed="false">
      <c r="A78" s="19" t="str">
        <f aca="false">Datos!A87</f>
        <v>2025Q3</v>
      </c>
      <c r="B78" s="20" t="n">
        <f aca="false">Datos!G87</f>
        <v>0.0325690447876617</v>
      </c>
      <c r="C78" s="20" t="n">
        <f aca="false">Datos!J87</f>
        <v>-0.0054</v>
      </c>
      <c r="D78" s="20" t="n">
        <f aca="false">Datos!K87</f>
        <v>-0.0607636894755312</v>
      </c>
      <c r="E78" s="20" t="n">
        <f aca="false">Datos!M86</f>
        <v>-0.000699519053720961</v>
      </c>
      <c r="F78" s="20" t="n">
        <f aca="false">Datos!I85</f>
        <v>-235.861538461538</v>
      </c>
      <c r="G78" s="20" t="n">
        <f aca="false">Datos!L84</f>
        <v>0.141127547277293</v>
      </c>
      <c r="H78" s="20" t="n">
        <f aca="false">Datos!I81</f>
        <v>-454.938553802817</v>
      </c>
      <c r="I78" s="20" t="n">
        <f aca="false">Datos!I80</f>
        <v>122.080899625603</v>
      </c>
      <c r="J78" s="18" t="n">
        <v>1</v>
      </c>
      <c r="K78" s="18" t="n">
        <f aca="false">B78-($B$87+$B$88*C78+$B$89*D78+$B$90*E78+$B$91*F78+$B$92*G78+$B$93*H78+$B$94*I78)</f>
        <v>-0.0112305305231663</v>
      </c>
      <c r="L78" s="18" t="n">
        <f aca="false">K78^2</f>
        <v>0.000126124815831771</v>
      </c>
      <c r="P78" s="18" t="n">
        <f aca="false">C78</f>
        <v>-0.0054</v>
      </c>
      <c r="Q78" s="18" t="n">
        <f aca="false">D78</f>
        <v>-0.0607636894755312</v>
      </c>
      <c r="R78" s="18" t="n">
        <f aca="false">E78</f>
        <v>-0.000699519053720961</v>
      </c>
      <c r="S78" s="18" t="n">
        <f aca="false">F78</f>
        <v>-235.861538461538</v>
      </c>
      <c r="T78" s="18" t="n">
        <f aca="false">G78</f>
        <v>0.141127547277293</v>
      </c>
      <c r="U78" s="18" t="n">
        <f aca="false">H78-I78</f>
        <v>-577.01945342842</v>
      </c>
    </row>
    <row r="79" customFormat="false" ht="15" hidden="false" customHeight="false" outlineLevel="0" collapsed="false">
      <c r="A79" s="19" t="str">
        <f aca="false">Datos!A88</f>
        <v>2025Q4</v>
      </c>
      <c r="B79" s="20" t="n">
        <f aca="false">Datos!G88</f>
        <v>0.0205805070747371</v>
      </c>
      <c r="C79" s="20" t="n">
        <f aca="false">Datos!J88</f>
        <v>0</v>
      </c>
      <c r="D79" s="20" t="n">
        <f aca="false">Datos!K88</f>
        <v>-0.0750355248434347</v>
      </c>
      <c r="E79" s="20" t="n">
        <f aca="false">Datos!M87</f>
        <v>-3.86530146869388E-005</v>
      </c>
      <c r="F79" s="20" t="n">
        <f aca="false">Datos!I86</f>
        <v>39.3076923076923</v>
      </c>
      <c r="G79" s="20" t="n">
        <f aca="false">Datos!L85</f>
        <v>0.205115473060102</v>
      </c>
      <c r="H79" s="20" t="n">
        <f aca="false">Datos!I82</f>
        <v>-411.750199402986</v>
      </c>
      <c r="I79" s="20" t="n">
        <f aca="false">Datos!I81</f>
        <v>-454.938553802817</v>
      </c>
      <c r="J79" s="18" t="n">
        <v>1</v>
      </c>
      <c r="K79" s="18" t="n">
        <f aca="false">B79-($B$87+$B$88*C79+$B$89*D79+$B$90*E79+$B$91*F79+$B$92*G79+$B$93*H79+$B$94*I79)</f>
        <v>-0.0112221222404959</v>
      </c>
      <c r="L79" s="18" t="n">
        <f aca="false">K79^2</f>
        <v>0.000125936027580632</v>
      </c>
      <c r="P79" s="18" t="n">
        <f aca="false">C79</f>
        <v>0</v>
      </c>
      <c r="Q79" s="18" t="n">
        <f aca="false">D79</f>
        <v>-0.0750355248434347</v>
      </c>
      <c r="R79" s="18" t="n">
        <f aca="false">E79</f>
        <v>-3.86530146869388E-005</v>
      </c>
      <c r="S79" s="18" t="n">
        <f aca="false">F79</f>
        <v>39.3076923076923</v>
      </c>
      <c r="T79" s="18" t="n">
        <f aca="false">G79</f>
        <v>0.205115473060102</v>
      </c>
      <c r="U79" s="18" t="n">
        <f aca="false">H79-I79</f>
        <v>43.1883543998308</v>
      </c>
    </row>
    <row r="80" customFormat="false" ht="15" hidden="false" customHeight="false" outlineLevel="0" collapsed="false">
      <c r="A80" s="19" t="str">
        <f aca="false">Datos!A89</f>
        <v>2026Q1</v>
      </c>
      <c r="B80" s="20" t="n">
        <f aca="false">Datos!G89</f>
        <v>0.024694045208276</v>
      </c>
      <c r="C80" s="20" t="n">
        <f aca="false">Datos!J89</f>
        <v>0</v>
      </c>
      <c r="D80" s="20" t="n">
        <f aca="false">Datos!K89</f>
        <v>-0.0996496025806773</v>
      </c>
      <c r="E80" s="20" t="n">
        <f aca="false">Datos!M88</f>
        <v>-0.00167635054020954</v>
      </c>
      <c r="F80" s="20" t="n">
        <f aca="false">Datos!I87</f>
        <v>142.307692307692</v>
      </c>
      <c r="G80" s="20" t="n">
        <f aca="false">Datos!L86</f>
        <v>0.0285946514317457</v>
      </c>
      <c r="H80" s="20" t="n">
        <f aca="false">Datos!I83</f>
        <v>140.77357394844</v>
      </c>
      <c r="I80" s="20" t="n">
        <f aca="false">Datos!I82</f>
        <v>-411.750199402986</v>
      </c>
      <c r="J80" s="18" t="n">
        <v>1</v>
      </c>
      <c r="K80" s="18" t="n">
        <f aca="false">B80-($B$87+$B$88*C80+$B$89*D80+$B$90*E80+$B$91*F80+$B$92*G80+$B$93*H80+$B$94*I80)</f>
        <v>0.0248859219959202</v>
      </c>
      <c r="L80" s="18" t="n">
        <f aca="false">K80^2</f>
        <v>0.000619309113587022</v>
      </c>
      <c r="P80" s="18" t="n">
        <f aca="false">C80</f>
        <v>0</v>
      </c>
      <c r="Q80" s="18" t="n">
        <f aca="false">D80</f>
        <v>-0.0996496025806773</v>
      </c>
      <c r="R80" s="18" t="n">
        <f aca="false">E80</f>
        <v>-0.00167635054020954</v>
      </c>
      <c r="S80" s="18" t="n">
        <f aca="false">F80</f>
        <v>142.307692307692</v>
      </c>
      <c r="T80" s="18" t="n">
        <f aca="false">G80</f>
        <v>0.0285946514317457</v>
      </c>
      <c r="U80" s="18" t="n">
        <f aca="false">H80-I80</f>
        <v>552.523773351426</v>
      </c>
    </row>
    <row r="85" customFormat="false" ht="15" hidden="false" customHeight="false" outlineLevel="0" collapsed="false">
      <c r="A85" s="21" t="s">
        <v>157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customFormat="false" ht="15" hidden="false" customHeight="false" outlineLevel="0" collapsed="false">
      <c r="A86" s="14" t="s">
        <v>25</v>
      </c>
      <c r="B86" s="14" t="s">
        <v>26</v>
      </c>
      <c r="C86" s="14" t="s">
        <v>158</v>
      </c>
      <c r="D86" s="14" t="s">
        <v>159</v>
      </c>
      <c r="E86" s="14" t="s">
        <v>21</v>
      </c>
      <c r="G86" s="11" t="s">
        <v>160</v>
      </c>
      <c r="H86" s="23" t="n">
        <f aca="false">INDEX(LINEST($B$6:$B$80,$C$6:$I$80,TRUE(),TRUE()),4,2)</f>
        <v>67</v>
      </c>
    </row>
    <row r="87" customFormat="false" ht="15" hidden="false" customHeight="false" outlineLevel="0" collapsed="false">
      <c r="A87" s="24" t="s">
        <v>161</v>
      </c>
      <c r="B87" s="25" t="n">
        <f aca="false">INDEX(LINEST($B$6:$B$80,$C$6:$I$80,TRUE(),TRUE()),1,8)</f>
        <v>0.0150600498331806</v>
      </c>
      <c r="C87" s="8" t="n">
        <f aca="false">INDEX(LINEST($B$6:$B$80,$C$6:$I$80,TRUE(),TRUE()),2,8)</f>
        <v>0.0062490825741284</v>
      </c>
      <c r="D87" s="5" t="n">
        <f aca="false">B87/C87</f>
        <v>2.40996172710698</v>
      </c>
      <c r="E87" s="7" t="n">
        <f aca="false">TDIST(ABS(D87),$H$86,2)</f>
        <v>0.0187067204781343</v>
      </c>
    </row>
    <row r="88" customFormat="false" ht="15" hidden="false" customHeight="false" outlineLevel="0" collapsed="false">
      <c r="A88" s="24" t="s">
        <v>141</v>
      </c>
      <c r="B88" s="25" t="n">
        <f aca="false">INDEX(LINEST($B$6:$B$80,$C$6:$I$80,TRUE(),TRUE()),1,7)</f>
        <v>0.407559430212102</v>
      </c>
      <c r="C88" s="8" t="n">
        <f aca="false">INDEX(LINEST($B$6:$B$80,$C$6:$I$80,TRUE(),TRUE()),2,7)</f>
        <v>0.258705853564211</v>
      </c>
      <c r="D88" s="5" t="n">
        <f aca="false">B88/C88</f>
        <v>1.57537769090697</v>
      </c>
      <c r="E88" s="7" t="n">
        <f aca="false">TDIST(ABS(D88),$H$86,2)</f>
        <v>0.1198797799181</v>
      </c>
    </row>
    <row r="89" customFormat="false" ht="15" hidden="false" customHeight="false" outlineLevel="0" collapsed="false">
      <c r="A89" s="24" t="s">
        <v>142</v>
      </c>
      <c r="B89" s="25" t="n">
        <f aca="false">INDEX(LINEST($B$6:$B$80,$C$6:$I$80,TRUE(),TRUE()),1,6)</f>
        <v>-0.00156207138439818</v>
      </c>
      <c r="C89" s="8" t="n">
        <f aca="false">INDEX(LINEST($B$6:$B$80,$C$6:$I$80,TRUE(),TRUE()),2,6)</f>
        <v>0.0837260464133344</v>
      </c>
      <c r="D89" s="5" t="n">
        <f aca="false">B89/C89</f>
        <v>-0.0186569347450927</v>
      </c>
      <c r="E89" s="7" t="n">
        <f aca="false">TDIST(ABS(D89),$H$86,2)</f>
        <v>0.985170232507864</v>
      </c>
    </row>
    <row r="90" customFormat="false" ht="15" hidden="false" customHeight="false" outlineLevel="0" collapsed="false">
      <c r="A90" s="24" t="s">
        <v>143</v>
      </c>
      <c r="B90" s="25" t="n">
        <f aca="false">INDEX(LINEST($B$6:$B$80,$C$6:$I$80,TRUE(),TRUE()),1,5)</f>
        <v>3.0711584780268</v>
      </c>
      <c r="C90" s="8" t="n">
        <f aca="false">INDEX(LINEST($B$6:$B$80,$C$6:$I$80,TRUE(),TRUE()),2,5)</f>
        <v>1.00008870729028</v>
      </c>
      <c r="D90" s="5" t="n">
        <f aca="false">B90/C90</f>
        <v>3.07088606804496</v>
      </c>
      <c r="E90" s="7" t="n">
        <f aca="false">TDIST(ABS(D90),$H$86,2)</f>
        <v>0.00308219135081107</v>
      </c>
    </row>
    <row r="91" customFormat="false" ht="15" hidden="false" customHeight="false" outlineLevel="0" collapsed="false">
      <c r="A91" s="24" t="s">
        <v>144</v>
      </c>
      <c r="B91" s="25" t="n">
        <f aca="false">INDEX(LINEST($B$6:$B$80,$C$6:$I$80,TRUE(),TRUE()),1,4)</f>
        <v>-6.68383718790798E-005</v>
      </c>
      <c r="C91" s="8" t="n">
        <f aca="false">INDEX(LINEST($B$6:$B$80,$C$6:$I$80,TRUE(),TRUE()),2,4)</f>
        <v>2.30445312115773E-005</v>
      </c>
      <c r="D91" s="5" t="n">
        <f aca="false">B91/C91</f>
        <v>-2.90040058812309</v>
      </c>
      <c r="E91" s="7" t="n">
        <f aca="false">TDIST(ABS(D91),$H$86,2)</f>
        <v>0.00503646688283455</v>
      </c>
    </row>
    <row r="92" customFormat="false" ht="15" hidden="false" customHeight="false" outlineLevel="0" collapsed="false">
      <c r="A92" s="24" t="s">
        <v>145</v>
      </c>
      <c r="B92" s="25" t="n">
        <f aca="false">INDEX(LINEST($B$6:$B$80,$C$6:$I$80,TRUE(),TRUE()),1,3)</f>
        <v>0.0989026747278309</v>
      </c>
      <c r="C92" s="8" t="n">
        <f aca="false">INDEX(LINEST($B$6:$B$80,$C$6:$I$80,TRUE(),TRUE()),2,3)</f>
        <v>0.0819198751469522</v>
      </c>
      <c r="D92" s="5" t="n">
        <f aca="false">B92/C92</f>
        <v>1.20730988115417</v>
      </c>
      <c r="E92" s="7" t="n">
        <f aca="false">TDIST(ABS(D92),$H$86,2)</f>
        <v>0.231557764881047</v>
      </c>
    </row>
    <row r="93" customFormat="false" ht="15" hidden="false" customHeight="false" outlineLevel="0" collapsed="false">
      <c r="A93" s="24" t="s">
        <v>146</v>
      </c>
      <c r="B93" s="25" t="n">
        <f aca="false">INDEX(LINEST($B$6:$B$80,$C$6:$I$80,TRUE(),TRUE()),1,2)</f>
        <v>-5.35114643454332E-006</v>
      </c>
      <c r="C93" s="8" t="n">
        <f aca="false">INDEX(LINEST($B$6:$B$80,$C$6:$I$80,TRUE(),TRUE()),2,2)</f>
        <v>2.26924331632781E-005</v>
      </c>
      <c r="D93" s="5" t="n">
        <f aca="false">B93/C93</f>
        <v>-0.235811928850485</v>
      </c>
      <c r="E93" s="7" t="n">
        <f aca="false">TDIST(ABS(D93),$H$86,2)</f>
        <v>0.814297959360146</v>
      </c>
    </row>
    <row r="94" customFormat="false" ht="15" hidden="false" customHeight="false" outlineLevel="0" collapsed="false">
      <c r="A94" s="24" t="s">
        <v>147</v>
      </c>
      <c r="B94" s="25" t="n">
        <f aca="false">INDEX(LINEST($B$6:$B$80,$C$6:$I$80,TRUE(),TRUE()),1,1)</f>
        <v>6.8546931740362E-006</v>
      </c>
      <c r="C94" s="8" t="n">
        <f aca="false">INDEX(LINEST($B$6:$B$80,$C$6:$I$80,TRUE(),TRUE()),2,1)</f>
        <v>2.29066792054061E-005</v>
      </c>
      <c r="D94" s="5" t="n">
        <f aca="false">B94/C94</f>
        <v>0.29924429955864</v>
      </c>
      <c r="E94" s="7" t="n">
        <f aca="false">TDIST(ABS(D94),$H$86,2)</f>
        <v>0.765679945830166</v>
      </c>
    </row>
    <row r="96" customFormat="false" ht="15" hidden="false" customHeight="false" outlineLevel="0" collapsed="false">
      <c r="A96" s="21" t="s">
        <v>162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customFormat="false" ht="15" hidden="false" customHeight="false" outlineLevel="0" collapsed="false">
      <c r="A97" s="24" t="s">
        <v>163</v>
      </c>
      <c r="B97" s="5" t="n">
        <f aca="false">COUNT($B$6:$B$80)</f>
        <v>75</v>
      </c>
    </row>
    <row r="98" customFormat="false" ht="15" hidden="false" customHeight="false" outlineLevel="0" collapsed="false">
      <c r="A98" s="24" t="s">
        <v>8</v>
      </c>
      <c r="B98" s="5" t="n">
        <v>8</v>
      </c>
    </row>
    <row r="99" customFormat="false" ht="15" hidden="false" customHeight="false" outlineLevel="0" collapsed="false">
      <c r="A99" s="24" t="s">
        <v>9</v>
      </c>
      <c r="B99" s="6" t="n">
        <f aca="false">INDEX(LINEST($B$6:$B$80,$C$6:$I$80,TRUE(),TRUE()),3,1)</f>
        <v>0.278843524975977</v>
      </c>
    </row>
    <row r="100" customFormat="false" ht="15" hidden="false" customHeight="false" outlineLevel="0" collapsed="false">
      <c r="A100" s="24" t="s">
        <v>10</v>
      </c>
      <c r="B100" s="26" t="n">
        <f aca="false">1-(1-B99)*(B97-1)/(B97-B98)</f>
        <v>0.203498818630184</v>
      </c>
    </row>
    <row r="101" customFormat="false" ht="15" hidden="false" customHeight="false" outlineLevel="0" collapsed="false">
      <c r="A101" s="24" t="s">
        <v>11</v>
      </c>
      <c r="B101" s="8" t="n">
        <f aca="false">INDEX(LINEST($B$6:$B$80,$C$6:$I$80,TRUE(),TRUE()),5,2)</f>
        <v>0.193992754724702</v>
      </c>
    </row>
    <row r="102" customFormat="false" ht="15" hidden="false" customHeight="false" outlineLevel="0" collapsed="false">
      <c r="A102" s="24" t="s">
        <v>164</v>
      </c>
      <c r="B102" s="6" t="n">
        <f aca="false">-B97/2*(LN(2*PI())+LN(B101/B97)+1)</f>
        <v>116.982956794615</v>
      </c>
    </row>
    <row r="103" customFormat="false" ht="15" hidden="false" customHeight="false" outlineLevel="0" collapsed="false">
      <c r="A103" s="24" t="s">
        <v>12</v>
      </c>
      <c r="B103" s="27" t="n">
        <f aca="false">-2*B102+2*B98</f>
        <v>-217.96591358923</v>
      </c>
    </row>
    <row r="104" customFormat="false" ht="15" hidden="false" customHeight="false" outlineLevel="0" collapsed="false">
      <c r="A104" s="24" t="s">
        <v>13</v>
      </c>
      <c r="B104" s="27" t="n">
        <f aca="false">-2*B102+LN(B97)*B98</f>
        <v>-199.42600868094</v>
      </c>
    </row>
    <row r="106" customFormat="false" ht="15" hidden="false" customHeight="false" outlineLevel="0" collapsed="false">
      <c r="A106" s="10" t="s">
        <v>14</v>
      </c>
      <c r="B106" s="28" t="n">
        <f aca="false">SUMXMY2(K7:K80,K6:K79)/SUMSQ(K6:K80)</f>
        <v>0.682760955803835</v>
      </c>
    </row>
    <row r="108" customFormat="false" ht="15" hidden="false" customHeight="false" outlineLevel="0" collapsed="false">
      <c r="A108" s="21" t="s">
        <v>165</v>
      </c>
      <c r="B108" s="22"/>
      <c r="C108" s="22"/>
      <c r="D108" s="22"/>
      <c r="E108" s="22"/>
      <c r="F108" s="22"/>
      <c r="G108" s="22"/>
      <c r="H108" s="22"/>
      <c r="I108" s="22"/>
    </row>
    <row r="109" customFormat="false" ht="15" hidden="false" customHeight="false" outlineLevel="0" collapsed="false">
      <c r="A109" s="2" t="s">
        <v>166</v>
      </c>
    </row>
    <row r="110" customFormat="false" ht="15" hidden="false" customHeight="false" outlineLevel="0" collapsed="false">
      <c r="A110" s="24" t="s">
        <v>167</v>
      </c>
      <c r="B110" s="8" t="n">
        <f aca="false">B101</f>
        <v>0.193992754724702</v>
      </c>
    </row>
    <row r="111" customFormat="false" ht="15" hidden="false" customHeight="false" outlineLevel="0" collapsed="false">
      <c r="A111" s="24" t="s">
        <v>168</v>
      </c>
      <c r="B111" s="8" t="n">
        <f aca="false">INDEX(LINEST($B$6:$B$80,$P$6:$U$80,TRUE(),TRUE()),5,2)</f>
        <v>0.194000131467637</v>
      </c>
    </row>
    <row r="112" customFormat="false" ht="15" hidden="false" customHeight="false" outlineLevel="0" collapsed="false">
      <c r="A112" s="24" t="s">
        <v>169</v>
      </c>
      <c r="B112" s="5" t="n">
        <v>1</v>
      </c>
    </row>
    <row r="113" customFormat="false" ht="15" hidden="false" customHeight="false" outlineLevel="0" collapsed="false">
      <c r="A113" s="24" t="s">
        <v>170</v>
      </c>
      <c r="B113" s="5" t="n">
        <f aca="false">$H$86</f>
        <v>67</v>
      </c>
    </row>
    <row r="114" customFormat="false" ht="15" hidden="false" customHeight="false" outlineLevel="0" collapsed="false">
      <c r="A114" s="24" t="s">
        <v>19</v>
      </c>
      <c r="B114" s="29" t="n">
        <f aca="false">((B111-B110)/B112)/(B110/B113)</f>
        <v>0.00254773317383033</v>
      </c>
    </row>
    <row r="115" customFormat="false" ht="15" hidden="false" customHeight="false" outlineLevel="0" collapsed="false">
      <c r="A115" s="24" t="s">
        <v>21</v>
      </c>
      <c r="B115" s="26" t="n">
        <f aca="false">FDIST(B114,B112,B113)</f>
        <v>0.959893989630384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3" min="2" style="0" width="13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5" customFormat="false" ht="15" hidden="false" customHeight="false" outlineLevel="0" collapsed="false">
      <c r="A5" s="3" t="s">
        <v>39</v>
      </c>
      <c r="B5" s="3" t="s">
        <v>140</v>
      </c>
      <c r="C5" s="3" t="s">
        <v>173</v>
      </c>
      <c r="D5" s="3" t="s">
        <v>141</v>
      </c>
      <c r="E5" s="3" t="s">
        <v>142</v>
      </c>
      <c r="F5" s="3" t="s">
        <v>143</v>
      </c>
      <c r="G5" s="3" t="s">
        <v>144</v>
      </c>
      <c r="H5" s="3" t="s">
        <v>145</v>
      </c>
      <c r="I5" s="3" t="s">
        <v>146</v>
      </c>
      <c r="J5" s="3" t="s">
        <v>147</v>
      </c>
      <c r="K5" s="3" t="s">
        <v>148</v>
      </c>
      <c r="L5" s="3" t="s">
        <v>149</v>
      </c>
      <c r="M5" s="3" t="s">
        <v>150</v>
      </c>
    </row>
    <row r="6" customFormat="false" ht="15" hidden="false" customHeight="false" outlineLevel="0" collapsed="false">
      <c r="A6" s="19" t="str">
        <f aca="false">Datos!A15</f>
        <v>2007Q3</v>
      </c>
      <c r="B6" s="20" t="n">
        <f aca="false">Datos!G15</f>
        <v>0.0842779771268098</v>
      </c>
      <c r="C6" s="20" t="n">
        <f aca="false">Datos!N15</f>
        <v>0.0985938738676382</v>
      </c>
      <c r="D6" s="20" t="n">
        <f aca="false">Datos!J15</f>
        <v>-0.0067</v>
      </c>
      <c r="E6" s="20" t="n">
        <f aca="false">Datos!K15</f>
        <v>-0.0246226187787558</v>
      </c>
      <c r="F6" s="20" t="n">
        <f aca="false">Datos!M14</f>
        <v>0.000278696192864608</v>
      </c>
      <c r="G6" s="20" t="n">
        <f aca="false">Datos!I13</f>
        <v>-71.4258225806452</v>
      </c>
      <c r="H6" s="20" t="n">
        <f aca="false">Datos!L12</f>
        <v>0.00923471616256633</v>
      </c>
      <c r="I6" s="20" t="n">
        <f aca="false">Datos!I9</f>
        <v>-29.0010684822845</v>
      </c>
      <c r="J6" s="20" t="n">
        <f aca="false">Datos!I8</f>
        <v>9.68690215163929</v>
      </c>
      <c r="K6" s="18" t="n">
        <v>1</v>
      </c>
      <c r="L6" s="18" t="n">
        <f aca="false">B6-($B$87+$B$88*C6+$B$89*D6+$B$90*E6+$B$91*F6+$B$92*G6+$B$93*H6+$B$94*I6+$B$95*J6)</f>
        <v>0.00333171688548459</v>
      </c>
      <c r="M6" s="18" t="n">
        <f aca="false">L6^2</f>
        <v>1.11003374050231E-005</v>
      </c>
    </row>
    <row r="7" customFormat="false" ht="15" hidden="false" customHeight="false" outlineLevel="0" collapsed="false">
      <c r="A7" s="19" t="str">
        <f aca="false">Datos!A16</f>
        <v>2007Q4</v>
      </c>
      <c r="B7" s="20" t="n">
        <f aca="false">Datos!G16</f>
        <v>0.092673486299768</v>
      </c>
      <c r="C7" s="20" t="n">
        <f aca="false">Datos!N16</f>
        <v>0.0842779771268098</v>
      </c>
      <c r="D7" s="20" t="n">
        <f aca="false">Datos!J16</f>
        <v>0.0077</v>
      </c>
      <c r="E7" s="20" t="n">
        <f aca="false">Datos!K16</f>
        <v>-0.0513696334944869</v>
      </c>
      <c r="F7" s="20" t="n">
        <f aca="false">Datos!M15</f>
        <v>0.000602920672835385</v>
      </c>
      <c r="G7" s="20" t="n">
        <f aca="false">Datos!I14</f>
        <v>58.1062311827956</v>
      </c>
      <c r="H7" s="20" t="n">
        <f aca="false">Datos!L13</f>
        <v>0.0214902142325806</v>
      </c>
      <c r="I7" s="20" t="n">
        <f aca="false">Datos!I10</f>
        <v>-40.7013678955453</v>
      </c>
      <c r="J7" s="20" t="n">
        <f aca="false">Datos!I9</f>
        <v>-29.0010684822845</v>
      </c>
      <c r="K7" s="18" t="n">
        <v>1</v>
      </c>
      <c r="L7" s="18" t="n">
        <f aca="false">B7-($B$87+$B$88*C7+$B$89*D7+$B$90*E7+$B$91*F7+$B$92*G7+$B$93*H7+$B$94*I7+$B$95*J7)</f>
        <v>0.0174004355134025</v>
      </c>
      <c r="M7" s="18" t="n">
        <f aca="false">L7^2</f>
        <v>0.00030277515605608</v>
      </c>
    </row>
    <row r="8" customFormat="false" ht="15" hidden="false" customHeight="false" outlineLevel="0" collapsed="false">
      <c r="A8" s="19" t="str">
        <f aca="false">Datos!A17</f>
        <v>2008Q1</v>
      </c>
      <c r="B8" s="20" t="n">
        <f aca="false">Datos!G17</f>
        <v>0.0691231457663233</v>
      </c>
      <c r="C8" s="20" t="n">
        <f aca="false">Datos!N17</f>
        <v>0.092673486299768</v>
      </c>
      <c r="D8" s="20" t="n">
        <f aca="false">Datos!J17</f>
        <v>-0.0048</v>
      </c>
      <c r="E8" s="20" t="n">
        <f aca="false">Datos!K17</f>
        <v>-0.0322053955184198</v>
      </c>
      <c r="F8" s="20" t="n">
        <f aca="false">Datos!M16</f>
        <v>-0.00338135505996591</v>
      </c>
      <c r="G8" s="20" t="n">
        <f aca="false">Datos!I15</f>
        <v>146.742396825397</v>
      </c>
      <c r="H8" s="20" t="n">
        <f aca="false">Datos!L14</f>
        <v>0.0051344366798293</v>
      </c>
      <c r="I8" s="20" t="n">
        <f aca="false">Datos!I11</f>
        <v>-14.6685238095238</v>
      </c>
      <c r="J8" s="20" t="n">
        <f aca="false">Datos!I10</f>
        <v>-40.7013678955453</v>
      </c>
      <c r="K8" s="18" t="n">
        <v>1</v>
      </c>
      <c r="L8" s="18" t="n">
        <f aca="false">B8-($B$87+$B$88*C8+$B$89*D8+$B$90*E8+$B$91*F8+$B$92*G8+$B$93*H8+$B$94*I8+$B$95*J8)</f>
        <v>0.00344532530507252</v>
      </c>
      <c r="M8" s="18" t="n">
        <f aca="false">L8^2</f>
        <v>1.18702664577731E-005</v>
      </c>
    </row>
    <row r="9" customFormat="false" ht="15" hidden="false" customHeight="false" outlineLevel="0" collapsed="false">
      <c r="A9" s="19" t="str">
        <f aca="false">Datos!A18</f>
        <v>2008Q2</v>
      </c>
      <c r="B9" s="20" t="n">
        <f aca="false">Datos!G18</f>
        <v>0.0545268547475248</v>
      </c>
      <c r="C9" s="20" t="n">
        <f aca="false">Datos!N18</f>
        <v>0.0691231457663233</v>
      </c>
      <c r="D9" s="20" t="n">
        <f aca="false">Datos!J18</f>
        <v>0.0018</v>
      </c>
      <c r="E9" s="20" t="n">
        <f aca="false">Datos!K18</f>
        <v>-0.0472126174388314</v>
      </c>
      <c r="F9" s="20" t="n">
        <f aca="false">Datos!M17</f>
        <v>-0.0029350875851957</v>
      </c>
      <c r="G9" s="20" t="n">
        <f aca="false">Datos!I16</f>
        <v>-28.2266763952893</v>
      </c>
      <c r="H9" s="20" t="n">
        <f aca="false">Datos!L15</f>
        <v>-0.0137496292897965</v>
      </c>
      <c r="I9" s="20" t="n">
        <f aca="false">Datos!I12</f>
        <v>-57.3400276497695</v>
      </c>
      <c r="J9" s="20" t="n">
        <f aca="false">Datos!I11</f>
        <v>-14.6685238095238</v>
      </c>
      <c r="K9" s="18" t="n">
        <v>1</v>
      </c>
      <c r="L9" s="18" t="n">
        <f aca="false">B9-($B$87+$B$88*C9+$B$89*D9+$B$90*E9+$B$91*F9+$B$92*G9+$B$93*H9+$B$94*I9+$B$95*J9)</f>
        <v>-0.00022497213474805</v>
      </c>
      <c r="M9" s="18" t="n">
        <f aca="false">L9^2</f>
        <v>5.06124614130947E-008</v>
      </c>
    </row>
    <row r="10" customFormat="false" ht="15" hidden="false" customHeight="false" outlineLevel="0" collapsed="false">
      <c r="A10" s="19" t="str">
        <f aca="false">Datos!A19</f>
        <v>2008Q3</v>
      </c>
      <c r="B10" s="20" t="n">
        <f aca="false">Datos!G19</f>
        <v>0.060060161436698</v>
      </c>
      <c r="C10" s="20" t="n">
        <f aca="false">Datos!N19</f>
        <v>0.0545268547475248</v>
      </c>
      <c r="D10" s="20" t="n">
        <f aca="false">Datos!J19</f>
        <v>0.0064</v>
      </c>
      <c r="E10" s="20" t="n">
        <f aca="false">Datos!K19</f>
        <v>0.0103881918110503</v>
      </c>
      <c r="F10" s="20" t="n">
        <f aca="false">Datos!M18</f>
        <v>-0.00233089484643468</v>
      </c>
      <c r="G10" s="20" t="n">
        <f aca="false">Datos!I17</f>
        <v>95.3370391327341</v>
      </c>
      <c r="H10" s="20" t="n">
        <f aca="false">Datos!L16</f>
        <v>-0.0602367573720288</v>
      </c>
      <c r="I10" s="20" t="n">
        <f aca="false">Datos!I13</f>
        <v>-71.4258225806452</v>
      </c>
      <c r="J10" s="20" t="n">
        <f aca="false">Datos!I12</f>
        <v>-57.3400276497695</v>
      </c>
      <c r="K10" s="18" t="n">
        <v>1</v>
      </c>
      <c r="L10" s="18" t="n">
        <f aca="false">B10-($B$87+$B$88*C10+$B$89*D10+$B$90*E10+$B$91*F10+$B$92*G10+$B$93*H10+$B$94*I10+$B$95*J10)</f>
        <v>0.0121648937811969</v>
      </c>
      <c r="M10" s="18" t="n">
        <f aca="false">L10^2</f>
        <v>0.000147984640707803</v>
      </c>
    </row>
    <row r="11" customFormat="false" ht="15" hidden="false" customHeight="false" outlineLevel="0" collapsed="false">
      <c r="A11" s="19" t="str">
        <f aca="false">Datos!A20</f>
        <v>2008Q4</v>
      </c>
      <c r="B11" s="20" t="n">
        <f aca="false">Datos!G20</f>
        <v>-0.019789908841391</v>
      </c>
      <c r="C11" s="20" t="n">
        <f aca="false">Datos!N20</f>
        <v>0.060060161436698</v>
      </c>
      <c r="D11" s="20" t="n">
        <f aca="false">Datos!J20</f>
        <v>-0.0596</v>
      </c>
      <c r="E11" s="20" t="n">
        <f aca="false">Datos!K20</f>
        <v>-0.012294190622106</v>
      </c>
      <c r="F11" s="20" t="n">
        <f aca="false">Datos!M19</f>
        <v>-4.19342947748196E-005</v>
      </c>
      <c r="G11" s="20" t="n">
        <f aca="false">Datos!I18</f>
        <v>74.4147768954915</v>
      </c>
      <c r="H11" s="20" t="n">
        <f aca="false">Datos!L17</f>
        <v>-0.0286951815686505</v>
      </c>
      <c r="I11" s="20" t="n">
        <f aca="false">Datos!I14</f>
        <v>58.1062311827956</v>
      </c>
      <c r="J11" s="20" t="n">
        <f aca="false">Datos!I13</f>
        <v>-71.4258225806452</v>
      </c>
      <c r="K11" s="18" t="n">
        <v>1</v>
      </c>
      <c r="L11" s="18" t="n">
        <f aca="false">B11-($B$87+$B$88*C11+$B$89*D11+$B$90*E11+$B$91*F11+$B$92*G11+$B$93*H11+$B$94*I11+$B$95*J11)</f>
        <v>-0.00165451796119302</v>
      </c>
      <c r="M11" s="18" t="n">
        <f aca="false">L11^2</f>
        <v>2.73742968391032E-006</v>
      </c>
    </row>
    <row r="12" customFormat="false" ht="15" hidden="false" customHeight="false" outlineLevel="0" collapsed="false">
      <c r="A12" s="19" t="str">
        <f aca="false">Datos!A21</f>
        <v>2009Q1</v>
      </c>
      <c r="B12" s="20" t="n">
        <f aca="false">Datos!G21</f>
        <v>-0.0618875514402444</v>
      </c>
      <c r="C12" s="20" t="n">
        <f aca="false">Datos!N21</f>
        <v>-0.019789908841391</v>
      </c>
      <c r="D12" s="20" t="n">
        <f aca="false">Datos!J21</f>
        <v>-0.0344</v>
      </c>
      <c r="E12" s="20" t="n">
        <f aca="false">Datos!K21</f>
        <v>-0.0506409298873551</v>
      </c>
      <c r="F12" s="20" t="n">
        <f aca="false">Datos!M20</f>
        <v>-0.00270103720609816</v>
      </c>
      <c r="G12" s="20" t="n">
        <f aca="false">Datos!I19</f>
        <v>140.17396875</v>
      </c>
      <c r="H12" s="20" t="n">
        <f aca="false">Datos!L18</f>
        <v>-0.0389251911637248</v>
      </c>
      <c r="I12" s="20" t="n">
        <f aca="false">Datos!I15</f>
        <v>146.742396825397</v>
      </c>
      <c r="J12" s="20" t="n">
        <f aca="false">Datos!I14</f>
        <v>58.1062311827956</v>
      </c>
      <c r="K12" s="18" t="n">
        <v>1</v>
      </c>
      <c r="L12" s="18" t="n">
        <f aca="false">B12-($B$87+$B$88*C12+$B$89*D12+$B$90*E12+$B$91*F12+$B$92*G12+$B$93*H12+$B$94*I12+$B$95*J12)</f>
        <v>0.0075511702049529</v>
      </c>
      <c r="M12" s="18" t="n">
        <f aca="false">L12^2</f>
        <v>5.70201714641684E-005</v>
      </c>
    </row>
    <row r="13" customFormat="false" ht="15" hidden="false" customHeight="false" outlineLevel="0" collapsed="false">
      <c r="A13" s="19" t="str">
        <f aca="false">Datos!A22</f>
        <v>2009Q2</v>
      </c>
      <c r="B13" s="20" t="n">
        <f aca="false">Datos!G22</f>
        <v>-0.112745471526209</v>
      </c>
      <c r="C13" s="20" t="n">
        <f aca="false">Datos!N22</f>
        <v>-0.0618875514402444</v>
      </c>
      <c r="D13" s="20" t="n">
        <f aca="false">Datos!J22</f>
        <v>0.0022</v>
      </c>
      <c r="E13" s="20" t="n">
        <f aca="false">Datos!K22</f>
        <v>-0.0270336828188397</v>
      </c>
      <c r="F13" s="20" t="n">
        <f aca="false">Datos!M21</f>
        <v>-0.00347983095461357</v>
      </c>
      <c r="G13" s="20" t="n">
        <f aca="false">Datos!I20</f>
        <v>999.763070060484</v>
      </c>
      <c r="H13" s="20" t="n">
        <f aca="false">Datos!L19</f>
        <v>0.0202193728000716</v>
      </c>
      <c r="I13" s="20" t="n">
        <f aca="false">Datos!I16</f>
        <v>-28.2266763952893</v>
      </c>
      <c r="J13" s="20" t="n">
        <f aca="false">Datos!I15</f>
        <v>146.742396825397</v>
      </c>
      <c r="K13" s="18" t="n">
        <v>1</v>
      </c>
      <c r="L13" s="18" t="n">
        <f aca="false">B13-($B$87+$B$88*C13+$B$89*D13+$B$90*E13+$B$91*F13+$B$92*G13+$B$93*H13+$B$94*I13+$B$95*J13)</f>
        <v>-0.0141936132951241</v>
      </c>
      <c r="M13" s="18" t="n">
        <f aca="false">L13^2</f>
        <v>0.000201458658371523</v>
      </c>
    </row>
    <row r="14" customFormat="false" ht="15" hidden="false" customHeight="false" outlineLevel="0" collapsed="false">
      <c r="A14" s="19" t="str">
        <f aca="false">Datos!A23</f>
        <v>2009Q3</v>
      </c>
      <c r="B14" s="20" t="n">
        <f aca="false">Datos!G23</f>
        <v>-0.0565117996405296</v>
      </c>
      <c r="C14" s="20" t="n">
        <f aca="false">Datos!N23</f>
        <v>-0.112745471526209</v>
      </c>
      <c r="D14" s="20" t="n">
        <f aca="false">Datos!J23</f>
        <v>0.0104</v>
      </c>
      <c r="E14" s="20" t="n">
        <f aca="false">Datos!K23</f>
        <v>0.0188952503887881</v>
      </c>
      <c r="F14" s="20" t="n">
        <f aca="false">Datos!M22</f>
        <v>-0.0080313344662462</v>
      </c>
      <c r="G14" s="20" t="n">
        <f aca="false">Datos!I21</f>
        <v>3.47016790058183</v>
      </c>
      <c r="H14" s="20" t="n">
        <f aca="false">Datos!L20</f>
        <v>0.0208164044278587</v>
      </c>
      <c r="I14" s="20" t="n">
        <f aca="false">Datos!I17</f>
        <v>95.3370391327341</v>
      </c>
      <c r="J14" s="20" t="n">
        <f aca="false">Datos!I16</f>
        <v>-28.2266763952893</v>
      </c>
      <c r="K14" s="18" t="n">
        <v>1</v>
      </c>
      <c r="L14" s="18" t="n">
        <f aca="false">B14-($B$87+$B$88*C14+$B$89*D14+$B$90*E14+$B$91*F14+$B$92*G14+$B$93*H14+$B$94*I14+$B$95*J14)</f>
        <v>0.0282465220496382</v>
      </c>
      <c r="M14" s="18" t="n">
        <f aca="false">L14^2</f>
        <v>0.0007978660079007</v>
      </c>
    </row>
    <row r="15" customFormat="false" ht="15" hidden="false" customHeight="false" outlineLevel="0" collapsed="false">
      <c r="A15" s="19" t="str">
        <f aca="false">Datos!A24</f>
        <v>2009Q4</v>
      </c>
      <c r="B15" s="20" t="n">
        <f aca="false">Datos!G24</f>
        <v>0.00281998226127467</v>
      </c>
      <c r="C15" s="20" t="n">
        <f aca="false">Datos!N24</f>
        <v>-0.0565117996405296</v>
      </c>
      <c r="D15" s="20" t="n">
        <f aca="false">Datos!J24</f>
        <v>0.0649</v>
      </c>
      <c r="E15" s="20" t="n">
        <f aca="false">Datos!K24</f>
        <v>0.0202660816321944</v>
      </c>
      <c r="F15" s="20" t="n">
        <f aca="false">Datos!M23</f>
        <v>-0.0083302111754376</v>
      </c>
      <c r="G15" s="20" t="n">
        <f aca="false">Datos!I22</f>
        <v>-244.401219359875</v>
      </c>
      <c r="H15" s="20" t="n">
        <f aca="false">Datos!L21</f>
        <v>-0.0374388367953842</v>
      </c>
      <c r="I15" s="20" t="n">
        <f aca="false">Datos!I18</f>
        <v>74.4147768954915</v>
      </c>
      <c r="J15" s="20" t="n">
        <f aca="false">Datos!I17</f>
        <v>95.3370391327341</v>
      </c>
      <c r="K15" s="18" t="n">
        <v>1</v>
      </c>
      <c r="L15" s="18" t="n">
        <f aca="false">B15-($B$87+$B$88*C15+$B$89*D15+$B$90*E15+$B$91*F15+$B$92*G15+$B$93*H15+$B$94*I15+$B$95*J15)</f>
        <v>-0.030693125477277</v>
      </c>
      <c r="M15" s="18" t="n">
        <f aca="false">L15^2</f>
        <v>0.000942067951563873</v>
      </c>
    </row>
    <row r="16" customFormat="false" ht="15" hidden="false" customHeight="false" outlineLevel="0" collapsed="false">
      <c r="A16" s="19" t="str">
        <f aca="false">Datos!A25</f>
        <v>2010Q1</v>
      </c>
      <c r="B16" s="20" t="n">
        <f aca="false">Datos!G25</f>
        <v>0.0571326910752132</v>
      </c>
      <c r="C16" s="20" t="n">
        <f aca="false">Datos!N25</f>
        <v>0.00281998226127467</v>
      </c>
      <c r="D16" s="20" t="n">
        <f aca="false">Datos!J25</f>
        <v>0.0388</v>
      </c>
      <c r="E16" s="20" t="n">
        <f aca="false">Datos!K25</f>
        <v>0.0364851445863187</v>
      </c>
      <c r="F16" s="20" t="n">
        <f aca="false">Datos!M24</f>
        <v>-0.00738339686401843</v>
      </c>
      <c r="G16" s="20" t="n">
        <f aca="false">Datos!I23</f>
        <v>-533.989581101191</v>
      </c>
      <c r="H16" s="20" t="n">
        <f aca="false">Datos!L22</f>
        <v>-0.043804080965929</v>
      </c>
      <c r="I16" s="20" t="n">
        <f aca="false">Datos!I19</f>
        <v>140.17396875</v>
      </c>
      <c r="J16" s="20" t="n">
        <f aca="false">Datos!I18</f>
        <v>74.4147768954915</v>
      </c>
      <c r="K16" s="18" t="n">
        <v>1</v>
      </c>
      <c r="L16" s="18" t="n">
        <f aca="false">B16-($B$87+$B$88*C16+$B$89*D16+$B$90*E16+$B$91*F16+$B$92*G16+$B$93*H16+$B$94*I16+$B$95*J16)</f>
        <v>-0.0164058968909811</v>
      </c>
      <c r="M16" s="18" t="n">
        <f aca="false">L16^2</f>
        <v>0.000269153452797502</v>
      </c>
    </row>
    <row r="17" customFormat="false" ht="15" hidden="false" customHeight="false" outlineLevel="0" collapsed="false">
      <c r="A17" s="19" t="str">
        <f aca="false">Datos!A26</f>
        <v>2010Q2</v>
      </c>
      <c r="B17" s="20" t="n">
        <f aca="false">Datos!G26</f>
        <v>0.162441995090574</v>
      </c>
      <c r="C17" s="20" t="n">
        <f aca="false">Datos!N26</f>
        <v>0.0571326910752132</v>
      </c>
      <c r="D17" s="20" t="n">
        <f aca="false">Datos!J26</f>
        <v>-0.00690000000000002</v>
      </c>
      <c r="E17" s="20" t="n">
        <f aca="false">Datos!K26</f>
        <v>0.115499149243793</v>
      </c>
      <c r="F17" s="20" t="n">
        <f aca="false">Datos!M25</f>
        <v>-0.00274815082820695</v>
      </c>
      <c r="G17" s="20" t="n">
        <f aca="false">Datos!I24</f>
        <v>-203.745835181452</v>
      </c>
      <c r="H17" s="20" t="n">
        <f aca="false">Datos!L23</f>
        <v>0.0271712027425793</v>
      </c>
      <c r="I17" s="20" t="n">
        <f aca="false">Datos!I20</f>
        <v>999.763070060484</v>
      </c>
      <c r="J17" s="20" t="n">
        <f aca="false">Datos!I19</f>
        <v>140.17396875</v>
      </c>
      <c r="K17" s="18" t="n">
        <v>1</v>
      </c>
      <c r="L17" s="18" t="n">
        <f aca="false">B17-($B$87+$B$88*C17+$B$89*D17+$B$90*E17+$B$91*F17+$B$92*G17+$B$93*H17+$B$94*I17+$B$95*J17)</f>
        <v>0.0624769374943345</v>
      </c>
      <c r="M17" s="18" t="n">
        <f aca="false">L17^2</f>
        <v>0.00390336771867097</v>
      </c>
    </row>
    <row r="18" customFormat="false" ht="15" hidden="false" customHeight="false" outlineLevel="0" collapsed="false">
      <c r="A18" s="19" t="str">
        <f aca="false">Datos!A27</f>
        <v>2010Q3</v>
      </c>
      <c r="B18" s="20" t="n">
        <f aca="false">Datos!G27</f>
        <v>0.0950774236722809</v>
      </c>
      <c r="C18" s="20" t="n">
        <f aca="false">Datos!N27</f>
        <v>0.162441995090574</v>
      </c>
      <c r="D18" s="20" t="n">
        <f aca="false">Datos!J27</f>
        <v>-0.0161</v>
      </c>
      <c r="E18" s="20" t="n">
        <f aca="false">Datos!K27</f>
        <v>0.0131107735865699</v>
      </c>
      <c r="F18" s="20" t="n">
        <f aca="false">Datos!M26</f>
        <v>0.00434277462531486</v>
      </c>
      <c r="G18" s="20" t="n">
        <f aca="false">Datos!I25</f>
        <v>15.4416356425168</v>
      </c>
      <c r="H18" s="20" t="n">
        <f aca="false">Datos!L24</f>
        <v>-0.00576713422833086</v>
      </c>
      <c r="I18" s="20" t="n">
        <f aca="false">Datos!I21</f>
        <v>3.47016790058183</v>
      </c>
      <c r="J18" s="20" t="n">
        <f aca="false">Datos!I20</f>
        <v>999.763070060484</v>
      </c>
      <c r="K18" s="18" t="n">
        <v>1</v>
      </c>
      <c r="L18" s="18" t="n">
        <f aca="false">B18-($B$87+$B$88*C18+$B$89*D18+$B$90*E18+$B$91*F18+$B$92*G18+$B$93*H18+$B$94*I18+$B$95*J18)</f>
        <v>-0.038470021118083</v>
      </c>
      <c r="M18" s="18" t="n">
        <f aca="false">L18^2</f>
        <v>0.00147994252482575</v>
      </c>
    </row>
    <row r="19" customFormat="false" ht="15" hidden="false" customHeight="false" outlineLevel="0" collapsed="false">
      <c r="A19" s="19" t="str">
        <f aca="false">Datos!A28</f>
        <v>2010Q4</v>
      </c>
      <c r="B19" s="20" t="n">
        <f aca="false">Datos!G28</f>
        <v>0.0860979311042298</v>
      </c>
      <c r="C19" s="20" t="n">
        <f aca="false">Datos!N28</f>
        <v>0.0950774236722809</v>
      </c>
      <c r="D19" s="20" t="n">
        <f aca="false">Datos!J28</f>
        <v>-0.0122</v>
      </c>
      <c r="E19" s="20" t="n">
        <f aca="false">Datos!K28</f>
        <v>0.0312470107223477</v>
      </c>
      <c r="F19" s="20" t="n">
        <f aca="false">Datos!M27</f>
        <v>0.00241267441570089</v>
      </c>
      <c r="G19" s="20" t="n">
        <f aca="false">Datos!I26</f>
        <v>0.464510798855258</v>
      </c>
      <c r="H19" s="20" t="n">
        <f aca="false">Datos!L25</f>
        <v>0.0315418144587436</v>
      </c>
      <c r="I19" s="20" t="n">
        <f aca="false">Datos!I22</f>
        <v>-244.401219359875</v>
      </c>
      <c r="J19" s="20" t="n">
        <f aca="false">Datos!I21</f>
        <v>3.47016790058183</v>
      </c>
      <c r="K19" s="18" t="n">
        <v>1</v>
      </c>
      <c r="L19" s="18" t="n">
        <f aca="false">B19-($B$87+$B$88*C19+$B$89*D19+$B$90*E19+$B$91*F19+$B$92*G19+$B$93*H19+$B$94*I19+$B$95*J19)</f>
        <v>0.0116347369225119</v>
      </c>
      <c r="M19" s="18" t="n">
        <f aca="false">L19^2</f>
        <v>0.000135367103256061</v>
      </c>
    </row>
    <row r="20" customFormat="false" ht="15" hidden="false" customHeight="false" outlineLevel="0" collapsed="false">
      <c r="A20" s="19" t="str">
        <f aca="false">Datos!A29</f>
        <v>2011Q1</v>
      </c>
      <c r="B20" s="20" t="n">
        <f aca="false">Datos!G29</f>
        <v>0.0829261625044686</v>
      </c>
      <c r="C20" s="20" t="n">
        <f aca="false">Datos!N29</f>
        <v>0.0860979311042298</v>
      </c>
      <c r="D20" s="20" t="n">
        <f aca="false">Datos!J29</f>
        <v>-0.00499999999999999</v>
      </c>
      <c r="E20" s="20" t="n">
        <f aca="false">Datos!K29</f>
        <v>0.0422766191537938</v>
      </c>
      <c r="F20" s="20" t="n">
        <f aca="false">Datos!M28</f>
        <v>-0.00216449992080475</v>
      </c>
      <c r="G20" s="20" t="n">
        <f aca="false">Datos!I27</f>
        <v>-22.7225300099209</v>
      </c>
      <c r="H20" s="20" t="n">
        <f aca="false">Datos!L26</f>
        <v>0.0935739728512151</v>
      </c>
      <c r="I20" s="20" t="n">
        <f aca="false">Datos!I23</f>
        <v>-533.989581101191</v>
      </c>
      <c r="J20" s="20" t="n">
        <f aca="false">Datos!I22</f>
        <v>-244.401219359875</v>
      </c>
      <c r="K20" s="18" t="n">
        <v>1</v>
      </c>
      <c r="L20" s="18" t="n">
        <f aca="false">B20-($B$87+$B$88*C20+$B$89*D20+$B$90*E20+$B$91*F20+$B$92*G20+$B$93*H20+$B$94*I20+$B$95*J20)</f>
        <v>0.011833031019485</v>
      </c>
      <c r="M20" s="18" t="n">
        <f aca="false">L20^2</f>
        <v>0.000140020623108094</v>
      </c>
    </row>
    <row r="21" customFormat="false" ht="15" hidden="false" customHeight="false" outlineLevel="0" collapsed="false">
      <c r="A21" s="19" t="str">
        <f aca="false">Datos!A30</f>
        <v>2011Q2</v>
      </c>
      <c r="B21" s="20" t="n">
        <f aca="false">Datos!G30</f>
        <v>0.0444334376577356</v>
      </c>
      <c r="C21" s="20" t="n">
        <f aca="false">Datos!N30</f>
        <v>0.0829261625044686</v>
      </c>
      <c r="D21" s="20" t="n">
        <f aca="false">Datos!J30</f>
        <v>-0.0049</v>
      </c>
      <c r="E21" s="20" t="n">
        <f aca="false">Datos!K30</f>
        <v>-0.0386592979395697</v>
      </c>
      <c r="F21" s="20" t="n">
        <f aca="false">Datos!M29</f>
        <v>0.00150805653382125</v>
      </c>
      <c r="G21" s="20" t="n">
        <f aca="false">Datos!I28</f>
        <v>-165.748584173387</v>
      </c>
      <c r="H21" s="20" t="n">
        <f aca="false">Datos!L27</f>
        <v>-0.0123659345741185</v>
      </c>
      <c r="I21" s="20" t="n">
        <f aca="false">Datos!I24</f>
        <v>-203.745835181452</v>
      </c>
      <c r="J21" s="20" t="n">
        <f aca="false">Datos!I23</f>
        <v>-533.989581101191</v>
      </c>
      <c r="K21" s="18" t="n">
        <v>1</v>
      </c>
      <c r="L21" s="18" t="n">
        <f aca="false">B21-($B$87+$B$88*C21+$B$89*D21+$B$90*E21+$B$91*F21+$B$92*G21+$B$93*H21+$B$94*I21+$B$95*J21)</f>
        <v>-0.01963600178751</v>
      </c>
      <c r="M21" s="18" t="n">
        <f aca="false">L21^2</f>
        <v>0.000385572566199095</v>
      </c>
    </row>
    <row r="22" customFormat="false" ht="15" hidden="false" customHeight="false" outlineLevel="0" collapsed="false">
      <c r="A22" s="19" t="str">
        <f aca="false">Datos!A31</f>
        <v>2011Q3</v>
      </c>
      <c r="B22" s="20" t="n">
        <f aca="false">Datos!G31</f>
        <v>0.0640936718081673</v>
      </c>
      <c r="C22" s="20" t="n">
        <f aca="false">Datos!N31</f>
        <v>0.0444334376577356</v>
      </c>
      <c r="D22" s="20" t="n">
        <f aca="false">Datos!J31</f>
        <v>-0.0117</v>
      </c>
      <c r="E22" s="20" t="n">
        <f aca="false">Datos!K31</f>
        <v>0.0068203401084819</v>
      </c>
      <c r="F22" s="20" t="n">
        <f aca="false">Datos!M30</f>
        <v>-0.00105380264062771</v>
      </c>
      <c r="G22" s="20" t="n">
        <f aca="false">Datos!I29</f>
        <v>-12.9487096774192</v>
      </c>
      <c r="H22" s="20" t="n">
        <f aca="false">Datos!L28</f>
        <v>0.0288216919373594</v>
      </c>
      <c r="I22" s="20" t="n">
        <f aca="false">Datos!I25</f>
        <v>15.4416356425168</v>
      </c>
      <c r="J22" s="20" t="n">
        <f aca="false">Datos!I24</f>
        <v>-203.745835181452</v>
      </c>
      <c r="K22" s="18" t="n">
        <v>1</v>
      </c>
      <c r="L22" s="18" t="n">
        <f aca="false">B22-($B$87+$B$88*C22+$B$89*D22+$B$90*E22+$B$91*F22+$B$92*G22+$B$93*H22+$B$94*I22+$B$95*J22)</f>
        <v>0.0330510685517683</v>
      </c>
      <c r="M22" s="18" t="n">
        <f aca="false">L22^2</f>
        <v>0.00109237313241369</v>
      </c>
    </row>
    <row r="23" customFormat="false" ht="15" hidden="false" customHeight="false" outlineLevel="0" collapsed="false">
      <c r="A23" s="19" t="str">
        <f aca="false">Datos!A32</f>
        <v>2011Q4</v>
      </c>
      <c r="B23" s="20" t="n">
        <f aca="false">Datos!G32</f>
        <v>0.0521713189216535</v>
      </c>
      <c r="C23" s="20" t="n">
        <f aca="false">Datos!N32</f>
        <v>0.0640936718081673</v>
      </c>
      <c r="D23" s="20" t="n">
        <f aca="false">Datos!J32</f>
        <v>-0.0096</v>
      </c>
      <c r="E23" s="20" t="n">
        <f aca="false">Datos!K32</f>
        <v>-0.0270244482852387</v>
      </c>
      <c r="F23" s="20" t="n">
        <f aca="false">Datos!M31</f>
        <v>-0.00352299984857712</v>
      </c>
      <c r="G23" s="20" t="n">
        <f aca="false">Datos!I30</f>
        <v>41.5229032258063</v>
      </c>
      <c r="H23" s="20" t="n">
        <f aca="false">Datos!L29</f>
        <v>0.0352338810614263</v>
      </c>
      <c r="I23" s="20" t="n">
        <f aca="false">Datos!I26</f>
        <v>0.464510798855258</v>
      </c>
      <c r="J23" s="20" t="n">
        <f aca="false">Datos!I25</f>
        <v>15.4416356425168</v>
      </c>
      <c r="K23" s="18" t="n">
        <v>1</v>
      </c>
      <c r="L23" s="18" t="n">
        <f aca="false">B23-($B$87+$B$88*C23+$B$89*D23+$B$90*E23+$B$91*F23+$B$92*G23+$B$93*H23+$B$94*I23+$B$95*J23)</f>
        <v>0.00978956097236142</v>
      </c>
      <c r="M23" s="18" t="n">
        <f aca="false">L23^2</f>
        <v>9.58355040315819E-005</v>
      </c>
    </row>
    <row r="24" customFormat="false" ht="15" hidden="false" customHeight="false" outlineLevel="0" collapsed="false">
      <c r="A24" s="19" t="str">
        <f aca="false">Datos!A33</f>
        <v>2012Q1</v>
      </c>
      <c r="B24" s="20" t="n">
        <f aca="false">Datos!G33</f>
        <v>0.0156424693190642</v>
      </c>
      <c r="C24" s="20" t="n">
        <f aca="false">Datos!N33</f>
        <v>0.0521713189216535</v>
      </c>
      <c r="D24" s="20" t="n">
        <f aca="false">Datos!J33</f>
        <v>-0.0086</v>
      </c>
      <c r="E24" s="20" t="n">
        <f aca="false">Datos!K33</f>
        <v>-0.0290398188694472</v>
      </c>
      <c r="F24" s="20" t="n">
        <f aca="false">Datos!M32</f>
        <v>-0.000637790538180211</v>
      </c>
      <c r="G24" s="20" t="n">
        <f aca="false">Datos!I31</f>
        <v>158.444625</v>
      </c>
      <c r="H24" s="20" t="n">
        <f aca="false">Datos!L30</f>
        <v>-0.0193928471303448</v>
      </c>
      <c r="I24" s="20" t="n">
        <f aca="false">Datos!I27</f>
        <v>-22.7225300099209</v>
      </c>
      <c r="J24" s="20" t="n">
        <f aca="false">Datos!I26</f>
        <v>0.464510798855258</v>
      </c>
      <c r="K24" s="18" t="n">
        <v>1</v>
      </c>
      <c r="L24" s="18" t="n">
        <f aca="false">B24-($B$87+$B$88*C24+$B$89*D24+$B$90*E24+$B$91*F24+$B$92*G24+$B$93*H24+$B$94*I24+$B$95*J24)</f>
        <v>-0.00903423646506831</v>
      </c>
      <c r="M24" s="18" t="n">
        <f aca="false">L24^2</f>
        <v>8.16174285067699E-005</v>
      </c>
    </row>
    <row r="25" customFormat="false" ht="15" hidden="false" customHeight="false" outlineLevel="0" collapsed="false">
      <c r="A25" s="19" t="str">
        <f aca="false">Datos!A34</f>
        <v>2012Q2</v>
      </c>
      <c r="B25" s="20" t="n">
        <f aca="false">Datos!G34</f>
        <v>-0.0463175722342237</v>
      </c>
      <c r="C25" s="20" t="n">
        <f aca="false">Datos!N34</f>
        <v>0.0156424693190642</v>
      </c>
      <c r="D25" s="20" t="n">
        <f aca="false">Datos!J34</f>
        <v>-0.0072</v>
      </c>
      <c r="E25" s="20" t="n">
        <f aca="false">Datos!K34</f>
        <v>-0.026110493572689</v>
      </c>
      <c r="F25" s="20" t="n">
        <f aca="false">Datos!M33</f>
        <v>-0.00100156130651481</v>
      </c>
      <c r="G25" s="20" t="n">
        <f aca="false">Datos!I32</f>
        <v>174.585041666667</v>
      </c>
      <c r="H25" s="20" t="n">
        <f aca="false">Datos!L31</f>
        <v>0.0064285495380567</v>
      </c>
      <c r="I25" s="20" t="n">
        <f aca="false">Datos!I28</f>
        <v>-165.748584173387</v>
      </c>
      <c r="J25" s="20" t="n">
        <f aca="false">Datos!I27</f>
        <v>-22.7225300099209</v>
      </c>
      <c r="K25" s="18" t="n">
        <v>1</v>
      </c>
      <c r="L25" s="18" t="n">
        <f aca="false">B25-($B$87+$B$88*C25+$B$89*D25+$B$90*E25+$B$91*F25+$B$92*G25+$B$93*H25+$B$94*I25+$B$95*J25)</f>
        <v>-0.0373647001919135</v>
      </c>
      <c r="M25" s="18" t="n">
        <f aca="false">L25^2</f>
        <v>0.00139612082043158</v>
      </c>
    </row>
    <row r="26" customFormat="false" ht="15" hidden="false" customHeight="false" outlineLevel="0" collapsed="false">
      <c r="A26" s="19" t="str">
        <f aca="false">Datos!A35</f>
        <v>2012Q3</v>
      </c>
      <c r="B26" s="20" t="n">
        <f aca="false">Datos!G35</f>
        <v>-0.0111829419552486</v>
      </c>
      <c r="C26" s="20" t="n">
        <f aca="false">Datos!N35</f>
        <v>-0.0463175722342237</v>
      </c>
      <c r="D26" s="20" t="n">
        <f aca="false">Datos!J35</f>
        <v>0.015</v>
      </c>
      <c r="E26" s="20" t="n">
        <f aca="false">Datos!K35</f>
        <v>0.0386172859864582</v>
      </c>
      <c r="F26" s="20" t="n">
        <f aca="false">Datos!M34</f>
        <v>-0.00300269044532598</v>
      </c>
      <c r="G26" s="20" t="n">
        <f aca="false">Datos!I33</f>
        <v>-75.1010327956988</v>
      </c>
      <c r="H26" s="20" t="n">
        <f aca="false">Datos!L32</f>
        <v>-0.0196574711342907</v>
      </c>
      <c r="I26" s="20" t="n">
        <f aca="false">Datos!I29</f>
        <v>-12.9487096774192</v>
      </c>
      <c r="J26" s="20" t="n">
        <f aca="false">Datos!I28</f>
        <v>-165.748584173387</v>
      </c>
      <c r="K26" s="18" t="n">
        <v>1</v>
      </c>
      <c r="L26" s="18" t="n">
        <f aca="false">B26-($B$87+$B$88*C26+$B$89*D26+$B$90*E26+$B$91*F26+$B$92*G26+$B$93*H26+$B$94*I26+$B$95*J26)</f>
        <v>0.00583796862000119</v>
      </c>
      <c r="M26" s="18" t="n">
        <f aca="false">L26^2</f>
        <v>3.40818776081186E-005</v>
      </c>
    </row>
    <row r="27" customFormat="false" ht="15" hidden="false" customHeight="false" outlineLevel="0" collapsed="false">
      <c r="A27" s="19" t="str">
        <f aca="false">Datos!A36</f>
        <v>2012Q4</v>
      </c>
      <c r="B27" s="20" t="n">
        <f aca="false">Datos!G36</f>
        <v>0.00555804016441552</v>
      </c>
      <c r="C27" s="20" t="n">
        <f aca="false">Datos!N36</f>
        <v>-0.0111829419552486</v>
      </c>
      <c r="D27" s="20" t="n">
        <f aca="false">Datos!J36</f>
        <v>-9.99999999999994E-005</v>
      </c>
      <c r="E27" s="20" t="n">
        <f aca="false">Datos!K36</f>
        <v>0.0395024208900321</v>
      </c>
      <c r="F27" s="20" t="n">
        <f aca="false">Datos!M35</f>
        <v>0.00125591690417205</v>
      </c>
      <c r="G27" s="20" t="n">
        <f aca="false">Datos!I34</f>
        <v>231.838685176651</v>
      </c>
      <c r="H27" s="20" t="n">
        <f aca="false">Datos!L33</f>
        <v>-0.0305004534419946</v>
      </c>
      <c r="I27" s="20" t="n">
        <f aca="false">Datos!I30</f>
        <v>41.5229032258063</v>
      </c>
      <c r="J27" s="20" t="n">
        <f aca="false">Datos!I29</f>
        <v>-12.9487096774192</v>
      </c>
      <c r="K27" s="18" t="n">
        <v>1</v>
      </c>
      <c r="L27" s="18" t="n">
        <f aca="false">B27-($B$87+$B$88*C27+$B$89*D27+$B$90*E27+$B$91*F27+$B$92*G27+$B$93*H27+$B$94*I27+$B$95*J27)</f>
        <v>0.0178526537416429</v>
      </c>
      <c r="M27" s="18" t="n">
        <f aca="false">L27^2</f>
        <v>0.000318717245618996</v>
      </c>
    </row>
    <row r="28" customFormat="false" ht="15" hidden="false" customHeight="false" outlineLevel="0" collapsed="false">
      <c r="A28" s="19" t="str">
        <f aca="false">Datos!A37</f>
        <v>2013Q1</v>
      </c>
      <c r="B28" s="20" t="n">
        <f aca="false">Datos!G37</f>
        <v>0.00654025144614989</v>
      </c>
      <c r="C28" s="20" t="n">
        <f aca="false">Datos!N37</f>
        <v>0.00555804016441552</v>
      </c>
      <c r="D28" s="20" t="n">
        <f aca="false">Datos!J37</f>
        <v>0.0024</v>
      </c>
      <c r="E28" s="20" t="n">
        <f aca="false">Datos!K37</f>
        <v>-0.0136126649327899</v>
      </c>
      <c r="F28" s="20" t="n">
        <f aca="false">Datos!M36</f>
        <v>-0.00130886014989251</v>
      </c>
      <c r="G28" s="20" t="n">
        <f aca="false">Datos!I35</f>
        <v>-43.7133031746029</v>
      </c>
      <c r="H28" s="20" t="n">
        <f aca="false">Datos!L34</f>
        <v>-0.01627495217818</v>
      </c>
      <c r="I28" s="20" t="n">
        <f aca="false">Datos!I31</f>
        <v>158.444625</v>
      </c>
      <c r="J28" s="20" t="n">
        <f aca="false">Datos!I30</f>
        <v>41.5229032258063</v>
      </c>
      <c r="K28" s="18" t="n">
        <v>1</v>
      </c>
      <c r="L28" s="18" t="n">
        <f aca="false">B28-($B$87+$B$88*C28+$B$89*D28+$B$90*E28+$B$91*F28+$B$92*G28+$B$93*H28+$B$94*I28+$B$95*J28)</f>
        <v>-0.00472956175357244</v>
      </c>
      <c r="M28" s="18" t="n">
        <f aca="false">L28^2</f>
        <v>2.23687543808552E-005</v>
      </c>
    </row>
    <row r="29" customFormat="false" ht="15" hidden="false" customHeight="false" outlineLevel="0" collapsed="false">
      <c r="A29" s="19" t="str">
        <f aca="false">Datos!A38</f>
        <v>2013Q2</v>
      </c>
      <c r="B29" s="20" t="n">
        <f aca="false">Datos!G38</f>
        <v>0.0624602349363816</v>
      </c>
      <c r="C29" s="20" t="n">
        <f aca="false">Datos!N38</f>
        <v>0.00654025144614989</v>
      </c>
      <c r="D29" s="20" t="n">
        <f aca="false">Datos!J38</f>
        <v>0.013</v>
      </c>
      <c r="E29" s="20" t="n">
        <f aca="false">Datos!K38</f>
        <v>0.000905918240426698</v>
      </c>
      <c r="F29" s="20" t="n">
        <f aca="false">Datos!M37</f>
        <v>-0.00175680240468713</v>
      </c>
      <c r="G29" s="20" t="n">
        <f aca="false">Datos!I36</f>
        <v>16.4557341269839</v>
      </c>
      <c r="H29" s="20" t="n">
        <f aca="false">Datos!L35</f>
        <v>0.0663292235215516</v>
      </c>
      <c r="I29" s="20" t="n">
        <f aca="false">Datos!I32</f>
        <v>174.585041666667</v>
      </c>
      <c r="J29" s="20" t="n">
        <f aca="false">Datos!I31</f>
        <v>158.444625</v>
      </c>
      <c r="K29" s="18" t="n">
        <v>1</v>
      </c>
      <c r="L29" s="18" t="n">
        <f aca="false">B29-($B$87+$B$88*C29+$B$89*D29+$B$90*E29+$B$91*F29+$B$92*G29+$B$93*H29+$B$94*I29+$B$95*J29)</f>
        <v>0.0323780396363845</v>
      </c>
      <c r="M29" s="18" t="n">
        <f aca="false">L29^2</f>
        <v>0.00104833745069529</v>
      </c>
    </row>
    <row r="30" customFormat="false" ht="15" hidden="false" customHeight="false" outlineLevel="0" collapsed="false">
      <c r="A30" s="19" t="str">
        <f aca="false">Datos!A39</f>
        <v>2013Q3</v>
      </c>
      <c r="B30" s="20" t="n">
        <f aca="false">Datos!G39</f>
        <v>0.0255838987402566</v>
      </c>
      <c r="C30" s="20" t="n">
        <f aca="false">Datos!N39</f>
        <v>0.0624602349363816</v>
      </c>
      <c r="D30" s="20" t="n">
        <f aca="false">Datos!J39</f>
        <v>-0.0126</v>
      </c>
      <c r="E30" s="20" t="n">
        <f aca="false">Datos!K39</f>
        <v>-0.0669208551958795</v>
      </c>
      <c r="F30" s="20" t="n">
        <f aca="false">Datos!M38</f>
        <v>0.00125258435651265</v>
      </c>
      <c r="G30" s="20" t="n">
        <f aca="false">Datos!I37</f>
        <v>88.9247333333331</v>
      </c>
      <c r="H30" s="20" t="n">
        <f aca="false">Datos!L36</f>
        <v>0.0304311234506662</v>
      </c>
      <c r="I30" s="20" t="n">
        <f aca="false">Datos!I33</f>
        <v>-75.1010327956988</v>
      </c>
      <c r="J30" s="20" t="n">
        <f aca="false">Datos!I32</f>
        <v>174.585041666667</v>
      </c>
      <c r="K30" s="18" t="n">
        <v>1</v>
      </c>
      <c r="L30" s="18" t="n">
        <f aca="false">B30-($B$87+$B$88*C30+$B$89*D30+$B$90*E30+$B$91*F30+$B$92*G30+$B$93*H30+$B$94*I30+$B$95*J30)</f>
        <v>-0.00363430492528514</v>
      </c>
      <c r="M30" s="18" t="n">
        <f aca="false">L30^2</f>
        <v>1.32081722899518E-005</v>
      </c>
    </row>
    <row r="31" customFormat="false" ht="15" hidden="false" customHeight="false" outlineLevel="0" collapsed="false">
      <c r="A31" s="19" t="str">
        <f aca="false">Datos!A40</f>
        <v>2013Q4</v>
      </c>
      <c r="B31" s="20" t="n">
        <f aca="false">Datos!G40</f>
        <v>-0.000510205754616022</v>
      </c>
      <c r="C31" s="20" t="n">
        <f aca="false">Datos!N40</f>
        <v>0.0255838987402566</v>
      </c>
      <c r="D31" s="20" t="n">
        <f aca="false">Datos!J40</f>
        <v>-0.0023</v>
      </c>
      <c r="E31" s="20" t="n">
        <f aca="false">Datos!K40</f>
        <v>-0.0573108864708702</v>
      </c>
      <c r="F31" s="20" t="n">
        <f aca="false">Datos!M39</f>
        <v>-0.00406567893775619</v>
      </c>
      <c r="G31" s="20" t="n">
        <f aca="false">Datos!I38</f>
        <v>74.8855166666669</v>
      </c>
      <c r="H31" s="20" t="n">
        <f aca="false">Datos!L37</f>
        <v>-0.0333884367038117</v>
      </c>
      <c r="I31" s="20" t="n">
        <f aca="false">Datos!I34</f>
        <v>231.838685176651</v>
      </c>
      <c r="J31" s="20" t="n">
        <f aca="false">Datos!I33</f>
        <v>-75.1010327956988</v>
      </c>
      <c r="K31" s="18" t="n">
        <v>1</v>
      </c>
      <c r="L31" s="18" t="n">
        <f aca="false">B31-($B$87+$B$88*C31+$B$89*D31+$B$90*E31+$B$91*F31+$B$92*G31+$B$93*H31+$B$94*I31+$B$95*J31)</f>
        <v>-0.0115092929204629</v>
      </c>
      <c r="M31" s="18" t="n">
        <f aca="false">L31^2</f>
        <v>0.000132463823529017</v>
      </c>
    </row>
    <row r="32" customFormat="false" ht="15" hidden="false" customHeight="false" outlineLevel="0" collapsed="false">
      <c r="A32" s="19" t="str">
        <f aca="false">Datos!A41</f>
        <v>2014Q1</v>
      </c>
      <c r="B32" s="20" t="n">
        <f aca="false">Datos!G41</f>
        <v>-0.00889028383967849</v>
      </c>
      <c r="C32" s="20" t="n">
        <f aca="false">Datos!N41</f>
        <v>-0.000510205754616022</v>
      </c>
      <c r="D32" s="20" t="n">
        <f aca="false">Datos!J41</f>
        <v>0.00939999999999999</v>
      </c>
      <c r="E32" s="20" t="n">
        <f aca="false">Datos!K41</f>
        <v>-0.0958800124314026</v>
      </c>
      <c r="F32" s="20" t="n">
        <f aca="false">Datos!M40</f>
        <v>-0.00727729392696567</v>
      </c>
      <c r="G32" s="20" t="n">
        <f aca="false">Datos!I39</f>
        <v>-109.725953125</v>
      </c>
      <c r="H32" s="20" t="n">
        <f aca="false">Datos!L38</f>
        <v>0.0010851184441924</v>
      </c>
      <c r="I32" s="20" t="n">
        <f aca="false">Datos!I35</f>
        <v>-43.7133031746029</v>
      </c>
      <c r="J32" s="20" t="n">
        <f aca="false">Datos!I34</f>
        <v>231.838685176651</v>
      </c>
      <c r="K32" s="18" t="n">
        <v>1</v>
      </c>
      <c r="L32" s="18" t="n">
        <f aca="false">B32-($B$87+$B$88*C32+$B$89*D32+$B$90*E32+$B$91*F32+$B$92*G32+$B$93*H32+$B$94*I32+$B$95*J32)</f>
        <v>-0.00502118115855524</v>
      </c>
      <c r="M32" s="18" t="n">
        <f aca="false">L32^2</f>
        <v>2.52122602270302E-005</v>
      </c>
    </row>
    <row r="33" customFormat="false" ht="15" hidden="false" customHeight="false" outlineLevel="0" collapsed="false">
      <c r="A33" s="19" t="str">
        <f aca="false">Datos!A42</f>
        <v>2014Q2</v>
      </c>
      <c r="B33" s="20" t="n">
        <f aca="false">Datos!G42</f>
        <v>-0.0204893869308982</v>
      </c>
      <c r="C33" s="20" t="n">
        <f aca="false">Datos!N42</f>
        <v>-0.00889028383967849</v>
      </c>
      <c r="D33" s="20" t="n">
        <f aca="false">Datos!J42</f>
        <v>-0.0391</v>
      </c>
      <c r="E33" s="20" t="n">
        <f aca="false">Datos!K42</f>
        <v>-0.0333671304691989</v>
      </c>
      <c r="F33" s="20" t="n">
        <f aca="false">Datos!M41</f>
        <v>-0.00118439913588839</v>
      </c>
      <c r="G33" s="20" t="n">
        <f aca="false">Datos!I40</f>
        <v>-236.474292776639</v>
      </c>
      <c r="H33" s="20" t="n">
        <f aca="false">Datos!L39</f>
        <v>-0.0776602322661193</v>
      </c>
      <c r="I33" s="20" t="n">
        <f aca="false">Datos!I36</f>
        <v>16.4557341269839</v>
      </c>
      <c r="J33" s="20" t="n">
        <f aca="false">Datos!I35</f>
        <v>-43.7133031746029</v>
      </c>
      <c r="K33" s="18" t="n">
        <v>1</v>
      </c>
      <c r="L33" s="18" t="n">
        <f aca="false">B33-($B$87+$B$88*C33+$B$89*D33+$B$90*E33+$B$91*F33+$B$92*G33+$B$93*H33+$B$94*I33+$B$95*J33)</f>
        <v>0.0315497490442642</v>
      </c>
      <c r="M33" s="18" t="n">
        <f aca="false">L33^2</f>
        <v>0.00099538666475605</v>
      </c>
    </row>
    <row r="34" customFormat="false" ht="15" hidden="false" customHeight="false" outlineLevel="0" collapsed="false">
      <c r="A34" s="19" t="str">
        <f aca="false">Datos!A43</f>
        <v>2014Q3</v>
      </c>
      <c r="B34" s="20" t="n">
        <f aca="false">Datos!G43</f>
        <v>-0.0423851505475772</v>
      </c>
      <c r="C34" s="20" t="n">
        <f aca="false">Datos!N43</f>
        <v>-0.0204893869308982</v>
      </c>
      <c r="D34" s="20" t="n">
        <f aca="false">Datos!J43</f>
        <v>-0.002</v>
      </c>
      <c r="E34" s="20" t="n">
        <f aca="false">Datos!K43</f>
        <v>-0.00270570265133011</v>
      </c>
      <c r="F34" s="20" t="n">
        <f aca="false">Datos!M42</f>
        <v>-0.00410547863798731</v>
      </c>
      <c r="G34" s="20" t="n">
        <f aca="false">Datos!I41</f>
        <v>71.9946229508196</v>
      </c>
      <c r="H34" s="20" t="n">
        <f aca="false">Datos!L40</f>
        <v>-0.0630538774164901</v>
      </c>
      <c r="I34" s="20" t="n">
        <f aca="false">Datos!I37</f>
        <v>88.9247333333331</v>
      </c>
      <c r="J34" s="20" t="n">
        <f aca="false">Datos!I36</f>
        <v>16.4557341269839</v>
      </c>
      <c r="K34" s="18" t="n">
        <v>1</v>
      </c>
      <c r="L34" s="18" t="n">
        <f aca="false">B34-($B$87+$B$88*C34+$B$89*D34+$B$90*E34+$B$91*F34+$B$92*G34+$B$93*H34+$B$94*I34+$B$95*J34)</f>
        <v>-0.0158390329136709</v>
      </c>
      <c r="M34" s="18" t="n">
        <f aca="false">L34^2</f>
        <v>0.000250874963640349</v>
      </c>
    </row>
    <row r="35" customFormat="false" ht="15" hidden="false" customHeight="false" outlineLevel="0" collapsed="false">
      <c r="A35" s="19" t="str">
        <f aca="false">Datos!A44</f>
        <v>2014Q4</v>
      </c>
      <c r="B35" s="20" t="n">
        <f aca="false">Datos!G44</f>
        <v>-0.0281573013880524</v>
      </c>
      <c r="C35" s="20" t="n">
        <f aca="false">Datos!N44</f>
        <v>-0.0423851505475772</v>
      </c>
      <c r="D35" s="20" t="n">
        <f aca="false">Datos!J44</f>
        <v>0.0041</v>
      </c>
      <c r="E35" s="20" t="n">
        <f aca="false">Datos!K44</f>
        <v>0.0206592277311123</v>
      </c>
      <c r="F35" s="20" t="n">
        <f aca="false">Datos!M43</f>
        <v>-0.00441492926641144</v>
      </c>
      <c r="G35" s="20" t="n">
        <f aca="false">Datos!I42</f>
        <v>-143.202551652355</v>
      </c>
      <c r="H35" s="20" t="n">
        <f aca="false">Datos!L41</f>
        <v>-0.0842813466413068</v>
      </c>
      <c r="I35" s="20" t="n">
        <f aca="false">Datos!I38</f>
        <v>74.8855166666669</v>
      </c>
      <c r="J35" s="20" t="n">
        <f aca="false">Datos!I37</f>
        <v>88.9247333333331</v>
      </c>
      <c r="K35" s="18" t="n">
        <v>1</v>
      </c>
      <c r="L35" s="18" t="n">
        <f aca="false">B35-($B$87+$B$88*C35+$B$89*D35+$B$90*E35+$B$91*F35+$B$92*G35+$B$93*H35+$B$94*I35+$B$95*J35)</f>
        <v>8.89029193552916E-005</v>
      </c>
      <c r="M35" s="18" t="n">
        <f aca="false">L35^2</f>
        <v>7.90372906989349E-009</v>
      </c>
    </row>
    <row r="36" customFormat="false" ht="15" hidden="false" customHeight="false" outlineLevel="0" collapsed="false">
      <c r="A36" s="19" t="str">
        <f aca="false">Datos!A45</f>
        <v>2015Q1</v>
      </c>
      <c r="B36" s="20" t="n">
        <f aca="false">Datos!G45</f>
        <v>0.00250908947797246</v>
      </c>
      <c r="C36" s="20" t="n">
        <f aca="false">Datos!N45</f>
        <v>-0.0281573013880524</v>
      </c>
      <c r="D36" s="20" t="n">
        <f aca="false">Datos!J45</f>
        <v>-0.0138</v>
      </c>
      <c r="E36" s="20" t="n">
        <f aca="false">Datos!K45</f>
        <v>0.12737234338906</v>
      </c>
      <c r="F36" s="20" t="n">
        <f aca="false">Datos!M44</f>
        <v>-0.000491837075280319</v>
      </c>
      <c r="G36" s="20" t="n">
        <f aca="false">Datos!I43</f>
        <v>-73.5206691468252</v>
      </c>
      <c r="H36" s="20" t="n">
        <f aca="false">Datos!L42</f>
        <v>-0.0366748678812265</v>
      </c>
      <c r="I36" s="20" t="n">
        <f aca="false">Datos!I39</f>
        <v>-109.725953125</v>
      </c>
      <c r="J36" s="20" t="n">
        <f aca="false">Datos!I38</f>
        <v>74.8855166666669</v>
      </c>
      <c r="K36" s="18" t="n">
        <v>1</v>
      </c>
      <c r="L36" s="18" t="n">
        <f aca="false">B36-($B$87+$B$88*C36+$B$89*D36+$B$90*E36+$B$91*F36+$B$92*G36+$B$93*H36+$B$94*I36+$B$95*J36)</f>
        <v>0.0235598004820544</v>
      </c>
      <c r="M36" s="18" t="n">
        <f aca="false">L36^2</f>
        <v>0.000555064198754212</v>
      </c>
    </row>
    <row r="37" customFormat="false" ht="15" hidden="false" customHeight="false" outlineLevel="0" collapsed="false">
      <c r="A37" s="19" t="str">
        <f aca="false">Datos!A46</f>
        <v>2015Q2</v>
      </c>
      <c r="B37" s="20" t="n">
        <f aca="false">Datos!G46</f>
        <v>0.0403103203233863</v>
      </c>
      <c r="C37" s="20" t="n">
        <f aca="false">Datos!N46</f>
        <v>0.00250908947797246</v>
      </c>
      <c r="D37" s="20" t="n">
        <f aca="false">Datos!J46</f>
        <v>-0.0112</v>
      </c>
      <c r="E37" s="20" t="n">
        <f aca="false">Datos!K46</f>
        <v>0.079305358514979</v>
      </c>
      <c r="F37" s="20" t="n">
        <f aca="false">Datos!M45</f>
        <v>-0.00379583329619817</v>
      </c>
      <c r="G37" s="20" t="n">
        <f aca="false">Datos!I44</f>
        <v>21.0197781762296</v>
      </c>
      <c r="H37" s="20" t="n">
        <f aca="false">Datos!L43</f>
        <v>0.0130613529329055</v>
      </c>
      <c r="I37" s="20" t="n">
        <f aca="false">Datos!I40</f>
        <v>-236.474292776639</v>
      </c>
      <c r="J37" s="20" t="n">
        <f aca="false">Datos!I39</f>
        <v>-109.725953125</v>
      </c>
      <c r="K37" s="18" t="n">
        <v>1</v>
      </c>
      <c r="L37" s="18" t="n">
        <f aca="false">B37-($B$87+$B$88*C37+$B$89*D37+$B$90*E37+$B$91*F37+$B$92*G37+$B$93*H37+$B$94*I37+$B$95*J37)</f>
        <v>0.04479481863456</v>
      </c>
      <c r="M37" s="18" t="n">
        <f aca="false">L37^2</f>
        <v>0.00200657577650313</v>
      </c>
    </row>
    <row r="38" customFormat="false" ht="15" hidden="false" customHeight="false" outlineLevel="0" collapsed="false">
      <c r="A38" s="19" t="str">
        <f aca="false">Datos!A47</f>
        <v>2015Q3</v>
      </c>
      <c r="B38" s="20" t="n">
        <f aca="false">Datos!G47</f>
        <v>0.0396616998607275</v>
      </c>
      <c r="C38" s="20" t="n">
        <f aca="false">Datos!N47</f>
        <v>0.0403103203233863</v>
      </c>
      <c r="D38" s="20" t="n">
        <f aca="false">Datos!J47</f>
        <v>-0.0153</v>
      </c>
      <c r="E38" s="20" t="n">
        <f aca="false">Datos!K47</f>
        <v>-0.0219317664243788</v>
      </c>
      <c r="F38" s="20" t="n">
        <f aca="false">Datos!M46</f>
        <v>-0.00217649253180521</v>
      </c>
      <c r="G38" s="20" t="n">
        <f aca="false">Datos!I45</f>
        <v>-63.2494918032786</v>
      </c>
      <c r="H38" s="20" t="n">
        <f aca="false">Datos!L44</f>
        <v>0.0476258562716286</v>
      </c>
      <c r="I38" s="20" t="n">
        <f aca="false">Datos!I41</f>
        <v>71.9946229508196</v>
      </c>
      <c r="J38" s="20" t="n">
        <f aca="false">Datos!I40</f>
        <v>-236.474292776639</v>
      </c>
      <c r="K38" s="18" t="n">
        <v>1</v>
      </c>
      <c r="L38" s="18" t="n">
        <f aca="false">B38-($B$87+$B$88*C38+$B$89*D38+$B$90*E38+$B$91*F38+$B$92*G38+$B$93*H38+$B$94*I38+$B$95*J38)</f>
        <v>0.016815737888621</v>
      </c>
      <c r="M38" s="18" t="n">
        <f aca="false">L38^2</f>
        <v>0.000282769040738805</v>
      </c>
    </row>
    <row r="39" customFormat="false" ht="15" hidden="false" customHeight="false" outlineLevel="0" collapsed="false">
      <c r="A39" s="19" t="str">
        <f aca="false">Datos!A48</f>
        <v>2015Q4</v>
      </c>
      <c r="B39" s="20" t="n">
        <f aca="false">Datos!G48</f>
        <v>0.0247270091543546</v>
      </c>
      <c r="C39" s="20" t="n">
        <f aca="false">Datos!N48</f>
        <v>0.0396616998607275</v>
      </c>
      <c r="D39" s="20" t="n">
        <f aca="false">Datos!J48</f>
        <v>-0.0127</v>
      </c>
      <c r="E39" s="20" t="n">
        <f aca="false">Datos!K48</f>
        <v>0.00284689976009123</v>
      </c>
      <c r="F39" s="20" t="n">
        <f aca="false">Datos!M47</f>
        <v>0.000773184816559663</v>
      </c>
      <c r="G39" s="20" t="n">
        <f aca="false">Datos!I46</f>
        <v>-69.448288776797</v>
      </c>
      <c r="H39" s="20" t="n">
        <f aca="false">Datos!L45</f>
        <v>0.0970284563259407</v>
      </c>
      <c r="I39" s="20" t="n">
        <f aca="false">Datos!I42</f>
        <v>-143.202551652355</v>
      </c>
      <c r="J39" s="20" t="n">
        <f aca="false">Datos!I41</f>
        <v>71.9946229508196</v>
      </c>
      <c r="K39" s="18" t="n">
        <v>1</v>
      </c>
      <c r="L39" s="18" t="n">
        <f aca="false">B39-($B$87+$B$88*C39+$B$89*D39+$B$90*E39+$B$91*F39+$B$92*G39+$B$93*H39+$B$94*I39+$B$95*J39)</f>
        <v>-0.00432883704055232</v>
      </c>
      <c r="M39" s="18" t="n">
        <f aca="false">L39^2</f>
        <v>1.87388301236577E-005</v>
      </c>
    </row>
    <row r="40" customFormat="false" ht="15" hidden="false" customHeight="false" outlineLevel="0" collapsed="false">
      <c r="A40" s="19" t="str">
        <f aca="false">Datos!A49</f>
        <v>2016Q1</v>
      </c>
      <c r="B40" s="20" t="n">
        <f aca="false">Datos!G49</f>
        <v>0.00728692545281007</v>
      </c>
      <c r="C40" s="20" t="n">
        <f aca="false">Datos!N49</f>
        <v>0.0247270091543546</v>
      </c>
      <c r="D40" s="20" t="n">
        <f aca="false">Datos!J49</f>
        <v>0.0037</v>
      </c>
      <c r="E40" s="20" t="n">
        <f aca="false">Datos!K49</f>
        <v>-0.114795786877596</v>
      </c>
      <c r="F40" s="20" t="n">
        <f aca="false">Datos!M48</f>
        <v>-0.00280010033850613</v>
      </c>
      <c r="G40" s="20" t="n">
        <f aca="false">Datos!I47</f>
        <v>-12.3885780885781</v>
      </c>
      <c r="H40" s="20" t="n">
        <f aca="false">Datos!L46</f>
        <v>0.0949181376142003</v>
      </c>
      <c r="I40" s="20" t="n">
        <f aca="false">Datos!I43</f>
        <v>-73.5206691468252</v>
      </c>
      <c r="J40" s="20" t="n">
        <f aca="false">Datos!I42</f>
        <v>-143.202551652355</v>
      </c>
      <c r="K40" s="18" t="n">
        <v>1</v>
      </c>
      <c r="L40" s="18" t="n">
        <f aca="false">B40-($B$87+$B$88*C40+$B$89*D40+$B$90*E40+$B$91*F40+$B$92*G40+$B$93*H40+$B$94*I40+$B$95*J40)</f>
        <v>-0.00491174678064198</v>
      </c>
      <c r="M40" s="18" t="n">
        <f aca="false">L40^2</f>
        <v>2.41252564371469E-005</v>
      </c>
    </row>
    <row r="41" customFormat="false" ht="15" hidden="false" customHeight="false" outlineLevel="0" collapsed="false">
      <c r="A41" s="19" t="str">
        <f aca="false">Datos!A50</f>
        <v>2016Q2</v>
      </c>
      <c r="B41" s="20" t="n">
        <f aca="false">Datos!G50</f>
        <v>-0.0385885964740134</v>
      </c>
      <c r="C41" s="20" t="n">
        <f aca="false">Datos!N50</f>
        <v>0.00728692545281007</v>
      </c>
      <c r="D41" s="20" t="n">
        <f aca="false">Datos!J50</f>
        <v>0.0192</v>
      </c>
      <c r="E41" s="20" t="n">
        <f aca="false">Datos!K50</f>
        <v>-0.0963649166129051</v>
      </c>
      <c r="F41" s="20" t="n">
        <f aca="false">Datos!M49</f>
        <v>0.00260547432509496</v>
      </c>
      <c r="G41" s="20" t="n">
        <f aca="false">Datos!I48</f>
        <v>-78.2729603729604</v>
      </c>
      <c r="H41" s="20" t="n">
        <f aca="false">Datos!L47</f>
        <v>-0.0451740937489069</v>
      </c>
      <c r="I41" s="20" t="n">
        <f aca="false">Datos!I44</f>
        <v>21.0197781762296</v>
      </c>
      <c r="J41" s="20" t="n">
        <f aca="false">Datos!I43</f>
        <v>-73.5206691468252</v>
      </c>
      <c r="K41" s="18" t="n">
        <v>1</v>
      </c>
      <c r="L41" s="18" t="n">
        <f aca="false">B41-($B$87+$B$88*C41+$B$89*D41+$B$90*E41+$B$91*F41+$B$92*G41+$B$93*H41+$B$94*I41+$B$95*J41)</f>
        <v>-0.054340693966753</v>
      </c>
      <c r="M41" s="18" t="n">
        <f aca="false">L41^2</f>
        <v>0.00295291102078831</v>
      </c>
    </row>
    <row r="42" customFormat="false" ht="15" hidden="false" customHeight="false" outlineLevel="0" collapsed="false">
      <c r="A42" s="19" t="str">
        <f aca="false">Datos!A51</f>
        <v>2016Q3</v>
      </c>
      <c r="B42" s="20" t="n">
        <f aca="false">Datos!G51</f>
        <v>-0.0332721885187776</v>
      </c>
      <c r="C42" s="20" t="n">
        <f aca="false">Datos!N51</f>
        <v>-0.0385885964740134</v>
      </c>
      <c r="D42" s="20" t="n">
        <f aca="false">Datos!J51</f>
        <v>0.00790000000000001</v>
      </c>
      <c r="E42" s="20" t="n">
        <f aca="false">Datos!K51</f>
        <v>0.0125883030332315</v>
      </c>
      <c r="F42" s="20" t="n">
        <f aca="false">Datos!M50</f>
        <v>0.000745358878983644</v>
      </c>
      <c r="G42" s="20" t="n">
        <f aca="false">Datos!I49</f>
        <v>-38.2862026862027</v>
      </c>
      <c r="H42" s="20" t="n">
        <f aca="false">Datos!L48</f>
        <v>-0.00760537036467967</v>
      </c>
      <c r="I42" s="20" t="n">
        <f aca="false">Datos!I45</f>
        <v>-63.2494918032786</v>
      </c>
      <c r="J42" s="20" t="n">
        <f aca="false">Datos!I44</f>
        <v>21.0197781762296</v>
      </c>
      <c r="K42" s="18" t="n">
        <v>1</v>
      </c>
      <c r="L42" s="18" t="n">
        <f aca="false">B42-($B$87+$B$88*C42+$B$89*D42+$B$90*E42+$B$91*F42+$B$92*G42+$B$93*H42+$B$94*I42+$B$95*J42)</f>
        <v>-0.0109114568812959</v>
      </c>
      <c r="M42" s="18" t="n">
        <f aca="false">L42^2</f>
        <v>0.000119059891272379</v>
      </c>
    </row>
    <row r="43" customFormat="false" ht="15" hidden="false" customHeight="false" outlineLevel="0" collapsed="false">
      <c r="A43" s="19" t="str">
        <f aca="false">Datos!A52</f>
        <v>2016Q4</v>
      </c>
      <c r="B43" s="20" t="n">
        <f aca="false">Datos!G52</f>
        <v>-0.0149328839288507</v>
      </c>
      <c r="C43" s="20" t="n">
        <f aca="false">Datos!N52</f>
        <v>-0.0332721885187776</v>
      </c>
      <c r="D43" s="20" t="n">
        <f aca="false">Datos!J52</f>
        <v>0.0024</v>
      </c>
      <c r="E43" s="20" t="n">
        <f aca="false">Datos!K52</f>
        <v>0.0215081148240396</v>
      </c>
      <c r="F43" s="20" t="n">
        <f aca="false">Datos!M51</f>
        <v>-0.00224991902638157</v>
      </c>
      <c r="G43" s="20" t="n">
        <f aca="false">Datos!I50</f>
        <v>-20.156746031746</v>
      </c>
      <c r="H43" s="20" t="n">
        <f aca="false">Datos!L49</f>
        <v>-0.0917417768075395</v>
      </c>
      <c r="I43" s="20" t="n">
        <f aca="false">Datos!I46</f>
        <v>-69.448288776797</v>
      </c>
      <c r="J43" s="20" t="n">
        <f aca="false">Datos!I45</f>
        <v>-63.2494918032786</v>
      </c>
      <c r="K43" s="18" t="n">
        <v>1</v>
      </c>
      <c r="L43" s="18" t="n">
        <f aca="false">B43-($B$87+$B$88*C43+$B$89*D43+$B$90*E43+$B$91*F43+$B$92*G43+$B$93*H43+$B$94*I43+$B$95*J43)</f>
        <v>0.0156983893467727</v>
      </c>
      <c r="M43" s="18" t="n">
        <f aca="false">L43^2</f>
        <v>0.000246439428082866</v>
      </c>
    </row>
    <row r="44" customFormat="false" ht="15" hidden="false" customHeight="false" outlineLevel="0" collapsed="false">
      <c r="A44" s="19" t="str">
        <f aca="false">Datos!A53</f>
        <v>2017Q1</v>
      </c>
      <c r="B44" s="20" t="n">
        <f aca="false">Datos!G53</f>
        <v>0.00559679082443165</v>
      </c>
      <c r="C44" s="20" t="n">
        <f aca="false">Datos!N53</f>
        <v>-0.0149328839288507</v>
      </c>
      <c r="D44" s="20" t="n">
        <f aca="false">Datos!J53</f>
        <v>0.026</v>
      </c>
      <c r="E44" s="20" t="n">
        <f aca="false">Datos!K53</f>
        <v>0.0929246843768103</v>
      </c>
      <c r="F44" s="20" t="n">
        <f aca="false">Datos!M52</f>
        <v>-0.00212333552972169</v>
      </c>
      <c r="G44" s="20" t="n">
        <f aca="false">Datos!I51</f>
        <v>51.5281007751937</v>
      </c>
      <c r="H44" s="20" t="n">
        <f aca="false">Datos!L50</f>
        <v>-0.105589828941248</v>
      </c>
      <c r="I44" s="20" t="n">
        <f aca="false">Datos!I47</f>
        <v>-12.3885780885781</v>
      </c>
      <c r="J44" s="20" t="n">
        <f aca="false">Datos!I46</f>
        <v>-69.448288776797</v>
      </c>
      <c r="K44" s="18" t="n">
        <v>1</v>
      </c>
      <c r="L44" s="18" t="n">
        <f aca="false">B44-($B$87+$B$88*C44+$B$89*D44+$B$90*E44+$B$91*F44+$B$92*G44+$B$93*H44+$B$94*I44+$B$95*J44)</f>
        <v>-0.0163574009083546</v>
      </c>
      <c r="M44" s="18" t="n">
        <f aca="false">L44^2</f>
        <v>0.00026756456447664</v>
      </c>
    </row>
    <row r="45" customFormat="false" ht="15" hidden="false" customHeight="false" outlineLevel="0" collapsed="false">
      <c r="A45" s="19" t="str">
        <f aca="false">Datos!A54</f>
        <v>2017Q2</v>
      </c>
      <c r="B45" s="20" t="n">
        <f aca="false">Datos!G54</f>
        <v>0.0232658340767662</v>
      </c>
      <c r="C45" s="20" t="n">
        <f aca="false">Datos!N54</f>
        <v>0.00559679082443165</v>
      </c>
      <c r="D45" s="20" t="n">
        <f aca="false">Datos!J54</f>
        <v>0.0049</v>
      </c>
      <c r="E45" s="20" t="n">
        <f aca="false">Datos!K54</f>
        <v>0.0763750387701306</v>
      </c>
      <c r="F45" s="20" t="n">
        <f aca="false">Datos!M53</f>
        <v>0.00313795605318815</v>
      </c>
      <c r="G45" s="20" t="n">
        <f aca="false">Datos!I52</f>
        <v>-26.5005366726296</v>
      </c>
      <c r="H45" s="20" t="n">
        <f aca="false">Datos!L51</f>
        <v>0.00909160826158509</v>
      </c>
      <c r="I45" s="20" t="n">
        <f aca="false">Datos!I48</f>
        <v>-78.2729603729604</v>
      </c>
      <c r="J45" s="20" t="n">
        <f aca="false">Datos!I47</f>
        <v>-12.3885780885781</v>
      </c>
      <c r="K45" s="18" t="n">
        <v>1</v>
      </c>
      <c r="L45" s="18" t="n">
        <f aca="false">B45-($B$87+$B$88*C45+$B$89*D45+$B$90*E45+$B$91*F45+$B$92*G45+$B$93*H45+$B$94*I45+$B$95*J45)</f>
        <v>-0.00235075359618387</v>
      </c>
      <c r="M45" s="18" t="n">
        <f aca="false">L45^2</f>
        <v>5.52604246997138E-006</v>
      </c>
    </row>
    <row r="46" customFormat="false" ht="15" hidden="false" customHeight="false" outlineLevel="0" collapsed="false">
      <c r="A46" s="19" t="str">
        <f aca="false">Datos!A55</f>
        <v>2017Q3</v>
      </c>
      <c r="B46" s="20" t="n">
        <f aca="false">Datos!G55</f>
        <v>0.0385060856362685</v>
      </c>
      <c r="C46" s="20" t="n">
        <f aca="false">Datos!N55</f>
        <v>0.0232658340767662</v>
      </c>
      <c r="D46" s="20" t="n">
        <f aca="false">Datos!J55</f>
        <v>0.0075</v>
      </c>
      <c r="E46" s="20" t="n">
        <f aca="false">Datos!K55</f>
        <v>-0.0381479768126187</v>
      </c>
      <c r="F46" s="20" t="n">
        <f aca="false">Datos!M54</f>
        <v>-0.00131224327995142</v>
      </c>
      <c r="G46" s="20" t="n">
        <f aca="false">Datos!I53</f>
        <v>-15.9076923076924</v>
      </c>
      <c r="H46" s="20" t="n">
        <f aca="false">Datos!L52</f>
        <v>0.0256334028858917</v>
      </c>
      <c r="I46" s="20" t="n">
        <f aca="false">Datos!I49</f>
        <v>-38.2862026862027</v>
      </c>
      <c r="J46" s="20" t="n">
        <f aca="false">Datos!I48</f>
        <v>-78.2729603729604</v>
      </c>
      <c r="K46" s="18" t="n">
        <v>1</v>
      </c>
      <c r="L46" s="18" t="n">
        <f aca="false">B46-($B$87+$B$88*C46+$B$89*D46+$B$90*E46+$B$91*F46+$B$92*G46+$B$93*H46+$B$94*I46+$B$95*J46)</f>
        <v>0.0134766491741844</v>
      </c>
      <c r="M46" s="18" t="n">
        <f aca="false">L46^2</f>
        <v>0.000181620072964044</v>
      </c>
    </row>
    <row r="47" customFormat="false" ht="15" hidden="false" customHeight="false" outlineLevel="0" collapsed="false">
      <c r="A47" s="19" t="str">
        <f aca="false">Datos!A56</f>
        <v>2017Q4</v>
      </c>
      <c r="B47" s="20" t="n">
        <f aca="false">Datos!G56</f>
        <v>0.0453268482640472</v>
      </c>
      <c r="C47" s="20" t="n">
        <f aca="false">Datos!N56</f>
        <v>0.0385060856362685</v>
      </c>
      <c r="D47" s="20" t="n">
        <f aca="false">Datos!J56</f>
        <v>0.0075</v>
      </c>
      <c r="E47" s="20" t="n">
        <f aca="false">Datos!K56</f>
        <v>-0.00847913753638218</v>
      </c>
      <c r="F47" s="20" t="n">
        <f aca="false">Datos!M55</f>
        <v>0.00437317645861715</v>
      </c>
      <c r="G47" s="20" t="n">
        <f aca="false">Datos!I54</f>
        <v>-40.3959134615384</v>
      </c>
      <c r="H47" s="20" t="n">
        <f aca="false">Datos!L53</f>
        <v>0.0820466115755285</v>
      </c>
      <c r="I47" s="20" t="n">
        <f aca="false">Datos!I50</f>
        <v>-20.156746031746</v>
      </c>
      <c r="J47" s="20" t="n">
        <f aca="false">Datos!I49</f>
        <v>-38.2862026862027</v>
      </c>
      <c r="K47" s="18" t="n">
        <v>1</v>
      </c>
      <c r="L47" s="18" t="n">
        <f aca="false">B47-($B$87+$B$88*C47+$B$89*D47+$B$90*E47+$B$91*F47+$B$92*G47+$B$93*H47+$B$94*I47+$B$95*J47)</f>
        <v>-0.00641856453966883</v>
      </c>
      <c r="M47" s="18" t="n">
        <f aca="false">L47^2</f>
        <v>4.11979707498941E-005</v>
      </c>
    </row>
    <row r="48" customFormat="false" ht="15" hidden="false" customHeight="false" outlineLevel="0" collapsed="false">
      <c r="A48" s="19" t="str">
        <f aca="false">Datos!A57</f>
        <v>2018Q1</v>
      </c>
      <c r="B48" s="20" t="n">
        <f aca="false">Datos!G57</f>
        <v>0.0379774021814201</v>
      </c>
      <c r="C48" s="20" t="n">
        <f aca="false">Datos!N57</f>
        <v>0.0453268482640472</v>
      </c>
      <c r="D48" s="20" t="n">
        <f aca="false">Datos!J57</f>
        <v>-0.0093</v>
      </c>
      <c r="E48" s="20" t="n">
        <f aca="false">Datos!K57</f>
        <v>0.015677961339587</v>
      </c>
      <c r="F48" s="20" t="n">
        <f aca="false">Datos!M56</f>
        <v>-0.00282356527239929</v>
      </c>
      <c r="G48" s="20" t="n">
        <f aca="false">Datos!I55</f>
        <v>0.498765624999805</v>
      </c>
      <c r="H48" s="20" t="n">
        <f aca="false">Datos!L54</f>
        <v>0.090804942430336</v>
      </c>
      <c r="I48" s="20" t="n">
        <f aca="false">Datos!I51</f>
        <v>51.5281007751937</v>
      </c>
      <c r="J48" s="20" t="n">
        <f aca="false">Datos!I50</f>
        <v>-20.156746031746</v>
      </c>
      <c r="K48" s="18" t="n">
        <v>1</v>
      </c>
      <c r="L48" s="18" t="n">
        <f aca="false">B48-($B$87+$B$88*C48+$B$89*D48+$B$90*E48+$B$91*F48+$B$92*G48+$B$93*H48+$B$94*I48+$B$95*J48)</f>
        <v>-0.0021214036053839</v>
      </c>
      <c r="M48" s="18" t="n">
        <f aca="false">L48^2</f>
        <v>4.50035325693583E-006</v>
      </c>
    </row>
    <row r="49" customFormat="false" ht="15" hidden="false" customHeight="false" outlineLevel="0" collapsed="false">
      <c r="A49" s="19" t="str">
        <f aca="false">Datos!A58</f>
        <v>2018Q2</v>
      </c>
      <c r="B49" s="20" t="n">
        <f aca="false">Datos!G58</f>
        <v>-0.039790994073943</v>
      </c>
      <c r="C49" s="20" t="n">
        <f aca="false">Datos!N58</f>
        <v>0.0379774021814201</v>
      </c>
      <c r="D49" s="20" t="n">
        <f aca="false">Datos!J58</f>
        <v>-0.004</v>
      </c>
      <c r="E49" s="20" t="n">
        <f aca="false">Datos!K58</f>
        <v>-0.0742810049049096</v>
      </c>
      <c r="F49" s="20" t="n">
        <f aca="false">Datos!M57</f>
        <v>0.00290671938696596</v>
      </c>
      <c r="G49" s="20" t="n">
        <f aca="false">Datos!I56</f>
        <v>-54.5718281249997</v>
      </c>
      <c r="H49" s="20" t="n">
        <f aca="false">Datos!L55</f>
        <v>-0.0255266010597097</v>
      </c>
      <c r="I49" s="20" t="n">
        <f aca="false">Datos!I52</f>
        <v>-26.5005366726296</v>
      </c>
      <c r="J49" s="20" t="n">
        <f aca="false">Datos!I51</f>
        <v>51.5281007751937</v>
      </c>
      <c r="K49" s="18" t="n">
        <v>1</v>
      </c>
      <c r="L49" s="18" t="n">
        <f aca="false">B49-($B$87+$B$88*C49+$B$89*D49+$B$90*E49+$B$91*F49+$B$92*G49+$B$93*H49+$B$94*I49+$B$95*J49)</f>
        <v>-0.0597442933034834</v>
      </c>
      <c r="M49" s="18" t="n">
        <f aca="false">L49^2</f>
        <v>0.00356938058233265</v>
      </c>
    </row>
    <row r="50" customFormat="false" ht="15" hidden="false" customHeight="false" outlineLevel="0" collapsed="false">
      <c r="A50" s="19" t="str">
        <f aca="false">Datos!A59</f>
        <v>2018Q3</v>
      </c>
      <c r="B50" s="20" t="n">
        <f aca="false">Datos!G59</f>
        <v>-0.0346944038739507</v>
      </c>
      <c r="C50" s="20" t="n">
        <f aca="false">Datos!N59</f>
        <v>-0.039790994073943</v>
      </c>
      <c r="D50" s="20" t="n">
        <f aca="false">Datos!J59</f>
        <v>0.0049</v>
      </c>
      <c r="E50" s="20" t="n">
        <f aca="false">Datos!K59</f>
        <v>0.0297586266112664</v>
      </c>
      <c r="F50" s="20" t="n">
        <f aca="false">Datos!M58</f>
        <v>0.00448572267268541</v>
      </c>
      <c r="G50" s="20" t="n">
        <f aca="false">Datos!I57</f>
        <v>28.5320987903223</v>
      </c>
      <c r="H50" s="20" t="n">
        <f aca="false">Datos!L56</f>
        <v>-0.0155592807433043</v>
      </c>
      <c r="I50" s="20" t="n">
        <f aca="false">Datos!I53</f>
        <v>-15.9076923076924</v>
      </c>
      <c r="J50" s="20" t="n">
        <f aca="false">Datos!I52</f>
        <v>-26.5005366726296</v>
      </c>
      <c r="K50" s="18" t="n">
        <v>1</v>
      </c>
      <c r="L50" s="18" t="n">
        <f aca="false">B50-($B$87+$B$88*C50+$B$89*D50+$B$90*E50+$B$91*F50+$B$92*G50+$B$93*H50+$B$94*I50+$B$95*J50)</f>
        <v>-0.0103750940359438</v>
      </c>
      <c r="M50" s="18" t="n">
        <f aca="false">L50^2</f>
        <v>0.000107642576254676</v>
      </c>
    </row>
    <row r="51" customFormat="false" ht="15" hidden="false" customHeight="false" outlineLevel="0" collapsed="false">
      <c r="A51" s="19" t="str">
        <f aca="false">Datos!A60</f>
        <v>2018Q4</v>
      </c>
      <c r="B51" s="20" t="n">
        <f aca="false">Datos!G60</f>
        <v>-0.0633973916700751</v>
      </c>
      <c r="C51" s="20" t="n">
        <f aca="false">Datos!N60</f>
        <v>-0.0346944038739507</v>
      </c>
      <c r="D51" s="20" t="n">
        <f aca="false">Datos!J60</f>
        <v>-0.0032</v>
      </c>
      <c r="E51" s="20" t="n">
        <f aca="false">Datos!K60</f>
        <v>-0.0501462610157425</v>
      </c>
      <c r="F51" s="20" t="n">
        <f aca="false">Datos!M59</f>
        <v>0.00398660376814081</v>
      </c>
      <c r="G51" s="20" t="n">
        <f aca="false">Datos!I58</f>
        <v>77.2218156327545</v>
      </c>
      <c r="H51" s="20" t="n">
        <f aca="false">Datos!L57</f>
        <v>-0.0321415960972991</v>
      </c>
      <c r="I51" s="20" t="n">
        <f aca="false">Datos!I54</f>
        <v>-40.3959134615384</v>
      </c>
      <c r="J51" s="20" t="n">
        <f aca="false">Datos!I53</f>
        <v>-15.9076923076924</v>
      </c>
      <c r="K51" s="18" t="n">
        <v>1</v>
      </c>
      <c r="L51" s="18" t="n">
        <f aca="false">B51-($B$87+$B$88*C51+$B$89*D51+$B$90*E51+$B$91*F51+$B$92*G51+$B$93*H51+$B$94*I51+$B$95*J51)</f>
        <v>-0.0172673914571082</v>
      </c>
      <c r="M51" s="18" t="n">
        <f aca="false">L51^2</f>
        <v>0.000298162807733014</v>
      </c>
    </row>
    <row r="52" customFormat="false" ht="15" hidden="false" customHeight="false" outlineLevel="0" collapsed="false">
      <c r="A52" s="19" t="str">
        <f aca="false">Datos!A61</f>
        <v>2019Q1</v>
      </c>
      <c r="B52" s="20" t="n">
        <f aca="false">Datos!G61</f>
        <v>-0.0586372539873753</v>
      </c>
      <c r="C52" s="20" t="n">
        <f aca="false">Datos!N61</f>
        <v>-0.0633973916700751</v>
      </c>
      <c r="D52" s="20" t="n">
        <f aca="false">Datos!J61</f>
        <v>-0.0063</v>
      </c>
      <c r="E52" s="20" t="n">
        <f aca="false">Datos!K61</f>
        <v>-0.0500271266876492</v>
      </c>
      <c r="F52" s="20" t="n">
        <f aca="false">Datos!M60</f>
        <v>0.00237141847561423</v>
      </c>
      <c r="G52" s="20" t="n">
        <f aca="false">Datos!I59</f>
        <v>166.169284270953</v>
      </c>
      <c r="H52" s="20" t="n">
        <f aca="false">Datos!L58</f>
        <v>-0.0862072970433814</v>
      </c>
      <c r="I52" s="20" t="n">
        <f aca="false">Datos!I55</f>
        <v>0.498765624999805</v>
      </c>
      <c r="J52" s="20" t="n">
        <f aca="false">Datos!I54</f>
        <v>-40.3959134615384</v>
      </c>
      <c r="K52" s="18" t="n">
        <v>1</v>
      </c>
      <c r="L52" s="18" t="n">
        <f aca="false">B52-($B$87+$B$88*C52+$B$89*D52+$B$90*E52+$B$91*F52+$B$92*G52+$B$93*H52+$B$94*I52+$B$95*J52)</f>
        <v>0.0237953036381643</v>
      </c>
      <c r="M52" s="18" t="n">
        <f aca="false">L52^2</f>
        <v>0.000566216475232436</v>
      </c>
    </row>
    <row r="53" customFormat="false" ht="15" hidden="false" customHeight="false" outlineLevel="0" collapsed="false">
      <c r="A53" s="19" t="str">
        <f aca="false">Datos!A62</f>
        <v>2019Q2</v>
      </c>
      <c r="B53" s="20" t="n">
        <f aca="false">Datos!G62</f>
        <v>0.00582819893603537</v>
      </c>
      <c r="C53" s="20" t="n">
        <f aca="false">Datos!N62</f>
        <v>-0.0586372539873753</v>
      </c>
      <c r="D53" s="20" t="n">
        <f aca="false">Datos!J62</f>
        <v>0.0049</v>
      </c>
      <c r="E53" s="20" t="n">
        <f aca="false">Datos!K62</f>
        <v>0.000114296886335796</v>
      </c>
      <c r="F53" s="20" t="n">
        <f aca="false">Datos!M61</f>
        <v>0.00391032989339685</v>
      </c>
      <c r="G53" s="20" t="n">
        <f aca="false">Datos!I60</f>
        <v>56.51817630597</v>
      </c>
      <c r="H53" s="20" t="n">
        <f aca="false">Datos!L59</f>
        <v>-0.007186629179833</v>
      </c>
      <c r="I53" s="20" t="n">
        <f aca="false">Datos!I56</f>
        <v>-54.5718281249997</v>
      </c>
      <c r="J53" s="20" t="n">
        <f aca="false">Datos!I55</f>
        <v>0.498765624999805</v>
      </c>
      <c r="K53" s="18" t="n">
        <v>1</v>
      </c>
      <c r="L53" s="18" t="n">
        <f aca="false">B53-($B$87+$B$88*C53+$B$89*D53+$B$90*E53+$B$91*F53+$B$92*G53+$B$93*H53+$B$94*I53+$B$95*J53)</f>
        <v>0.0537682935675165</v>
      </c>
      <c r="M53" s="18" t="n">
        <f aca="false">L53^2</f>
        <v>0.00289102939316263</v>
      </c>
    </row>
    <row r="54" customFormat="false" ht="15" hidden="false" customHeight="false" outlineLevel="0" collapsed="false">
      <c r="A54" s="19" t="str">
        <f aca="false">Datos!A63</f>
        <v>2019Q3</v>
      </c>
      <c r="B54" s="20" t="n">
        <f aca="false">Datos!G63</f>
        <v>-0.0175271616356651</v>
      </c>
      <c r="C54" s="20" t="n">
        <f aca="false">Datos!N63</f>
        <v>0.00582819893603537</v>
      </c>
      <c r="D54" s="20" t="n">
        <f aca="false">Datos!J63</f>
        <v>0.0011</v>
      </c>
      <c r="E54" s="20" t="n">
        <f aca="false">Datos!K63</f>
        <v>-0.0239132057868301</v>
      </c>
      <c r="F54" s="20" t="n">
        <f aca="false">Datos!M62</f>
        <v>0.00677189883217557</v>
      </c>
      <c r="G54" s="20" t="n">
        <f aca="false">Datos!I61</f>
        <v>19.2017013888889</v>
      </c>
      <c r="H54" s="20" t="n">
        <f aca="false">Datos!L60</f>
        <v>-0.142847120756375</v>
      </c>
      <c r="I54" s="20" t="n">
        <f aca="false">Datos!I57</f>
        <v>28.5320987903223</v>
      </c>
      <c r="J54" s="20" t="n">
        <f aca="false">Datos!I56</f>
        <v>-54.5718281249997</v>
      </c>
      <c r="K54" s="18" t="n">
        <v>1</v>
      </c>
      <c r="L54" s="18" t="n">
        <f aca="false">B54-($B$87+$B$88*C54+$B$89*D54+$B$90*E54+$B$91*F54+$B$92*G54+$B$93*H54+$B$94*I54+$B$95*J54)</f>
        <v>-0.0149125087132297</v>
      </c>
      <c r="M54" s="18" t="n">
        <f aca="false">L54^2</f>
        <v>0.000222382916122152</v>
      </c>
    </row>
    <row r="55" customFormat="false" ht="15" hidden="false" customHeight="false" outlineLevel="0" collapsed="false">
      <c r="A55" s="19" t="str">
        <f aca="false">Datos!A64</f>
        <v>2019Q4</v>
      </c>
      <c r="B55" s="20" t="n">
        <f aca="false">Datos!G64</f>
        <v>-0.0107484273951806</v>
      </c>
      <c r="C55" s="20" t="n">
        <f aca="false">Datos!N64</f>
        <v>-0.0175271616356651</v>
      </c>
      <c r="D55" s="20" t="n">
        <f aca="false">Datos!J64</f>
        <v>0.0048</v>
      </c>
      <c r="E55" s="20" t="n">
        <f aca="false">Datos!K64</f>
        <v>-0.0444370543348369</v>
      </c>
      <c r="F55" s="20" t="n">
        <f aca="false">Datos!M63</f>
        <v>0.00263914554419044</v>
      </c>
      <c r="G55" s="20" t="n">
        <f aca="false">Datos!I62</f>
        <v>162.790259661836</v>
      </c>
      <c r="H55" s="20" t="n">
        <f aca="false">Datos!L61</f>
        <v>-0.00307543246636571</v>
      </c>
      <c r="I55" s="20" t="n">
        <f aca="false">Datos!I58</f>
        <v>77.2218156327545</v>
      </c>
      <c r="J55" s="20" t="n">
        <f aca="false">Datos!I57</f>
        <v>28.5320987903223</v>
      </c>
      <c r="K55" s="18" t="n">
        <v>1</v>
      </c>
      <c r="L55" s="18" t="n">
        <f aca="false">B55-($B$87+$B$88*C55+$B$89*D55+$B$90*E55+$B$91*F55+$B$92*G55+$B$93*H55+$B$94*I55+$B$95*J55)</f>
        <v>0.00900072532369083</v>
      </c>
      <c r="M55" s="18" t="n">
        <f aca="false">L55^2</f>
        <v>8.10130563525293E-005</v>
      </c>
    </row>
    <row r="56" customFormat="false" ht="15" hidden="false" customHeight="false" outlineLevel="0" collapsed="false">
      <c r="A56" s="19" t="str">
        <f aca="false">Datos!A65</f>
        <v>2020Q1</v>
      </c>
      <c r="B56" s="20" t="n">
        <f aca="false">Datos!G65</f>
        <v>-0.0502506965865937</v>
      </c>
      <c r="C56" s="20" t="n">
        <f aca="false">Datos!N65</f>
        <v>-0.0107484273951806</v>
      </c>
      <c r="D56" s="20" t="n">
        <f aca="false">Datos!J65</f>
        <v>-0.0126</v>
      </c>
      <c r="E56" s="20" t="n">
        <f aca="false">Datos!K65</f>
        <v>0.114946009672505</v>
      </c>
      <c r="F56" s="20" t="n">
        <f aca="false">Datos!M64</f>
        <v>0.00338854605282741</v>
      </c>
      <c r="G56" s="20" t="n">
        <f aca="false">Datos!I63</f>
        <v>679.618686815129</v>
      </c>
      <c r="H56" s="20" t="n">
        <f aca="false">Datos!L62</f>
        <v>0.0177693705862153</v>
      </c>
      <c r="I56" s="20" t="n">
        <f aca="false">Datos!I59</f>
        <v>166.169284270953</v>
      </c>
      <c r="J56" s="20" t="n">
        <f aca="false">Datos!I58</f>
        <v>77.2218156327545</v>
      </c>
      <c r="K56" s="18" t="n">
        <v>1</v>
      </c>
      <c r="L56" s="18" t="n">
        <f aca="false">B56-($B$87+$B$88*C56+$B$89*D56+$B$90*E56+$B$91*F56+$B$92*G56+$B$93*H56+$B$94*I56+$B$95*J56)</f>
        <v>-0.0257190701326015</v>
      </c>
      <c r="M56" s="18" t="n">
        <f aca="false">L56^2</f>
        <v>0.000661470568485676</v>
      </c>
    </row>
    <row r="57" customFormat="false" ht="15" hidden="false" customHeight="false" outlineLevel="0" collapsed="false">
      <c r="A57" s="19" t="str">
        <f aca="false">Datos!A66</f>
        <v>2020Q2</v>
      </c>
      <c r="B57" s="20" t="n">
        <f aca="false">Datos!G66</f>
        <v>-0.189421940385846</v>
      </c>
      <c r="C57" s="20" t="n">
        <f aca="false">Datos!N66</f>
        <v>-0.0502506965865937</v>
      </c>
      <c r="D57" s="20" t="n">
        <f aca="false">Datos!J66</f>
        <v>-0.1055</v>
      </c>
      <c r="E57" s="20" t="n">
        <f aca="false">Datos!K66</f>
        <v>0.262181063646304</v>
      </c>
      <c r="F57" s="20" t="n">
        <f aca="false">Datos!M65</f>
        <v>-0.00640937758118261</v>
      </c>
      <c r="G57" s="20" t="n">
        <f aca="false">Datos!I64</f>
        <v>598.881251590669</v>
      </c>
      <c r="H57" s="20" t="n">
        <f aca="false">Datos!L63</f>
        <v>0.0305353600114784</v>
      </c>
      <c r="I57" s="20" t="n">
        <f aca="false">Datos!I60</f>
        <v>56.51817630597</v>
      </c>
      <c r="J57" s="20" t="n">
        <f aca="false">Datos!I59</f>
        <v>166.169284270953</v>
      </c>
      <c r="K57" s="18" t="n">
        <v>1</v>
      </c>
      <c r="L57" s="18" t="n">
        <f aca="false">B57-($B$87+$B$88*C57+$B$89*D57+$B$90*E57+$B$91*F57+$B$92*G57+$B$93*H57+$B$94*I57+$B$95*J57)</f>
        <v>-0.0449775592209858</v>
      </c>
      <c r="M57" s="18" t="n">
        <f aca="false">L57^2</f>
        <v>0.00202298083347728</v>
      </c>
    </row>
    <row r="58" customFormat="false" ht="15" hidden="false" customHeight="false" outlineLevel="0" collapsed="false">
      <c r="A58" s="19" t="str">
        <f aca="false">Datos!A67</f>
        <v>2020Q3</v>
      </c>
      <c r="B58" s="20" t="n">
        <f aca="false">Datos!G67</f>
        <v>-0.101927662759163</v>
      </c>
      <c r="C58" s="20" t="n">
        <f aca="false">Datos!N67</f>
        <v>-0.189421940385846</v>
      </c>
      <c r="D58" s="20" t="n">
        <f aca="false">Datos!J67</f>
        <v>0.071</v>
      </c>
      <c r="E58" s="20" t="n">
        <f aca="false">Datos!K67</f>
        <v>0.119661051181248</v>
      </c>
      <c r="F58" s="20" t="n">
        <f aca="false">Datos!M66</f>
        <v>-0.0301146296112311</v>
      </c>
      <c r="G58" s="20" t="n">
        <f aca="false">Datos!I65</f>
        <v>187.118199188056</v>
      </c>
      <c r="H58" s="20" t="n">
        <f aca="false">Datos!L64</f>
        <v>0.112964984181918</v>
      </c>
      <c r="I58" s="20" t="n">
        <f aca="false">Datos!I61</f>
        <v>19.2017013888889</v>
      </c>
      <c r="J58" s="20" t="n">
        <f aca="false">Datos!I60</f>
        <v>56.51817630597</v>
      </c>
      <c r="K58" s="18" t="n">
        <v>1</v>
      </c>
      <c r="L58" s="18" t="n">
        <f aca="false">B58-($B$87+$B$88*C58+$B$89*D58+$B$90*E58+$B$91*F58+$B$92*G58+$B$93*H58+$B$94*I58+$B$95*J58)</f>
        <v>-0.0197296388751654</v>
      </c>
      <c r="M58" s="18" t="n">
        <f aca="false">L58^2</f>
        <v>0.000389258650144437</v>
      </c>
    </row>
    <row r="59" customFormat="false" ht="15" hidden="false" customHeight="false" outlineLevel="0" collapsed="false">
      <c r="A59" s="19" t="str">
        <f aca="false">Datos!A68</f>
        <v>2020Q4</v>
      </c>
      <c r="B59" s="20" t="n">
        <f aca="false">Datos!G68</f>
        <v>-0.0431329947641036</v>
      </c>
      <c r="C59" s="20" t="n">
        <f aca="false">Datos!N68</f>
        <v>-0.101927662759163</v>
      </c>
      <c r="D59" s="20" t="n">
        <f aca="false">Datos!J68</f>
        <v>0.0271</v>
      </c>
      <c r="E59" s="20" t="n">
        <f aca="false">Datos!K68</f>
        <v>0.0642375050953509</v>
      </c>
      <c r="F59" s="20" t="n">
        <f aca="false">Datos!M67</f>
        <v>-0.0131633092731946</v>
      </c>
      <c r="G59" s="20" t="n">
        <f aca="false">Datos!I66</f>
        <v>756.86685274431</v>
      </c>
      <c r="H59" s="20" t="n">
        <f aca="false">Datos!L65</f>
        <v>0.104899274945815</v>
      </c>
      <c r="I59" s="20" t="n">
        <f aca="false">Datos!I62</f>
        <v>162.790259661836</v>
      </c>
      <c r="J59" s="20" t="n">
        <f aca="false">Datos!I61</f>
        <v>19.2017013888889</v>
      </c>
      <c r="K59" s="18" t="n">
        <v>1</v>
      </c>
      <c r="L59" s="18" t="n">
        <f aca="false">B59-($B$87+$B$88*C59+$B$89*D59+$B$90*E59+$B$91*F59+$B$92*G59+$B$93*H59+$B$94*I59+$B$95*J59)</f>
        <v>0.0318938683773615</v>
      </c>
      <c r="M59" s="18" t="n">
        <f aca="false">L59^2</f>
        <v>0.00101721884007246</v>
      </c>
    </row>
    <row r="60" customFormat="false" ht="15" hidden="false" customHeight="false" outlineLevel="0" collapsed="false">
      <c r="A60" s="19" t="str">
        <f aca="false">Datos!A69</f>
        <v>2021Q1</v>
      </c>
      <c r="B60" s="20" t="n">
        <f aca="false">Datos!G69</f>
        <v>0.0323260077948051</v>
      </c>
      <c r="C60" s="20" t="n">
        <f aca="false">Datos!N69</f>
        <v>-0.0431329947641036</v>
      </c>
      <c r="D60" s="20" t="n">
        <f aca="false">Datos!J69</f>
        <v>0.0208</v>
      </c>
      <c r="E60" s="20" t="n">
        <f aca="false">Datos!K69</f>
        <v>-0.193638860735541</v>
      </c>
      <c r="F60" s="20" t="n">
        <f aca="false">Datos!M68</f>
        <v>-0.00871925616384151</v>
      </c>
      <c r="G60" s="20" t="n">
        <f aca="false">Datos!I67</f>
        <v>-1097.40393434344</v>
      </c>
      <c r="H60" s="20" t="n">
        <f aca="false">Datos!L66</f>
        <v>0.288132779402122</v>
      </c>
      <c r="I60" s="20" t="n">
        <f aca="false">Datos!I63</f>
        <v>679.618686815129</v>
      </c>
      <c r="J60" s="20" t="n">
        <f aca="false">Datos!I62</f>
        <v>162.790259661836</v>
      </c>
      <c r="K60" s="18" t="n">
        <v>1</v>
      </c>
      <c r="L60" s="18" t="n">
        <f aca="false">B60-($B$87+$B$88*C60+$B$89*D60+$B$90*E60+$B$91*F60+$B$92*G60+$B$93*H60+$B$94*I60+$B$95*J60)</f>
        <v>-0.00202772948661541</v>
      </c>
      <c r="M60" s="18" t="n">
        <f aca="false">L60^2</f>
        <v>4.11168687088961E-006</v>
      </c>
    </row>
    <row r="61" customFormat="false" ht="15" hidden="false" customHeight="false" outlineLevel="0" collapsed="false">
      <c r="A61" s="19" t="str">
        <f aca="false">Datos!A70</f>
        <v>2021Q2</v>
      </c>
      <c r="B61" s="20" t="n">
        <f aca="false">Datos!G70</f>
        <v>0.187299607796633</v>
      </c>
      <c r="C61" s="20" t="n">
        <f aca="false">Datos!N70</f>
        <v>0.0323260077948051</v>
      </c>
      <c r="D61" s="20" t="n">
        <f aca="false">Datos!J70</f>
        <v>0.1065</v>
      </c>
      <c r="E61" s="20" t="n">
        <f aca="false">Datos!K70</f>
        <v>-0.244749418467121</v>
      </c>
      <c r="F61" s="20" t="n">
        <f aca="false">Datos!M69</f>
        <v>0.00939647003148</v>
      </c>
      <c r="G61" s="20" t="n">
        <f aca="false">Datos!I68</f>
        <v>-606.890139160839</v>
      </c>
      <c r="H61" s="20" t="n">
        <f aca="false">Datos!L67</f>
        <v>0.0331109070476762</v>
      </c>
      <c r="I61" s="20" t="n">
        <f aca="false">Datos!I64</f>
        <v>598.881251590669</v>
      </c>
      <c r="J61" s="20" t="n">
        <f aca="false">Datos!I63</f>
        <v>679.618686815129</v>
      </c>
      <c r="K61" s="18" t="n">
        <v>1</v>
      </c>
      <c r="L61" s="18" t="n">
        <f aca="false">B61-($B$87+$B$88*C61+$B$89*D61+$B$90*E61+$B$91*F61+$B$92*G61+$B$93*H61+$B$94*I61+$B$95*J61)</f>
        <v>0.0268438268337045</v>
      </c>
      <c r="M61" s="18" t="n">
        <f aca="false">L61^2</f>
        <v>0.000720591039077913</v>
      </c>
    </row>
    <row r="62" customFormat="false" ht="15" hidden="false" customHeight="false" outlineLevel="0" collapsed="false">
      <c r="A62" s="19" t="str">
        <f aca="false">Datos!A71</f>
        <v>2021Q3</v>
      </c>
      <c r="B62" s="20" t="n">
        <f aca="false">Datos!G71</f>
        <v>0.118145356665691</v>
      </c>
      <c r="C62" s="20" t="n">
        <f aca="false">Datos!N71</f>
        <v>0.187299607796633</v>
      </c>
      <c r="D62" s="20" t="n">
        <f aca="false">Datos!J71</f>
        <v>-0.0819</v>
      </c>
      <c r="E62" s="20" t="n">
        <f aca="false">Datos!K71</f>
        <v>0.0155375869236292</v>
      </c>
      <c r="F62" s="20" t="n">
        <f aca="false">Datos!M70</f>
        <v>0.0246142392142514</v>
      </c>
      <c r="G62" s="20" t="n">
        <f aca="false">Datos!I69</f>
        <v>100.224470329671</v>
      </c>
      <c r="H62" s="20" t="n">
        <f aca="false">Datos!L68</f>
        <v>-0.0229330659860356</v>
      </c>
      <c r="I62" s="20" t="n">
        <f aca="false">Datos!I65</f>
        <v>187.118199188056</v>
      </c>
      <c r="J62" s="20" t="n">
        <f aca="false">Datos!I64</f>
        <v>598.881251590669</v>
      </c>
      <c r="K62" s="18" t="n">
        <v>1</v>
      </c>
      <c r="L62" s="18" t="n">
        <f aca="false">B62-($B$87+$B$88*C62+$B$89*D62+$B$90*E62+$B$91*F62+$B$92*G62+$B$93*H62+$B$94*I62+$B$95*J62)</f>
        <v>0.0271049141365229</v>
      </c>
      <c r="M62" s="18" t="n">
        <f aca="false">L62^2</f>
        <v>0.00073467637034828</v>
      </c>
    </row>
    <row r="63" customFormat="false" ht="15" hidden="false" customHeight="false" outlineLevel="0" collapsed="false">
      <c r="A63" s="19" t="str">
        <f aca="false">Datos!A72</f>
        <v>2021Q4</v>
      </c>
      <c r="B63" s="20" t="n">
        <f aca="false">Datos!G72</f>
        <v>0.08364113941174</v>
      </c>
      <c r="C63" s="20" t="n">
        <f aca="false">Datos!N72</f>
        <v>0.118145356665691</v>
      </c>
      <c r="D63" s="20" t="n">
        <f aca="false">Datos!J72</f>
        <v>-0.0275</v>
      </c>
      <c r="E63" s="20" t="n">
        <f aca="false">Datos!K72</f>
        <v>0.0372511420898235</v>
      </c>
      <c r="F63" s="20" t="n">
        <f aca="false">Datos!M71</f>
        <v>0.00461798360799486</v>
      </c>
      <c r="G63" s="20" t="n">
        <f aca="false">Datos!I70</f>
        <v>51.4231142857141</v>
      </c>
      <c r="H63" s="20" t="n">
        <f aca="false">Datos!L69</f>
        <v>-0.177252388070428</v>
      </c>
      <c r="I63" s="20" t="n">
        <f aca="false">Datos!I66</f>
        <v>756.86685274431</v>
      </c>
      <c r="J63" s="20" t="n">
        <f aca="false">Datos!I65</f>
        <v>187.118199188056</v>
      </c>
      <c r="K63" s="18" t="n">
        <v>1</v>
      </c>
      <c r="L63" s="18" t="n">
        <f aca="false">B63-($B$87+$B$88*C63+$B$89*D63+$B$90*E63+$B$91*F63+$B$92*G63+$B$93*H63+$B$94*I63+$B$95*J63)</f>
        <v>-0.00725844961501565</v>
      </c>
      <c r="M63" s="18" t="n">
        <f aca="false">L63^2</f>
        <v>5.26850908137208E-005</v>
      </c>
    </row>
    <row r="64" customFormat="false" ht="15" hidden="false" customHeight="false" outlineLevel="0" collapsed="false">
      <c r="A64" s="19" t="str">
        <f aca="false">Datos!A73</f>
        <v>2022Q1</v>
      </c>
      <c r="B64" s="20" t="n">
        <f aca="false">Datos!G73</f>
        <v>0.0686138387185451</v>
      </c>
      <c r="C64" s="20" t="n">
        <f aca="false">Datos!N73</f>
        <v>0.08364113941174</v>
      </c>
      <c r="D64" s="20" t="n">
        <f aca="false">Datos!J73</f>
        <v>0.000200000000000001</v>
      </c>
      <c r="E64" s="20" t="n">
        <f aca="false">Datos!K73</f>
        <v>0.0355016157142883</v>
      </c>
      <c r="F64" s="20" t="n">
        <f aca="false">Datos!M72</f>
        <v>-0.00665639034014846</v>
      </c>
      <c r="G64" s="20" t="n">
        <f aca="false">Datos!I71</f>
        <v>24.6869913043479</v>
      </c>
      <c r="H64" s="20" t="n">
        <f aca="false">Datos!L70</f>
        <v>-0.266310713371175</v>
      </c>
      <c r="I64" s="20" t="n">
        <f aca="false">Datos!I67</f>
        <v>-1097.40393434344</v>
      </c>
      <c r="J64" s="20" t="n">
        <f aca="false">Datos!I66</f>
        <v>756.86685274431</v>
      </c>
      <c r="K64" s="18" t="n">
        <v>1</v>
      </c>
      <c r="L64" s="18" t="n">
        <f aca="false">B64-($B$87+$B$88*C64+$B$89*D64+$B$90*E64+$B$91*F64+$B$92*G64+$B$93*H64+$B$94*I64+$B$95*J64)</f>
        <v>0.0371059290159254</v>
      </c>
      <c r="M64" s="18" t="n">
        <f aca="false">L64^2</f>
        <v>0.00137684996813489</v>
      </c>
    </row>
    <row r="65" customFormat="false" ht="15" hidden="false" customHeight="false" outlineLevel="0" collapsed="false">
      <c r="A65" s="19" t="str">
        <f aca="false">Datos!A74</f>
        <v>2022Q2</v>
      </c>
      <c r="B65" s="20" t="n">
        <f aca="false">Datos!G74</f>
        <v>0.0813001446194395</v>
      </c>
      <c r="C65" s="20" t="n">
        <f aca="false">Datos!N74</f>
        <v>0.0686138387185451</v>
      </c>
      <c r="D65" s="20" t="n">
        <f aca="false">Datos!J74</f>
        <v>0.0206</v>
      </c>
      <c r="E65" s="20" t="n">
        <f aca="false">Datos!K74</f>
        <v>-0.00674178026505711</v>
      </c>
      <c r="F65" s="20" t="n">
        <f aca="false">Datos!M73</f>
        <v>0.000817296802044967</v>
      </c>
      <c r="G65" s="20" t="n">
        <f aca="false">Datos!I72</f>
        <v>144.162478260869</v>
      </c>
      <c r="H65" s="20" t="n">
        <f aca="false">Datos!L71</f>
        <v>0.0372101431885892</v>
      </c>
      <c r="I65" s="20" t="n">
        <f aca="false">Datos!I68</f>
        <v>-606.890139160839</v>
      </c>
      <c r="J65" s="20" t="n">
        <f aca="false">Datos!I67</f>
        <v>-1097.40393434344</v>
      </c>
      <c r="K65" s="18" t="n">
        <v>1</v>
      </c>
      <c r="L65" s="18" t="n">
        <f aca="false">B65-($B$87+$B$88*C65+$B$89*D65+$B$90*E65+$B$91*F65+$B$92*G65+$B$93*H65+$B$94*I65+$B$95*J65)</f>
        <v>0.0176484506304475</v>
      </c>
      <c r="M65" s="18" t="n">
        <f aca="false">L65^2</f>
        <v>0.000311467809655342</v>
      </c>
    </row>
    <row r="66" customFormat="false" ht="15" hidden="false" customHeight="false" outlineLevel="0" collapsed="false">
      <c r="A66" s="19" t="str">
        <f aca="false">Datos!A75</f>
        <v>2022Q3</v>
      </c>
      <c r="B66" s="20" t="n">
        <f aca="false">Datos!G75</f>
        <v>0.066844213632383</v>
      </c>
      <c r="C66" s="20" t="n">
        <f aca="false">Datos!N75</f>
        <v>0.0813001446194395</v>
      </c>
      <c r="D66" s="20" t="n">
        <f aca="false">Datos!J75</f>
        <v>0.0078</v>
      </c>
      <c r="E66" s="20" t="n">
        <f aca="false">Datos!K75</f>
        <v>-0.0371795981009521</v>
      </c>
      <c r="F66" s="20" t="n">
        <f aca="false">Datos!M74</f>
        <v>-0.00197446679129137</v>
      </c>
      <c r="G66" s="20" t="n">
        <f aca="false">Datos!I73</f>
        <v>94.729852657005</v>
      </c>
      <c r="H66" s="20" t="n">
        <f aca="false">Datos!L72</f>
        <v>0.0552776218574341</v>
      </c>
      <c r="I66" s="20" t="n">
        <f aca="false">Datos!I69</f>
        <v>100.224470329671</v>
      </c>
      <c r="J66" s="20" t="n">
        <f aca="false">Datos!I68</f>
        <v>-606.890139160839</v>
      </c>
      <c r="K66" s="18" t="n">
        <v>1</v>
      </c>
      <c r="L66" s="18" t="n">
        <f aca="false">B66-($B$87+$B$88*C66+$B$89*D66+$B$90*E66+$B$91*F66+$B$92*G66+$B$93*H66+$B$94*I66+$B$95*J66)</f>
        <v>-0.0105375333126543</v>
      </c>
      <c r="M66" s="18" t="n">
        <f aca="false">L66^2</f>
        <v>0.000111039608315298</v>
      </c>
    </row>
    <row r="67" customFormat="false" ht="15" hidden="false" customHeight="false" outlineLevel="0" collapsed="false">
      <c r="A67" s="19" t="str">
        <f aca="false">Datos!A76</f>
        <v>2022Q4</v>
      </c>
      <c r="B67" s="20" t="n">
        <f aca="false">Datos!G76</f>
        <v>0.023854276267842</v>
      </c>
      <c r="C67" s="20" t="n">
        <f aca="false">Datos!N76</f>
        <v>0.066844213632383</v>
      </c>
      <c r="D67" s="20" t="n">
        <f aca="false">Datos!J76</f>
        <v>-0.0162</v>
      </c>
      <c r="E67" s="20" t="n">
        <f aca="false">Datos!K76</f>
        <v>-0.0252636786491897</v>
      </c>
      <c r="F67" s="20" t="n">
        <f aca="false">Datos!M75</f>
        <v>0.0064523774543946</v>
      </c>
      <c r="G67" s="20" t="n">
        <f aca="false">Datos!I74</f>
        <v>111.567003052503</v>
      </c>
      <c r="H67" s="20" t="n">
        <f aca="false">Datos!L73</f>
        <v>0.0518366625880128</v>
      </c>
      <c r="I67" s="20" t="n">
        <f aca="false">Datos!I70</f>
        <v>51.4231142857141</v>
      </c>
      <c r="J67" s="20" t="n">
        <f aca="false">Datos!I69</f>
        <v>100.224470329671</v>
      </c>
      <c r="K67" s="18" t="n">
        <v>1</v>
      </c>
      <c r="L67" s="18" t="n">
        <f aca="false">B67-($B$87+$B$88*C67+$B$89*D67+$B$90*E67+$B$91*F67+$B$92*G67+$B$93*H67+$B$94*I67+$B$95*J67)</f>
        <v>-0.0184006801157771</v>
      </c>
      <c r="M67" s="18" t="n">
        <f aca="false">L67^2</f>
        <v>0.000338585028723154</v>
      </c>
    </row>
    <row r="68" customFormat="false" ht="15" hidden="false" customHeight="false" outlineLevel="0" collapsed="false">
      <c r="A68" s="19" t="str">
        <f aca="false">Datos!A77</f>
        <v>2023Q1</v>
      </c>
      <c r="B68" s="20" t="n">
        <f aca="false">Datos!G77</f>
        <v>0.00911982377224452</v>
      </c>
      <c r="C68" s="20" t="n">
        <f aca="false">Datos!N77</f>
        <v>0.023854276267842</v>
      </c>
      <c r="D68" s="20" t="n">
        <f aca="false">Datos!J77</f>
        <v>0.0174</v>
      </c>
      <c r="E68" s="20" t="n">
        <f aca="false">Datos!K77</f>
        <v>-0.00518521666359616</v>
      </c>
      <c r="F68" s="20" t="n">
        <f aca="false">Datos!M76</f>
        <v>0.00437305788940643</v>
      </c>
      <c r="G68" s="20" t="n">
        <f aca="false">Datos!I75</f>
        <v>613.427821391941</v>
      </c>
      <c r="H68" s="20" t="n">
        <f aca="false">Datos!L74</f>
        <v>-0.0371627200592699</v>
      </c>
      <c r="I68" s="20" t="n">
        <f aca="false">Datos!I71</f>
        <v>24.6869913043479</v>
      </c>
      <c r="J68" s="20" t="n">
        <f aca="false">Datos!I70</f>
        <v>51.4231142857141</v>
      </c>
      <c r="K68" s="18" t="n">
        <v>1</v>
      </c>
      <c r="L68" s="18" t="n">
        <f aca="false">B68-($B$87+$B$88*C68+$B$89*D68+$B$90*E68+$B$91*F68+$B$92*G68+$B$93*H68+$B$94*I68+$B$95*J68)</f>
        <v>-0.00724426510522757</v>
      </c>
      <c r="M68" s="18" t="n">
        <f aca="false">L68^2</f>
        <v>5.24793769148178E-005</v>
      </c>
    </row>
    <row r="69" customFormat="false" ht="15" hidden="false" customHeight="false" outlineLevel="0" collapsed="false">
      <c r="A69" s="19" t="str">
        <f aca="false">Datos!A78</f>
        <v>2023Q2</v>
      </c>
      <c r="B69" s="20" t="n">
        <f aca="false">Datos!G78</f>
        <v>-0.0567487243252599</v>
      </c>
      <c r="C69" s="20" t="n">
        <f aca="false">Datos!N78</f>
        <v>0.00911982377224452</v>
      </c>
      <c r="D69" s="20" t="n">
        <f aca="false">Datos!J78</f>
        <v>-0.0059</v>
      </c>
      <c r="E69" s="20" t="n">
        <f aca="false">Datos!K78</f>
        <v>-0.0211814413429257</v>
      </c>
      <c r="F69" s="20" t="n">
        <f aca="false">Datos!M77</f>
        <v>-0.000570722589501509</v>
      </c>
      <c r="G69" s="20" t="n">
        <f aca="false">Datos!I76</f>
        <v>-69.2846118840562</v>
      </c>
      <c r="H69" s="20" t="n">
        <f aca="false">Datos!L75</f>
        <v>-0.0573823048184637</v>
      </c>
      <c r="I69" s="20" t="n">
        <f aca="false">Datos!I72</f>
        <v>144.162478260869</v>
      </c>
      <c r="J69" s="20" t="n">
        <f aca="false">Datos!I71</f>
        <v>24.6869913043479</v>
      </c>
      <c r="K69" s="18" t="n">
        <v>1</v>
      </c>
      <c r="L69" s="18" t="n">
        <f aca="false">B69-($B$87+$B$88*C69+$B$89*D69+$B$90*E69+$B$91*F69+$B$92*G69+$B$93*H69+$B$94*I69+$B$95*J69)</f>
        <v>-0.0587652098890521</v>
      </c>
      <c r="M69" s="18" t="n">
        <f aca="false">L69^2</f>
        <v>0.00345334989330435</v>
      </c>
    </row>
    <row r="70" customFormat="false" ht="15" hidden="false" customHeight="false" outlineLevel="0" collapsed="false">
      <c r="A70" s="19" t="str">
        <f aca="false">Datos!A79</f>
        <v>2023Q3</v>
      </c>
      <c r="B70" s="20" t="n">
        <f aca="false">Datos!G79</f>
        <v>-0.00549172525238073</v>
      </c>
      <c r="C70" s="20" t="n">
        <f aca="false">Datos!N79</f>
        <v>-0.0567487243252599</v>
      </c>
      <c r="D70" s="20" t="n">
        <f aca="false">Datos!J79</f>
        <v>-0.015</v>
      </c>
      <c r="E70" s="20" t="n">
        <f aca="false">Datos!K79</f>
        <v>-0.0552380565995734</v>
      </c>
      <c r="F70" s="20" t="n">
        <f aca="false">Datos!M78</f>
        <v>-0.000785964784259512</v>
      </c>
      <c r="G70" s="20" t="n">
        <f aca="false">Datos!I77</f>
        <v>-376.758957004832</v>
      </c>
      <c r="H70" s="20" t="n">
        <f aca="false">Datos!L76</f>
        <v>-0.0807286952638523</v>
      </c>
      <c r="I70" s="20" t="n">
        <f aca="false">Datos!I73</f>
        <v>94.729852657005</v>
      </c>
      <c r="J70" s="20" t="n">
        <f aca="false">Datos!I72</f>
        <v>144.162478260869</v>
      </c>
      <c r="K70" s="18" t="n">
        <v>1</v>
      </c>
      <c r="L70" s="18" t="n">
        <f aca="false">B70-($B$87+$B$88*C70+$B$89*D70+$B$90*E70+$B$91*F70+$B$92*G70+$B$93*H70+$B$94*I70+$B$95*J70)</f>
        <v>0.0573510994396912</v>
      </c>
      <c r="M70" s="18" t="n">
        <f aca="false">L70^2</f>
        <v>0.00328914860694135</v>
      </c>
    </row>
    <row r="71" customFormat="false" ht="15" hidden="false" customHeight="false" outlineLevel="0" collapsed="false">
      <c r="A71" s="19" t="str">
        <f aca="false">Datos!A80</f>
        <v>2023Q4</v>
      </c>
      <c r="B71" s="20" t="n">
        <f aca="false">Datos!G80</f>
        <v>-0.0171598554874708</v>
      </c>
      <c r="C71" s="20" t="n">
        <f aca="false">Datos!N80</f>
        <v>-0.00549172525238073</v>
      </c>
      <c r="D71" s="20" t="n">
        <f aca="false">Datos!J80</f>
        <v>0.000300000000000002</v>
      </c>
      <c r="E71" s="20" t="n">
        <f aca="false">Datos!K80</f>
        <v>-0.104830369197381</v>
      </c>
      <c r="F71" s="20" t="n">
        <f aca="false">Datos!M79</f>
        <v>0.00176185055199882</v>
      </c>
      <c r="G71" s="20" t="n">
        <f aca="false">Datos!I78</f>
        <v>396.345972839506</v>
      </c>
      <c r="H71" s="20" t="n">
        <f aca="false">Datos!L77</f>
        <v>-0.0128795408240223</v>
      </c>
      <c r="I71" s="20" t="n">
        <f aca="false">Datos!I74</f>
        <v>111.567003052503</v>
      </c>
      <c r="J71" s="20" t="n">
        <f aca="false">Datos!I73</f>
        <v>94.729852657005</v>
      </c>
      <c r="K71" s="18" t="n">
        <v>1</v>
      </c>
      <c r="L71" s="18" t="n">
        <f aca="false">B71-($B$87+$B$88*C71+$B$89*D71+$B$90*E71+$B$91*F71+$B$92*G71+$B$93*H71+$B$94*I71+$B$95*J71)</f>
        <v>0.0166552864104329</v>
      </c>
      <c r="M71" s="18" t="n">
        <f aca="false">L71^2</f>
        <v>0.00027739856541355</v>
      </c>
    </row>
    <row r="72" customFormat="false" ht="15" hidden="false" customHeight="false" outlineLevel="0" collapsed="false">
      <c r="A72" s="19" t="str">
        <f aca="false">Datos!A81</f>
        <v>2024Q1</v>
      </c>
      <c r="B72" s="20" t="n">
        <f aca="false">Datos!G81</f>
        <v>-0.0496170325779741</v>
      </c>
      <c r="C72" s="20" t="n">
        <f aca="false">Datos!N81</f>
        <v>-0.0171598554874708</v>
      </c>
      <c r="D72" s="20" t="n">
        <f aca="false">Datos!J81</f>
        <v>0.000799999999999999</v>
      </c>
      <c r="E72" s="20" t="n">
        <f aca="false">Datos!K81</f>
        <v>-0.0995297912662513</v>
      </c>
      <c r="F72" s="20" t="n">
        <f aca="false">Datos!M80</f>
        <v>-0.00576423631129689</v>
      </c>
      <c r="G72" s="20" t="n">
        <f aca="false">Datos!I79</f>
        <v>-393.961216440069</v>
      </c>
      <c r="H72" s="20" t="n">
        <f aca="false">Datos!L78</f>
        <v>-0.0539439840741031</v>
      </c>
      <c r="I72" s="20" t="n">
        <f aca="false">Datos!I75</f>
        <v>613.427821391941</v>
      </c>
      <c r="J72" s="20" t="n">
        <f aca="false">Datos!I74</f>
        <v>111.567003052503</v>
      </c>
      <c r="K72" s="18" t="n">
        <v>1</v>
      </c>
      <c r="L72" s="18" t="n">
        <f aca="false">B72-($B$87+$B$88*C72+$B$89*D72+$B$90*E72+$B$91*F72+$B$92*G72+$B$93*H72+$B$94*I72+$B$95*J72)</f>
        <v>-0.0469316405234194</v>
      </c>
      <c r="M72" s="18" t="n">
        <f aca="false">L72^2</f>
        <v>0.00220257888221947</v>
      </c>
    </row>
    <row r="73" customFormat="false" ht="15" hidden="false" customHeight="false" outlineLevel="0" collapsed="false">
      <c r="A73" s="19" t="str">
        <f aca="false">Datos!A82</f>
        <v>2024Q2</v>
      </c>
      <c r="B73" s="20" t="n">
        <f aca="false">Datos!G82</f>
        <v>-0.0108329991805178</v>
      </c>
      <c r="C73" s="20" t="n">
        <f aca="false">Datos!N82</f>
        <v>-0.0496170325779741</v>
      </c>
      <c r="D73" s="20" t="n">
        <f aca="false">Datos!J82</f>
        <v>0.0101</v>
      </c>
      <c r="E73" s="20" t="n">
        <f aca="false">Datos!K82</f>
        <v>0.0839810999883668</v>
      </c>
      <c r="F73" s="20" t="n">
        <f aca="false">Datos!M81</f>
        <v>0.0235882766524118</v>
      </c>
      <c r="G73" s="20" t="n">
        <f aca="false">Datos!I80</f>
        <v>122.080899625603</v>
      </c>
      <c r="H73" s="20" t="n">
        <f aca="false">Datos!L79</f>
        <v>-0.029098213004288</v>
      </c>
      <c r="I73" s="20" t="n">
        <f aca="false">Datos!I76</f>
        <v>-69.2846118840562</v>
      </c>
      <c r="J73" s="20" t="n">
        <f aca="false">Datos!I75</f>
        <v>613.427821391941</v>
      </c>
      <c r="K73" s="18" t="n">
        <v>1</v>
      </c>
      <c r="L73" s="18" t="n">
        <f aca="false">B73-($B$87+$B$88*C73+$B$89*D73+$B$90*E73+$B$91*F73+$B$92*G73+$B$93*H73+$B$94*I73+$B$95*J73)</f>
        <v>0.00329463468642669</v>
      </c>
      <c r="M73" s="18" t="n">
        <f aca="false">L73^2</f>
        <v>1.08546177170059E-005</v>
      </c>
    </row>
    <row r="74" customFormat="false" ht="15" hidden="false" customHeight="false" outlineLevel="0" collapsed="false">
      <c r="A74" s="19" t="str">
        <f aca="false">Datos!A83</f>
        <v>2024Q3</v>
      </c>
      <c r="B74" s="20" t="n">
        <f aca="false">Datos!G83</f>
        <v>-0.0193706719869603</v>
      </c>
      <c r="C74" s="20" t="n">
        <f aca="false">Datos!N83</f>
        <v>-0.0108329991805178</v>
      </c>
      <c r="D74" s="20" t="n">
        <f aca="false">Datos!J83</f>
        <v>0.0067</v>
      </c>
      <c r="E74" s="20" t="n">
        <f aca="false">Datos!K83</f>
        <v>0.0583938784085901</v>
      </c>
      <c r="F74" s="20" t="n">
        <f aca="false">Datos!M82</f>
        <v>0.012060493699049</v>
      </c>
      <c r="G74" s="20" t="n">
        <f aca="false">Datos!I81</f>
        <v>-454.938553802817</v>
      </c>
      <c r="H74" s="20" t="n">
        <f aca="false">Datos!L80</f>
        <v>0.00751912805335137</v>
      </c>
      <c r="I74" s="20" t="n">
        <f aca="false">Datos!I77</f>
        <v>-376.758957004832</v>
      </c>
      <c r="J74" s="20" t="n">
        <f aca="false">Datos!I76</f>
        <v>-69.2846118840562</v>
      </c>
      <c r="K74" s="18" t="n">
        <v>1</v>
      </c>
      <c r="L74" s="18" t="n">
        <f aca="false">B74-($B$87+$B$88*C74+$B$89*D74+$B$90*E74+$B$91*F74+$B$92*G74+$B$93*H74+$B$94*I74+$B$95*J74)</f>
        <v>-0.0433455790010125</v>
      </c>
      <c r="M74" s="18" t="n">
        <f aca="false">L74^2</f>
        <v>0.00187883921893302</v>
      </c>
    </row>
    <row r="75" customFormat="false" ht="15" hidden="false" customHeight="false" outlineLevel="0" collapsed="false">
      <c r="A75" s="19" t="str">
        <f aca="false">Datos!A84</f>
        <v>2024Q4</v>
      </c>
      <c r="B75" s="20" t="n">
        <f aca="false">Datos!G84</f>
        <v>0.0263829611146622</v>
      </c>
      <c r="C75" s="20" t="n">
        <f aca="false">Datos!N84</f>
        <v>-0.0193706719869603</v>
      </c>
      <c r="D75" s="20" t="n">
        <f aca="false">Datos!J84</f>
        <v>-0.0056</v>
      </c>
      <c r="E75" s="20" t="n">
        <f aca="false">Datos!K84</f>
        <v>0.209850652496816</v>
      </c>
      <c r="F75" s="20" t="n">
        <f aca="false">Datos!M83</f>
        <v>0.00547122476020793</v>
      </c>
      <c r="G75" s="20" t="n">
        <f aca="false">Datos!I82</f>
        <v>-411.750199402986</v>
      </c>
      <c r="H75" s="20" t="n">
        <f aca="false">Datos!L81</f>
        <v>-0.0743830688652541</v>
      </c>
      <c r="I75" s="20" t="n">
        <f aca="false">Datos!I78</f>
        <v>396.345972839506</v>
      </c>
      <c r="J75" s="20" t="n">
        <f aca="false">Datos!I77</f>
        <v>-376.758957004832</v>
      </c>
      <c r="K75" s="18" t="n">
        <v>1</v>
      </c>
      <c r="L75" s="18" t="n">
        <f aca="false">B75-($B$87+$B$88*C75+$B$89*D75+$B$90*E75+$B$91*F75+$B$92*G75+$B$93*H75+$B$94*I75+$B$95*J75)</f>
        <v>-0.0106850704708177</v>
      </c>
      <c r="M75" s="18" t="n">
        <f aca="false">L75^2</f>
        <v>0.00011417073096634</v>
      </c>
    </row>
    <row r="76" customFormat="false" ht="15" hidden="false" customHeight="false" outlineLevel="0" collapsed="false">
      <c r="A76" s="19" t="str">
        <f aca="false">Datos!A85</f>
        <v>2025Q1</v>
      </c>
      <c r="B76" s="20" t="n">
        <f aca="false">Datos!G85</f>
        <v>0.0583747415748432</v>
      </c>
      <c r="C76" s="20" t="n">
        <f aca="false">Datos!N85</f>
        <v>0.0263829611146622</v>
      </c>
      <c r="D76" s="20" t="n">
        <f aca="false">Datos!J85</f>
        <v>-0.0043</v>
      </c>
      <c r="E76" s="20" t="n">
        <f aca="false">Datos!K85</f>
        <v>0.248983047054301</v>
      </c>
      <c r="F76" s="20" t="n">
        <f aca="false">Datos!M84</f>
        <v>0.0032209025675252</v>
      </c>
      <c r="G76" s="20" t="n">
        <f aca="false">Datos!I83</f>
        <v>140.77357394844</v>
      </c>
      <c r="H76" s="20" t="n">
        <f aca="false">Datos!L82</f>
        <v>0.135614568235124</v>
      </c>
      <c r="I76" s="20" t="n">
        <f aca="false">Datos!I79</f>
        <v>-393.961216440069</v>
      </c>
      <c r="J76" s="20" t="n">
        <f aca="false">Datos!I78</f>
        <v>396.345972839506</v>
      </c>
      <c r="K76" s="18" t="n">
        <v>1</v>
      </c>
      <c r="L76" s="18" t="n">
        <f aca="false">B76-($B$87+$B$88*C76+$B$89*D76+$B$90*E76+$B$91*F76+$B$92*G76+$B$93*H76+$B$94*I76+$B$95*J76)</f>
        <v>0.00240209610869023</v>
      </c>
      <c r="M76" s="18" t="n">
        <f aca="false">L76^2</f>
        <v>5.77006571538475E-006</v>
      </c>
    </row>
    <row r="77" customFormat="false" ht="15" hidden="false" customHeight="false" outlineLevel="0" collapsed="false">
      <c r="A77" s="19" t="str">
        <f aca="false">Datos!A86</f>
        <v>2025Q2</v>
      </c>
      <c r="B77" s="20" t="n">
        <f aca="false">Datos!G86</f>
        <v>0.0638141408959982</v>
      </c>
      <c r="C77" s="20" t="n">
        <f aca="false">Datos!N86</f>
        <v>0.0583747415748432</v>
      </c>
      <c r="D77" s="20" t="n">
        <f aca="false">Datos!J86</f>
        <v>-0.0079</v>
      </c>
      <c r="E77" s="20" t="n">
        <f aca="false">Datos!K86</f>
        <v>-0.0247458039655413</v>
      </c>
      <c r="F77" s="20" t="n">
        <f aca="false">Datos!M85</f>
        <v>-0.00030317463561357</v>
      </c>
      <c r="G77" s="20" t="n">
        <f aca="false">Datos!I84</f>
        <v>-564.145454545455</v>
      </c>
      <c r="H77" s="20" t="n">
        <f aca="false">Datos!L83</f>
        <v>0.105501575244701</v>
      </c>
      <c r="I77" s="20" t="n">
        <f aca="false">Datos!I80</f>
        <v>122.080899625603</v>
      </c>
      <c r="J77" s="20" t="n">
        <f aca="false">Datos!I79</f>
        <v>-393.961216440069</v>
      </c>
      <c r="K77" s="18" t="n">
        <v>1</v>
      </c>
      <c r="L77" s="18" t="n">
        <f aca="false">B77-($B$87+$B$88*C77+$B$89*D77+$B$90*E77+$B$91*F77+$B$92*G77+$B$93*H77+$B$94*I77+$B$95*J77)</f>
        <v>-0.00998492617430265</v>
      </c>
      <c r="M77" s="18" t="n">
        <f aca="false">L77^2</f>
        <v>9.96987507062741E-005</v>
      </c>
    </row>
    <row r="78" customFormat="false" ht="15" hidden="false" customHeight="false" outlineLevel="0" collapsed="false">
      <c r="A78" s="19" t="str">
        <f aca="false">Datos!A87</f>
        <v>2025Q3</v>
      </c>
      <c r="B78" s="20" t="n">
        <f aca="false">Datos!G87</f>
        <v>0.0325690447876617</v>
      </c>
      <c r="C78" s="20" t="n">
        <f aca="false">Datos!N87</f>
        <v>0.0638141408959982</v>
      </c>
      <c r="D78" s="20" t="n">
        <f aca="false">Datos!J87</f>
        <v>-0.0054</v>
      </c>
      <c r="E78" s="20" t="n">
        <f aca="false">Datos!K87</f>
        <v>-0.0607636894755312</v>
      </c>
      <c r="F78" s="20" t="n">
        <f aca="false">Datos!M86</f>
        <v>-0.000699519053720961</v>
      </c>
      <c r="G78" s="20" t="n">
        <f aca="false">Datos!I85</f>
        <v>-235.861538461538</v>
      </c>
      <c r="H78" s="20" t="n">
        <f aca="false">Datos!L84</f>
        <v>0.141127547277293</v>
      </c>
      <c r="I78" s="20" t="n">
        <f aca="false">Datos!I81</f>
        <v>-454.938553802817</v>
      </c>
      <c r="J78" s="20" t="n">
        <f aca="false">Datos!I80</f>
        <v>122.080899625603</v>
      </c>
      <c r="K78" s="18" t="n">
        <v>1</v>
      </c>
      <c r="L78" s="18" t="n">
        <f aca="false">B78-($B$87+$B$88*C78+$B$89*D78+$B$90*E78+$B$91*F78+$B$92*G78+$B$93*H78+$B$94*I78+$B$95*J78)</f>
        <v>-0.0168074991188024</v>
      </c>
      <c r="M78" s="18" t="n">
        <f aca="false">L78^2</f>
        <v>0.000282492026628542</v>
      </c>
    </row>
    <row r="79" customFormat="false" ht="15" hidden="false" customHeight="false" outlineLevel="0" collapsed="false">
      <c r="A79" s="19" t="str">
        <f aca="false">Datos!A88</f>
        <v>2025Q4</v>
      </c>
      <c r="B79" s="20" t="n">
        <f aca="false">Datos!G88</f>
        <v>0.0205805070747371</v>
      </c>
      <c r="C79" s="20" t="n">
        <f aca="false">Datos!N88</f>
        <v>0.0325690447876617</v>
      </c>
      <c r="D79" s="20" t="n">
        <f aca="false">Datos!J88</f>
        <v>0</v>
      </c>
      <c r="E79" s="20" t="n">
        <f aca="false">Datos!K88</f>
        <v>-0.0750355248434347</v>
      </c>
      <c r="F79" s="20" t="n">
        <f aca="false">Datos!M87</f>
        <v>-3.86530146869388E-005</v>
      </c>
      <c r="G79" s="20" t="n">
        <f aca="false">Datos!I86</f>
        <v>39.3076923076923</v>
      </c>
      <c r="H79" s="20" t="n">
        <f aca="false">Datos!L85</f>
        <v>0.205115473060102</v>
      </c>
      <c r="I79" s="20" t="n">
        <f aca="false">Datos!I82</f>
        <v>-411.750199402986</v>
      </c>
      <c r="J79" s="20" t="n">
        <f aca="false">Datos!I81</f>
        <v>-454.938553802817</v>
      </c>
      <c r="K79" s="18" t="n">
        <v>1</v>
      </c>
      <c r="L79" s="18" t="n">
        <f aca="false">B79-($B$87+$B$88*C79+$B$89*D79+$B$90*E79+$B$91*F79+$B$92*G79+$B$93*H79+$B$94*I79+$B$95*J79)</f>
        <v>0.00202644557811674</v>
      </c>
      <c r="M79" s="18" t="n">
        <f aca="false">L79^2</f>
        <v>4.1064816810689E-006</v>
      </c>
    </row>
    <row r="80" customFormat="false" ht="15" hidden="false" customHeight="false" outlineLevel="0" collapsed="false">
      <c r="A80" s="19" t="str">
        <f aca="false">Datos!A89</f>
        <v>2026Q1</v>
      </c>
      <c r="B80" s="20" t="n">
        <f aca="false">Datos!G89</f>
        <v>0.024694045208276</v>
      </c>
      <c r="C80" s="20" t="n">
        <f aca="false">Datos!N89</f>
        <v>0.0205805070747371</v>
      </c>
      <c r="D80" s="20" t="n">
        <f aca="false">Datos!J89</f>
        <v>0</v>
      </c>
      <c r="E80" s="20" t="n">
        <f aca="false">Datos!K89</f>
        <v>-0.0996496025806773</v>
      </c>
      <c r="F80" s="20" t="n">
        <f aca="false">Datos!M88</f>
        <v>-0.00167635054020954</v>
      </c>
      <c r="G80" s="20" t="n">
        <f aca="false">Datos!I87</f>
        <v>142.307692307692</v>
      </c>
      <c r="H80" s="20" t="n">
        <f aca="false">Datos!L86</f>
        <v>0.0285946514317457</v>
      </c>
      <c r="I80" s="20" t="n">
        <f aca="false">Datos!I83</f>
        <v>140.77357394844</v>
      </c>
      <c r="J80" s="20" t="n">
        <f aca="false">Datos!I82</f>
        <v>-411.750199402986</v>
      </c>
      <c r="K80" s="18" t="n">
        <v>1</v>
      </c>
      <c r="L80" s="18" t="n">
        <f aca="false">B80-($B$87+$B$88*C80+$B$89*D80+$B$90*E80+$B$91*F80+$B$92*G80+$B$93*H80+$B$94*I80+$B$95*J80)</f>
        <v>0.0229964729287533</v>
      </c>
      <c r="M80" s="18" t="n">
        <f aca="false">L80^2</f>
        <v>0.000528837767162882</v>
      </c>
    </row>
    <row r="85" customFormat="false" ht="15" hidden="false" customHeight="false" outlineLevel="0" collapsed="false">
      <c r="A85" s="21" t="s">
        <v>157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customFormat="false" ht="15" hidden="false" customHeight="false" outlineLevel="0" collapsed="false">
      <c r="A86" s="14" t="s">
        <v>25</v>
      </c>
      <c r="B86" s="14" t="s">
        <v>26</v>
      </c>
      <c r="C86" s="14" t="s">
        <v>158</v>
      </c>
      <c r="D86" s="14" t="s">
        <v>159</v>
      </c>
      <c r="E86" s="14" t="s">
        <v>21</v>
      </c>
      <c r="G86" s="11" t="s">
        <v>160</v>
      </c>
      <c r="H86" s="23" t="n">
        <f aca="false">INDEX(LINEST($B$6:$B$80,$C$6:$J$80,TRUE(),TRUE()),4,2)</f>
        <v>66</v>
      </c>
    </row>
    <row r="87" customFormat="false" ht="15" hidden="false" customHeight="false" outlineLevel="0" collapsed="false">
      <c r="A87" s="24" t="s">
        <v>161</v>
      </c>
      <c r="B87" s="25" t="n">
        <f aca="false">INDEX(LINEST($B$6:$B$80,$C$6:$J$80,TRUE(),TRUE()),1,9)</f>
        <v>0.00137369633619958</v>
      </c>
      <c r="C87" s="8" t="n">
        <f aca="false">INDEX(LINEST($B$6:$B$80,$C$6:$J$80,TRUE(),TRUE()),2,9)</f>
        <v>0.00330121830279863</v>
      </c>
      <c r="D87" s="5" t="n">
        <f aca="false">B87/C87</f>
        <v>0.416117993479868</v>
      </c>
      <c r="E87" s="7" t="n">
        <f aca="false">TDIST(ABS(D87),$H$86,2)</f>
        <v>0.678673696825537</v>
      </c>
    </row>
    <row r="88" customFormat="false" ht="15" hidden="false" customHeight="false" outlineLevel="0" collapsed="false">
      <c r="A88" s="24" t="s">
        <v>173</v>
      </c>
      <c r="B88" s="25" t="n">
        <f aca="false">INDEX(LINEST($B$6:$B$80,$C$6:$J$80,TRUE(),TRUE()),1,8)</f>
        <v>0.895002099838784</v>
      </c>
      <c r="C88" s="8" t="n">
        <f aca="false">INDEX(LINEST($B$6:$B$80,$C$6:$J$80,TRUE(),TRUE()),2,8)</f>
        <v>0.063761843542036</v>
      </c>
      <c r="D88" s="5" t="n">
        <f aca="false">B88/C88</f>
        <v>14.0366408830187</v>
      </c>
      <c r="E88" s="7" t="n">
        <f aca="false">TDIST(ABS(D88),$H$86,2)</f>
        <v>1.7221424454559E-021</v>
      </c>
    </row>
    <row r="89" customFormat="false" ht="15" hidden="false" customHeight="false" outlineLevel="0" collapsed="false">
      <c r="A89" s="24" t="s">
        <v>141</v>
      </c>
      <c r="B89" s="25" t="n">
        <f aca="false">INDEX(LINEST($B$6:$B$80,$C$6:$J$80,TRUE(),TRUE()),1,7)</f>
        <v>1.1344449097696</v>
      </c>
      <c r="C89" s="8" t="n">
        <f aca="false">INDEX(LINEST($B$6:$B$80,$C$6:$J$80,TRUE(),TRUE()),2,7)</f>
        <v>0.140464176187558</v>
      </c>
      <c r="D89" s="5" t="n">
        <f aca="false">B89/C89</f>
        <v>8.07640026489609</v>
      </c>
      <c r="E89" s="7" t="n">
        <f aca="false">TDIST(ABS(D89),$H$86,2)</f>
        <v>1.93251518762154E-011</v>
      </c>
    </row>
    <row r="90" customFormat="false" ht="15" hidden="false" customHeight="false" outlineLevel="0" collapsed="false">
      <c r="A90" s="24" t="s">
        <v>142</v>
      </c>
      <c r="B90" s="25" t="n">
        <f aca="false">INDEX(LINEST($B$6:$B$80,$C$6:$J$80,TRUE(),TRUE()),1,6)</f>
        <v>0.164369360018153</v>
      </c>
      <c r="C90" s="8" t="n">
        <f aca="false">INDEX(LINEST($B$6:$B$80,$C$6:$J$80,TRUE(),TRUE()),2,6)</f>
        <v>0.0438792486182931</v>
      </c>
      <c r="D90" s="5" t="n">
        <f aca="false">B90/C90</f>
        <v>3.74594746250118</v>
      </c>
      <c r="E90" s="7" t="n">
        <f aca="false">TDIST(ABS(D90),$H$86,2)</f>
        <v>0.000379895829814614</v>
      </c>
    </row>
    <row r="91" customFormat="false" ht="15" hidden="false" customHeight="false" outlineLevel="0" collapsed="false">
      <c r="A91" s="24" t="s">
        <v>143</v>
      </c>
      <c r="B91" s="25" t="n">
        <f aca="false">INDEX(LINEST($B$6:$B$80,$C$6:$J$80,TRUE(),TRUE()),1,5)</f>
        <v>0.489333171910755</v>
      </c>
      <c r="C91" s="8" t="n">
        <f aca="false">INDEX(LINEST($B$6:$B$80,$C$6:$J$80,TRUE(),TRUE()),2,5)</f>
        <v>0.537218382296067</v>
      </c>
      <c r="D91" s="5" t="n">
        <f aca="false">B91/C91</f>
        <v>0.91086453486448</v>
      </c>
      <c r="E91" s="7" t="n">
        <f aca="false">TDIST(ABS(D91),$H$86,2)</f>
        <v>0.36568155348554</v>
      </c>
    </row>
    <row r="92" customFormat="false" ht="15" hidden="false" customHeight="false" outlineLevel="0" collapsed="false">
      <c r="A92" s="24" t="s">
        <v>144</v>
      </c>
      <c r="B92" s="25" t="n">
        <f aca="false">INDEX(LINEST($B$6:$B$80,$C$6:$J$80,TRUE(),TRUE()),1,4)</f>
        <v>-4.17582136799957E-005</v>
      </c>
      <c r="C92" s="8" t="n">
        <f aca="false">INDEX(LINEST($B$6:$B$80,$C$6:$J$80,TRUE(),TRUE()),2,4)</f>
        <v>1.17671193366305E-005</v>
      </c>
      <c r="D92" s="5" t="n">
        <f aca="false">B92/C92</f>
        <v>-3.54872016552125</v>
      </c>
      <c r="E92" s="7" t="n">
        <f aca="false">TDIST(ABS(D92),$H$86,2)</f>
        <v>0.000718768473154291</v>
      </c>
    </row>
    <row r="93" customFormat="false" ht="15" hidden="false" customHeight="false" outlineLevel="0" collapsed="false">
      <c r="A93" s="24" t="s">
        <v>145</v>
      </c>
      <c r="B93" s="25" t="n">
        <f aca="false">INDEX(LINEST($B$6:$B$80,$C$6:$J$80,TRUE(),TRUE()),1,3)</f>
        <v>0.0679895123256611</v>
      </c>
      <c r="C93" s="8" t="n">
        <f aca="false">INDEX(LINEST($B$6:$B$80,$C$6:$J$80,TRUE(),TRUE()),2,3)</f>
        <v>0.0414039259684086</v>
      </c>
      <c r="D93" s="5" t="n">
        <f aca="false">B93/C93</f>
        <v>1.64210303094295</v>
      </c>
      <c r="E93" s="7" t="n">
        <f aca="false">TDIST(ABS(D93),$H$86,2)</f>
        <v>0.105325450159877</v>
      </c>
    </row>
    <row r="94" customFormat="false" ht="15" hidden="false" customHeight="false" outlineLevel="0" collapsed="false">
      <c r="A94" s="24" t="s">
        <v>146</v>
      </c>
      <c r="B94" s="25" t="n">
        <f aca="false">INDEX(LINEST($B$6:$B$80,$C$6:$J$80,TRUE(),TRUE()),1,2)</f>
        <v>2.70558807626892E-005</v>
      </c>
      <c r="C94" s="8" t="n">
        <f aca="false">INDEX(LINEST($B$6:$B$80,$C$6:$J$80,TRUE(),TRUE()),2,2)</f>
        <v>1.16833552589016E-005</v>
      </c>
      <c r="D94" s="5" t="n">
        <f aca="false">B94/C94</f>
        <v>2.31576290912451</v>
      </c>
      <c r="E94" s="7" t="n">
        <f aca="false">TDIST(ABS(D94),$H$86,2)</f>
        <v>0.023687701986781</v>
      </c>
    </row>
    <row r="95" customFormat="false" ht="15" hidden="false" customHeight="false" outlineLevel="0" collapsed="false">
      <c r="A95" s="24" t="s">
        <v>147</v>
      </c>
      <c r="B95" s="25" t="n">
        <f aca="false">INDEX(LINEST($B$6:$B$80,$C$6:$J$80,TRUE(),TRUE()),1,1)</f>
        <v>1.71574947522827E-006</v>
      </c>
      <c r="C95" s="8" t="n">
        <f aca="false">INDEX(LINEST($B$6:$B$80,$C$6:$J$80,TRUE(),TRUE()),2,1)</f>
        <v>1.15668947208832E-005</v>
      </c>
      <c r="D95" s="5" t="n">
        <f aca="false">B95/C95</f>
        <v>0.148332764897618</v>
      </c>
      <c r="E95" s="7" t="n">
        <f aca="false">TDIST(ABS(D95),$H$86,2)</f>
        <v>0.882532426985203</v>
      </c>
    </row>
    <row r="97" customFormat="false" ht="15" hidden="false" customHeight="false" outlineLevel="0" collapsed="false">
      <c r="A97" s="21" t="s">
        <v>162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customFormat="false" ht="15" hidden="false" customHeight="false" outlineLevel="0" collapsed="false">
      <c r="A98" s="24" t="s">
        <v>163</v>
      </c>
      <c r="B98" s="5" t="n">
        <f aca="false">COUNT($B$6:$B$80)</f>
        <v>75</v>
      </c>
    </row>
    <row r="99" customFormat="false" ht="15" hidden="false" customHeight="false" outlineLevel="0" collapsed="false">
      <c r="A99" s="24" t="s">
        <v>8</v>
      </c>
      <c r="B99" s="5" t="n">
        <v>9</v>
      </c>
    </row>
    <row r="100" customFormat="false" ht="15" hidden="false" customHeight="false" outlineLevel="0" collapsed="false">
      <c r="A100" s="24" t="s">
        <v>9</v>
      </c>
      <c r="B100" s="6" t="n">
        <f aca="false">INDEX(LINEST($B$6:$B$80,$C$6:$J$80,TRUE(),TRUE()),3,1)</f>
        <v>0.819044146164465</v>
      </c>
    </row>
    <row r="101" customFormat="false" ht="15" hidden="false" customHeight="false" outlineLevel="0" collapsed="false">
      <c r="A101" s="24" t="s">
        <v>10</v>
      </c>
      <c r="B101" s="26" t="n">
        <f aca="false">1-(1-B100)*(B98-1)/(B98-B99)</f>
        <v>0.797110103275309</v>
      </c>
    </row>
    <row r="102" customFormat="false" ht="15" hidden="false" customHeight="false" outlineLevel="0" collapsed="false">
      <c r="A102" s="24" t="s">
        <v>11</v>
      </c>
      <c r="B102" s="8" t="n">
        <f aca="false">INDEX(LINEST($B$6:$B$80,$C$6:$J$80,TRUE(),TRUE()),5,2)</f>
        <v>0.0486775419550196</v>
      </c>
    </row>
    <row r="103" customFormat="false" ht="15" hidden="false" customHeight="false" outlineLevel="0" collapsed="false">
      <c r="A103" s="24" t="s">
        <v>164</v>
      </c>
      <c r="B103" s="6" t="n">
        <f aca="false">-B98/2*(LN(2*PI())+LN(B102/B98)+1)</f>
        <v>168.830570745159</v>
      </c>
    </row>
    <row r="104" customFormat="false" ht="15" hidden="false" customHeight="false" outlineLevel="0" collapsed="false">
      <c r="A104" s="24" t="s">
        <v>12</v>
      </c>
      <c r="B104" s="27" t="n">
        <f aca="false">-2*B103+2*B99</f>
        <v>-319.661141490319</v>
      </c>
    </row>
    <row r="105" customFormat="false" ht="15" hidden="false" customHeight="false" outlineLevel="0" collapsed="false">
      <c r="A105" s="24" t="s">
        <v>13</v>
      </c>
      <c r="B105" s="27" t="n">
        <f aca="false">-2*B103+LN(B98)*B99</f>
        <v>-298.803748468492</v>
      </c>
    </row>
    <row r="107" customFormat="false" ht="15" hidden="false" customHeight="false" outlineLevel="0" collapsed="false">
      <c r="A107" s="10" t="s">
        <v>14</v>
      </c>
      <c r="B107" s="28" t="n">
        <f aca="false">SUMXMY2(L7:L80,L6:L79)/SUMSQ(L6:L80)</f>
        <v>2.12184037194854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5" customFormat="false" ht="15" hidden="false" customHeight="false" outlineLevel="0" collapsed="false">
      <c r="A5" s="3" t="s">
        <v>39</v>
      </c>
      <c r="B5" s="3" t="s">
        <v>140</v>
      </c>
      <c r="C5" s="3" t="s">
        <v>173</v>
      </c>
      <c r="D5" s="3" t="s">
        <v>141</v>
      </c>
      <c r="E5" s="3" t="s">
        <v>144</v>
      </c>
      <c r="F5" s="3" t="s">
        <v>176</v>
      </c>
      <c r="G5" s="3" t="s">
        <v>177</v>
      </c>
      <c r="H5" s="3" t="s">
        <v>148</v>
      </c>
      <c r="I5" s="3" t="s">
        <v>149</v>
      </c>
      <c r="J5" s="3" t="s">
        <v>150</v>
      </c>
      <c r="K5" s="3" t="s">
        <v>178</v>
      </c>
      <c r="L5" s="3" t="s">
        <v>179</v>
      </c>
      <c r="M5" s="3" t="s">
        <v>180</v>
      </c>
      <c r="N5" s="3" t="s">
        <v>181</v>
      </c>
      <c r="O5" s="3" t="s">
        <v>182</v>
      </c>
      <c r="P5" s="3" t="s">
        <v>183</v>
      </c>
    </row>
    <row r="6" customFormat="false" ht="15" hidden="false" customHeight="false" outlineLevel="0" collapsed="false">
      <c r="A6" s="19" t="str">
        <f aca="false">Datos!A15</f>
        <v>2007Q3</v>
      </c>
      <c r="B6" s="20" t="n">
        <f aca="false">Datos!G15</f>
        <v>0.0842779771268098</v>
      </c>
      <c r="C6" s="20" t="n">
        <f aca="false">Datos!N15</f>
        <v>0.0985938738676382</v>
      </c>
      <c r="D6" s="20" t="n">
        <f aca="false">Datos!J15</f>
        <v>-0.0067</v>
      </c>
      <c r="E6" s="20" t="n">
        <f aca="false">Datos!I13</f>
        <v>-71.4258225806452</v>
      </c>
      <c r="F6" s="20" t="n">
        <f aca="false">Datos!M13</f>
        <v>-0.00117265970530427</v>
      </c>
      <c r="G6" s="20" t="n">
        <f aca="false">Datos!L15</f>
        <v>-0.0137496292897965</v>
      </c>
      <c r="H6" s="18" t="n">
        <v>1</v>
      </c>
      <c r="I6" s="18" t="n">
        <f aca="false">B6-($B$87+$B$88*C6+$B$89*D6+$B$90*E6+$B$91*F6+$B$92*G6)</f>
        <v>-0.0039632559657368</v>
      </c>
      <c r="J6" s="18" t="n">
        <f aca="false">I6^2</f>
        <v>1.57073978499483E-005</v>
      </c>
      <c r="K6" s="18" t="n">
        <f aca="false">H6*$I6</f>
        <v>-0.0039632559657368</v>
      </c>
      <c r="L6" s="18" t="n">
        <f aca="false">C6*$I6</f>
        <v>-0.000390752758791018</v>
      </c>
      <c r="M6" s="18" t="n">
        <f aca="false">D6*$I6</f>
        <v>2.65538149704365E-005</v>
      </c>
      <c r="N6" s="18" t="n">
        <f aca="false">E6*$I6</f>
        <v>0.2830788174504</v>
      </c>
      <c r="O6" s="18" t="n">
        <f aca="false">F6*$I6</f>
        <v>4.64755057282631E-006</v>
      </c>
      <c r="P6" s="18" t="n">
        <f aca="false">G6*$I6</f>
        <v>5.44933003094552E-005</v>
      </c>
    </row>
    <row r="7" customFormat="false" ht="15" hidden="false" customHeight="false" outlineLevel="0" collapsed="false">
      <c r="A7" s="19" t="str">
        <f aca="false">Datos!A16</f>
        <v>2007Q4</v>
      </c>
      <c r="B7" s="20" t="n">
        <f aca="false">Datos!G16</f>
        <v>0.092673486299768</v>
      </c>
      <c r="C7" s="20" t="n">
        <f aca="false">Datos!N16</f>
        <v>0.0842779771268098</v>
      </c>
      <c r="D7" s="20" t="n">
        <f aca="false">Datos!J16</f>
        <v>0.0077</v>
      </c>
      <c r="E7" s="20" t="n">
        <f aca="false">Datos!I14</f>
        <v>58.1062311827956</v>
      </c>
      <c r="F7" s="20" t="n">
        <f aca="false">Datos!M14</f>
        <v>0.000278696192864608</v>
      </c>
      <c r="G7" s="20" t="n">
        <f aca="false">Datos!L16</f>
        <v>-0.0602367573720288</v>
      </c>
      <c r="H7" s="18" t="n">
        <v>1</v>
      </c>
      <c r="I7" s="18" t="n">
        <f aca="false">B7-($B$87+$B$88*C7+$B$89*D7+$B$90*E7+$B$91*F7+$B$92*G7)</f>
        <v>0.0188998060538506</v>
      </c>
      <c r="J7" s="18" t="n">
        <f aca="false">I7^2</f>
        <v>0.000357202668873168</v>
      </c>
      <c r="K7" s="18" t="n">
        <f aca="false">H7*$I7</f>
        <v>0.0188998060538506</v>
      </c>
      <c r="L7" s="18" t="n">
        <f aca="false">C7*$I7</f>
        <v>0.00159283742230756</v>
      </c>
      <c r="M7" s="18" t="n">
        <f aca="false">D7*$I7</f>
        <v>0.00014552850661465</v>
      </c>
      <c r="N7" s="18" t="n">
        <f aca="false">E7*$I7</f>
        <v>1.09819649987504</v>
      </c>
      <c r="O7" s="18" t="n">
        <f aca="false">F7*$I7</f>
        <v>5.26730399308764E-006</v>
      </c>
      <c r="P7" s="18" t="n">
        <f aca="false">G7*$I7</f>
        <v>-0.0011384630316442</v>
      </c>
    </row>
    <row r="8" customFormat="false" ht="15" hidden="false" customHeight="false" outlineLevel="0" collapsed="false">
      <c r="A8" s="19" t="str">
        <f aca="false">Datos!A17</f>
        <v>2008Q1</v>
      </c>
      <c r="B8" s="20" t="n">
        <f aca="false">Datos!G17</f>
        <v>0.0691231457663233</v>
      </c>
      <c r="C8" s="20" t="n">
        <f aca="false">Datos!N17</f>
        <v>0.092673486299768</v>
      </c>
      <c r="D8" s="20" t="n">
        <f aca="false">Datos!J17</f>
        <v>-0.0048</v>
      </c>
      <c r="E8" s="20" t="n">
        <f aca="false">Datos!I15</f>
        <v>146.742396825397</v>
      </c>
      <c r="F8" s="20" t="n">
        <f aca="false">Datos!M15</f>
        <v>0.000602920672835385</v>
      </c>
      <c r="G8" s="20" t="n">
        <f aca="false">Datos!L17</f>
        <v>-0.0286951815686505</v>
      </c>
      <c r="H8" s="18" t="n">
        <v>1</v>
      </c>
      <c r="I8" s="18" t="n">
        <f aca="false">B8-($B$87+$B$88*C8+$B$89*D8+$B$90*E8+$B$91*F8+$B$92*G8)</f>
        <v>0.000450574811546478</v>
      </c>
      <c r="J8" s="18" t="n">
        <f aca="false">I8^2</f>
        <v>2.03017660800144E-007</v>
      </c>
      <c r="K8" s="18" t="n">
        <f aca="false">H8*$I8</f>
        <v>0.000450574811546478</v>
      </c>
      <c r="L8" s="18" t="n">
        <f aca="false">C8*$I8</f>
        <v>4.17563386248731E-005</v>
      </c>
      <c r="M8" s="18" t="n">
        <f aca="false">D8*$I8</f>
        <v>-2.16275909542309E-006</v>
      </c>
      <c r="N8" s="18" t="n">
        <f aca="false">E8*$I8</f>
        <v>0.0661184277954817</v>
      </c>
      <c r="O8" s="18" t="n">
        <f aca="false">F8*$I8</f>
        <v>2.71660868540279E-007</v>
      </c>
      <c r="P8" s="18" t="n">
        <f aca="false">G8*$I8</f>
        <v>-1.29293260275867E-005</v>
      </c>
    </row>
    <row r="9" customFormat="false" ht="15" hidden="false" customHeight="false" outlineLevel="0" collapsed="false">
      <c r="A9" s="19" t="str">
        <f aca="false">Datos!A18</f>
        <v>2008Q2</v>
      </c>
      <c r="B9" s="20" t="n">
        <f aca="false">Datos!G18</f>
        <v>0.0545268547475248</v>
      </c>
      <c r="C9" s="20" t="n">
        <f aca="false">Datos!N18</f>
        <v>0.0691231457663233</v>
      </c>
      <c r="D9" s="20" t="n">
        <f aca="false">Datos!J18</f>
        <v>0.0018</v>
      </c>
      <c r="E9" s="20" t="n">
        <f aca="false">Datos!I16</f>
        <v>-28.2266763952893</v>
      </c>
      <c r="F9" s="20" t="n">
        <f aca="false">Datos!M16</f>
        <v>-0.00338135505996591</v>
      </c>
      <c r="G9" s="20" t="n">
        <f aca="false">Datos!L18</f>
        <v>-0.0389251911637248</v>
      </c>
      <c r="H9" s="18" t="n">
        <v>1</v>
      </c>
      <c r="I9" s="18" t="n">
        <f aca="false">B9-($B$87+$B$88*C9+$B$89*D9+$B$90*E9+$B$91*F9+$B$92*G9)</f>
        <v>-0.011852150573463</v>
      </c>
      <c r="J9" s="18" t="n">
        <f aca="false">I9^2</f>
        <v>0.00014047347321604</v>
      </c>
      <c r="K9" s="18" t="n">
        <f aca="false">H9*$I9</f>
        <v>-0.011852150573463</v>
      </c>
      <c r="L9" s="18" t="n">
        <f aca="false">C9*$I9</f>
        <v>-0.000819257931733897</v>
      </c>
      <c r="M9" s="18" t="n">
        <f aca="false">D9*$I9</f>
        <v>-2.13338710322334E-005</v>
      </c>
      <c r="N9" s="18" t="n">
        <f aca="false">E9*$I9</f>
        <v>0.334546818825384</v>
      </c>
      <c r="O9" s="18" t="n">
        <f aca="false">F9*$I9</f>
        <v>4.00763293130571E-005</v>
      </c>
      <c r="P9" s="18" t="n">
        <f aca="false">G9*$I9</f>
        <v>0.000461347226773299</v>
      </c>
    </row>
    <row r="10" customFormat="false" ht="15" hidden="false" customHeight="false" outlineLevel="0" collapsed="false">
      <c r="A10" s="19" t="str">
        <f aca="false">Datos!A19</f>
        <v>2008Q3</v>
      </c>
      <c r="B10" s="20" t="n">
        <f aca="false">Datos!G19</f>
        <v>0.060060161436698</v>
      </c>
      <c r="C10" s="20" t="n">
        <f aca="false">Datos!N19</f>
        <v>0.0545268547475248</v>
      </c>
      <c r="D10" s="20" t="n">
        <f aca="false">Datos!J19</f>
        <v>0.0064</v>
      </c>
      <c r="E10" s="20" t="n">
        <f aca="false">Datos!I17</f>
        <v>95.3370391327341</v>
      </c>
      <c r="F10" s="20" t="n">
        <f aca="false">Datos!M17</f>
        <v>-0.0029350875851957</v>
      </c>
      <c r="G10" s="20" t="n">
        <f aca="false">Datos!L19</f>
        <v>0.0202193728000716</v>
      </c>
      <c r="H10" s="18" t="n">
        <v>1</v>
      </c>
      <c r="I10" s="18" t="n">
        <f aca="false">B10-($B$87+$B$88*C10+$B$89*D10+$B$90*E10+$B$91*F10+$B$92*G10)</f>
        <v>-0.00139869402968888</v>
      </c>
      <c r="J10" s="18" t="n">
        <f aca="false">I10^2</f>
        <v>1.9563449886873E-006</v>
      </c>
      <c r="K10" s="18" t="n">
        <f aca="false">H10*$I10</f>
        <v>-0.00139869402968888</v>
      </c>
      <c r="L10" s="18" t="n">
        <f aca="false">C10*$I10</f>
        <v>-7.62663861930755E-005</v>
      </c>
      <c r="M10" s="18" t="n">
        <f aca="false">D10*$I10</f>
        <v>-8.95164179000881E-006</v>
      </c>
      <c r="N10" s="18" t="n">
        <f aca="false">E10*$I10</f>
        <v>-0.13334734744317</v>
      </c>
      <c r="O10" s="18" t="n">
        <f aca="false">F10*$I10</f>
        <v>4.10528948202716E-006</v>
      </c>
      <c r="P10" s="18" t="n">
        <f aca="false">G10*$I10</f>
        <v>-2.82807160195137E-005</v>
      </c>
    </row>
    <row r="11" customFormat="false" ht="15" hidden="false" customHeight="false" outlineLevel="0" collapsed="false">
      <c r="A11" s="19" t="str">
        <f aca="false">Datos!A20</f>
        <v>2008Q4</v>
      </c>
      <c r="B11" s="20" t="n">
        <f aca="false">Datos!G20</f>
        <v>-0.019789908841391</v>
      </c>
      <c r="C11" s="20" t="n">
        <f aca="false">Datos!N20</f>
        <v>0.060060161436698</v>
      </c>
      <c r="D11" s="20" t="n">
        <f aca="false">Datos!J20</f>
        <v>-0.0596</v>
      </c>
      <c r="E11" s="20" t="n">
        <f aca="false">Datos!I18</f>
        <v>74.4147768954915</v>
      </c>
      <c r="F11" s="20" t="n">
        <f aca="false">Datos!M18</f>
        <v>-0.00233089484643468</v>
      </c>
      <c r="G11" s="20" t="n">
        <f aca="false">Datos!L20</f>
        <v>0.0208164044278587</v>
      </c>
      <c r="H11" s="18" t="n">
        <v>1</v>
      </c>
      <c r="I11" s="18" t="n">
        <f aca="false">B11-($B$87+$B$88*C11+$B$89*D11+$B$90*E11+$B$91*F11+$B$92*G11)</f>
        <v>-0.0150115095074128</v>
      </c>
      <c r="J11" s="18" t="n">
        <f aca="false">I11^2</f>
        <v>0.000225345417691146</v>
      </c>
      <c r="K11" s="18" t="n">
        <f aca="false">H11*$I11</f>
        <v>-0.0150115095074128</v>
      </c>
      <c r="L11" s="18" t="n">
        <f aca="false">C11*$I11</f>
        <v>-0.000901593684423742</v>
      </c>
      <c r="M11" s="18" t="n">
        <f aca="false">D11*$I11</f>
        <v>0.000894685966641805</v>
      </c>
      <c r="N11" s="18" t="n">
        <f aca="false">E11*$I11</f>
        <v>-1.11707813085868</v>
      </c>
      <c r="O11" s="18" t="n">
        <f aca="false">F11*$I11</f>
        <v>3.49902501480338E-005</v>
      </c>
      <c r="P11" s="18" t="n">
        <f aca="false">G11*$I11</f>
        <v>-0.000312485652978952</v>
      </c>
    </row>
    <row r="12" customFormat="false" ht="15" hidden="false" customHeight="false" outlineLevel="0" collapsed="false">
      <c r="A12" s="19" t="str">
        <f aca="false">Datos!A21</f>
        <v>2009Q1</v>
      </c>
      <c r="B12" s="20" t="n">
        <f aca="false">Datos!G21</f>
        <v>-0.0618875514402444</v>
      </c>
      <c r="C12" s="20" t="n">
        <f aca="false">Datos!N21</f>
        <v>-0.019789908841391</v>
      </c>
      <c r="D12" s="20" t="n">
        <f aca="false">Datos!J21</f>
        <v>-0.0344</v>
      </c>
      <c r="E12" s="20" t="n">
        <f aca="false">Datos!I19</f>
        <v>140.17396875</v>
      </c>
      <c r="F12" s="20" t="n">
        <f aca="false">Datos!M19</f>
        <v>-4.19342947748196E-005</v>
      </c>
      <c r="G12" s="20" t="n">
        <f aca="false">Datos!L21</f>
        <v>-0.0374388367953842</v>
      </c>
      <c r="H12" s="18" t="n">
        <v>1</v>
      </c>
      <c r="I12" s="18" t="n">
        <f aca="false">B12-($B$87+$B$88*C12+$B$89*D12+$B$90*E12+$B$91*F12+$B$92*G12)</f>
        <v>0.00654979693030831</v>
      </c>
      <c r="J12" s="18" t="n">
        <f aca="false">I12^2</f>
        <v>4.28998398282762E-005</v>
      </c>
      <c r="K12" s="18" t="n">
        <f aca="false">H12*$I12</f>
        <v>0.00654979693030831</v>
      </c>
      <c r="L12" s="18" t="n">
        <f aca="false">C12*$I12</f>
        <v>-0.000129619884180424</v>
      </c>
      <c r="M12" s="18" t="n">
        <f aca="false">D12*$I12</f>
        <v>-0.000225313014402606</v>
      </c>
      <c r="N12" s="18" t="n">
        <f aca="false">E12*$I12</f>
        <v>0.918111030227884</v>
      </c>
      <c r="O12" s="18" t="n">
        <f aca="false">F12*$I12</f>
        <v>-2.74661115190757E-007</v>
      </c>
      <c r="P12" s="18" t="n">
        <f aca="false">G12*$I12</f>
        <v>-0.000245216778316721</v>
      </c>
    </row>
    <row r="13" customFormat="false" ht="15" hidden="false" customHeight="false" outlineLevel="0" collapsed="false">
      <c r="A13" s="19" t="str">
        <f aca="false">Datos!A22</f>
        <v>2009Q2</v>
      </c>
      <c r="B13" s="20" t="n">
        <f aca="false">Datos!G22</f>
        <v>-0.112745471526209</v>
      </c>
      <c r="C13" s="20" t="n">
        <f aca="false">Datos!N22</f>
        <v>-0.0618875514402444</v>
      </c>
      <c r="D13" s="20" t="n">
        <f aca="false">Datos!J22</f>
        <v>0.0022</v>
      </c>
      <c r="E13" s="20" t="n">
        <f aca="false">Datos!I20</f>
        <v>999.763070060484</v>
      </c>
      <c r="F13" s="20" t="n">
        <f aca="false">Datos!M20</f>
        <v>-0.00270103720609816</v>
      </c>
      <c r="G13" s="20" t="n">
        <f aca="false">Datos!L22</f>
        <v>-0.043804080965929</v>
      </c>
      <c r="H13" s="18" t="n">
        <v>1</v>
      </c>
      <c r="I13" s="18" t="n">
        <f aca="false">B13-($B$87+$B$88*C13+$B$89*D13+$B$90*E13+$B$91*F13+$B$92*G13)</f>
        <v>-0.00376420270293595</v>
      </c>
      <c r="J13" s="18" t="n">
        <f aca="false">I13^2</f>
        <v>1.41692219887903E-005</v>
      </c>
      <c r="K13" s="18" t="n">
        <f aca="false">H13*$I13</f>
        <v>-0.00376420270293595</v>
      </c>
      <c r="L13" s="18" t="n">
        <f aca="false">C13*$I13</f>
        <v>0.000232957288409456</v>
      </c>
      <c r="M13" s="18" t="n">
        <f aca="false">D13*$I13</f>
        <v>-8.2812459464591E-006</v>
      </c>
      <c r="N13" s="18" t="n">
        <f aca="false">E13*$I13</f>
        <v>-3.76331085061722</v>
      </c>
      <c r="O13" s="18" t="n">
        <f aca="false">F13*$I13</f>
        <v>1.01672515519253E-005</v>
      </c>
      <c r="P13" s="18" t="n">
        <f aca="false">G13*$I13</f>
        <v>0.000164887439971575</v>
      </c>
    </row>
    <row r="14" customFormat="false" ht="15" hidden="false" customHeight="false" outlineLevel="0" collapsed="false">
      <c r="A14" s="19" t="str">
        <f aca="false">Datos!A23</f>
        <v>2009Q3</v>
      </c>
      <c r="B14" s="20" t="n">
        <f aca="false">Datos!G23</f>
        <v>-0.0565117996405296</v>
      </c>
      <c r="C14" s="20" t="n">
        <f aca="false">Datos!N23</f>
        <v>-0.112745471526209</v>
      </c>
      <c r="D14" s="20" t="n">
        <f aca="false">Datos!J23</f>
        <v>0.0104</v>
      </c>
      <c r="E14" s="20" t="n">
        <f aca="false">Datos!I21</f>
        <v>3.47016790058183</v>
      </c>
      <c r="F14" s="20" t="n">
        <f aca="false">Datos!M21</f>
        <v>-0.00347983095461357</v>
      </c>
      <c r="G14" s="20" t="n">
        <f aca="false">Datos!L23</f>
        <v>0.0271712027425793</v>
      </c>
      <c r="H14" s="18" t="n">
        <v>1</v>
      </c>
      <c r="I14" s="18" t="n">
        <f aca="false">B14-($B$87+$B$88*C14+$B$89*D14+$B$90*E14+$B$91*F14+$B$92*G14)</f>
        <v>0.0265997937174288</v>
      </c>
      <c r="J14" s="18" t="n">
        <f aca="false">I14^2</f>
        <v>0.000707549025809767</v>
      </c>
      <c r="K14" s="18" t="n">
        <f aca="false">H14*$I14</f>
        <v>0.0265997937174288</v>
      </c>
      <c r="L14" s="18" t="n">
        <f aca="false">C14*$I14</f>
        <v>-0.00299900628517141</v>
      </c>
      <c r="M14" s="18" t="n">
        <f aca="false">D14*$I14</f>
        <v>0.00027663785466126</v>
      </c>
      <c r="N14" s="18" t="n">
        <f aca="false">E14*$I14</f>
        <v>0.0923057503203197</v>
      </c>
      <c r="O14" s="18" t="n">
        <f aca="false">F14*$I14</f>
        <v>-9.25627855642445E-005</v>
      </c>
      <c r="P14" s="18" t="n">
        <f aca="false">G14*$I14</f>
        <v>0.000722748388007047</v>
      </c>
    </row>
    <row r="15" customFormat="false" ht="15" hidden="false" customHeight="false" outlineLevel="0" collapsed="false">
      <c r="A15" s="19" t="str">
        <f aca="false">Datos!A24</f>
        <v>2009Q4</v>
      </c>
      <c r="B15" s="20" t="n">
        <f aca="false">Datos!G24</f>
        <v>0.00281998226127467</v>
      </c>
      <c r="C15" s="20" t="n">
        <f aca="false">Datos!N24</f>
        <v>-0.0565117996405296</v>
      </c>
      <c r="D15" s="20" t="n">
        <f aca="false">Datos!J24</f>
        <v>0.0649</v>
      </c>
      <c r="E15" s="20" t="n">
        <f aca="false">Datos!I22</f>
        <v>-244.401219359875</v>
      </c>
      <c r="F15" s="20" t="n">
        <f aca="false">Datos!M22</f>
        <v>-0.0080313344662462</v>
      </c>
      <c r="G15" s="20" t="n">
        <f aca="false">Datos!L24</f>
        <v>-0.00576713422833086</v>
      </c>
      <c r="H15" s="18" t="n">
        <v>1</v>
      </c>
      <c r="I15" s="18" t="n">
        <f aca="false">B15-($B$87+$B$88*C15+$B$89*D15+$B$90*E15+$B$91*F15+$B$92*G15)</f>
        <v>-0.0384555830842465</v>
      </c>
      <c r="J15" s="18" t="n">
        <f aca="false">I15^2</f>
        <v>0.00147883187034938</v>
      </c>
      <c r="K15" s="18" t="n">
        <f aca="false">H15*$I15</f>
        <v>-0.0384555830842465</v>
      </c>
      <c r="L15" s="18" t="n">
        <f aca="false">C15*$I15</f>
        <v>0.00217319420631667</v>
      </c>
      <c r="M15" s="18" t="n">
        <f aca="false">D15*$I15</f>
        <v>-0.00249576734216759</v>
      </c>
      <c r="N15" s="18" t="n">
        <f aca="false">E15*$I15</f>
        <v>9.39859139698481</v>
      </c>
      <c r="O15" s="18" t="n">
        <f aca="false">F15*$I15</f>
        <v>0.000308849649844103</v>
      </c>
      <c r="P15" s="18" t="n">
        <f aca="false">G15*$I15</f>
        <v>0.000221778509475579</v>
      </c>
    </row>
    <row r="16" customFormat="false" ht="15" hidden="false" customHeight="false" outlineLevel="0" collapsed="false">
      <c r="A16" s="19" t="str">
        <f aca="false">Datos!A25</f>
        <v>2010Q1</v>
      </c>
      <c r="B16" s="20" t="n">
        <f aca="false">Datos!G25</f>
        <v>0.0571326910752132</v>
      </c>
      <c r="C16" s="20" t="n">
        <f aca="false">Datos!N25</f>
        <v>0.00281998226127467</v>
      </c>
      <c r="D16" s="20" t="n">
        <f aca="false">Datos!J25</f>
        <v>0.0388</v>
      </c>
      <c r="E16" s="20" t="n">
        <f aca="false">Datos!I23</f>
        <v>-533.989581101191</v>
      </c>
      <c r="F16" s="20" t="n">
        <f aca="false">Datos!M23</f>
        <v>-0.0083302111754376</v>
      </c>
      <c r="G16" s="20" t="n">
        <f aca="false">Datos!L25</f>
        <v>0.0315418144587436</v>
      </c>
      <c r="H16" s="18" t="n">
        <v>1</v>
      </c>
      <c r="I16" s="18" t="n">
        <f aca="false">B16-($B$87+$B$88*C16+$B$89*D16+$B$90*E16+$B$91*F16+$B$92*G16)</f>
        <v>-0.0326915920098455</v>
      </c>
      <c r="J16" s="18" t="n">
        <f aca="false">I16^2</f>
        <v>0.00106874018813819</v>
      </c>
      <c r="K16" s="18" t="n">
        <f aca="false">H16*$I16</f>
        <v>-0.0326915920098455</v>
      </c>
      <c r="L16" s="18" t="n">
        <f aca="false">C16*$I16</f>
        <v>-9.21897095605928E-005</v>
      </c>
      <c r="M16" s="18" t="n">
        <f aca="false">D16*$I16</f>
        <v>-0.001268433769982</v>
      </c>
      <c r="N16" s="18" t="n">
        <f aca="false">E16*$I16</f>
        <v>17.4569695228684</v>
      </c>
      <c r="O16" s="18" t="n">
        <f aca="false">F16*$I16</f>
        <v>0.000272327865103261</v>
      </c>
      <c r="P16" s="18" t="n">
        <f aca="false">G16*$I16</f>
        <v>-0.00103115212953549</v>
      </c>
    </row>
    <row r="17" customFormat="false" ht="15" hidden="false" customHeight="false" outlineLevel="0" collapsed="false">
      <c r="A17" s="19" t="str">
        <f aca="false">Datos!A26</f>
        <v>2010Q2</v>
      </c>
      <c r="B17" s="20" t="n">
        <f aca="false">Datos!G26</f>
        <v>0.162441995090574</v>
      </c>
      <c r="C17" s="20" t="n">
        <f aca="false">Datos!N26</f>
        <v>0.0571326910752132</v>
      </c>
      <c r="D17" s="20" t="n">
        <f aca="false">Datos!J26</f>
        <v>-0.00690000000000002</v>
      </c>
      <c r="E17" s="20" t="n">
        <f aca="false">Datos!I24</f>
        <v>-203.745835181452</v>
      </c>
      <c r="F17" s="20" t="n">
        <f aca="false">Datos!M24</f>
        <v>-0.00738339686401843</v>
      </c>
      <c r="G17" s="20" t="n">
        <f aca="false">Datos!L26</f>
        <v>0.0935739728512151</v>
      </c>
      <c r="H17" s="18" t="n">
        <v>1</v>
      </c>
      <c r="I17" s="18" t="n">
        <f aca="false">B17-($B$87+$B$88*C17+$B$89*D17+$B$90*E17+$B$91*F17+$B$92*G17)</f>
        <v>0.0787799325248135</v>
      </c>
      <c r="J17" s="18" t="n">
        <f aca="false">I17^2</f>
        <v>0.00620627776861417</v>
      </c>
      <c r="K17" s="18" t="n">
        <f aca="false">H17*$I17</f>
        <v>0.0787799325248135</v>
      </c>
      <c r="L17" s="18" t="n">
        <f aca="false">C17*$I17</f>
        <v>0.00450090954786632</v>
      </c>
      <c r="M17" s="18" t="n">
        <f aca="false">D17*$I17</f>
        <v>-0.000543581534421215</v>
      </c>
      <c r="N17" s="18" t="n">
        <f aca="false">E17*$I17</f>
        <v>-16.0510831478065</v>
      </c>
      <c r="O17" s="18" t="n">
        <f aca="false">F17*$I17</f>
        <v>-0.000581663506751292</v>
      </c>
      <c r="P17" s="18" t="n">
        <f aca="false">G17*$I17</f>
        <v>0.00737175126729746</v>
      </c>
    </row>
    <row r="18" customFormat="false" ht="15" hidden="false" customHeight="false" outlineLevel="0" collapsed="false">
      <c r="A18" s="19" t="str">
        <f aca="false">Datos!A27</f>
        <v>2010Q3</v>
      </c>
      <c r="B18" s="20" t="n">
        <f aca="false">Datos!G27</f>
        <v>0.0950774236722809</v>
      </c>
      <c r="C18" s="20" t="n">
        <f aca="false">Datos!N27</f>
        <v>0.162441995090574</v>
      </c>
      <c r="D18" s="20" t="n">
        <f aca="false">Datos!J27</f>
        <v>-0.0161</v>
      </c>
      <c r="E18" s="20" t="n">
        <f aca="false">Datos!I25</f>
        <v>15.4416356425168</v>
      </c>
      <c r="F18" s="20" t="n">
        <f aca="false">Datos!M25</f>
        <v>-0.00274815082820695</v>
      </c>
      <c r="G18" s="20" t="n">
        <f aca="false">Datos!L27</f>
        <v>-0.0123659345741185</v>
      </c>
      <c r="H18" s="18" t="n">
        <v>1</v>
      </c>
      <c r="I18" s="18" t="n">
        <f aca="false">B18-($B$87+$B$88*C18+$B$89*D18+$B$90*E18+$B$91*F18+$B$92*G18)</f>
        <v>-0.0402835326348848</v>
      </c>
      <c r="J18" s="18" t="n">
        <f aca="false">I18^2</f>
        <v>0.00162276300154583</v>
      </c>
      <c r="K18" s="18" t="n">
        <f aca="false">H18*$I18</f>
        <v>-0.0402835326348848</v>
      </c>
      <c r="L18" s="18" t="n">
        <f aca="false">C18*$I18</f>
        <v>-0.00654373741050693</v>
      </c>
      <c r="M18" s="18" t="n">
        <f aca="false">D18*$I18</f>
        <v>0.000648564875421646</v>
      </c>
      <c r="N18" s="18" t="n">
        <f aca="false">E18*$I18</f>
        <v>-0.622043633341325</v>
      </c>
      <c r="O18" s="18" t="n">
        <f aca="false">F18*$I18</f>
        <v>0.00011070522357366</v>
      </c>
      <c r="P18" s="18" t="n">
        <f aca="false">G18*$I18</f>
        <v>0.000498143528977353</v>
      </c>
    </row>
    <row r="19" customFormat="false" ht="15" hidden="false" customHeight="false" outlineLevel="0" collapsed="false">
      <c r="A19" s="19" t="str">
        <f aca="false">Datos!A28</f>
        <v>2010Q4</v>
      </c>
      <c r="B19" s="20" t="n">
        <f aca="false">Datos!G28</f>
        <v>0.0860979311042298</v>
      </c>
      <c r="C19" s="20" t="n">
        <f aca="false">Datos!N28</f>
        <v>0.0950774236722809</v>
      </c>
      <c r="D19" s="20" t="n">
        <f aca="false">Datos!J28</f>
        <v>-0.0122</v>
      </c>
      <c r="E19" s="20" t="n">
        <f aca="false">Datos!I26</f>
        <v>0.464510798855258</v>
      </c>
      <c r="F19" s="20" t="n">
        <f aca="false">Datos!M26</f>
        <v>0.00434277462531486</v>
      </c>
      <c r="G19" s="20" t="n">
        <f aca="false">Datos!L28</f>
        <v>0.0288216919373594</v>
      </c>
      <c r="H19" s="18" t="n">
        <v>1</v>
      </c>
      <c r="I19" s="18" t="n">
        <f aca="false">B19-($B$87+$B$88*C19+$B$89*D19+$B$90*E19+$B$91*F19+$B$92*G19)</f>
        <v>0.0106144945898231</v>
      </c>
      <c r="J19" s="18" t="n">
        <f aca="false">I19^2</f>
        <v>0.000112667495397384</v>
      </c>
      <c r="K19" s="18" t="n">
        <f aca="false">H19*$I19</f>
        <v>0.0106144945898231</v>
      </c>
      <c r="L19" s="18" t="n">
        <f aca="false">C19*$I19</f>
        <v>0.00100919879918375</v>
      </c>
      <c r="M19" s="18" t="n">
        <f aca="false">D19*$I19</f>
        <v>-0.000129496833995842</v>
      </c>
      <c r="N19" s="18" t="n">
        <f aca="false">E19*$I19</f>
        <v>0.00493054736136355</v>
      </c>
      <c r="O19" s="18" t="n">
        <f aca="false">F19*$I19</f>
        <v>4.60963577652257E-005</v>
      </c>
      <c r="P19" s="18" t="n">
        <f aca="false">G19*$I19</f>
        <v>0.00030592769313865</v>
      </c>
    </row>
    <row r="20" customFormat="false" ht="15" hidden="false" customHeight="false" outlineLevel="0" collapsed="false">
      <c r="A20" s="19" t="str">
        <f aca="false">Datos!A29</f>
        <v>2011Q1</v>
      </c>
      <c r="B20" s="20" t="n">
        <f aca="false">Datos!G29</f>
        <v>0.0829261625044686</v>
      </c>
      <c r="C20" s="20" t="n">
        <f aca="false">Datos!N29</f>
        <v>0.0860979311042298</v>
      </c>
      <c r="D20" s="20" t="n">
        <f aca="false">Datos!J29</f>
        <v>-0.00499999999999999</v>
      </c>
      <c r="E20" s="20" t="n">
        <f aca="false">Datos!I27</f>
        <v>-22.7225300099209</v>
      </c>
      <c r="F20" s="20" t="n">
        <f aca="false">Datos!M27</f>
        <v>0.00241267441570089</v>
      </c>
      <c r="G20" s="20" t="n">
        <f aca="false">Datos!L29</f>
        <v>0.0352338810614263</v>
      </c>
      <c r="H20" s="18" t="n">
        <v>1</v>
      </c>
      <c r="I20" s="18" t="n">
        <f aca="false">B20-($B$87+$B$88*C20+$B$89*D20+$B$90*E20+$B$91*F20+$B$92*G20)</f>
        <v>0.00304618689197966</v>
      </c>
      <c r="J20" s="18" t="n">
        <f aca="false">I20^2</f>
        <v>9.27925458086872E-006</v>
      </c>
      <c r="K20" s="18" t="n">
        <f aca="false">H20*$I20</f>
        <v>0.00304618689197966</v>
      </c>
      <c r="L20" s="18" t="n">
        <f aca="false">C20*$I20</f>
        <v>0.000262270389156273</v>
      </c>
      <c r="M20" s="18" t="n">
        <f aca="false">D20*$I20</f>
        <v>-1.52309344598983E-005</v>
      </c>
      <c r="N20" s="18" t="n">
        <f aca="false">E20*$I20</f>
        <v>-0.0692170730688355</v>
      </c>
      <c r="O20" s="18" t="n">
        <f aca="false">F20*$I20</f>
        <v>7.34945717972276E-006</v>
      </c>
      <c r="P20" s="18" t="n">
        <f aca="false">G20*$I20</f>
        <v>0.000107328986642887</v>
      </c>
    </row>
    <row r="21" customFormat="false" ht="15" hidden="false" customHeight="false" outlineLevel="0" collapsed="false">
      <c r="A21" s="19" t="str">
        <f aca="false">Datos!A30</f>
        <v>2011Q2</v>
      </c>
      <c r="B21" s="20" t="n">
        <f aca="false">Datos!G30</f>
        <v>0.0444334376577356</v>
      </c>
      <c r="C21" s="20" t="n">
        <f aca="false">Datos!N30</f>
        <v>0.0829261625044686</v>
      </c>
      <c r="D21" s="20" t="n">
        <f aca="false">Datos!J30</f>
        <v>-0.0049</v>
      </c>
      <c r="E21" s="20" t="n">
        <f aca="false">Datos!I28</f>
        <v>-165.748584173387</v>
      </c>
      <c r="F21" s="20" t="n">
        <f aca="false">Datos!M28</f>
        <v>-0.00216449992080475</v>
      </c>
      <c r="G21" s="20" t="n">
        <f aca="false">Datos!L30</f>
        <v>-0.0193928471303448</v>
      </c>
      <c r="H21" s="18" t="n">
        <v>1</v>
      </c>
      <c r="I21" s="18" t="n">
        <f aca="false">B21-($B$87+$B$88*C21+$B$89*D21+$B$90*E21+$B$91*F21+$B$92*G21)</f>
        <v>-0.0363148881227884</v>
      </c>
      <c r="J21" s="18" t="n">
        <f aca="false">I21^2</f>
        <v>0.00131877109937063</v>
      </c>
      <c r="K21" s="18" t="n">
        <f aca="false">H21*$I21</f>
        <v>-0.0363148881227884</v>
      </c>
      <c r="L21" s="18" t="n">
        <f aca="false">C21*$I21</f>
        <v>-0.00301145431380194</v>
      </c>
      <c r="M21" s="18" t="n">
        <f aca="false">D21*$I21</f>
        <v>0.000177942951801663</v>
      </c>
      <c r="N21" s="18" t="n">
        <f aca="false">E21*$I21</f>
        <v>6.01914129076712</v>
      </c>
      <c r="O21" s="18" t="n">
        <f aca="false">F21*$I21</f>
        <v>7.86035724658087E-005</v>
      </c>
      <c r="P21" s="18" t="n">
        <f aca="false">G21*$I21</f>
        <v>0.000704249073920808</v>
      </c>
    </row>
    <row r="22" customFormat="false" ht="15" hidden="false" customHeight="false" outlineLevel="0" collapsed="false">
      <c r="A22" s="19" t="str">
        <f aca="false">Datos!A31</f>
        <v>2011Q3</v>
      </c>
      <c r="B22" s="20" t="n">
        <f aca="false">Datos!G31</f>
        <v>0.0640936718081673</v>
      </c>
      <c r="C22" s="20" t="n">
        <f aca="false">Datos!N31</f>
        <v>0.0444334376577356</v>
      </c>
      <c r="D22" s="20" t="n">
        <f aca="false">Datos!J31</f>
        <v>-0.0117</v>
      </c>
      <c r="E22" s="20" t="n">
        <f aca="false">Datos!I29</f>
        <v>-12.9487096774192</v>
      </c>
      <c r="F22" s="20" t="n">
        <f aca="false">Datos!M29</f>
        <v>0.00150805653382125</v>
      </c>
      <c r="G22" s="20" t="n">
        <f aca="false">Datos!L31</f>
        <v>0.0064285495380567</v>
      </c>
      <c r="H22" s="18" t="n">
        <v>1</v>
      </c>
      <c r="I22" s="18" t="n">
        <f aca="false">B22-($B$87+$B$88*C22+$B$89*D22+$B$90*E22+$B$91*F22+$B$92*G22)</f>
        <v>0.0346446445850594</v>
      </c>
      <c r="J22" s="18" t="n">
        <f aca="false">I22^2</f>
        <v>0.00120025139842509</v>
      </c>
      <c r="K22" s="18" t="n">
        <f aca="false">H22*$I22</f>
        <v>0.0346446445850594</v>
      </c>
      <c r="L22" s="18" t="n">
        <f aca="false">C22*$I22</f>
        <v>0.00153938065534464</v>
      </c>
      <c r="M22" s="18" t="n">
        <f aca="false">D22*$I22</f>
        <v>-0.000405342341645195</v>
      </c>
      <c r="N22" s="18" t="n">
        <f aca="false">E22*$I22</f>
        <v>-0.448603444609307</v>
      </c>
      <c r="O22" s="18" t="n">
        <f aca="false">F22*$I22</f>
        <v>5.22460826284137E-005</v>
      </c>
      <c r="P22" s="18" t="n">
        <f aca="false">G22*$I22</f>
        <v>0.000222714813943422</v>
      </c>
    </row>
    <row r="23" customFormat="false" ht="15" hidden="false" customHeight="false" outlineLevel="0" collapsed="false">
      <c r="A23" s="19" t="str">
        <f aca="false">Datos!A32</f>
        <v>2011Q4</v>
      </c>
      <c r="B23" s="20" t="n">
        <f aca="false">Datos!G32</f>
        <v>0.0521713189216535</v>
      </c>
      <c r="C23" s="20" t="n">
        <f aca="false">Datos!N32</f>
        <v>0.0640936718081673</v>
      </c>
      <c r="D23" s="20" t="n">
        <f aca="false">Datos!J32</f>
        <v>-0.0096</v>
      </c>
      <c r="E23" s="20" t="n">
        <f aca="false">Datos!I30</f>
        <v>41.5229032258063</v>
      </c>
      <c r="F23" s="20" t="n">
        <f aca="false">Datos!M30</f>
        <v>-0.00105380264062771</v>
      </c>
      <c r="G23" s="20" t="n">
        <f aca="false">Datos!L32</f>
        <v>-0.0196574711342907</v>
      </c>
      <c r="H23" s="18" t="n">
        <v>1</v>
      </c>
      <c r="I23" s="18" t="n">
        <f aca="false">B23-($B$87+$B$88*C23+$B$89*D23+$B$90*E23+$B$91*F23+$B$92*G23)</f>
        <v>0.00610992735171254</v>
      </c>
      <c r="J23" s="18" t="n">
        <f aca="false">I23^2</f>
        <v>3.7331212243205E-005</v>
      </c>
      <c r="K23" s="18" t="n">
        <f aca="false">H23*$I23</f>
        <v>0.00610992735171254</v>
      </c>
      <c r="L23" s="18" t="n">
        <f aca="false">C23*$I23</f>
        <v>0.000391607678452408</v>
      </c>
      <c r="M23" s="18" t="n">
        <f aca="false">D23*$I23</f>
        <v>-5.86553025764403E-005</v>
      </c>
      <c r="N23" s="18" t="n">
        <f aca="false">E23*$I23</f>
        <v>0.253701922141867</v>
      </c>
      <c r="O23" s="18" t="n">
        <f aca="false">F23*$I23</f>
        <v>-6.43865757727812E-006</v>
      </c>
      <c r="P23" s="18" t="n">
        <f aca="false">G23*$I23</f>
        <v>-0.000120105720548903</v>
      </c>
    </row>
    <row r="24" customFormat="false" ht="15" hidden="false" customHeight="false" outlineLevel="0" collapsed="false">
      <c r="A24" s="19" t="str">
        <f aca="false">Datos!A33</f>
        <v>2012Q1</v>
      </c>
      <c r="B24" s="20" t="n">
        <f aca="false">Datos!G33</f>
        <v>0.0156424693190642</v>
      </c>
      <c r="C24" s="20" t="n">
        <f aca="false">Datos!N33</f>
        <v>0.0521713189216535</v>
      </c>
      <c r="D24" s="20" t="n">
        <f aca="false">Datos!J33</f>
        <v>-0.0086</v>
      </c>
      <c r="E24" s="20" t="n">
        <f aca="false">Datos!I31</f>
        <v>158.444625</v>
      </c>
      <c r="F24" s="20" t="n">
        <f aca="false">Datos!M31</f>
        <v>-0.00352299984857712</v>
      </c>
      <c r="G24" s="20" t="n">
        <f aca="false">Datos!L33</f>
        <v>-0.0305004534419946</v>
      </c>
      <c r="H24" s="18" t="n">
        <v>1</v>
      </c>
      <c r="I24" s="18" t="n">
        <f aca="false">B24-($B$87+$B$88*C24+$B$89*D24+$B$90*E24+$B$91*F24+$B$92*G24)</f>
        <v>-0.0158842278998977</v>
      </c>
      <c r="J24" s="18" t="n">
        <f aca="false">I24^2</f>
        <v>0.00025230869597589</v>
      </c>
      <c r="K24" s="18" t="n">
        <f aca="false">H24*$I24</f>
        <v>-0.0158842278998977</v>
      </c>
      <c r="L24" s="18" t="n">
        <f aca="false">C24*$I24</f>
        <v>-0.000828701119589791</v>
      </c>
      <c r="M24" s="18" t="n">
        <f aca="false">D24*$I24</f>
        <v>0.000136604359939121</v>
      </c>
      <c r="N24" s="18" t="n">
        <f aca="false">E24*$I24</f>
        <v>-2.51677053301383</v>
      </c>
      <c r="O24" s="18" t="n">
        <f aca="false">F24*$I24</f>
        <v>5.59601324861043E-005</v>
      </c>
      <c r="P24" s="18" t="n">
        <f aca="false">G24*$I24</f>
        <v>0.000484476153522862</v>
      </c>
    </row>
    <row r="25" customFormat="false" ht="15" hidden="false" customHeight="false" outlineLevel="0" collapsed="false">
      <c r="A25" s="19" t="str">
        <f aca="false">Datos!A34</f>
        <v>2012Q2</v>
      </c>
      <c r="B25" s="20" t="n">
        <f aca="false">Datos!G34</f>
        <v>-0.0463175722342237</v>
      </c>
      <c r="C25" s="20" t="n">
        <f aca="false">Datos!N34</f>
        <v>0.0156424693190642</v>
      </c>
      <c r="D25" s="20" t="n">
        <f aca="false">Datos!J34</f>
        <v>-0.0072</v>
      </c>
      <c r="E25" s="20" t="n">
        <f aca="false">Datos!I32</f>
        <v>174.585041666667</v>
      </c>
      <c r="F25" s="20" t="n">
        <f aca="false">Datos!M32</f>
        <v>-0.000637790538180211</v>
      </c>
      <c r="G25" s="20" t="n">
        <f aca="false">Datos!L34</f>
        <v>-0.01627495217818</v>
      </c>
      <c r="H25" s="18" t="n">
        <v>1</v>
      </c>
      <c r="I25" s="18" t="n">
        <f aca="false">B25-($B$87+$B$88*C25+$B$89*D25+$B$90*E25+$B$91*F25+$B$92*G25)</f>
        <v>-0.0432181635248666</v>
      </c>
      <c r="J25" s="18" t="n">
        <f aca="false">I25^2</f>
        <v>0.00186780965846211</v>
      </c>
      <c r="K25" s="18" t="n">
        <f aca="false">H25*$I25</f>
        <v>-0.0432181635248666</v>
      </c>
      <c r="L25" s="18" t="n">
        <f aca="false">C25*$I25</f>
        <v>-0.000676038796964026</v>
      </c>
      <c r="M25" s="18" t="n">
        <f aca="false">D25*$I25</f>
        <v>0.00031117077737904</v>
      </c>
      <c r="N25" s="18" t="n">
        <f aca="false">E25*$I25</f>
        <v>-7.54524487974566</v>
      </c>
      <c r="O25" s="18" t="n">
        <f aca="false">F25*$I25</f>
        <v>2.75641357736851E-005</v>
      </c>
      <c r="P25" s="18" t="n">
        <f aca="false">G25*$I25</f>
        <v>0.000703373544595967</v>
      </c>
    </row>
    <row r="26" customFormat="false" ht="15" hidden="false" customHeight="false" outlineLevel="0" collapsed="false">
      <c r="A26" s="19" t="str">
        <f aca="false">Datos!A35</f>
        <v>2012Q3</v>
      </c>
      <c r="B26" s="20" t="n">
        <f aca="false">Datos!G35</f>
        <v>-0.0111829419552486</v>
      </c>
      <c r="C26" s="20" t="n">
        <f aca="false">Datos!N35</f>
        <v>-0.0463175722342237</v>
      </c>
      <c r="D26" s="20" t="n">
        <f aca="false">Datos!J35</f>
        <v>0.015</v>
      </c>
      <c r="E26" s="20" t="n">
        <f aca="false">Datos!I33</f>
        <v>-75.1010327956988</v>
      </c>
      <c r="F26" s="20" t="n">
        <f aca="false">Datos!M33</f>
        <v>-0.00100156130651481</v>
      </c>
      <c r="G26" s="20" t="n">
        <f aca="false">Datos!L35</f>
        <v>0.0663292235215516</v>
      </c>
      <c r="H26" s="18" t="n">
        <v>1</v>
      </c>
      <c r="I26" s="18" t="n">
        <f aca="false">B26-($B$87+$B$88*C26+$B$89*D26+$B$90*E26+$B$91*F26+$B$92*G26)</f>
        <v>-0.00246060817572684</v>
      </c>
      <c r="J26" s="18" t="n">
        <f aca="false">I26^2</f>
        <v>6.05459259445375E-006</v>
      </c>
      <c r="K26" s="18" t="n">
        <f aca="false">H26*$I26</f>
        <v>-0.00246060817572684</v>
      </c>
      <c r="L26" s="18" t="n">
        <f aca="false">C26*$I26</f>
        <v>0.000113969396919349</v>
      </c>
      <c r="M26" s="18" t="n">
        <f aca="false">D26*$I26</f>
        <v>-3.69091226359025E-005</v>
      </c>
      <c r="N26" s="18" t="n">
        <f aca="false">E26*$I26</f>
        <v>0.184794215302626</v>
      </c>
      <c r="O26" s="18" t="n">
        <f aca="false">F26*$I26</f>
        <v>2.464449939302E-006</v>
      </c>
      <c r="P26" s="18" t="n">
        <f aca="false">G26*$I26</f>
        <v>-0.000163210229686743</v>
      </c>
    </row>
    <row r="27" customFormat="false" ht="15" hidden="false" customHeight="false" outlineLevel="0" collapsed="false">
      <c r="A27" s="19" t="str">
        <f aca="false">Datos!A36</f>
        <v>2012Q4</v>
      </c>
      <c r="B27" s="20" t="n">
        <f aca="false">Datos!G36</f>
        <v>0.00555804016441552</v>
      </c>
      <c r="C27" s="20" t="n">
        <f aca="false">Datos!N36</f>
        <v>-0.0111829419552486</v>
      </c>
      <c r="D27" s="20" t="n">
        <f aca="false">Datos!J36</f>
        <v>-9.99999999999994E-005</v>
      </c>
      <c r="E27" s="20" t="n">
        <f aca="false">Datos!I34</f>
        <v>231.838685176651</v>
      </c>
      <c r="F27" s="20" t="n">
        <f aca="false">Datos!M34</f>
        <v>-0.00300269044532598</v>
      </c>
      <c r="G27" s="20" t="n">
        <f aca="false">Datos!L36</f>
        <v>0.0304311234506662</v>
      </c>
      <c r="H27" s="18" t="n">
        <v>1</v>
      </c>
      <c r="I27" s="18" t="n">
        <f aca="false">B27-($B$87+$B$88*C27+$B$89*D27+$B$90*E27+$B$91*F27+$B$92*G27)</f>
        <v>0.0172897766181568</v>
      </c>
      <c r="J27" s="18" t="n">
        <f aca="false">I27^2</f>
        <v>0.000298936375505762</v>
      </c>
      <c r="K27" s="18" t="n">
        <f aca="false">H27*$I27</f>
        <v>0.0172897766181568</v>
      </c>
      <c r="L27" s="18" t="n">
        <f aca="false">C27*$I27</f>
        <v>-0.000193350568340062</v>
      </c>
      <c r="M27" s="18" t="n">
        <f aca="false">D27*$I27</f>
        <v>-1.72897766181567E-006</v>
      </c>
      <c r="N27" s="18" t="n">
        <f aca="false">E27*$I27</f>
        <v>4.00843907815148</v>
      </c>
      <c r="O27" s="18" t="n">
        <f aca="false">F27*$I27</f>
        <v>-5.19158470531601E-005</v>
      </c>
      <c r="P27" s="18" t="n">
        <f aca="false">G27*$I27</f>
        <v>0.000526147326701572</v>
      </c>
    </row>
    <row r="28" customFormat="false" ht="15" hidden="false" customHeight="false" outlineLevel="0" collapsed="false">
      <c r="A28" s="19" t="str">
        <f aca="false">Datos!A37</f>
        <v>2013Q1</v>
      </c>
      <c r="B28" s="20" t="n">
        <f aca="false">Datos!G37</f>
        <v>0.00654025144614989</v>
      </c>
      <c r="C28" s="20" t="n">
        <f aca="false">Datos!N37</f>
        <v>0.00555804016441552</v>
      </c>
      <c r="D28" s="20" t="n">
        <f aca="false">Datos!J37</f>
        <v>0.0024</v>
      </c>
      <c r="E28" s="20" t="n">
        <f aca="false">Datos!I35</f>
        <v>-43.7133031746029</v>
      </c>
      <c r="F28" s="20" t="n">
        <f aca="false">Datos!M35</f>
        <v>0.00125591690417205</v>
      </c>
      <c r="G28" s="20" t="n">
        <f aca="false">Datos!L37</f>
        <v>-0.0333884367038117</v>
      </c>
      <c r="H28" s="18" t="n">
        <v>1</v>
      </c>
      <c r="I28" s="18" t="n">
        <f aca="false">B28-($B$87+$B$88*C28+$B$89*D28+$B$90*E28+$B$91*F28+$B$92*G28)</f>
        <v>0.00310300111424176</v>
      </c>
      <c r="J28" s="18" t="n">
        <f aca="false">I28^2</f>
        <v>9.62861591498562E-006</v>
      </c>
      <c r="K28" s="18" t="n">
        <f aca="false">H28*$I28</f>
        <v>0.00310300111424176</v>
      </c>
      <c r="L28" s="18" t="n">
        <f aca="false">C28*$I28</f>
        <v>1.72466048231818E-005</v>
      </c>
      <c r="M28" s="18" t="n">
        <f aca="false">D28*$I28</f>
        <v>7.44720267418023E-006</v>
      </c>
      <c r="N28" s="18" t="n">
        <f aca="false">E28*$I28</f>
        <v>-0.135642428457981</v>
      </c>
      <c r="O28" s="18" t="n">
        <f aca="false">F28*$I28</f>
        <v>3.89711155304094E-006</v>
      </c>
      <c r="P28" s="18" t="n">
        <f aca="false">G28*$I28</f>
        <v>-0.000103604356294718</v>
      </c>
    </row>
    <row r="29" customFormat="false" ht="15" hidden="false" customHeight="false" outlineLevel="0" collapsed="false">
      <c r="A29" s="19" t="str">
        <f aca="false">Datos!A38</f>
        <v>2013Q2</v>
      </c>
      <c r="B29" s="20" t="n">
        <f aca="false">Datos!G38</f>
        <v>0.0624602349363816</v>
      </c>
      <c r="C29" s="20" t="n">
        <f aca="false">Datos!N38</f>
        <v>0.00654025144614989</v>
      </c>
      <c r="D29" s="20" t="n">
        <f aca="false">Datos!J38</f>
        <v>0.013</v>
      </c>
      <c r="E29" s="20" t="n">
        <f aca="false">Datos!I36</f>
        <v>16.4557341269839</v>
      </c>
      <c r="F29" s="20" t="n">
        <f aca="false">Datos!M36</f>
        <v>-0.00130886014989251</v>
      </c>
      <c r="G29" s="20" t="n">
        <f aca="false">Datos!L38</f>
        <v>0.0010851184441924</v>
      </c>
      <c r="H29" s="18" t="n">
        <v>1</v>
      </c>
      <c r="I29" s="18" t="n">
        <f aca="false">B29-($B$87+$B$88*C29+$B$89*D29+$B$90*E29+$B$91*F29+$B$92*G29)</f>
        <v>0.0400474421813976</v>
      </c>
      <c r="J29" s="18" t="n">
        <f aca="false">I29^2</f>
        <v>0.00160379762527238</v>
      </c>
      <c r="K29" s="18" t="n">
        <f aca="false">H29*$I29</f>
        <v>0.0400474421813976</v>
      </c>
      <c r="L29" s="18" t="n">
        <f aca="false">C29*$I29</f>
        <v>0.00026192034164149</v>
      </c>
      <c r="M29" s="18" t="n">
        <f aca="false">D29*$I29</f>
        <v>0.000520616748358168</v>
      </c>
      <c r="N29" s="18" t="n">
        <f aca="false">E29*$I29</f>
        <v>0.659010061002838</v>
      </c>
      <c r="O29" s="18" t="n">
        <f aca="false">F29*$I29</f>
        <v>-5.24165011763557E-005</v>
      </c>
      <c r="P29" s="18" t="n">
        <f aca="false">G29*$I29</f>
        <v>4.34562181537633E-005</v>
      </c>
    </row>
    <row r="30" customFormat="false" ht="15" hidden="false" customHeight="false" outlineLevel="0" collapsed="false">
      <c r="A30" s="19" t="str">
        <f aca="false">Datos!A39</f>
        <v>2013Q3</v>
      </c>
      <c r="B30" s="20" t="n">
        <f aca="false">Datos!G39</f>
        <v>0.0255838987402566</v>
      </c>
      <c r="C30" s="20" t="n">
        <f aca="false">Datos!N39</f>
        <v>0.0624602349363816</v>
      </c>
      <c r="D30" s="20" t="n">
        <f aca="false">Datos!J39</f>
        <v>-0.0126</v>
      </c>
      <c r="E30" s="20" t="n">
        <f aca="false">Datos!I37</f>
        <v>88.9247333333331</v>
      </c>
      <c r="F30" s="20" t="n">
        <f aca="false">Datos!M37</f>
        <v>-0.00175680240468713</v>
      </c>
      <c r="G30" s="20" t="n">
        <f aca="false">Datos!L39</f>
        <v>-0.0776602322661193</v>
      </c>
      <c r="H30" s="18" t="n">
        <v>1</v>
      </c>
      <c r="I30" s="18" t="n">
        <f aca="false">B30-($B$87+$B$88*C30+$B$89*D30+$B$90*E30+$B$91*F30+$B$92*G30)</f>
        <v>-0.0039158827439208</v>
      </c>
      <c r="J30" s="18" t="n">
        <f aca="false">I30^2</f>
        <v>1.53341376641367E-005</v>
      </c>
      <c r="K30" s="18" t="n">
        <f aca="false">H30*$I30</f>
        <v>-0.0039158827439208</v>
      </c>
      <c r="L30" s="18" t="n">
        <f aca="false">C30*$I30</f>
        <v>-0.000244586956168616</v>
      </c>
      <c r="M30" s="18" t="n">
        <f aca="false">D30*$I30</f>
        <v>4.9340122573402E-005</v>
      </c>
      <c r="N30" s="18" t="n">
        <f aca="false">E30*$I30</f>
        <v>-0.348218828767758</v>
      </c>
      <c r="O30" s="18" t="n">
        <f aca="false">F30*$I30</f>
        <v>6.8794322209929E-006</v>
      </c>
      <c r="P30" s="18" t="n">
        <f aca="false">G30*$I30</f>
        <v>0.000304108363419778</v>
      </c>
    </row>
    <row r="31" customFormat="false" ht="15" hidden="false" customHeight="false" outlineLevel="0" collapsed="false">
      <c r="A31" s="19" t="str">
        <f aca="false">Datos!A40</f>
        <v>2013Q4</v>
      </c>
      <c r="B31" s="20" t="n">
        <f aca="false">Datos!G40</f>
        <v>-0.000510205754616022</v>
      </c>
      <c r="C31" s="20" t="n">
        <f aca="false">Datos!N40</f>
        <v>0.0255838987402566</v>
      </c>
      <c r="D31" s="20" t="n">
        <f aca="false">Datos!J40</f>
        <v>-0.0023</v>
      </c>
      <c r="E31" s="20" t="n">
        <f aca="false">Datos!I38</f>
        <v>74.8855166666669</v>
      </c>
      <c r="F31" s="20" t="n">
        <f aca="false">Datos!M38</f>
        <v>0.00125258435651265</v>
      </c>
      <c r="G31" s="20" t="n">
        <f aca="false">Datos!L40</f>
        <v>-0.0630538774164901</v>
      </c>
      <c r="H31" s="18" t="n">
        <v>1</v>
      </c>
      <c r="I31" s="18" t="n">
        <f aca="false">B31-($B$87+$B$88*C31+$B$89*D31+$B$90*E31+$B$91*F31+$B$92*G31)</f>
        <v>-0.00616640912566377</v>
      </c>
      <c r="J31" s="18" t="n">
        <f aca="false">I31^2</f>
        <v>3.80246015050695E-005</v>
      </c>
      <c r="K31" s="18" t="n">
        <f aca="false">H31*$I31</f>
        <v>-0.00616640912566377</v>
      </c>
      <c r="L31" s="18" t="n">
        <f aca="false">C31*$I31</f>
        <v>-0.000157760786661976</v>
      </c>
      <c r="M31" s="18" t="n">
        <f aca="false">D31*$I31</f>
        <v>1.41827409890267E-005</v>
      </c>
      <c r="N31" s="18" t="n">
        <f aca="false">E31*$I31</f>
        <v>-0.461774733353382</v>
      </c>
      <c r="O31" s="18" t="n">
        <f aca="false">F31*$I31</f>
        <v>-7.72394760666329E-006</v>
      </c>
      <c r="P31" s="18" t="n">
        <f aca="false">G31*$I31</f>
        <v>0.000388816005109529</v>
      </c>
    </row>
    <row r="32" customFormat="false" ht="15" hidden="false" customHeight="false" outlineLevel="0" collapsed="false">
      <c r="A32" s="19" t="str">
        <f aca="false">Datos!A41</f>
        <v>2014Q1</v>
      </c>
      <c r="B32" s="20" t="n">
        <f aca="false">Datos!G41</f>
        <v>-0.00889028383967849</v>
      </c>
      <c r="C32" s="20" t="n">
        <f aca="false">Datos!N41</f>
        <v>-0.000510205754616022</v>
      </c>
      <c r="D32" s="20" t="n">
        <f aca="false">Datos!J41</f>
        <v>0.00939999999999999</v>
      </c>
      <c r="E32" s="20" t="n">
        <f aca="false">Datos!I39</f>
        <v>-109.725953125</v>
      </c>
      <c r="F32" s="20" t="n">
        <f aca="false">Datos!M39</f>
        <v>-0.00406567893775619</v>
      </c>
      <c r="G32" s="20" t="n">
        <f aca="false">Datos!L41</f>
        <v>-0.0842813466413068</v>
      </c>
      <c r="H32" s="18" t="n">
        <v>1</v>
      </c>
      <c r="I32" s="18" t="n">
        <f aca="false">B32-($B$87+$B$88*C32+$B$89*D32+$B$90*E32+$B$91*F32+$B$92*G32)</f>
        <v>-0.015761612952559</v>
      </c>
      <c r="J32" s="18" t="n">
        <f aca="false">I32^2</f>
        <v>0.000248428442866275</v>
      </c>
      <c r="K32" s="18" t="n">
        <f aca="false">H32*$I32</f>
        <v>-0.015761612952559</v>
      </c>
      <c r="L32" s="18" t="n">
        <f aca="false">C32*$I32</f>
        <v>8.04166563042603E-006</v>
      </c>
      <c r="M32" s="18" t="n">
        <f aca="false">D32*$I32</f>
        <v>-0.000148159161754054</v>
      </c>
      <c r="N32" s="18" t="n">
        <f aca="false">E32*$I32</f>
        <v>1.72945800400688</v>
      </c>
      <c r="O32" s="18" t="n">
        <f aca="false">F32*$I32</f>
        <v>6.40816578062842E-005</v>
      </c>
      <c r="P32" s="18" t="n">
        <f aca="false">G32*$I32</f>
        <v>0.00132840996488074</v>
      </c>
    </row>
    <row r="33" customFormat="false" ht="15" hidden="false" customHeight="false" outlineLevel="0" collapsed="false">
      <c r="A33" s="19" t="str">
        <f aca="false">Datos!A42</f>
        <v>2014Q2</v>
      </c>
      <c r="B33" s="20" t="n">
        <f aca="false">Datos!G42</f>
        <v>-0.0204893869308982</v>
      </c>
      <c r="C33" s="20" t="n">
        <f aca="false">Datos!N42</f>
        <v>-0.00889028383967849</v>
      </c>
      <c r="D33" s="20" t="n">
        <f aca="false">Datos!J42</f>
        <v>-0.0391</v>
      </c>
      <c r="E33" s="20" t="n">
        <f aca="false">Datos!I40</f>
        <v>-236.474292776639</v>
      </c>
      <c r="F33" s="20" t="n">
        <f aca="false">Datos!M40</f>
        <v>-0.00727729392696567</v>
      </c>
      <c r="G33" s="20" t="n">
        <f aca="false">Datos!L42</f>
        <v>-0.0366748678812265</v>
      </c>
      <c r="H33" s="18" t="n">
        <v>1</v>
      </c>
      <c r="I33" s="18" t="n">
        <f aca="false">B33-($B$87+$B$88*C33+$B$89*D33+$B$90*E33+$B$91*F33+$B$92*G33)</f>
        <v>0.013909513768256</v>
      </c>
      <c r="J33" s="18" t="n">
        <f aca="false">I33^2</f>
        <v>0.000193474573269303</v>
      </c>
      <c r="K33" s="18" t="n">
        <f aca="false">H33*$I33</f>
        <v>0.013909513768256</v>
      </c>
      <c r="L33" s="18" t="n">
        <f aca="false">C33*$I33</f>
        <v>-0.000123659525471712</v>
      </c>
      <c r="M33" s="18" t="n">
        <f aca="false">D33*$I33</f>
        <v>-0.00054386198833881</v>
      </c>
      <c r="N33" s="18" t="n">
        <f aca="false">E33*$I33</f>
        <v>-3.28924243121526</v>
      </c>
      <c r="O33" s="18" t="n">
        <f aca="false">F33*$I33</f>
        <v>-0.000101223620072775</v>
      </c>
      <c r="P33" s="18" t="n">
        <f aca="false">G33*$I33</f>
        <v>-0.00051012957974289</v>
      </c>
    </row>
    <row r="34" customFormat="false" ht="15" hidden="false" customHeight="false" outlineLevel="0" collapsed="false">
      <c r="A34" s="19" t="str">
        <f aca="false">Datos!A43</f>
        <v>2014Q3</v>
      </c>
      <c r="B34" s="20" t="n">
        <f aca="false">Datos!G43</f>
        <v>-0.0423851505475772</v>
      </c>
      <c r="C34" s="20" t="n">
        <f aca="false">Datos!N43</f>
        <v>-0.0204893869308982</v>
      </c>
      <c r="D34" s="20" t="n">
        <f aca="false">Datos!J43</f>
        <v>-0.002</v>
      </c>
      <c r="E34" s="20" t="n">
        <f aca="false">Datos!I41</f>
        <v>71.9946229508196</v>
      </c>
      <c r="F34" s="20" t="n">
        <f aca="false">Datos!M41</f>
        <v>-0.00118439913588839</v>
      </c>
      <c r="G34" s="20" t="n">
        <f aca="false">Datos!L43</f>
        <v>0.0130613529329055</v>
      </c>
      <c r="H34" s="18" t="n">
        <v>1</v>
      </c>
      <c r="I34" s="18" t="n">
        <f aca="false">B34-($B$87+$B$88*C34+$B$89*D34+$B$90*E34+$B$91*F34+$B$92*G34)</f>
        <v>-0.0225031934907956</v>
      </c>
      <c r="J34" s="18" t="n">
        <f aca="false">I34^2</f>
        <v>0.000506393717284186</v>
      </c>
      <c r="K34" s="18" t="n">
        <f aca="false">H34*$I34</f>
        <v>-0.0225031934907956</v>
      </c>
      <c r="L34" s="18" t="n">
        <f aca="false">C34*$I34</f>
        <v>0.000461076638613781</v>
      </c>
      <c r="M34" s="18" t="n">
        <f aca="false">D34*$I34</f>
        <v>4.50063869815912E-005</v>
      </c>
      <c r="N34" s="18" t="n">
        <f aca="false">E34*$I34</f>
        <v>-1.62010893055917</v>
      </c>
      <c r="O34" s="18" t="n">
        <f aca="false">F34*$I34</f>
        <v>2.66527629252276E-005</v>
      </c>
      <c r="P34" s="18" t="n">
        <f aca="false">G34*$I34</f>
        <v>-0.000293922152300743</v>
      </c>
    </row>
    <row r="35" customFormat="false" ht="15" hidden="false" customHeight="false" outlineLevel="0" collapsed="false">
      <c r="A35" s="19" t="str">
        <f aca="false">Datos!A44</f>
        <v>2014Q4</v>
      </c>
      <c r="B35" s="20" t="n">
        <f aca="false">Datos!G44</f>
        <v>-0.0281573013880524</v>
      </c>
      <c r="C35" s="20" t="n">
        <f aca="false">Datos!N44</f>
        <v>-0.0423851505475772</v>
      </c>
      <c r="D35" s="20" t="n">
        <f aca="false">Datos!J44</f>
        <v>0.0041</v>
      </c>
      <c r="E35" s="20" t="n">
        <f aca="false">Datos!I42</f>
        <v>-143.202551652355</v>
      </c>
      <c r="F35" s="20" t="n">
        <f aca="false">Datos!M42</f>
        <v>-0.00410547863798731</v>
      </c>
      <c r="G35" s="20" t="n">
        <f aca="false">Datos!L44</f>
        <v>0.0476258562716286</v>
      </c>
      <c r="H35" s="18" t="n">
        <v>1</v>
      </c>
      <c r="I35" s="18" t="n">
        <f aca="false">B35-($B$87+$B$88*C35+$B$89*D35+$B$90*E35+$B$91*F35+$B$92*G35)</f>
        <v>-0.0155580245110384</v>
      </c>
      <c r="J35" s="18" t="n">
        <f aca="false">I35^2</f>
        <v>0.000242052126686071</v>
      </c>
      <c r="K35" s="18" t="n">
        <f aca="false">H35*$I35</f>
        <v>-0.0155580245110384</v>
      </c>
      <c r="L35" s="18" t="n">
        <f aca="false">C35*$I35</f>
        <v>0.000659429211123257</v>
      </c>
      <c r="M35" s="18" t="n">
        <f aca="false">D35*$I35</f>
        <v>-6.37879004952573E-005</v>
      </c>
      <c r="N35" s="18" t="n">
        <f aca="false">E35*$I35</f>
        <v>2.22794880865058</v>
      </c>
      <c r="O35" s="18" t="n">
        <f aca="false">F35*$I35</f>
        <v>6.3873137279351E-005</v>
      </c>
      <c r="P35" s="18" t="n">
        <f aca="false">G35*$I35</f>
        <v>-0.000740964239233188</v>
      </c>
    </row>
    <row r="36" customFormat="false" ht="15" hidden="false" customHeight="false" outlineLevel="0" collapsed="false">
      <c r="A36" s="19" t="str">
        <f aca="false">Datos!A45</f>
        <v>2015Q1</v>
      </c>
      <c r="B36" s="20" t="n">
        <f aca="false">Datos!G45</f>
        <v>0.00250908947797246</v>
      </c>
      <c r="C36" s="20" t="n">
        <f aca="false">Datos!N45</f>
        <v>-0.0281573013880524</v>
      </c>
      <c r="D36" s="20" t="n">
        <f aca="false">Datos!J45</f>
        <v>-0.0138</v>
      </c>
      <c r="E36" s="20" t="n">
        <f aca="false">Datos!I43</f>
        <v>-73.5206691468252</v>
      </c>
      <c r="F36" s="20" t="n">
        <f aca="false">Datos!M43</f>
        <v>-0.00441492926641144</v>
      </c>
      <c r="G36" s="20" t="n">
        <f aca="false">Datos!L45</f>
        <v>0.0970284563259407</v>
      </c>
      <c r="H36" s="18" t="n">
        <v>1</v>
      </c>
      <c r="I36" s="18" t="n">
        <f aca="false">B36-($B$87+$B$88*C36+$B$89*D36+$B$90*E36+$B$91*F36+$B$92*G36)</f>
        <v>0.0156593580884761</v>
      </c>
      <c r="J36" s="18" t="n">
        <f aca="false">I36^2</f>
        <v>0.000245215495743123</v>
      </c>
      <c r="K36" s="18" t="n">
        <f aca="false">H36*$I36</f>
        <v>0.0156593580884761</v>
      </c>
      <c r="L36" s="18" t="n">
        <f aca="false">C36*$I36</f>
        <v>-0.000440925265240658</v>
      </c>
      <c r="M36" s="18" t="n">
        <f aca="false">D36*$I36</f>
        <v>-0.000216099141620971</v>
      </c>
      <c r="N36" s="18" t="n">
        <f aca="false">E36*$I36</f>
        <v>-1.15128648507451</v>
      </c>
      <c r="O36" s="18" t="n">
        <f aca="false">F36*$I36</f>
        <v>-6.913495831803E-005</v>
      </c>
      <c r="P36" s="18" t="n">
        <f aca="false">G36*$I36</f>
        <v>0.00151940334237997</v>
      </c>
    </row>
    <row r="37" customFormat="false" ht="15" hidden="false" customHeight="false" outlineLevel="0" collapsed="false">
      <c r="A37" s="19" t="str">
        <f aca="false">Datos!A46</f>
        <v>2015Q2</v>
      </c>
      <c r="B37" s="20" t="n">
        <f aca="false">Datos!G46</f>
        <v>0.0403103203233863</v>
      </c>
      <c r="C37" s="20" t="n">
        <f aca="false">Datos!N46</f>
        <v>0.00250908947797246</v>
      </c>
      <c r="D37" s="20" t="n">
        <f aca="false">Datos!J46</f>
        <v>-0.0112</v>
      </c>
      <c r="E37" s="20" t="n">
        <f aca="false">Datos!I44</f>
        <v>21.0197781762296</v>
      </c>
      <c r="F37" s="20" t="n">
        <f aca="false">Datos!M44</f>
        <v>-0.000491837075280319</v>
      </c>
      <c r="G37" s="20" t="n">
        <f aca="false">Datos!L46</f>
        <v>0.0949181376142003</v>
      </c>
      <c r="H37" s="18" t="n">
        <v>1</v>
      </c>
      <c r="I37" s="18" t="n">
        <f aca="false">B37-($B$87+$B$88*C37+$B$89*D37+$B$90*E37+$B$91*F37+$B$92*G37)</f>
        <v>0.032581603815621</v>
      </c>
      <c r="J37" s="18" t="n">
        <f aca="false">I37^2</f>
        <v>0.00106156090719809</v>
      </c>
      <c r="K37" s="18" t="n">
        <f aca="false">H37*$I37</f>
        <v>0.032581603815621</v>
      </c>
      <c r="L37" s="18" t="n">
        <f aca="false">C37*$I37</f>
        <v>8.1750159309242E-005</v>
      </c>
      <c r="M37" s="18" t="n">
        <f aca="false">D37*$I37</f>
        <v>-0.000364913962734955</v>
      </c>
      <c r="N37" s="18" t="n">
        <f aca="false">E37*$I37</f>
        <v>0.684858084830149</v>
      </c>
      <c r="O37" s="18" t="n">
        <f aca="false">F37*$I37</f>
        <v>-1.60248407286171E-005</v>
      </c>
      <c r="P37" s="18" t="n">
        <f aca="false">G37*$I37</f>
        <v>0.00309258515466247</v>
      </c>
    </row>
    <row r="38" customFormat="false" ht="15" hidden="false" customHeight="false" outlineLevel="0" collapsed="false">
      <c r="A38" s="19" t="str">
        <f aca="false">Datos!A47</f>
        <v>2015Q3</v>
      </c>
      <c r="B38" s="20" t="n">
        <f aca="false">Datos!G47</f>
        <v>0.0396616998607275</v>
      </c>
      <c r="C38" s="20" t="n">
        <f aca="false">Datos!N47</f>
        <v>0.0403103203233863</v>
      </c>
      <c r="D38" s="20" t="n">
        <f aca="false">Datos!J47</f>
        <v>-0.0153</v>
      </c>
      <c r="E38" s="20" t="n">
        <f aca="false">Datos!I45</f>
        <v>-63.2494918032786</v>
      </c>
      <c r="F38" s="20" t="n">
        <f aca="false">Datos!M45</f>
        <v>-0.00379583329619817</v>
      </c>
      <c r="G38" s="20" t="n">
        <f aca="false">Datos!L47</f>
        <v>-0.0451740937489069</v>
      </c>
      <c r="H38" s="18" t="n">
        <v>1</v>
      </c>
      <c r="I38" s="18" t="n">
        <f aca="false">B38-($B$87+$B$88*C38+$B$89*D38+$B$90*E38+$B$91*F38+$B$92*G38)</f>
        <v>0.0174387123325173</v>
      </c>
      <c r="J38" s="18" t="n">
        <f aca="false">I38^2</f>
        <v>0.00030410868781629</v>
      </c>
      <c r="K38" s="18" t="n">
        <f aca="false">H38*$I38</f>
        <v>0.0174387123325173</v>
      </c>
      <c r="L38" s="18" t="n">
        <f aca="false">C38*$I38</f>
        <v>0.000702960080151158</v>
      </c>
      <c r="M38" s="18" t="n">
        <f aca="false">D38*$I38</f>
        <v>-0.000266812298687514</v>
      </c>
      <c r="N38" s="18" t="n">
        <f aca="false">E38*$I38</f>
        <v>-1.10298969273528</v>
      </c>
      <c r="O38" s="18" t="n">
        <f aca="false">F38*$I38</f>
        <v>-6.61944449145906E-005</v>
      </c>
      <c r="P38" s="18" t="n">
        <f aca="false">G38*$I38</f>
        <v>-0.000787778025769353</v>
      </c>
    </row>
    <row r="39" customFormat="false" ht="15" hidden="false" customHeight="false" outlineLevel="0" collapsed="false">
      <c r="A39" s="19" t="str">
        <f aca="false">Datos!A48</f>
        <v>2015Q4</v>
      </c>
      <c r="B39" s="20" t="n">
        <f aca="false">Datos!G48</f>
        <v>0.0247270091543546</v>
      </c>
      <c r="C39" s="20" t="n">
        <f aca="false">Datos!N48</f>
        <v>0.0396616998607275</v>
      </c>
      <c r="D39" s="20" t="n">
        <f aca="false">Datos!J48</f>
        <v>-0.0127</v>
      </c>
      <c r="E39" s="20" t="n">
        <f aca="false">Datos!I46</f>
        <v>-69.448288776797</v>
      </c>
      <c r="F39" s="20" t="n">
        <f aca="false">Datos!M46</f>
        <v>-0.00217649253180521</v>
      </c>
      <c r="G39" s="20" t="n">
        <f aca="false">Datos!L48</f>
        <v>-0.00760537036467967</v>
      </c>
      <c r="H39" s="18" t="n">
        <v>1</v>
      </c>
      <c r="I39" s="18" t="n">
        <f aca="false">B39-($B$87+$B$88*C39+$B$89*D39+$B$90*E39+$B$91*F39+$B$92*G39)</f>
        <v>-0.0045364695178464</v>
      </c>
      <c r="J39" s="18" t="n">
        <f aca="false">I39^2</f>
        <v>2.05795556863495E-005</v>
      </c>
      <c r="K39" s="18" t="n">
        <f aca="false">H39*$I39</f>
        <v>-0.0045364695178464</v>
      </c>
      <c r="L39" s="18" t="n">
        <f aca="false">C39*$I39</f>
        <v>-0.000179924092444163</v>
      </c>
      <c r="M39" s="18" t="n">
        <f aca="false">D39*$I39</f>
        <v>5.76131628766492E-005</v>
      </c>
      <c r="N39" s="18" t="n">
        <f aca="false">E39*$I39</f>
        <v>0.315050045102533</v>
      </c>
      <c r="O39" s="18" t="n">
        <f aca="false">F39*$I39</f>
        <v>9.87359202635468E-006</v>
      </c>
      <c r="P39" s="18" t="n">
        <f aca="false">G39*$I39</f>
        <v>3.45015308313016E-005</v>
      </c>
    </row>
    <row r="40" customFormat="false" ht="15" hidden="false" customHeight="false" outlineLevel="0" collapsed="false">
      <c r="A40" s="19" t="str">
        <f aca="false">Datos!A49</f>
        <v>2016Q1</v>
      </c>
      <c r="B40" s="20" t="n">
        <f aca="false">Datos!G49</f>
        <v>0.00728692545281007</v>
      </c>
      <c r="C40" s="20" t="n">
        <f aca="false">Datos!N49</f>
        <v>0.0247270091543546</v>
      </c>
      <c r="D40" s="20" t="n">
        <f aca="false">Datos!J49</f>
        <v>0.0037</v>
      </c>
      <c r="E40" s="20" t="n">
        <f aca="false">Datos!I47</f>
        <v>-12.3885780885781</v>
      </c>
      <c r="F40" s="20" t="n">
        <f aca="false">Datos!M47</f>
        <v>0.000773184816559663</v>
      </c>
      <c r="G40" s="20" t="n">
        <f aca="false">Datos!L49</f>
        <v>-0.0917417768075395</v>
      </c>
      <c r="H40" s="18" t="n">
        <v>1</v>
      </c>
      <c r="I40" s="18" t="n">
        <f aca="false">B40-($B$87+$B$88*C40+$B$89*D40+$B$90*E40+$B$91*F40+$B$92*G40)</f>
        <v>-0.0040639656063952</v>
      </c>
      <c r="J40" s="18" t="n">
        <f aca="false">I40^2</f>
        <v>1.65158164499631E-005</v>
      </c>
      <c r="K40" s="18" t="n">
        <f aca="false">H40*$I40</f>
        <v>-0.0040639656063952</v>
      </c>
      <c r="L40" s="18" t="n">
        <f aca="false">C40*$I40</f>
        <v>-0.000100489714752316</v>
      </c>
      <c r="M40" s="18" t="n">
        <f aca="false">D40*$I40</f>
        <v>-1.50366727436622E-005</v>
      </c>
      <c r="N40" s="18" t="n">
        <f aca="false">E40*$I40</f>
        <v>0.0503467552641227</v>
      </c>
      <c r="O40" s="18" t="n">
        <f aca="false">F40*$I40</f>
        <v>-3.14219650188545E-006</v>
      </c>
      <c r="P40" s="18" t="n">
        <f aca="false">G40*$I40</f>
        <v>0.000372835425615425</v>
      </c>
    </row>
    <row r="41" customFormat="false" ht="15" hidden="false" customHeight="false" outlineLevel="0" collapsed="false">
      <c r="A41" s="19" t="str">
        <f aca="false">Datos!A50</f>
        <v>2016Q2</v>
      </c>
      <c r="B41" s="20" t="n">
        <f aca="false">Datos!G50</f>
        <v>-0.0385885964740134</v>
      </c>
      <c r="C41" s="20" t="n">
        <f aca="false">Datos!N50</f>
        <v>0.00728692545281007</v>
      </c>
      <c r="D41" s="20" t="n">
        <f aca="false">Datos!J50</f>
        <v>0.0192</v>
      </c>
      <c r="E41" s="20" t="n">
        <f aca="false">Datos!I48</f>
        <v>-78.2729603729604</v>
      </c>
      <c r="F41" s="20" t="n">
        <f aca="false">Datos!M48</f>
        <v>-0.00280010033850613</v>
      </c>
      <c r="G41" s="20" t="n">
        <f aca="false">Datos!L50</f>
        <v>-0.105589828941248</v>
      </c>
      <c r="H41" s="18" t="n">
        <v>1</v>
      </c>
      <c r="I41" s="18" t="n">
        <f aca="false">B41-($B$87+$B$88*C41+$B$89*D41+$B$90*E41+$B$91*F41+$B$92*G41)</f>
        <v>-0.0562666027564145</v>
      </c>
      <c r="J41" s="18" t="n">
        <f aca="false">I41^2</f>
        <v>0.00316593058574815</v>
      </c>
      <c r="K41" s="18" t="n">
        <f aca="false">H41*$I41</f>
        <v>-0.0562666027564145</v>
      </c>
      <c r="L41" s="18" t="n">
        <f aca="false">C41*$I41</f>
        <v>-0.00041001053976887</v>
      </c>
      <c r="M41" s="18" t="n">
        <f aca="false">D41*$I41</f>
        <v>-0.00108031877292316</v>
      </c>
      <c r="N41" s="18" t="n">
        <f aca="false">E41*$I41</f>
        <v>4.40415356787393</v>
      </c>
      <c r="O41" s="18" t="n">
        <f aca="false">F41*$I41</f>
        <v>0.000157552133424826</v>
      </c>
      <c r="P41" s="18" t="n">
        <f aca="false">G41*$I41</f>
        <v>0.00594118096015497</v>
      </c>
    </row>
    <row r="42" customFormat="false" ht="15" hidden="false" customHeight="false" outlineLevel="0" collapsed="false">
      <c r="A42" s="19" t="str">
        <f aca="false">Datos!A51</f>
        <v>2016Q3</v>
      </c>
      <c r="B42" s="20" t="n">
        <f aca="false">Datos!G51</f>
        <v>-0.0332721885187776</v>
      </c>
      <c r="C42" s="20" t="n">
        <f aca="false">Datos!N51</f>
        <v>-0.0385885964740134</v>
      </c>
      <c r="D42" s="20" t="n">
        <f aca="false">Datos!J51</f>
        <v>0.00790000000000001</v>
      </c>
      <c r="E42" s="20" t="n">
        <f aca="false">Datos!I49</f>
        <v>-38.2862026862027</v>
      </c>
      <c r="F42" s="20" t="n">
        <f aca="false">Datos!M49</f>
        <v>0.00260547432509496</v>
      </c>
      <c r="G42" s="20" t="n">
        <f aca="false">Datos!L51</f>
        <v>0.00909160826158509</v>
      </c>
      <c r="H42" s="18" t="n">
        <v>1</v>
      </c>
      <c r="I42" s="18" t="n">
        <f aca="false">B42-($B$87+$B$88*C42+$B$89*D42+$B$90*E42+$B$91*F42+$B$92*G42)</f>
        <v>-0.00709941341894261</v>
      </c>
      <c r="J42" s="18" t="n">
        <f aca="false">I42^2</f>
        <v>5.04016708930623E-005</v>
      </c>
      <c r="K42" s="18" t="n">
        <f aca="false">H42*$I42</f>
        <v>-0.00709941341894261</v>
      </c>
      <c r="L42" s="18" t="n">
        <f aca="false">C42*$I42</f>
        <v>0.000273956399625772</v>
      </c>
      <c r="M42" s="18" t="n">
        <f aca="false">D42*$I42</f>
        <v>-5.60853660096467E-005</v>
      </c>
      <c r="N42" s="18" t="n">
        <f aca="false">E42*$I42</f>
        <v>0.271809581110784</v>
      </c>
      <c r="O42" s="18" t="n">
        <f aca="false">F42*$I42</f>
        <v>-1.84973393862896E-005</v>
      </c>
      <c r="P42" s="18" t="n">
        <f aca="false">G42*$I42</f>
        <v>-6.45450856920666E-005</v>
      </c>
    </row>
    <row r="43" customFormat="false" ht="15" hidden="false" customHeight="false" outlineLevel="0" collapsed="false">
      <c r="A43" s="19" t="str">
        <f aca="false">Datos!A52</f>
        <v>2016Q4</v>
      </c>
      <c r="B43" s="20" t="n">
        <f aca="false">Datos!G52</f>
        <v>-0.0149328839288507</v>
      </c>
      <c r="C43" s="20" t="n">
        <f aca="false">Datos!N52</f>
        <v>-0.0332721885187776</v>
      </c>
      <c r="D43" s="20" t="n">
        <f aca="false">Datos!J52</f>
        <v>0.0024</v>
      </c>
      <c r="E43" s="20" t="n">
        <f aca="false">Datos!I50</f>
        <v>-20.156746031746</v>
      </c>
      <c r="F43" s="20" t="n">
        <f aca="false">Datos!M50</f>
        <v>0.000745358878983644</v>
      </c>
      <c r="G43" s="20" t="n">
        <f aca="false">Datos!L52</f>
        <v>0.0256334028858917</v>
      </c>
      <c r="H43" s="18" t="n">
        <v>1</v>
      </c>
      <c r="I43" s="18" t="n">
        <f aca="false">B43-($B$87+$B$88*C43+$B$89*D43+$B$90*E43+$B$91*F43+$B$92*G43)</f>
        <v>0.00774133229178569</v>
      </c>
      <c r="J43" s="18" t="n">
        <f aca="false">I43^2</f>
        <v>5.99282256518438E-005</v>
      </c>
      <c r="K43" s="18" t="n">
        <f aca="false">H43*$I43</f>
        <v>0.00774133229178569</v>
      </c>
      <c r="L43" s="18" t="n">
        <f aca="false">C43*$I43</f>
        <v>-0.000257571067398794</v>
      </c>
      <c r="M43" s="18" t="n">
        <f aca="false">D43*$I43</f>
        <v>1.85791975002856E-005</v>
      </c>
      <c r="N43" s="18" t="n">
        <f aca="false">E43*$I43</f>
        <v>-0.156040068952878</v>
      </c>
      <c r="O43" s="18" t="n">
        <f aca="false">F43*$I43</f>
        <v>5.77007075884527E-006</v>
      </c>
      <c r="P43" s="18" t="n">
        <f aca="false">G43*$I43</f>
        <v>0.000198436689508906</v>
      </c>
    </row>
    <row r="44" customFormat="false" ht="15" hidden="false" customHeight="false" outlineLevel="0" collapsed="false">
      <c r="A44" s="19" t="str">
        <f aca="false">Datos!A53</f>
        <v>2017Q1</v>
      </c>
      <c r="B44" s="20" t="n">
        <f aca="false">Datos!G53</f>
        <v>0.00559679082443165</v>
      </c>
      <c r="C44" s="20" t="n">
        <f aca="false">Datos!N53</f>
        <v>-0.0149328839288507</v>
      </c>
      <c r="D44" s="20" t="n">
        <f aca="false">Datos!J53</f>
        <v>0.026</v>
      </c>
      <c r="E44" s="20" t="n">
        <f aca="false">Datos!I51</f>
        <v>51.5281007751937</v>
      </c>
      <c r="F44" s="20" t="n">
        <f aca="false">Datos!M51</f>
        <v>-0.00224991902638157</v>
      </c>
      <c r="G44" s="20" t="n">
        <f aca="false">Datos!L53</f>
        <v>0.0820466115755285</v>
      </c>
      <c r="H44" s="18" t="n">
        <v>1</v>
      </c>
      <c r="I44" s="18" t="n">
        <f aca="false">B44-($B$87+$B$88*C44+$B$89*D44+$B$90*E44+$B$91*F44+$B$92*G44)</f>
        <v>-0.0248765714239976</v>
      </c>
      <c r="J44" s="18" t="n">
        <f aca="false">I44^2</f>
        <v>0.000618843805813252</v>
      </c>
      <c r="K44" s="18" t="n">
        <f aca="false">H44*$I44</f>
        <v>-0.0248765714239976</v>
      </c>
      <c r="L44" s="18" t="n">
        <f aca="false">C44*$I44</f>
        <v>0.000371478953622321</v>
      </c>
      <c r="M44" s="18" t="n">
        <f aca="false">D44*$I44</f>
        <v>-0.000646790857023937</v>
      </c>
      <c r="N44" s="18" t="n">
        <f aca="false">E44*$I44</f>
        <v>-1.28184247927705</v>
      </c>
      <c r="O44" s="18" t="n">
        <f aca="false">F44*$I44</f>
        <v>5.59702713579923E-005</v>
      </c>
      <c r="P44" s="18" t="n">
        <f aca="false">G44*$I44</f>
        <v>-0.00204103839295562</v>
      </c>
    </row>
    <row r="45" customFormat="false" ht="15" hidden="false" customHeight="false" outlineLevel="0" collapsed="false">
      <c r="A45" s="19" t="str">
        <f aca="false">Datos!A54</f>
        <v>2017Q2</v>
      </c>
      <c r="B45" s="20" t="n">
        <f aca="false">Datos!G54</f>
        <v>0.0232658340767662</v>
      </c>
      <c r="C45" s="20" t="n">
        <f aca="false">Datos!N54</f>
        <v>0.00559679082443165</v>
      </c>
      <c r="D45" s="20" t="n">
        <f aca="false">Datos!J54</f>
        <v>0.0049</v>
      </c>
      <c r="E45" s="20" t="n">
        <f aca="false">Datos!I52</f>
        <v>-26.5005366726296</v>
      </c>
      <c r="F45" s="20" t="n">
        <f aca="false">Datos!M52</f>
        <v>-0.00212333552972169</v>
      </c>
      <c r="G45" s="20" t="n">
        <f aca="false">Datos!L54</f>
        <v>0.090804942430336</v>
      </c>
      <c r="H45" s="18" t="n">
        <v>1</v>
      </c>
      <c r="I45" s="18" t="n">
        <f aca="false">B45-($B$87+$B$88*C45+$B$89*D45+$B$90*E45+$B$91*F45+$B$92*G45)</f>
        <v>-0.00871365342546607</v>
      </c>
      <c r="J45" s="18" t="n">
        <f aca="false">I45^2</f>
        <v>7.59277560191365E-005</v>
      </c>
      <c r="K45" s="18" t="n">
        <f aca="false">H45*$I45</f>
        <v>-0.00871365342546607</v>
      </c>
      <c r="L45" s="18" t="n">
        <f aca="false">C45*$I45</f>
        <v>-4.87684955389259E-005</v>
      </c>
      <c r="M45" s="18" t="n">
        <f aca="false">D45*$I45</f>
        <v>-4.26969017847837E-005</v>
      </c>
      <c r="N45" s="18" t="n">
        <f aca="false">E45*$I45</f>
        <v>0.230916492154148</v>
      </c>
      <c r="O45" s="18" t="n">
        <f aca="false">F45*$I45</f>
        <v>1.85020099119732E-005</v>
      </c>
      <c r="P45" s="18" t="n">
        <f aca="false">G45*$I45</f>
        <v>-0.000791242797657346</v>
      </c>
    </row>
    <row r="46" customFormat="false" ht="15" hidden="false" customHeight="false" outlineLevel="0" collapsed="false">
      <c r="A46" s="19" t="str">
        <f aca="false">Datos!A55</f>
        <v>2017Q3</v>
      </c>
      <c r="B46" s="20" t="n">
        <f aca="false">Datos!G55</f>
        <v>0.0385060856362685</v>
      </c>
      <c r="C46" s="20" t="n">
        <f aca="false">Datos!N55</f>
        <v>0.0232658340767662</v>
      </c>
      <c r="D46" s="20" t="n">
        <f aca="false">Datos!J55</f>
        <v>0.0075</v>
      </c>
      <c r="E46" s="20" t="n">
        <f aca="false">Datos!I53</f>
        <v>-15.9076923076924</v>
      </c>
      <c r="F46" s="20" t="n">
        <f aca="false">Datos!M53</f>
        <v>0.00313795605318815</v>
      </c>
      <c r="G46" s="20" t="n">
        <f aca="false">Datos!L55</f>
        <v>-0.0255266010597097</v>
      </c>
      <c r="H46" s="18" t="n">
        <v>1</v>
      </c>
      <c r="I46" s="18" t="n">
        <f aca="false">B46-($B$87+$B$88*C46+$B$89*D46+$B$90*E46+$B$91*F46+$B$92*G46)</f>
        <v>0.0156085139190668</v>
      </c>
      <c r="J46" s="18" t="n">
        <f aca="false">I46^2</f>
        <v>0.000243625706761701</v>
      </c>
      <c r="K46" s="18" t="n">
        <f aca="false">H46*$I46</f>
        <v>0.0156085139190668</v>
      </c>
      <c r="L46" s="18" t="n">
        <f aca="false">C46*$I46</f>
        <v>0.000363145095025903</v>
      </c>
      <c r="M46" s="18" t="n">
        <f aca="false">D46*$I46</f>
        <v>0.000117063854393001</v>
      </c>
      <c r="N46" s="18" t="n">
        <f aca="false">E46*$I46</f>
        <v>-0.248295436804848</v>
      </c>
      <c r="O46" s="18" t="n">
        <f aca="false">F46*$I46</f>
        <v>4.8978830733607E-005</v>
      </c>
      <c r="P46" s="18" t="n">
        <f aca="false">G46*$I46</f>
        <v>-0.000398432307946944</v>
      </c>
    </row>
    <row r="47" customFormat="false" ht="15" hidden="false" customHeight="false" outlineLevel="0" collapsed="false">
      <c r="A47" s="19" t="str">
        <f aca="false">Datos!A56</f>
        <v>2017Q4</v>
      </c>
      <c r="B47" s="20" t="n">
        <f aca="false">Datos!G56</f>
        <v>0.0453268482640472</v>
      </c>
      <c r="C47" s="20" t="n">
        <f aca="false">Datos!N56</f>
        <v>0.0385060856362685</v>
      </c>
      <c r="D47" s="20" t="n">
        <f aca="false">Datos!J56</f>
        <v>0.0075</v>
      </c>
      <c r="E47" s="20" t="n">
        <f aca="false">Datos!I54</f>
        <v>-40.3959134615384</v>
      </c>
      <c r="F47" s="20" t="n">
        <f aca="false">Datos!M54</f>
        <v>-0.00131224327995142</v>
      </c>
      <c r="G47" s="20" t="n">
        <f aca="false">Datos!L56</f>
        <v>-0.0155592807433043</v>
      </c>
      <c r="H47" s="18" t="n">
        <v>1</v>
      </c>
      <c r="I47" s="18" t="n">
        <f aca="false">B47-($B$87+$B$88*C47+$B$89*D47+$B$90*E47+$B$91*F47+$B$92*G47)</f>
        <v>-0.000761780729614858</v>
      </c>
      <c r="J47" s="18" t="n">
        <f aca="false">I47^2</f>
        <v>5.80309880012546E-007</v>
      </c>
      <c r="K47" s="18" t="n">
        <f aca="false">H47*$I47</f>
        <v>-0.000761780729614858</v>
      </c>
      <c r="L47" s="18" t="n">
        <f aca="false">C47*$I47</f>
        <v>-2.93331940106088E-005</v>
      </c>
      <c r="M47" s="18" t="n">
        <f aca="false">D47*$I47</f>
        <v>-5.71335547211144E-006</v>
      </c>
      <c r="N47" s="18" t="n">
        <f aca="false">E47*$I47</f>
        <v>0.0307728284301894</v>
      </c>
      <c r="O47" s="18" t="n">
        <f aca="false">F47*$I47</f>
        <v>9.99641643233588E-007</v>
      </c>
      <c r="P47" s="18" t="n">
        <f aca="false">G47*$I47</f>
        <v>1.18527602369167E-005</v>
      </c>
    </row>
    <row r="48" customFormat="false" ht="15" hidden="false" customHeight="false" outlineLevel="0" collapsed="false">
      <c r="A48" s="19" t="str">
        <f aca="false">Datos!A57</f>
        <v>2018Q1</v>
      </c>
      <c r="B48" s="20" t="n">
        <f aca="false">Datos!G57</f>
        <v>0.0379774021814201</v>
      </c>
      <c r="C48" s="20" t="n">
        <f aca="false">Datos!N57</f>
        <v>0.0453268482640472</v>
      </c>
      <c r="D48" s="20" t="n">
        <f aca="false">Datos!J57</f>
        <v>-0.0093</v>
      </c>
      <c r="E48" s="20" t="n">
        <f aca="false">Datos!I55</f>
        <v>0.498765624999805</v>
      </c>
      <c r="F48" s="20" t="n">
        <f aca="false">Datos!M55</f>
        <v>0.00437317645861715</v>
      </c>
      <c r="G48" s="20" t="n">
        <f aca="false">Datos!L57</f>
        <v>-0.0321415960972991</v>
      </c>
      <c r="H48" s="18" t="n">
        <v>1</v>
      </c>
      <c r="I48" s="18" t="n">
        <f aca="false">B48-($B$87+$B$88*C48+$B$89*D48+$B$90*E48+$B$91*F48+$B$92*G48)</f>
        <v>0.016500554270245</v>
      </c>
      <c r="J48" s="18" t="n">
        <f aca="false">I48^2</f>
        <v>0.0002722682912253</v>
      </c>
      <c r="K48" s="18" t="n">
        <f aca="false">H48*$I48</f>
        <v>0.016500554270245</v>
      </c>
      <c r="L48" s="18" t="n">
        <f aca="false">C48*$I48</f>
        <v>0.00074791811968007</v>
      </c>
      <c r="M48" s="18" t="n">
        <f aca="false">D48*$I48</f>
        <v>-0.000153455154713278</v>
      </c>
      <c r="N48" s="18" t="n">
        <f aca="false">E48*$I48</f>
        <v>0.00822990926344194</v>
      </c>
      <c r="O48" s="18" t="n">
        <f aca="false">F48*$I48</f>
        <v>7.215983548877E-005</v>
      </c>
      <c r="P48" s="18" t="n">
        <f aca="false">G48*$I48</f>
        <v>-0.000530354150735777</v>
      </c>
    </row>
    <row r="49" customFormat="false" ht="15" hidden="false" customHeight="false" outlineLevel="0" collapsed="false">
      <c r="A49" s="19" t="str">
        <f aca="false">Datos!A58</f>
        <v>2018Q2</v>
      </c>
      <c r="B49" s="20" t="n">
        <f aca="false">Datos!G58</f>
        <v>-0.039790994073943</v>
      </c>
      <c r="C49" s="20" t="n">
        <f aca="false">Datos!N58</f>
        <v>0.0379774021814201</v>
      </c>
      <c r="D49" s="20" t="n">
        <f aca="false">Datos!J58</f>
        <v>-0.004</v>
      </c>
      <c r="E49" s="20" t="n">
        <f aca="false">Datos!I56</f>
        <v>-54.5718281249997</v>
      </c>
      <c r="F49" s="20" t="n">
        <f aca="false">Datos!M56</f>
        <v>-0.00282356527239929</v>
      </c>
      <c r="G49" s="20" t="n">
        <f aca="false">Datos!L58</f>
        <v>-0.0862072970433814</v>
      </c>
      <c r="H49" s="18" t="n">
        <v>1</v>
      </c>
      <c r="I49" s="18" t="n">
        <f aca="false">B49-($B$87+$B$88*C49+$B$89*D49+$B$90*E49+$B$91*F49+$B$92*G49)</f>
        <v>-0.0630714369967244</v>
      </c>
      <c r="J49" s="18" t="n">
        <f aca="false">I49^2</f>
        <v>0.00397800616483177</v>
      </c>
      <c r="K49" s="18" t="n">
        <f aca="false">H49*$I49</f>
        <v>-0.0630714369967244</v>
      </c>
      <c r="L49" s="18" t="n">
        <f aca="false">C49*$I49</f>
        <v>-0.0023952893289847</v>
      </c>
      <c r="M49" s="18" t="n">
        <f aca="false">D49*$I49</f>
        <v>0.000252285747986897</v>
      </c>
      <c r="N49" s="18" t="n">
        <f aca="false">E49*$I49</f>
        <v>3.44192361938199</v>
      </c>
      <c r="O49" s="18" t="n">
        <f aca="false">F49*$I49</f>
        <v>0.000178086319184271</v>
      </c>
      <c r="P49" s="18" t="n">
        <f aca="false">G49*$I49</f>
        <v>0.00543721810412953</v>
      </c>
    </row>
    <row r="50" customFormat="false" ht="15" hidden="false" customHeight="false" outlineLevel="0" collapsed="false">
      <c r="A50" s="19" t="str">
        <f aca="false">Datos!A59</f>
        <v>2018Q3</v>
      </c>
      <c r="B50" s="20" t="n">
        <f aca="false">Datos!G59</f>
        <v>-0.0346944038739507</v>
      </c>
      <c r="C50" s="20" t="n">
        <f aca="false">Datos!N59</f>
        <v>-0.039790994073943</v>
      </c>
      <c r="D50" s="20" t="n">
        <f aca="false">Datos!J59</f>
        <v>0.0049</v>
      </c>
      <c r="E50" s="20" t="n">
        <f aca="false">Datos!I57</f>
        <v>28.5320987903223</v>
      </c>
      <c r="F50" s="20" t="n">
        <f aca="false">Datos!M57</f>
        <v>0.00290671938696596</v>
      </c>
      <c r="G50" s="20" t="n">
        <f aca="false">Datos!L59</f>
        <v>-0.007186629179833</v>
      </c>
      <c r="H50" s="18" t="n">
        <v>1</v>
      </c>
      <c r="I50" s="18" t="n">
        <f aca="false">B50-($B$87+$B$88*C50+$B$89*D50+$B$90*E50+$B$91*F50+$B$92*G50)</f>
        <v>0.00255237984189142</v>
      </c>
      <c r="J50" s="18" t="n">
        <f aca="false">I50^2</f>
        <v>6.51464285729366E-006</v>
      </c>
      <c r="K50" s="18" t="n">
        <f aca="false">H50*$I50</f>
        <v>0.00255237984189142</v>
      </c>
      <c r="L50" s="18" t="n">
        <f aca="false">C50*$I50</f>
        <v>-0.000101561731163153</v>
      </c>
      <c r="M50" s="18" t="n">
        <f aca="false">D50*$I50</f>
        <v>1.25066612252679E-005</v>
      </c>
      <c r="N50" s="18" t="n">
        <f aca="false">E50*$I50</f>
        <v>0.0728247537992731</v>
      </c>
      <c r="O50" s="18" t="n">
        <f aca="false">F50*$I50</f>
        <v>7.4190519693269E-006</v>
      </c>
      <c r="P50" s="18" t="n">
        <f aca="false">G50*$I50</f>
        <v>-1.83430074497544E-005</v>
      </c>
    </row>
    <row r="51" customFormat="false" ht="15" hidden="false" customHeight="false" outlineLevel="0" collapsed="false">
      <c r="A51" s="19" t="str">
        <f aca="false">Datos!A60</f>
        <v>2018Q4</v>
      </c>
      <c r="B51" s="20" t="n">
        <f aca="false">Datos!G60</f>
        <v>-0.0633973916700751</v>
      </c>
      <c r="C51" s="20" t="n">
        <f aca="false">Datos!N60</f>
        <v>-0.0346944038739507</v>
      </c>
      <c r="D51" s="20" t="n">
        <f aca="false">Datos!J60</f>
        <v>-0.0032</v>
      </c>
      <c r="E51" s="20" t="n">
        <f aca="false">Datos!I58</f>
        <v>77.2218156327545</v>
      </c>
      <c r="F51" s="20" t="n">
        <f aca="false">Datos!M58</f>
        <v>0.00448572267268541</v>
      </c>
      <c r="G51" s="20" t="n">
        <f aca="false">Datos!L60</f>
        <v>-0.142847120756375</v>
      </c>
      <c r="H51" s="18" t="n">
        <v>1</v>
      </c>
      <c r="I51" s="18" t="n">
        <f aca="false">B51-($B$87+$B$88*C51+$B$89*D51+$B$90*E51+$B$91*F51+$B$92*G51)</f>
        <v>0.00666101491562027</v>
      </c>
      <c r="J51" s="18" t="n">
        <f aca="false">I51^2</f>
        <v>4.43691197061157E-005</v>
      </c>
      <c r="K51" s="18" t="n">
        <f aca="false">H51*$I51</f>
        <v>0.00666101491562027</v>
      </c>
      <c r="L51" s="18" t="n">
        <f aca="false">C51*$I51</f>
        <v>-0.000231099941692939</v>
      </c>
      <c r="M51" s="18" t="n">
        <f aca="false">D51*$I51</f>
        <v>-2.13152477299849E-005</v>
      </c>
      <c r="N51" s="18" t="n">
        <f aca="false">E51*$I51</f>
        <v>0.514375665741056</v>
      </c>
      <c r="O51" s="18" t="n">
        <f aca="false">F51*$I51</f>
        <v>2.98794656300935E-005</v>
      </c>
      <c r="P51" s="18" t="n">
        <f aca="false">G51*$I51</f>
        <v>-0.000951506802011623</v>
      </c>
    </row>
    <row r="52" customFormat="false" ht="15" hidden="false" customHeight="false" outlineLevel="0" collapsed="false">
      <c r="A52" s="19" t="str">
        <f aca="false">Datos!A61</f>
        <v>2019Q1</v>
      </c>
      <c r="B52" s="20" t="n">
        <f aca="false">Datos!G61</f>
        <v>-0.0586372539873753</v>
      </c>
      <c r="C52" s="20" t="n">
        <f aca="false">Datos!N61</f>
        <v>-0.0633973916700751</v>
      </c>
      <c r="D52" s="20" t="n">
        <f aca="false">Datos!J61</f>
        <v>-0.0063</v>
      </c>
      <c r="E52" s="20" t="n">
        <f aca="false">Datos!I59</f>
        <v>166.169284270953</v>
      </c>
      <c r="F52" s="20" t="n">
        <f aca="false">Datos!M59</f>
        <v>0.00398660376814081</v>
      </c>
      <c r="G52" s="20" t="n">
        <f aca="false">Datos!L61</f>
        <v>-0.00307543246636571</v>
      </c>
      <c r="H52" s="18" t="n">
        <v>1</v>
      </c>
      <c r="I52" s="18" t="n">
        <f aca="false">B52-($B$87+$B$88*C52+$B$89*D52+$B$90*E52+$B$91*F52+$B$92*G52)</f>
        <v>0.0204460267716163</v>
      </c>
      <c r="J52" s="18" t="n">
        <f aca="false">I52^2</f>
        <v>0.000418040010745651</v>
      </c>
      <c r="K52" s="18" t="n">
        <f aca="false">H52*$I52</f>
        <v>0.0204460267716163</v>
      </c>
      <c r="L52" s="18" t="n">
        <f aca="false">C52*$I52</f>
        <v>-0.001296224767337</v>
      </c>
      <c r="M52" s="18" t="n">
        <f aca="false">D52*$I52</f>
        <v>-0.000128809968661183</v>
      </c>
      <c r="N52" s="18" t="n">
        <f aca="false">E52*$I52</f>
        <v>3.39750163482423</v>
      </c>
      <c r="O52" s="18" t="n">
        <f aca="false">F52*$I52</f>
        <v>8.15102073712335E-005</v>
      </c>
      <c r="P52" s="18" t="n">
        <f aca="false">G52*$I52</f>
        <v>-6.28803745416114E-005</v>
      </c>
    </row>
    <row r="53" customFormat="false" ht="15" hidden="false" customHeight="false" outlineLevel="0" collapsed="false">
      <c r="A53" s="19" t="str">
        <f aca="false">Datos!A62</f>
        <v>2019Q2</v>
      </c>
      <c r="B53" s="20" t="n">
        <f aca="false">Datos!G62</f>
        <v>0.00582819893603537</v>
      </c>
      <c r="C53" s="20" t="n">
        <f aca="false">Datos!N62</f>
        <v>-0.0586372539873753</v>
      </c>
      <c r="D53" s="20" t="n">
        <f aca="false">Datos!J62</f>
        <v>0.0049</v>
      </c>
      <c r="E53" s="20" t="n">
        <f aca="false">Datos!I60</f>
        <v>56.51817630597</v>
      </c>
      <c r="F53" s="20" t="n">
        <f aca="false">Datos!M60</f>
        <v>0.00237141847561423</v>
      </c>
      <c r="G53" s="20" t="n">
        <f aca="false">Datos!L62</f>
        <v>0.0177693705862153</v>
      </c>
      <c r="H53" s="18" t="n">
        <v>1</v>
      </c>
      <c r="I53" s="18" t="n">
        <f aca="false">B53-($B$87+$B$88*C53+$B$89*D53+$B$90*E53+$B$91*F53+$B$92*G53)</f>
        <v>0.0568574683481293</v>
      </c>
      <c r="J53" s="18" t="n">
        <f aca="false">I53^2</f>
        <v>0.00323277170695852</v>
      </c>
      <c r="K53" s="18" t="n">
        <f aca="false">H53*$I53</f>
        <v>0.0568574683481293</v>
      </c>
      <c r="L53" s="18" t="n">
        <f aca="false">C53*$I53</f>
        <v>-0.00333396581260841</v>
      </c>
      <c r="M53" s="18" t="n">
        <f aca="false">D53*$I53</f>
        <v>0.000278601594905833</v>
      </c>
      <c r="N53" s="18" t="n">
        <f aca="false">E53*$I53</f>
        <v>3.21348042041068</v>
      </c>
      <c r="O53" s="18" t="n">
        <f aca="false">F53*$I53</f>
        <v>0.000134832850917405</v>
      </c>
      <c r="P53" s="18" t="n">
        <f aca="false">G53*$I53</f>
        <v>0.00101032142567192</v>
      </c>
    </row>
    <row r="54" customFormat="false" ht="15" hidden="false" customHeight="false" outlineLevel="0" collapsed="false">
      <c r="A54" s="19" t="str">
        <f aca="false">Datos!A63</f>
        <v>2019Q3</v>
      </c>
      <c r="B54" s="20" t="n">
        <f aca="false">Datos!G63</f>
        <v>-0.0175271616356651</v>
      </c>
      <c r="C54" s="20" t="n">
        <f aca="false">Datos!N63</f>
        <v>0.00582819893603537</v>
      </c>
      <c r="D54" s="20" t="n">
        <f aca="false">Datos!J63</f>
        <v>0.0011</v>
      </c>
      <c r="E54" s="20" t="n">
        <f aca="false">Datos!I61</f>
        <v>19.2017013888889</v>
      </c>
      <c r="F54" s="20" t="n">
        <f aca="false">Datos!M61</f>
        <v>0.00391032989339685</v>
      </c>
      <c r="G54" s="20" t="n">
        <f aca="false">Datos!L63</f>
        <v>0.0305353600114784</v>
      </c>
      <c r="H54" s="18" t="n">
        <v>1</v>
      </c>
      <c r="I54" s="18" t="n">
        <f aca="false">B54-($B$87+$B$88*C54+$B$89*D54+$B$90*E54+$B$91*F54+$B$92*G54)</f>
        <v>-0.0244074410491044</v>
      </c>
      <c r="J54" s="18" t="n">
        <f aca="false">I54^2</f>
        <v>0.000595723178565506</v>
      </c>
      <c r="K54" s="18" t="n">
        <f aca="false">H54*$I54</f>
        <v>-0.0244074410491044</v>
      </c>
      <c r="L54" s="18" t="n">
        <f aca="false">C54*$I54</f>
        <v>-0.000142251421953736</v>
      </c>
      <c r="M54" s="18" t="n">
        <f aca="false">D54*$I54</f>
        <v>-2.68481851540148E-005</v>
      </c>
      <c r="N54" s="18" t="n">
        <f aca="false">E54*$I54</f>
        <v>-0.468664394691811</v>
      </c>
      <c r="O54" s="18" t="n">
        <f aca="false">F54*$I54</f>
        <v>-9.54411463556343E-005</v>
      </c>
      <c r="P54" s="18" t="n">
        <f aca="false">G54*$I54</f>
        <v>-0.000745289999393339</v>
      </c>
    </row>
    <row r="55" customFormat="false" ht="15" hidden="false" customHeight="false" outlineLevel="0" collapsed="false">
      <c r="A55" s="19" t="str">
        <f aca="false">Datos!A64</f>
        <v>2019Q4</v>
      </c>
      <c r="B55" s="20" t="n">
        <f aca="false">Datos!G64</f>
        <v>-0.0107484273951806</v>
      </c>
      <c r="C55" s="20" t="n">
        <f aca="false">Datos!N64</f>
        <v>-0.0175271616356651</v>
      </c>
      <c r="D55" s="20" t="n">
        <f aca="false">Datos!J64</f>
        <v>0.0048</v>
      </c>
      <c r="E55" s="20" t="n">
        <f aca="false">Datos!I62</f>
        <v>162.790259661836</v>
      </c>
      <c r="F55" s="20" t="n">
        <f aca="false">Datos!M62</f>
        <v>0.00677189883217557</v>
      </c>
      <c r="G55" s="20" t="n">
        <f aca="false">Datos!L64</f>
        <v>0.112964984181918</v>
      </c>
      <c r="H55" s="18" t="n">
        <v>1</v>
      </c>
      <c r="I55" s="18" t="n">
        <f aca="false">B55-($B$87+$B$88*C55+$B$89*D55+$B$90*E55+$B$91*F55+$B$92*G55)</f>
        <v>-0.003455812791871</v>
      </c>
      <c r="J55" s="18" t="n">
        <f aca="false">I55^2</f>
        <v>1.19426420524592E-005</v>
      </c>
      <c r="K55" s="18" t="n">
        <f aca="false">H55*$I55</f>
        <v>-0.003455812791871</v>
      </c>
      <c r="L55" s="18" t="n">
        <f aca="false">C55*$I55</f>
        <v>6.05705893857223E-005</v>
      </c>
      <c r="M55" s="18" t="n">
        <f aca="false">D55*$I55</f>
        <v>-1.65879014009808E-005</v>
      </c>
      <c r="N55" s="18" t="n">
        <f aca="false">E55*$I55</f>
        <v>-0.562572661731374</v>
      </c>
      <c r="O55" s="18" t="n">
        <f aca="false">F55*$I55</f>
        <v>-2.34024146094886E-005</v>
      </c>
      <c r="P55" s="18" t="n">
        <f aca="false">G55*$I55</f>
        <v>-0.000390385837369379</v>
      </c>
    </row>
    <row r="56" customFormat="false" ht="15" hidden="false" customHeight="false" outlineLevel="0" collapsed="false">
      <c r="A56" s="19" t="str">
        <f aca="false">Datos!A65</f>
        <v>2020Q1</v>
      </c>
      <c r="B56" s="20" t="n">
        <f aca="false">Datos!G65</f>
        <v>-0.0502506965865937</v>
      </c>
      <c r="C56" s="20" t="n">
        <f aca="false">Datos!N65</f>
        <v>-0.0107484273951806</v>
      </c>
      <c r="D56" s="20" t="n">
        <f aca="false">Datos!J65</f>
        <v>-0.0126</v>
      </c>
      <c r="E56" s="20" t="n">
        <f aca="false">Datos!I63</f>
        <v>679.618686815129</v>
      </c>
      <c r="F56" s="20" t="n">
        <f aca="false">Datos!M63</f>
        <v>0.00263914554419044</v>
      </c>
      <c r="G56" s="20" t="n">
        <f aca="false">Datos!L65</f>
        <v>0.104899274945815</v>
      </c>
      <c r="H56" s="18" t="n">
        <v>1</v>
      </c>
      <c r="I56" s="18" t="n">
        <f aca="false">B56-($B$87+$B$88*C56+$B$89*D56+$B$90*E56+$B$91*F56+$B$92*G56)</f>
        <v>-0.00825492350347313</v>
      </c>
      <c r="J56" s="18" t="n">
        <f aca="false">I56^2</f>
        <v>6.81437620481931E-005</v>
      </c>
      <c r="K56" s="18" t="n">
        <f aca="false">H56*$I56</f>
        <v>-0.00825492350347313</v>
      </c>
      <c r="L56" s="18" t="n">
        <f aca="false">C56*$I56</f>
        <v>8.87274459298505E-005</v>
      </c>
      <c r="M56" s="18" t="n">
        <f aca="false">D56*$I56</f>
        <v>0.000104012036143761</v>
      </c>
      <c r="N56" s="18" t="n">
        <f aca="false">E56*$I56</f>
        <v>-5.61020027118976</v>
      </c>
      <c r="O56" s="18" t="n">
        <f aca="false">F56*$I56</f>
        <v>-2.17859445818241E-005</v>
      </c>
      <c r="P56" s="18" t="n">
        <f aca="false">G56*$I56</f>
        <v>-0.000865935490247501</v>
      </c>
    </row>
    <row r="57" customFormat="false" ht="15" hidden="false" customHeight="false" outlineLevel="0" collapsed="false">
      <c r="A57" s="19" t="str">
        <f aca="false">Datos!A66</f>
        <v>2020Q2</v>
      </c>
      <c r="B57" s="20" t="n">
        <f aca="false">Datos!G66</f>
        <v>-0.189421940385846</v>
      </c>
      <c r="C57" s="20" t="n">
        <f aca="false">Datos!N66</f>
        <v>-0.0502506965865937</v>
      </c>
      <c r="D57" s="20" t="n">
        <f aca="false">Datos!J66</f>
        <v>-0.1055</v>
      </c>
      <c r="E57" s="20" t="n">
        <f aca="false">Datos!I64</f>
        <v>598.881251590669</v>
      </c>
      <c r="F57" s="20" t="n">
        <f aca="false">Datos!M64</f>
        <v>0.00338854605282741</v>
      </c>
      <c r="G57" s="20" t="n">
        <f aca="false">Datos!L66</f>
        <v>0.288132779402122</v>
      </c>
      <c r="H57" s="18" t="n">
        <v>1</v>
      </c>
      <c r="I57" s="18" t="n">
        <f aca="false">B57-($B$87+$B$88*C57+$B$89*D57+$B$90*E57+$B$91*F57+$B$92*G57)</f>
        <v>-0.0454185044035763</v>
      </c>
      <c r="J57" s="18" t="n">
        <f aca="false">I57^2</f>
        <v>0.00206284054225768</v>
      </c>
      <c r="K57" s="18" t="n">
        <f aca="false">H57*$I57</f>
        <v>-0.0454185044035763</v>
      </c>
      <c r="L57" s="18" t="n">
        <f aca="false">C57*$I57</f>
        <v>0.00228231148420098</v>
      </c>
      <c r="M57" s="18" t="n">
        <f aca="false">D57*$I57</f>
        <v>0.0047916522145773</v>
      </c>
      <c r="N57" s="18" t="n">
        <f aca="false">E57*$I57</f>
        <v>-27.2002907625901</v>
      </c>
      <c r="O57" s="18" t="n">
        <f aca="false">F57*$I57</f>
        <v>-0.000153902693822062</v>
      </c>
      <c r="P57" s="18" t="n">
        <f aca="false">G57*$I57</f>
        <v>-0.0130865599100899</v>
      </c>
    </row>
    <row r="58" customFormat="false" ht="15" hidden="false" customHeight="false" outlineLevel="0" collapsed="false">
      <c r="A58" s="19" t="str">
        <f aca="false">Datos!A67</f>
        <v>2020Q3</v>
      </c>
      <c r="B58" s="20" t="n">
        <f aca="false">Datos!G67</f>
        <v>-0.101927662759163</v>
      </c>
      <c r="C58" s="20" t="n">
        <f aca="false">Datos!N67</f>
        <v>-0.189421940385846</v>
      </c>
      <c r="D58" s="20" t="n">
        <f aca="false">Datos!J67</f>
        <v>0.071</v>
      </c>
      <c r="E58" s="20" t="n">
        <f aca="false">Datos!I65</f>
        <v>187.118199188056</v>
      </c>
      <c r="F58" s="20" t="n">
        <f aca="false">Datos!M65</f>
        <v>-0.00640937758118261</v>
      </c>
      <c r="G58" s="20" t="n">
        <f aca="false">Datos!L67</f>
        <v>0.0331109070476762</v>
      </c>
      <c r="H58" s="18" t="n">
        <v>1</v>
      </c>
      <c r="I58" s="18" t="n">
        <f aca="false">B58-($B$87+$B$88*C58+$B$89*D58+$B$90*E58+$B$91*F58+$B$92*G58)</f>
        <v>-0.0090652709817539</v>
      </c>
      <c r="J58" s="18" t="n">
        <f aca="false">I58^2</f>
        <v>8.21791379726293E-005</v>
      </c>
      <c r="K58" s="18" t="n">
        <f aca="false">H58*$I58</f>
        <v>-0.0090652709817539</v>
      </c>
      <c r="L58" s="18" t="n">
        <f aca="false">C58*$I58</f>
        <v>0.00171716121948733</v>
      </c>
      <c r="M58" s="18" t="n">
        <f aca="false">D58*$I58</f>
        <v>-0.000643634239704527</v>
      </c>
      <c r="N58" s="18" t="n">
        <f aca="false">E58*$I58</f>
        <v>-1.69627718125753</v>
      </c>
      <c r="O58" s="18" t="n">
        <f aca="false">F58*$I58</f>
        <v>5.81027445977987E-005</v>
      </c>
      <c r="P58" s="18" t="n">
        <f aca="false">G58*$I58</f>
        <v>-0.00030015934483885</v>
      </c>
    </row>
    <row r="59" customFormat="false" ht="15" hidden="false" customHeight="false" outlineLevel="0" collapsed="false">
      <c r="A59" s="19" t="str">
        <f aca="false">Datos!A68</f>
        <v>2020Q4</v>
      </c>
      <c r="B59" s="20" t="n">
        <f aca="false">Datos!G68</f>
        <v>-0.0431329947641036</v>
      </c>
      <c r="C59" s="20" t="n">
        <f aca="false">Datos!N68</f>
        <v>-0.101927662759163</v>
      </c>
      <c r="D59" s="20" t="n">
        <f aca="false">Datos!J68</f>
        <v>0.0271</v>
      </c>
      <c r="E59" s="20" t="n">
        <f aca="false">Datos!I66</f>
        <v>756.86685274431</v>
      </c>
      <c r="F59" s="20" t="n">
        <f aca="false">Datos!M66</f>
        <v>-0.0301146296112311</v>
      </c>
      <c r="G59" s="20" t="n">
        <f aca="false">Datos!L68</f>
        <v>-0.0229330659860356</v>
      </c>
      <c r="H59" s="18" t="n">
        <v>1</v>
      </c>
      <c r="I59" s="18" t="n">
        <f aca="false">B59-($B$87+$B$88*C59+$B$89*D59+$B$90*E59+$B$91*F59+$B$92*G59)</f>
        <v>0.023005617063854</v>
      </c>
      <c r="J59" s="18" t="n">
        <f aca="false">I59^2</f>
        <v>0.00052925841648869</v>
      </c>
      <c r="K59" s="18" t="n">
        <f aca="false">H59*$I59</f>
        <v>0.023005617063854</v>
      </c>
      <c r="L59" s="18" t="n">
        <f aca="false">C59*$I59</f>
        <v>-0.00234490877765095</v>
      </c>
      <c r="M59" s="18" t="n">
        <f aca="false">D59*$I59</f>
        <v>0.000623452222430443</v>
      </c>
      <c r="N59" s="18" t="n">
        <f aca="false">E59*$I59</f>
        <v>17.41218898256</v>
      </c>
      <c r="O59" s="18" t="n">
        <f aca="false">F59*$I59</f>
        <v>-0.000692805636855781</v>
      </c>
      <c r="P59" s="18" t="n">
        <f aca="false">G59*$I59</f>
        <v>-0.000527589334174831</v>
      </c>
    </row>
    <row r="60" customFormat="false" ht="15" hidden="false" customHeight="false" outlineLevel="0" collapsed="false">
      <c r="A60" s="19" t="str">
        <f aca="false">Datos!A69</f>
        <v>2021Q1</v>
      </c>
      <c r="B60" s="20" t="n">
        <f aca="false">Datos!G69</f>
        <v>0.0323260077948051</v>
      </c>
      <c r="C60" s="20" t="n">
        <f aca="false">Datos!N69</f>
        <v>-0.0431329947641036</v>
      </c>
      <c r="D60" s="20" t="n">
        <f aca="false">Datos!J69</f>
        <v>0.0208</v>
      </c>
      <c r="E60" s="20" t="n">
        <f aca="false">Datos!I67</f>
        <v>-1097.40393434344</v>
      </c>
      <c r="F60" s="20" t="n">
        <f aca="false">Datos!M67</f>
        <v>-0.0131633092731946</v>
      </c>
      <c r="G60" s="20" t="n">
        <f aca="false">Datos!L69</f>
        <v>-0.177252388070428</v>
      </c>
      <c r="H60" s="18" t="n">
        <v>1</v>
      </c>
      <c r="I60" s="18" t="n">
        <f aca="false">B60-($B$87+$B$88*C60+$B$89*D60+$B$90*E60+$B$91*F60+$B$92*G60)</f>
        <v>0.00684822120524586</v>
      </c>
      <c r="J60" s="18" t="n">
        <f aca="false">I60^2</f>
        <v>4.68981336759791E-005</v>
      </c>
      <c r="K60" s="18" t="n">
        <f aca="false">H60*$I60</f>
        <v>0.00684822120524586</v>
      </c>
      <c r="L60" s="18" t="n">
        <f aca="false">C60*$I60</f>
        <v>-0.000295384289389293</v>
      </c>
      <c r="M60" s="18" t="n">
        <f aca="false">D60*$I60</f>
        <v>0.000142443001069114</v>
      </c>
      <c r="N60" s="18" t="n">
        <f aca="false">E60*$I60</f>
        <v>-7.51526489389095</v>
      </c>
      <c r="O60" s="18" t="n">
        <f aca="false">F60*$I60</f>
        <v>-9.01452536959007E-005</v>
      </c>
      <c r="P60" s="18" t="n">
        <f aca="false">G60*$I60</f>
        <v>-0.00121386356266437</v>
      </c>
    </row>
    <row r="61" customFormat="false" ht="15" hidden="false" customHeight="false" outlineLevel="0" collapsed="false">
      <c r="A61" s="19" t="str">
        <f aca="false">Datos!A70</f>
        <v>2021Q2</v>
      </c>
      <c r="B61" s="20" t="n">
        <f aca="false">Datos!G70</f>
        <v>0.187299607796633</v>
      </c>
      <c r="C61" s="20" t="n">
        <f aca="false">Datos!N70</f>
        <v>0.0323260077948051</v>
      </c>
      <c r="D61" s="20" t="n">
        <f aca="false">Datos!J70</f>
        <v>0.1065</v>
      </c>
      <c r="E61" s="20" t="n">
        <f aca="false">Datos!I68</f>
        <v>-606.890139160839</v>
      </c>
      <c r="F61" s="20" t="n">
        <f aca="false">Datos!M68</f>
        <v>-0.00871925616384151</v>
      </c>
      <c r="G61" s="20" t="n">
        <f aca="false">Datos!L70</f>
        <v>-0.266310713371175</v>
      </c>
      <c r="H61" s="18" t="n">
        <v>1</v>
      </c>
      <c r="I61" s="18" t="n">
        <f aca="false">B61-($B$87+$B$88*C61+$B$89*D61+$B$90*E61+$B$91*F61+$B$92*G61)</f>
        <v>0.0452427773000224</v>
      </c>
      <c r="J61" s="18" t="n">
        <f aca="false">I61^2</f>
        <v>0.00204690889781942</v>
      </c>
      <c r="K61" s="18" t="n">
        <f aca="false">H61*$I61</f>
        <v>0.0452427773000224</v>
      </c>
      <c r="L61" s="18" t="n">
        <f aca="false">C61*$I61</f>
        <v>0.00146251837165915</v>
      </c>
      <c r="M61" s="18" t="n">
        <f aca="false">D61*$I61</f>
        <v>0.00481835578245238</v>
      </c>
      <c r="N61" s="18" t="n">
        <f aca="false">E61*$I61</f>
        <v>-27.4573954116334</v>
      </c>
      <c r="O61" s="18" t="n">
        <f aca="false">F61*$I61</f>
        <v>-0.000394483364842529</v>
      </c>
      <c r="P61" s="18" t="n">
        <f aca="false">G61*$I61</f>
        <v>-0.0120486362976622</v>
      </c>
    </row>
    <row r="62" customFormat="false" ht="15" hidden="false" customHeight="false" outlineLevel="0" collapsed="false">
      <c r="A62" s="19" t="str">
        <f aca="false">Datos!A71</f>
        <v>2021Q3</v>
      </c>
      <c r="B62" s="20" t="n">
        <f aca="false">Datos!G71</f>
        <v>0.118145356665691</v>
      </c>
      <c r="C62" s="20" t="n">
        <f aca="false">Datos!N71</f>
        <v>0.187299607796633</v>
      </c>
      <c r="D62" s="20" t="n">
        <f aca="false">Datos!J71</f>
        <v>-0.0819</v>
      </c>
      <c r="E62" s="20" t="n">
        <f aca="false">Datos!I69</f>
        <v>100.224470329671</v>
      </c>
      <c r="F62" s="20" t="n">
        <f aca="false">Datos!M69</f>
        <v>0.00939647003148</v>
      </c>
      <c r="G62" s="20" t="n">
        <f aca="false">Datos!L71</f>
        <v>0.0372101431885892</v>
      </c>
      <c r="H62" s="18" t="n">
        <v>1</v>
      </c>
      <c r="I62" s="18" t="n">
        <f aca="false">B62-($B$87+$B$88*C62+$B$89*D62+$B$90*E62+$B$91*F62+$B$92*G62)</f>
        <v>0.043044644864761</v>
      </c>
      <c r="J62" s="18" t="n">
        <f aca="false">I62^2</f>
        <v>0.00185284145153339</v>
      </c>
      <c r="K62" s="18" t="n">
        <f aca="false">H62*$I62</f>
        <v>0.043044644864761</v>
      </c>
      <c r="L62" s="18" t="n">
        <f aca="false">C62*$I62</f>
        <v>0.00806224510091508</v>
      </c>
      <c r="M62" s="18" t="n">
        <f aca="false">D62*$I62</f>
        <v>-0.00352535641442392</v>
      </c>
      <c r="N62" s="18" t="n">
        <f aca="false">E62*$I62</f>
        <v>4.31412673209946</v>
      </c>
      <c r="O62" s="18" t="n">
        <f aca="false">F62*$I62</f>
        <v>0.000404467715487426</v>
      </c>
      <c r="P62" s="18" t="n">
        <f aca="false">G62*$I62</f>
        <v>0.00160169739891973</v>
      </c>
    </row>
    <row r="63" customFormat="false" ht="15" hidden="false" customHeight="false" outlineLevel="0" collapsed="false">
      <c r="A63" s="19" t="str">
        <f aca="false">Datos!A72</f>
        <v>2021Q4</v>
      </c>
      <c r="B63" s="20" t="n">
        <f aca="false">Datos!G72</f>
        <v>0.08364113941174</v>
      </c>
      <c r="C63" s="20" t="n">
        <f aca="false">Datos!N72</f>
        <v>0.118145356665691</v>
      </c>
      <c r="D63" s="20" t="n">
        <f aca="false">Datos!J72</f>
        <v>-0.0275</v>
      </c>
      <c r="E63" s="20" t="n">
        <f aca="false">Datos!I70</f>
        <v>51.4231142857141</v>
      </c>
      <c r="F63" s="20" t="n">
        <f aca="false">Datos!M70</f>
        <v>0.0246142392142514</v>
      </c>
      <c r="G63" s="20" t="n">
        <f aca="false">Datos!L72</f>
        <v>0.0552776218574341</v>
      </c>
      <c r="H63" s="18" t="n">
        <v>1</v>
      </c>
      <c r="I63" s="18" t="n">
        <f aca="false">B63-($B$87+$B$88*C63+$B$89*D63+$B$90*E63+$B$91*F63+$B$92*G63)</f>
        <v>0.0285513311672216</v>
      </c>
      <c r="J63" s="18" t="n">
        <f aca="false">I63^2</f>
        <v>0.000815178511420362</v>
      </c>
      <c r="K63" s="18" t="n">
        <f aca="false">H63*$I63</f>
        <v>0.0285513311672216</v>
      </c>
      <c r="L63" s="18" t="n">
        <f aca="false">C63*$I63</f>
        <v>0.00337320720403165</v>
      </c>
      <c r="M63" s="18" t="n">
        <f aca="false">D63*$I63</f>
        <v>-0.000785161607098595</v>
      </c>
      <c r="N63" s="18" t="n">
        <f aca="false">E63*$I63</f>
        <v>1.46819836562131</v>
      </c>
      <c r="O63" s="18" t="n">
        <f aca="false">F63*$I63</f>
        <v>0.000702769295235305</v>
      </c>
      <c r="P63" s="18" t="n">
        <f aca="false">G63*$I63</f>
        <v>0.00157824968778805</v>
      </c>
    </row>
    <row r="64" customFormat="false" ht="15" hidden="false" customHeight="false" outlineLevel="0" collapsed="false">
      <c r="A64" s="19" t="str">
        <f aca="false">Datos!A73</f>
        <v>2022Q1</v>
      </c>
      <c r="B64" s="20" t="n">
        <f aca="false">Datos!G73</f>
        <v>0.0686138387185451</v>
      </c>
      <c r="C64" s="20" t="n">
        <f aca="false">Datos!N73</f>
        <v>0.08364113941174</v>
      </c>
      <c r="D64" s="20" t="n">
        <f aca="false">Datos!J73</f>
        <v>0.000200000000000001</v>
      </c>
      <c r="E64" s="20" t="n">
        <f aca="false">Datos!I71</f>
        <v>24.6869913043479</v>
      </c>
      <c r="F64" s="20" t="n">
        <f aca="false">Datos!M71</f>
        <v>0.00461798360799486</v>
      </c>
      <c r="G64" s="20" t="n">
        <f aca="false">Datos!L73</f>
        <v>0.0518366625880128</v>
      </c>
      <c r="H64" s="18" t="n">
        <v>1</v>
      </c>
      <c r="I64" s="18" t="n">
        <f aca="false">B64-($B$87+$B$88*C64+$B$89*D64+$B$90*E64+$B$91*F64+$B$92*G64)</f>
        <v>-0.0122081492402633</v>
      </c>
      <c r="J64" s="18" t="n">
        <f aca="false">I64^2</f>
        <v>0.000149038907872541</v>
      </c>
      <c r="K64" s="18" t="n">
        <f aca="false">H64*$I64</f>
        <v>-0.0122081492402633</v>
      </c>
      <c r="L64" s="18" t="n">
        <f aca="false">C64*$I64</f>
        <v>-0.00102110351256419</v>
      </c>
      <c r="M64" s="18" t="n">
        <f aca="false">D64*$I64</f>
        <v>-2.44162984805267E-006</v>
      </c>
      <c r="N64" s="18" t="n">
        <f aca="false">E64*$I64</f>
        <v>-0.301382474136561</v>
      </c>
      <c r="O64" s="18" t="n">
        <f aca="false">F64*$I64</f>
        <v>-5.63770330754908E-005</v>
      </c>
      <c r="P64" s="18" t="n">
        <f aca="false">G64*$I64</f>
        <v>-0.000632829712991633</v>
      </c>
    </row>
    <row r="65" customFormat="false" ht="15" hidden="false" customHeight="false" outlineLevel="0" collapsed="false">
      <c r="A65" s="19" t="str">
        <f aca="false">Datos!A74</f>
        <v>2022Q2</v>
      </c>
      <c r="B65" s="20" t="n">
        <f aca="false">Datos!G74</f>
        <v>0.0813001446194395</v>
      </c>
      <c r="C65" s="20" t="n">
        <f aca="false">Datos!N74</f>
        <v>0.0686138387185451</v>
      </c>
      <c r="D65" s="20" t="n">
        <f aca="false">Datos!J74</f>
        <v>0.0206</v>
      </c>
      <c r="E65" s="20" t="n">
        <f aca="false">Datos!I72</f>
        <v>144.162478260869</v>
      </c>
      <c r="F65" s="20" t="n">
        <f aca="false">Datos!M72</f>
        <v>-0.00665639034014846</v>
      </c>
      <c r="G65" s="20" t="n">
        <f aca="false">Datos!L74</f>
        <v>-0.0371627200592699</v>
      </c>
      <c r="H65" s="18" t="n">
        <v>1</v>
      </c>
      <c r="I65" s="18" t="n">
        <f aca="false">B65-($B$87+$B$88*C65+$B$89*D65+$B$90*E65+$B$91*F65+$B$92*G65)</f>
        <v>-0.00101972625575993</v>
      </c>
      <c r="J65" s="18" t="n">
        <f aca="false">I65^2</f>
        <v>1.03984163668616E-006</v>
      </c>
      <c r="K65" s="18" t="n">
        <f aca="false">H65*$I65</f>
        <v>-0.00101972625575993</v>
      </c>
      <c r="L65" s="18" t="n">
        <f aca="false">C65*$I65</f>
        <v>-6.99673328497774E-005</v>
      </c>
      <c r="M65" s="18" t="n">
        <f aca="false">D65*$I65</f>
        <v>-2.10063608686545E-005</v>
      </c>
      <c r="N65" s="18" t="n">
        <f aca="false">E65*$I65</f>
        <v>-0.147006264178028</v>
      </c>
      <c r="O65" s="18" t="n">
        <f aca="false">F65*$I65</f>
        <v>6.78769599843612E-006</v>
      </c>
      <c r="P65" s="18" t="n">
        <f aca="false">G65*$I65</f>
        <v>3.78958013798936E-005</v>
      </c>
    </row>
    <row r="66" customFormat="false" ht="15" hidden="false" customHeight="false" outlineLevel="0" collapsed="false">
      <c r="A66" s="19" t="str">
        <f aca="false">Datos!A75</f>
        <v>2022Q3</v>
      </c>
      <c r="B66" s="20" t="n">
        <f aca="false">Datos!G75</f>
        <v>0.066844213632383</v>
      </c>
      <c r="C66" s="20" t="n">
        <f aca="false">Datos!N75</f>
        <v>0.0813001446194395</v>
      </c>
      <c r="D66" s="20" t="n">
        <f aca="false">Datos!J75</f>
        <v>0.0078</v>
      </c>
      <c r="E66" s="20" t="n">
        <f aca="false">Datos!I73</f>
        <v>94.729852657005</v>
      </c>
      <c r="F66" s="20" t="n">
        <f aca="false">Datos!M73</f>
        <v>0.000817296802044967</v>
      </c>
      <c r="G66" s="20" t="n">
        <f aca="false">Datos!L75</f>
        <v>-0.0573823048184637</v>
      </c>
      <c r="H66" s="18" t="n">
        <v>1</v>
      </c>
      <c r="I66" s="18" t="n">
        <f aca="false">B66-($B$87+$B$88*C66+$B$89*D66+$B$90*E66+$B$91*F66+$B$92*G66)</f>
        <v>-0.00219177786278908</v>
      </c>
      <c r="J66" s="18" t="n">
        <f aca="false">I66^2</f>
        <v>4.80389019981228E-006</v>
      </c>
      <c r="K66" s="18" t="n">
        <f aca="false">H66*$I66</f>
        <v>-0.00219177786278908</v>
      </c>
      <c r="L66" s="18" t="n">
        <f aca="false">C66*$I66</f>
        <v>-0.000178191857218438</v>
      </c>
      <c r="M66" s="18" t="n">
        <f aca="false">D66*$I66</f>
        <v>-1.70958673297548E-005</v>
      </c>
      <c r="N66" s="18" t="n">
        <f aca="false">E66*$I66</f>
        <v>-0.207626793998895</v>
      </c>
      <c r="O66" s="18" t="n">
        <f aca="false">F66*$I66</f>
        <v>-1.79133303805047E-006</v>
      </c>
      <c r="P66" s="18" t="n">
        <f aca="false">G66*$I66</f>
        <v>0.000125769265416924</v>
      </c>
    </row>
    <row r="67" customFormat="false" ht="15" hidden="false" customHeight="false" outlineLevel="0" collapsed="false">
      <c r="A67" s="19" t="str">
        <f aca="false">Datos!A76</f>
        <v>2022Q4</v>
      </c>
      <c r="B67" s="20" t="n">
        <f aca="false">Datos!G76</f>
        <v>0.023854276267842</v>
      </c>
      <c r="C67" s="20" t="n">
        <f aca="false">Datos!N76</f>
        <v>0.066844213632383</v>
      </c>
      <c r="D67" s="20" t="n">
        <f aca="false">Datos!J76</f>
        <v>-0.0162</v>
      </c>
      <c r="E67" s="20" t="n">
        <f aca="false">Datos!I74</f>
        <v>111.567003052503</v>
      </c>
      <c r="F67" s="20" t="n">
        <f aca="false">Datos!M74</f>
        <v>-0.00197446679129137</v>
      </c>
      <c r="G67" s="20" t="n">
        <f aca="false">Datos!L76</f>
        <v>-0.0807286952638523</v>
      </c>
      <c r="H67" s="18" t="n">
        <v>1</v>
      </c>
      <c r="I67" s="18" t="n">
        <f aca="false">B67-($B$87+$B$88*C67+$B$89*D67+$B$90*E67+$B$91*F67+$B$92*G67)</f>
        <v>-0.00440758408741443</v>
      </c>
      <c r="J67" s="18" t="n">
        <f aca="false">I67^2</f>
        <v>1.94267974876289E-005</v>
      </c>
      <c r="K67" s="18" t="n">
        <f aca="false">H67*$I67</f>
        <v>-0.00440758408741443</v>
      </c>
      <c r="L67" s="18" t="n">
        <f aca="false">C67*$I67</f>
        <v>-0.000294621492341822</v>
      </c>
      <c r="M67" s="18" t="n">
        <f aca="false">D67*$I67</f>
        <v>7.14028622161138E-005</v>
      </c>
      <c r="N67" s="18" t="n">
        <f aca="false">E67*$I67</f>
        <v>-0.491740947334729</v>
      </c>
      <c r="O67" s="18" t="n">
        <f aca="false">F67*$I67</f>
        <v>8.70262841042406E-006</v>
      </c>
      <c r="P67" s="18" t="n">
        <f aca="false">G67*$I67</f>
        <v>0.000355818512642684</v>
      </c>
    </row>
    <row r="68" customFormat="false" ht="15" hidden="false" customHeight="false" outlineLevel="0" collapsed="false">
      <c r="A68" s="19" t="str">
        <f aca="false">Datos!A77</f>
        <v>2023Q1</v>
      </c>
      <c r="B68" s="20" t="n">
        <f aca="false">Datos!G77</f>
        <v>0.00911982377224452</v>
      </c>
      <c r="C68" s="20" t="n">
        <f aca="false">Datos!N77</f>
        <v>0.023854276267842</v>
      </c>
      <c r="D68" s="20" t="n">
        <f aca="false">Datos!J77</f>
        <v>0.0174</v>
      </c>
      <c r="E68" s="20" t="n">
        <f aca="false">Datos!I75</f>
        <v>613.427821391941</v>
      </c>
      <c r="F68" s="20" t="n">
        <f aca="false">Datos!M75</f>
        <v>0.0064523774543946</v>
      </c>
      <c r="G68" s="20" t="n">
        <f aca="false">Datos!L77</f>
        <v>-0.0128795408240223</v>
      </c>
      <c r="H68" s="18" t="n">
        <v>1</v>
      </c>
      <c r="I68" s="18" t="n">
        <f aca="false">B68-($B$87+$B$88*C68+$B$89*D68+$B$90*E68+$B$91*F68+$B$92*G68)</f>
        <v>0.00907629414416392</v>
      </c>
      <c r="J68" s="18" t="n">
        <f aca="false">I68^2</f>
        <v>8.23791153913843E-005</v>
      </c>
      <c r="K68" s="18" t="n">
        <f aca="false">H68*$I68</f>
        <v>0.00907629414416392</v>
      </c>
      <c r="L68" s="18" t="n">
        <f aca="false">C68*$I68</f>
        <v>0.000216508428003083</v>
      </c>
      <c r="M68" s="18" t="n">
        <f aca="false">D68*$I68</f>
        <v>0.000157927518108452</v>
      </c>
      <c r="N68" s="18" t="n">
        <f aca="false">E68*$I68</f>
        <v>5.56765134316691</v>
      </c>
      <c r="O68" s="18" t="n">
        <f aca="false">F68*$I68</f>
        <v>5.8563675705257E-005</v>
      </c>
      <c r="P68" s="18" t="n">
        <f aca="false">G68*$I68</f>
        <v>-0.000116898500960594</v>
      </c>
    </row>
    <row r="69" customFormat="false" ht="15" hidden="false" customHeight="false" outlineLevel="0" collapsed="false">
      <c r="A69" s="19" t="str">
        <f aca="false">Datos!A78</f>
        <v>2023Q2</v>
      </c>
      <c r="B69" s="20" t="n">
        <f aca="false">Datos!G78</f>
        <v>-0.0567487243252599</v>
      </c>
      <c r="C69" s="20" t="n">
        <f aca="false">Datos!N78</f>
        <v>0.00911982377224452</v>
      </c>
      <c r="D69" s="20" t="n">
        <f aca="false">Datos!J78</f>
        <v>-0.0059</v>
      </c>
      <c r="E69" s="20" t="n">
        <f aca="false">Datos!I76</f>
        <v>-69.2846118840562</v>
      </c>
      <c r="F69" s="20" t="n">
        <f aca="false">Datos!M76</f>
        <v>0.00437305788940643</v>
      </c>
      <c r="G69" s="20" t="n">
        <f aca="false">Datos!L78</f>
        <v>-0.0539439840741031</v>
      </c>
      <c r="H69" s="18" t="n">
        <v>1</v>
      </c>
      <c r="I69" s="18" t="n">
        <f aca="false">B69-($B$87+$B$88*C69+$B$89*D69+$B$90*E69+$B$91*F69+$B$92*G69)</f>
        <v>-0.0479122708870529</v>
      </c>
      <c r="J69" s="18" t="n">
        <f aca="false">I69^2</f>
        <v>0.00229558570155434</v>
      </c>
      <c r="K69" s="18" t="n">
        <f aca="false">H69*$I69</f>
        <v>-0.0479122708870529</v>
      </c>
      <c r="L69" s="18" t="n">
        <f aca="false">C69*$I69</f>
        <v>-0.000436951467017964</v>
      </c>
      <c r="M69" s="18" t="n">
        <f aca="false">D69*$I69</f>
        <v>0.000282682398233612</v>
      </c>
      <c r="N69" s="18" t="n">
        <f aca="false">E69*$I69</f>
        <v>3.31958309289322</v>
      </c>
      <c r="O69" s="18" t="n">
        <f aca="false">F69*$I69</f>
        <v>-0.000209523134202005</v>
      </c>
      <c r="P69" s="18" t="n">
        <f aca="false">G69*$I69</f>
        <v>0.00258457877768529</v>
      </c>
    </row>
    <row r="70" customFormat="false" ht="15" hidden="false" customHeight="false" outlineLevel="0" collapsed="false">
      <c r="A70" s="19" t="str">
        <f aca="false">Datos!A79</f>
        <v>2023Q3</v>
      </c>
      <c r="B70" s="20" t="n">
        <f aca="false">Datos!G79</f>
        <v>-0.00549172525238073</v>
      </c>
      <c r="C70" s="20" t="n">
        <f aca="false">Datos!N79</f>
        <v>-0.0567487243252599</v>
      </c>
      <c r="D70" s="20" t="n">
        <f aca="false">Datos!J79</f>
        <v>-0.015</v>
      </c>
      <c r="E70" s="20" t="n">
        <f aca="false">Datos!I77</f>
        <v>-376.758957004832</v>
      </c>
      <c r="F70" s="20" t="n">
        <f aca="false">Datos!M77</f>
        <v>-0.000570722589501509</v>
      </c>
      <c r="G70" s="20" t="n">
        <f aca="false">Datos!L79</f>
        <v>-0.029098213004288</v>
      </c>
      <c r="H70" s="18" t="n">
        <v>1</v>
      </c>
      <c r="I70" s="18" t="n">
        <f aca="false">B70-($B$87+$B$88*C70+$B$89*D70+$B$90*E70+$B$91*F70+$B$92*G70)</f>
        <v>0.04779347463338</v>
      </c>
      <c r="J70" s="18" t="n">
        <f aca="false">I70^2</f>
        <v>0.00228421621753154</v>
      </c>
      <c r="K70" s="18" t="n">
        <f aca="false">H70*$I70</f>
        <v>0.04779347463338</v>
      </c>
      <c r="L70" s="18" t="n">
        <f aca="false">C70*$I70</f>
        <v>-0.00271221871651598</v>
      </c>
      <c r="M70" s="18" t="n">
        <f aca="false">D70*$I70</f>
        <v>-0.0007169021195007</v>
      </c>
      <c r="N70" s="18" t="n">
        <f aca="false">E70*$I70</f>
        <v>-18.0066196545092</v>
      </c>
      <c r="O70" s="18" t="n">
        <f aca="false">F70*$I70</f>
        <v>-2.72768156040373E-005</v>
      </c>
      <c r="P70" s="18" t="n">
        <f aca="false">G70*$I70</f>
        <v>-0.00139070470509713</v>
      </c>
    </row>
    <row r="71" customFormat="false" ht="15" hidden="false" customHeight="false" outlineLevel="0" collapsed="false">
      <c r="A71" s="19" t="str">
        <f aca="false">Datos!A80</f>
        <v>2023Q4</v>
      </c>
      <c r="B71" s="20" t="n">
        <f aca="false">Datos!G80</f>
        <v>-0.0171598554874708</v>
      </c>
      <c r="C71" s="20" t="n">
        <f aca="false">Datos!N80</f>
        <v>-0.00549172525238073</v>
      </c>
      <c r="D71" s="20" t="n">
        <f aca="false">Datos!J80</f>
        <v>0.000300000000000002</v>
      </c>
      <c r="E71" s="20" t="n">
        <f aca="false">Datos!I78</f>
        <v>396.345972839506</v>
      </c>
      <c r="F71" s="20" t="n">
        <f aca="false">Datos!M78</f>
        <v>-0.000785964784259512</v>
      </c>
      <c r="G71" s="20" t="n">
        <f aca="false">Datos!L80</f>
        <v>0.00751912805335137</v>
      </c>
      <c r="H71" s="18" t="n">
        <v>1</v>
      </c>
      <c r="I71" s="18" t="n">
        <f aca="false">B71-($B$87+$B$88*C71+$B$89*D71+$B$90*E71+$B$91*F71+$B$92*G71)</f>
        <v>0.00426207311094546</v>
      </c>
      <c r="J71" s="18" t="n">
        <f aca="false">I71^2</f>
        <v>1.81652672030443E-005</v>
      </c>
      <c r="K71" s="18" t="n">
        <f aca="false">H71*$I71</f>
        <v>0.00426207311094546</v>
      </c>
      <c r="L71" s="18" t="n">
        <f aca="false">C71*$I71</f>
        <v>-2.34061345308721E-005</v>
      </c>
      <c r="M71" s="18" t="n">
        <f aca="false">D71*$I71</f>
        <v>1.27862193328365E-006</v>
      </c>
      <c r="N71" s="18" t="n">
        <f aca="false">E71*$I71</f>
        <v>1.68925551347078</v>
      </c>
      <c r="O71" s="18" t="n">
        <f aca="false">F71*$I71</f>
        <v>-3.34983937314252E-006</v>
      </c>
      <c r="P71" s="18" t="n">
        <f aca="false">G71*$I71</f>
        <v>3.20470734939446E-005</v>
      </c>
    </row>
    <row r="72" customFormat="false" ht="15" hidden="false" customHeight="false" outlineLevel="0" collapsed="false">
      <c r="A72" s="19" t="str">
        <f aca="false">Datos!A81</f>
        <v>2024Q1</v>
      </c>
      <c r="B72" s="20" t="n">
        <f aca="false">Datos!G81</f>
        <v>-0.0496170325779741</v>
      </c>
      <c r="C72" s="20" t="n">
        <f aca="false">Datos!N81</f>
        <v>-0.0171598554874708</v>
      </c>
      <c r="D72" s="20" t="n">
        <f aca="false">Datos!J81</f>
        <v>0.000799999999999999</v>
      </c>
      <c r="E72" s="20" t="n">
        <f aca="false">Datos!I79</f>
        <v>-393.961216440069</v>
      </c>
      <c r="F72" s="20" t="n">
        <f aca="false">Datos!M79</f>
        <v>0.00176185055199882</v>
      </c>
      <c r="G72" s="20" t="n">
        <f aca="false">Datos!L81</f>
        <v>-0.0743830688652541</v>
      </c>
      <c r="H72" s="18" t="n">
        <v>1</v>
      </c>
      <c r="I72" s="18" t="n">
        <f aca="false">B72-($B$87+$B$88*C72+$B$89*D72+$B$90*E72+$B$91*F72+$B$92*G72)</f>
        <v>-0.0399873945538224</v>
      </c>
      <c r="J72" s="18" t="n">
        <f aca="false">I72^2</f>
        <v>0.00159899172320307</v>
      </c>
      <c r="K72" s="18" t="n">
        <f aca="false">H72*$I72</f>
        <v>-0.0399873945538224</v>
      </c>
      <c r="L72" s="18" t="n">
        <f aca="false">C72*$I72</f>
        <v>0.000686177911864069</v>
      </c>
      <c r="M72" s="18" t="n">
        <f aca="false">D72*$I72</f>
        <v>-3.19899156430579E-005</v>
      </c>
      <c r="N72" s="18" t="n">
        <f aca="false">E72*$I72</f>
        <v>15.7534826006929</v>
      </c>
      <c r="O72" s="18" t="n">
        <f aca="false">F72*$I72</f>
        <v>-7.04518131676466E-005</v>
      </c>
      <c r="P72" s="18" t="n">
        <f aca="false">G72*$I72</f>
        <v>0.00297438512283906</v>
      </c>
    </row>
    <row r="73" customFormat="false" ht="15" hidden="false" customHeight="false" outlineLevel="0" collapsed="false">
      <c r="A73" s="19" t="str">
        <f aca="false">Datos!A82</f>
        <v>2024Q2</v>
      </c>
      <c r="B73" s="20" t="n">
        <f aca="false">Datos!G82</f>
        <v>-0.0108329991805178</v>
      </c>
      <c r="C73" s="20" t="n">
        <f aca="false">Datos!N82</f>
        <v>-0.0496170325779741</v>
      </c>
      <c r="D73" s="20" t="n">
        <f aca="false">Datos!J82</f>
        <v>0.0101</v>
      </c>
      <c r="E73" s="20" t="n">
        <f aca="false">Datos!I80</f>
        <v>122.080899625603</v>
      </c>
      <c r="F73" s="20" t="n">
        <f aca="false">Datos!M80</f>
        <v>-0.00576423631129689</v>
      </c>
      <c r="G73" s="20" t="n">
        <f aca="false">Datos!L82</f>
        <v>0.135614568235124</v>
      </c>
      <c r="H73" s="18" t="n">
        <v>1</v>
      </c>
      <c r="I73" s="18" t="n">
        <f aca="false">B73-($B$87+$B$88*C73+$B$89*D73+$B$90*E73+$B$91*F73+$B$92*G73)</f>
        <v>-0.00246331884584063</v>
      </c>
      <c r="J73" s="18" t="n">
        <f aca="false">I73^2</f>
        <v>6.06793973627361E-006</v>
      </c>
      <c r="K73" s="18" t="n">
        <f aca="false">H73*$I73</f>
        <v>-0.00246331884584063</v>
      </c>
      <c r="L73" s="18" t="n">
        <f aca="false">C73*$I73</f>
        <v>0.000122222571424012</v>
      </c>
      <c r="M73" s="18" t="n">
        <f aca="false">D73*$I73</f>
        <v>-2.48795203429904E-005</v>
      </c>
      <c r="N73" s="18" t="n">
        <f aca="false">E73*$I73</f>
        <v>-0.300724180764926</v>
      </c>
      <c r="O73" s="18" t="n">
        <f aca="false">F73*$I73</f>
        <v>1.41991519374965E-005</v>
      </c>
      <c r="P73" s="18" t="n">
        <f aca="false">G73*$I73</f>
        <v>-0.00033406192170412</v>
      </c>
    </row>
    <row r="74" customFormat="false" ht="15" hidden="false" customHeight="false" outlineLevel="0" collapsed="false">
      <c r="A74" s="19" t="str">
        <f aca="false">Datos!A83</f>
        <v>2024Q3</v>
      </c>
      <c r="B74" s="20" t="n">
        <f aca="false">Datos!G83</f>
        <v>-0.0193706719869603</v>
      </c>
      <c r="C74" s="20" t="n">
        <f aca="false">Datos!N83</f>
        <v>-0.0108329991805178</v>
      </c>
      <c r="D74" s="20" t="n">
        <f aca="false">Datos!J83</f>
        <v>0.0067</v>
      </c>
      <c r="E74" s="20" t="n">
        <f aca="false">Datos!I81</f>
        <v>-454.938553802817</v>
      </c>
      <c r="F74" s="20" t="n">
        <f aca="false">Datos!M81</f>
        <v>0.0235882766524118</v>
      </c>
      <c r="G74" s="20" t="n">
        <f aca="false">Datos!L83</f>
        <v>0.105501575244701</v>
      </c>
      <c r="H74" s="18" t="n">
        <v>1</v>
      </c>
      <c r="I74" s="18" t="n">
        <f aca="false">B74-($B$87+$B$88*C74+$B$89*D74+$B$90*E74+$B$91*F74+$B$92*G74)</f>
        <v>-0.0277152343911602</v>
      </c>
      <c r="J74" s="18" t="n">
        <f aca="false">I74^2</f>
        <v>0.000768134217356948</v>
      </c>
      <c r="K74" s="18" t="n">
        <f aca="false">H74*$I74</f>
        <v>-0.0277152343911602</v>
      </c>
      <c r="L74" s="18" t="n">
        <f aca="false">C74*$I74</f>
        <v>0.000300239111447298</v>
      </c>
      <c r="M74" s="18" t="n">
        <f aca="false">D74*$I74</f>
        <v>-0.000185692070420773</v>
      </c>
      <c r="N74" s="18" t="n">
        <f aca="false">E74*$I74</f>
        <v>12.6087286522205</v>
      </c>
      <c r="O74" s="18" t="n">
        <f aca="false">F74*$I74</f>
        <v>-0.000653754616305123</v>
      </c>
      <c r="P74" s="18" t="n">
        <f aca="false">G74*$I74</f>
        <v>-0.00292400088654352</v>
      </c>
    </row>
    <row r="75" customFormat="false" ht="15" hidden="false" customHeight="false" outlineLevel="0" collapsed="false">
      <c r="A75" s="19" t="str">
        <f aca="false">Datos!A84</f>
        <v>2024Q4</v>
      </c>
      <c r="B75" s="20" t="n">
        <f aca="false">Datos!G84</f>
        <v>0.0263829611146622</v>
      </c>
      <c r="C75" s="20" t="n">
        <f aca="false">Datos!N84</f>
        <v>-0.0193706719869603</v>
      </c>
      <c r="D75" s="20" t="n">
        <f aca="false">Datos!J84</f>
        <v>-0.0056</v>
      </c>
      <c r="E75" s="20" t="n">
        <f aca="false">Datos!I82</f>
        <v>-411.750199402986</v>
      </c>
      <c r="F75" s="20" t="n">
        <f aca="false">Datos!M82</f>
        <v>0.012060493699049</v>
      </c>
      <c r="G75" s="20" t="n">
        <f aca="false">Datos!L84</f>
        <v>0.141127547277293</v>
      </c>
      <c r="H75" s="18" t="n">
        <v>1</v>
      </c>
      <c r="I75" s="18" t="n">
        <f aca="false">B75-($B$87+$B$88*C75+$B$89*D75+$B$90*E75+$B$91*F75+$B$92*G75)</f>
        <v>0.0196515903502423</v>
      </c>
      <c r="J75" s="18" t="n">
        <f aca="false">I75^2</f>
        <v>0.000386185003293738</v>
      </c>
      <c r="K75" s="18" t="n">
        <f aca="false">H75*$I75</f>
        <v>0.0196515903502423</v>
      </c>
      <c r="L75" s="18" t="n">
        <f aca="false">C75*$I75</f>
        <v>-0.000380664510696659</v>
      </c>
      <c r="M75" s="18" t="n">
        <f aca="false">D75*$I75</f>
        <v>-0.000110048905961357</v>
      </c>
      <c r="N75" s="18" t="n">
        <f aca="false">E75*$I75</f>
        <v>-8.09154624529808</v>
      </c>
      <c r="O75" s="18" t="n">
        <f aca="false">F75*$I75</f>
        <v>0.00023700788159539</v>
      </c>
      <c r="P75" s="18" t="n">
        <f aca="false">G75*$I75</f>
        <v>0.00277338074622782</v>
      </c>
    </row>
    <row r="76" customFormat="false" ht="15" hidden="false" customHeight="false" outlineLevel="0" collapsed="false">
      <c r="A76" s="19" t="str">
        <f aca="false">Datos!A85</f>
        <v>2025Q1</v>
      </c>
      <c r="B76" s="20" t="n">
        <f aca="false">Datos!G85</f>
        <v>0.0583747415748432</v>
      </c>
      <c r="C76" s="20" t="n">
        <f aca="false">Datos!N85</f>
        <v>0.0263829611146622</v>
      </c>
      <c r="D76" s="20" t="n">
        <f aca="false">Datos!J85</f>
        <v>-0.0043</v>
      </c>
      <c r="E76" s="20" t="n">
        <f aca="false">Datos!I83</f>
        <v>140.77357394844</v>
      </c>
      <c r="F76" s="20" t="n">
        <f aca="false">Datos!M83</f>
        <v>0.00547122476020793</v>
      </c>
      <c r="G76" s="20" t="n">
        <f aca="false">Datos!L85</f>
        <v>0.205115473060102</v>
      </c>
      <c r="H76" s="18" t="n">
        <v>1</v>
      </c>
      <c r="I76" s="18" t="n">
        <f aca="false">B76-($B$87+$B$88*C76+$B$89*D76+$B$90*E76+$B$91*F76+$B$92*G76)</f>
        <v>0.0154510048403804</v>
      </c>
      <c r="J76" s="18" t="n">
        <f aca="false">I76^2</f>
        <v>0.000238733550577458</v>
      </c>
      <c r="K76" s="18" t="n">
        <f aca="false">H76*$I76</f>
        <v>0.0154510048403804</v>
      </c>
      <c r="L76" s="18" t="n">
        <f aca="false">C76*$I76</f>
        <v>0.000407643259886213</v>
      </c>
      <c r="M76" s="18" t="n">
        <f aca="false">D76*$I76</f>
        <v>-6.64393208136357E-005</v>
      </c>
      <c r="N76" s="18" t="n">
        <f aca="false">E76*$I76</f>
        <v>2.17509317247499</v>
      </c>
      <c r="O76" s="18" t="n">
        <f aca="false">F76*$I76</f>
        <v>8.45359202527818E-005</v>
      </c>
      <c r="P76" s="18" t="n">
        <f aca="false">G76*$I76</f>
        <v>0.00316924016708855</v>
      </c>
    </row>
    <row r="77" customFormat="false" ht="15" hidden="false" customHeight="false" outlineLevel="0" collapsed="false">
      <c r="A77" s="19" t="str">
        <f aca="false">Datos!A86</f>
        <v>2025Q2</v>
      </c>
      <c r="B77" s="20" t="n">
        <f aca="false">Datos!G86</f>
        <v>0.0638141408959982</v>
      </c>
      <c r="C77" s="20" t="n">
        <f aca="false">Datos!N86</f>
        <v>0.0583747415748432</v>
      </c>
      <c r="D77" s="20" t="n">
        <f aca="false">Datos!J86</f>
        <v>-0.0079</v>
      </c>
      <c r="E77" s="20" t="n">
        <f aca="false">Datos!I84</f>
        <v>-564.145454545455</v>
      </c>
      <c r="F77" s="20" t="n">
        <f aca="false">Datos!M84</f>
        <v>0.0032209025675252</v>
      </c>
      <c r="G77" s="20" t="n">
        <f aca="false">Datos!L86</f>
        <v>0.0285946514317457</v>
      </c>
      <c r="H77" s="18" t="n">
        <v>1</v>
      </c>
      <c r="I77" s="18" t="n">
        <f aca="false">B77-($B$87+$B$88*C77+$B$89*D77+$B$90*E77+$B$91*F77+$B$92*G77)</f>
        <v>-0.0123420275564296</v>
      </c>
      <c r="J77" s="18" t="n">
        <f aca="false">I77^2</f>
        <v>0.000152325644203667</v>
      </c>
      <c r="K77" s="18" t="n">
        <f aca="false">H77*$I77</f>
        <v>-0.0123420275564296</v>
      </c>
      <c r="L77" s="18" t="n">
        <f aca="false">C77*$I77</f>
        <v>-0.00072046266911617</v>
      </c>
      <c r="M77" s="18" t="n">
        <f aca="false">D77*$I77</f>
        <v>9.75020176957935E-005</v>
      </c>
      <c r="N77" s="18" t="n">
        <f aca="false">E77*$I77</f>
        <v>6.96269874583449</v>
      </c>
      <c r="O77" s="18" t="n">
        <f aca="false">F77*$I77</f>
        <v>-3.97524682449707E-005</v>
      </c>
      <c r="P77" s="18" t="n">
        <f aca="false">G77*$I77</f>
        <v>-0.000352915975937103</v>
      </c>
    </row>
    <row r="78" customFormat="false" ht="15" hidden="false" customHeight="false" outlineLevel="0" collapsed="false">
      <c r="A78" s="19" t="str">
        <f aca="false">Datos!A87</f>
        <v>2025Q3</v>
      </c>
      <c r="B78" s="20" t="n">
        <f aca="false">Datos!G87</f>
        <v>0.0325690447876617</v>
      </c>
      <c r="C78" s="20" t="n">
        <f aca="false">Datos!N87</f>
        <v>0.0638141408959982</v>
      </c>
      <c r="D78" s="20" t="n">
        <f aca="false">Datos!J87</f>
        <v>-0.0054</v>
      </c>
      <c r="E78" s="20" t="n">
        <f aca="false">Datos!I85</f>
        <v>-235.861538461538</v>
      </c>
      <c r="F78" s="20" t="n">
        <f aca="false">Datos!M85</f>
        <v>-0.00030317463561357</v>
      </c>
      <c r="G78" s="20" t="n">
        <f aca="false">Datos!L87</f>
        <v>-0.122844629081206</v>
      </c>
      <c r="H78" s="18" t="n">
        <v>1</v>
      </c>
      <c r="I78" s="18" t="n">
        <f aca="false">B78-($B$87+$B$88*C78+$B$89*D78+$B$90*E78+$B$91*F78+$B$92*G78)</f>
        <v>-0.0124978330116279</v>
      </c>
      <c r="J78" s="18" t="n">
        <f aca="false">I78^2</f>
        <v>0.000156195829986535</v>
      </c>
      <c r="K78" s="18" t="n">
        <f aca="false">H78*$I78</f>
        <v>-0.0124978330116279</v>
      </c>
      <c r="L78" s="18" t="n">
        <f aca="false">C78*$I78</f>
        <v>-0.000797538476698679</v>
      </c>
      <c r="M78" s="18" t="n">
        <f aca="false">D78*$I78</f>
        <v>6.74882982627905E-005</v>
      </c>
      <c r="N78" s="18" t="n">
        <f aca="false">E78*$I78</f>
        <v>2.94775812155795</v>
      </c>
      <c r="O78" s="18" t="n">
        <f aca="false">F78*$I78</f>
        <v>3.78902596925953E-006</v>
      </c>
      <c r="P78" s="18" t="n">
        <f aca="false">G78*$I78</f>
        <v>0.00153529166063228</v>
      </c>
    </row>
    <row r="79" customFormat="false" ht="15" hidden="false" customHeight="false" outlineLevel="0" collapsed="false">
      <c r="A79" s="19" t="str">
        <f aca="false">Datos!A88</f>
        <v>2025Q4</v>
      </c>
      <c r="B79" s="20" t="n">
        <f aca="false">Datos!G88</f>
        <v>0.0205805070747371</v>
      </c>
      <c r="C79" s="20" t="n">
        <f aca="false">Datos!N88</f>
        <v>0.0325690447876617</v>
      </c>
      <c r="D79" s="20" t="n">
        <f aca="false">Datos!J88</f>
        <v>0</v>
      </c>
      <c r="E79" s="20" t="n">
        <f aca="false">Datos!I86</f>
        <v>39.3076923076923</v>
      </c>
      <c r="F79" s="20" t="n">
        <f aca="false">Datos!M86</f>
        <v>-0.000699519053720961</v>
      </c>
      <c r="G79" s="20" t="n">
        <f aca="false">Datos!L88</f>
        <v>-0.0942358215518242</v>
      </c>
      <c r="H79" s="18" t="n">
        <v>1</v>
      </c>
      <c r="I79" s="18" t="n">
        <f aca="false">B79-($B$87+$B$88*C79+$B$89*D79+$B$90*E79+$B$91*F79+$B$92*G79)</f>
        <v>0.00704034706653554</v>
      </c>
      <c r="J79" s="18" t="n">
        <f aca="false">I79^2</f>
        <v>4.95664868172756E-005</v>
      </c>
      <c r="K79" s="18" t="n">
        <f aca="false">H79*$I79</f>
        <v>0.00704034706653554</v>
      </c>
      <c r="L79" s="18" t="n">
        <f aca="false">C79*$I79</f>
        <v>0.000229297378930678</v>
      </c>
      <c r="M79" s="18" t="n">
        <f aca="false">D79*$I79</f>
        <v>0</v>
      </c>
      <c r="N79" s="18" t="n">
        <f aca="false">E79*$I79</f>
        <v>0.276739796230743</v>
      </c>
      <c r="O79" s="18" t="n">
        <f aca="false">F79*$I79</f>
        <v>-4.92485691785009E-006</v>
      </c>
      <c r="P79" s="18" t="n">
        <f aca="false">G79*$I79</f>
        <v>-0.000663452889824953</v>
      </c>
    </row>
    <row r="80" customFormat="false" ht="15" hidden="false" customHeight="false" outlineLevel="0" collapsed="false">
      <c r="A80" s="19" t="str">
        <f aca="false">Datos!A89</f>
        <v>2026Q1</v>
      </c>
      <c r="B80" s="20" t="n">
        <f aca="false">Datos!G89</f>
        <v>0.024694045208276</v>
      </c>
      <c r="C80" s="20" t="n">
        <f aca="false">Datos!N89</f>
        <v>0.0205805070747371</v>
      </c>
      <c r="D80" s="20" t="n">
        <f aca="false">Datos!J89</f>
        <v>0</v>
      </c>
      <c r="E80" s="20" t="n">
        <f aca="false">Datos!I87</f>
        <v>142.307692307692</v>
      </c>
      <c r="F80" s="20" t="n">
        <f aca="false">Datos!M87</f>
        <v>-3.86530146869388E-005</v>
      </c>
      <c r="G80" s="20" t="n">
        <f aca="false">Datos!L89</f>
        <v>-0.1024373605341</v>
      </c>
      <c r="H80" s="18" t="n">
        <v>1</v>
      </c>
      <c r="I80" s="18" t="n">
        <f aca="false">B80-($B$87+$B$88*C80+$B$89*D80+$B$90*E80+$B$91*F80+$B$92*G80)</f>
        <v>0.0298814628725156</v>
      </c>
      <c r="J80" s="18" t="n">
        <f aca="false">I80^2</f>
        <v>0.000892901823401527</v>
      </c>
      <c r="K80" s="18" t="n">
        <f aca="false">H80*$I80</f>
        <v>0.0298814628725156</v>
      </c>
      <c r="L80" s="18" t="n">
        <f aca="false">C80*$I80</f>
        <v>0.000614975658051302</v>
      </c>
      <c r="M80" s="18" t="n">
        <f aca="false">D80*$I80</f>
        <v>0</v>
      </c>
      <c r="N80" s="18" t="n">
        <f aca="false">E80*$I80</f>
        <v>4.25236202416568</v>
      </c>
      <c r="O80" s="18" t="n">
        <f aca="false">F80*$I80</f>
        <v>-1.15500862327856E-006</v>
      </c>
      <c r="P80" s="18" t="n">
        <f aca="false">G80*$I80</f>
        <v>-0.00306097818555821</v>
      </c>
    </row>
    <row r="85" customFormat="false" ht="15" hidden="false" customHeight="false" outlineLevel="0" collapsed="false">
      <c r="A85" s="21" t="s">
        <v>157</v>
      </c>
      <c r="B85" s="22"/>
      <c r="C85" s="22"/>
      <c r="D85" s="22"/>
      <c r="E85" s="22"/>
      <c r="F85" s="22"/>
      <c r="G85" s="22"/>
      <c r="H85" s="22"/>
      <c r="I85" s="22"/>
    </row>
    <row r="86" customFormat="false" ht="15" hidden="false" customHeight="false" outlineLevel="0" collapsed="false">
      <c r="A86" s="14" t="s">
        <v>25</v>
      </c>
      <c r="B86" s="14" t="s">
        <v>26</v>
      </c>
      <c r="C86" s="14" t="s">
        <v>158</v>
      </c>
      <c r="D86" s="14" t="s">
        <v>159</v>
      </c>
      <c r="E86" s="14" t="s">
        <v>21</v>
      </c>
      <c r="G86" s="11" t="s">
        <v>160</v>
      </c>
      <c r="H86" s="23" t="n">
        <f aca="false">INDEX(LINEST($B$6:$B$80,$C$6:$G$80,TRUE(),TRUE()),4,2)</f>
        <v>69</v>
      </c>
    </row>
    <row r="87" customFormat="false" ht="15" hidden="false" customHeight="false" outlineLevel="0" collapsed="false">
      <c r="A87" s="24" t="s">
        <v>161</v>
      </c>
      <c r="B87" s="25" t="n">
        <f aca="false">INDEX(LINEST($B$6:$B$80,$C$6:$G$80,TRUE(),TRUE()),1,6)</f>
        <v>0.00107785777002713</v>
      </c>
      <c r="C87" s="8" t="n">
        <f aca="false">INDEX(LINEST($B$6:$B$80,$C$6:$G$80,TRUE(),TRUE()),2,6)</f>
        <v>0.0032614901463445</v>
      </c>
      <c r="D87" s="5" t="n">
        <f aca="false">B87/C87</f>
        <v>0.330480155285828</v>
      </c>
      <c r="E87" s="7" t="n">
        <f aca="false">TDIST(ABS(D87),$H$86,2)</f>
        <v>0.742038580394406</v>
      </c>
    </row>
    <row r="88" customFormat="false" ht="15" hidden="false" customHeight="false" outlineLevel="0" collapsed="false">
      <c r="A88" s="24" t="s">
        <v>173</v>
      </c>
      <c r="B88" s="25" t="n">
        <f aca="false">INDEX(LINEST($B$6:$B$80,$C$6:$G$80,TRUE(),TRUE()),1,5)</f>
        <v>0.929938395528355</v>
      </c>
      <c r="C88" s="8" t="n">
        <f aca="false">INDEX(LINEST($B$6:$B$80,$C$6:$G$80,TRUE(),TRUE()),2,5)</f>
        <v>0.06085697395851</v>
      </c>
      <c r="D88" s="5" t="n">
        <f aca="false">B88/C88</f>
        <v>15.2807202698306</v>
      </c>
      <c r="E88" s="7" t="n">
        <f aca="false">TDIST(ABS(D88),$H$86,2)</f>
        <v>7.77354576030382E-024</v>
      </c>
    </row>
    <row r="89" customFormat="false" ht="15" hidden="false" customHeight="false" outlineLevel="0" collapsed="false">
      <c r="A89" s="24" t="s">
        <v>141</v>
      </c>
      <c r="B89" s="25" t="n">
        <f aca="false">INDEX(LINEST($B$6:$B$80,$C$6:$G$80,TRUE(),TRUE()),1,4)</f>
        <v>1.08691342573873</v>
      </c>
      <c r="C89" s="8" t="n">
        <f aca="false">INDEX(LINEST($B$6:$B$80,$C$6:$G$80,TRUE(),TRUE()),2,4)</f>
        <v>0.145895130675409</v>
      </c>
      <c r="D89" s="5" t="n">
        <f aca="false">B89/C89</f>
        <v>7.44996368766356</v>
      </c>
      <c r="E89" s="7" t="n">
        <f aca="false">TDIST(ABS(D89),$H$86,2)</f>
        <v>2.02201885150962E-010</v>
      </c>
    </row>
    <row r="90" customFormat="false" ht="15" hidden="false" customHeight="false" outlineLevel="0" collapsed="false">
      <c r="A90" s="24" t="s">
        <v>144</v>
      </c>
      <c r="B90" s="25" t="n">
        <f aca="false">INDEX(LINEST($B$6:$B$80,$C$6:$G$80,TRUE(),TRUE()),1,3)</f>
        <v>-5.07566225850236E-005</v>
      </c>
      <c r="C90" s="8" t="n">
        <f aca="false">INDEX(LINEST($B$6:$B$80,$C$6:$G$80,TRUE(),TRUE()),2,3)</f>
        <v>1.14512321734542E-005</v>
      </c>
      <c r="D90" s="5" t="n">
        <f aca="false">B90/C90</f>
        <v>-4.43241581484007</v>
      </c>
      <c r="E90" s="7" t="n">
        <f aca="false">TDIST(ABS(D90),$H$86,2)</f>
        <v>3.42583960003553E-005</v>
      </c>
    </row>
    <row r="91" customFormat="false" ht="15" hidden="false" customHeight="false" outlineLevel="0" collapsed="false">
      <c r="A91" s="24" t="s">
        <v>176</v>
      </c>
      <c r="B91" s="25" t="n">
        <f aca="false">INDEX(LINEST($B$6:$B$80,$C$6:$G$80,TRUE(),TRUE()),1,2)</f>
        <v>-1.34859745490279</v>
      </c>
      <c r="C91" s="8" t="n">
        <f aca="false">INDEX(LINEST($B$6:$B$80,$C$6:$G$80,TRUE(),TRUE()),2,2)</f>
        <v>0.529736104020449</v>
      </c>
      <c r="D91" s="5" t="n">
        <f aca="false">B91/C91</f>
        <v>-2.54579109233364</v>
      </c>
      <c r="E91" s="7" t="n">
        <f aca="false">TDIST(ABS(D91),$H$86,2)</f>
        <v>0.0131404834489295</v>
      </c>
    </row>
    <row r="92" customFormat="false" ht="15" hidden="false" customHeight="false" outlineLevel="0" collapsed="false">
      <c r="A92" s="24" t="s">
        <v>177</v>
      </c>
      <c r="B92" s="25" t="n">
        <f aca="false">INDEX(LINEST($B$6:$B$80,$C$6:$G$80,TRUE(),TRUE()),1,1)</f>
        <v>0.177991199648902</v>
      </c>
      <c r="C92" s="8" t="n">
        <f aca="false">INDEX(LINEST($B$6:$B$80,$C$6:$G$80,TRUE(),TRUE()),2,1)</f>
        <v>0.0460769045448348</v>
      </c>
      <c r="D92" s="5" t="n">
        <f aca="false">B92/C92</f>
        <v>3.86291573635788</v>
      </c>
      <c r="E92" s="7" t="n">
        <f aca="false">TDIST(ABS(D92),$H$86,2)</f>
        <v>0.000249877365552328</v>
      </c>
    </row>
    <row r="94" customFormat="false" ht="15" hidden="false" customHeight="false" outlineLevel="0" collapsed="false">
      <c r="A94" s="21" t="s">
        <v>162</v>
      </c>
      <c r="B94" s="22"/>
      <c r="C94" s="22"/>
      <c r="D94" s="22"/>
      <c r="E94" s="22"/>
      <c r="F94" s="22"/>
      <c r="G94" s="22"/>
      <c r="H94" s="22"/>
      <c r="I94" s="22"/>
    </row>
    <row r="95" customFormat="false" ht="15" hidden="false" customHeight="false" outlineLevel="0" collapsed="false">
      <c r="A95" s="24" t="s">
        <v>163</v>
      </c>
      <c r="B95" s="5" t="n">
        <f aca="false">COUNT($B$6:$B$80)</f>
        <v>75</v>
      </c>
    </row>
    <row r="96" customFormat="false" ht="15" hidden="false" customHeight="false" outlineLevel="0" collapsed="false">
      <c r="A96" s="24" t="s">
        <v>8</v>
      </c>
      <c r="B96" s="5" t="n">
        <v>6</v>
      </c>
    </row>
    <row r="97" customFormat="false" ht="15" hidden="false" customHeight="false" outlineLevel="0" collapsed="false">
      <c r="A97" s="24" t="s">
        <v>9</v>
      </c>
      <c r="B97" s="6" t="n">
        <f aca="false">INDEX(LINEST($B$6:$B$80,$C$6:$G$80,TRUE(),TRUE()),3,1)</f>
        <v>0.810880714300356</v>
      </c>
    </row>
    <row r="98" customFormat="false" ht="15" hidden="false" customHeight="false" outlineLevel="0" collapsed="false">
      <c r="A98" s="24" t="s">
        <v>10</v>
      </c>
      <c r="B98" s="26" t="n">
        <f aca="false">1-(1-B97)*(B95-1)/(B95-B96)</f>
        <v>0.797176418235164</v>
      </c>
    </row>
    <row r="99" customFormat="false" ht="15" hidden="false" customHeight="false" outlineLevel="0" collapsed="false">
      <c r="A99" s="24" t="s">
        <v>11</v>
      </c>
      <c r="B99" s="8" t="n">
        <f aca="false">INDEX(LINEST($B$6:$B$80,$C$6:$G$80,TRUE(),TRUE()),5,2)</f>
        <v>0.0508735239508454</v>
      </c>
    </row>
    <row r="100" customFormat="false" ht="15" hidden="false" customHeight="false" outlineLevel="0" collapsed="false">
      <c r="A100" s="24" t="s">
        <v>164</v>
      </c>
      <c r="B100" s="6" t="n">
        <f aca="false">-B95/2*(LN(2*PI())+LN(B99/B95)+1)</f>
        <v>167.175888600691</v>
      </c>
    </row>
    <row r="101" customFormat="false" ht="15" hidden="false" customHeight="false" outlineLevel="0" collapsed="false">
      <c r="A101" s="24" t="s">
        <v>12</v>
      </c>
      <c r="B101" s="27" t="n">
        <f aca="false">-2*B100+2*B96</f>
        <v>-322.351777201382</v>
      </c>
    </row>
    <row r="102" customFormat="false" ht="15" hidden="false" customHeight="false" outlineLevel="0" collapsed="false">
      <c r="A102" s="24" t="s">
        <v>13</v>
      </c>
      <c r="B102" s="27" t="n">
        <f aca="false">-2*B100+LN(B95)*B96</f>
        <v>-308.446848520165</v>
      </c>
    </row>
    <row r="104" customFormat="false" ht="15" hidden="false" customHeight="false" outlineLevel="0" collapsed="false">
      <c r="A104" s="10" t="s">
        <v>14</v>
      </c>
      <c r="B104" s="28" t="n">
        <f aca="false">SUMXMY2(I7:I80,I6:I79)/SUMSQ(I6:I80)</f>
        <v>2.19768342205222</v>
      </c>
    </row>
    <row r="106" customFormat="false" ht="15" hidden="false" customHeight="false" outlineLevel="0" collapsed="false">
      <c r="A106" s="21" t="s">
        <v>184</v>
      </c>
      <c r="B106" s="22"/>
      <c r="C106" s="22"/>
      <c r="D106" s="22"/>
      <c r="E106" s="22"/>
      <c r="F106" s="22"/>
      <c r="G106" s="22"/>
      <c r="H106" s="22"/>
      <c r="I106" s="22"/>
    </row>
    <row r="107" customFormat="false" ht="15" hidden="false" customHeight="false" outlineLevel="0" collapsed="false">
      <c r="A107" s="2" t="s">
        <v>185</v>
      </c>
    </row>
    <row r="108" customFormat="false" ht="15" hidden="false" customHeight="false" outlineLevel="0" collapsed="false">
      <c r="A108" s="10" t="s">
        <v>186</v>
      </c>
    </row>
    <row r="109" customFormat="false" ht="15" hidden="false" customHeight="false" outlineLevel="0" collapsed="false">
      <c r="B109" s="30" t="n">
        <f aca="false">SUMPRODUCT($H$6:$H$80,$H$6:$H$80)</f>
        <v>75</v>
      </c>
      <c r="C109" s="30" t="n">
        <f aca="false">SUMPRODUCT($H$6:$H$80,$C$6:$C$80)</f>
        <v>1.1016858372993</v>
      </c>
      <c r="D109" s="30" t="n">
        <f aca="false">SUMPRODUCT($H$6:$H$80,$D$6:$D$80)</f>
        <v>-0.0472</v>
      </c>
      <c r="E109" s="30" t="n">
        <f aca="false">SUMPRODUCT($H$6:$H$80,$E$6:$E$80)</f>
        <v>584.44858808933</v>
      </c>
      <c r="F109" s="30" t="n">
        <f aca="false">SUMPRODUCT($H$6:$H$80,$F$6:$F$80)</f>
        <v>-0.0208823745557015</v>
      </c>
      <c r="G109" s="30" t="n">
        <f aca="false">SUMPRODUCT($H$6:$H$80,$G$6:$G$80)</f>
        <v>-0.139041992821077</v>
      </c>
    </row>
    <row r="110" customFormat="false" ht="15" hidden="false" customHeight="false" outlineLevel="0" collapsed="false">
      <c r="B110" s="30" t="n">
        <f aca="false">SUMPRODUCT($C$6:$C$80,$H$6:$H$80)</f>
        <v>1.1016858372993</v>
      </c>
      <c r="C110" s="30" t="n">
        <f aca="false">SUMPRODUCT($C$6:$C$80,$C$6:$C$80)</f>
        <v>0.292197849762446</v>
      </c>
      <c r="D110" s="30" t="n">
        <f aca="false">SUMPRODUCT($C$6:$C$80,$D$6:$D$80)</f>
        <v>-0.043140040769143</v>
      </c>
      <c r="E110" s="30" t="n">
        <f aca="false">SUMPRODUCT($C$6:$C$80,$E$6:$E$80)</f>
        <v>-121.059915055662</v>
      </c>
      <c r="F110" s="30" t="n">
        <f aca="false">SUMPRODUCT($C$6:$C$80,$F$6:$F$80)</f>
        <v>0.00838775781643029</v>
      </c>
      <c r="G110" s="30" t="n">
        <f aca="false">SUMPRODUCT($C$6:$C$80,$G$6:$G$80)</f>
        <v>-0.0585548135955289</v>
      </c>
    </row>
    <row r="111" customFormat="false" ht="15" hidden="false" customHeight="false" outlineLevel="0" collapsed="false">
      <c r="B111" s="30" t="n">
        <f aca="false">SUMPRODUCT($D$6:$D$80,$H$6:$H$80)</f>
        <v>-0.0472</v>
      </c>
      <c r="C111" s="30" t="n">
        <f aca="false">SUMPRODUCT($D$6:$D$80,$C$6:$C$80)</f>
        <v>-0.043140040769143</v>
      </c>
      <c r="D111" s="30" t="n">
        <f aca="false">SUMPRODUCT($D$6:$D$80,$D$6:$D$80)</f>
        <v>0.05390014</v>
      </c>
      <c r="E111" s="30" t="n">
        <f aca="false">SUMPRODUCT($D$6:$D$80,$E$6:$E$80)</f>
        <v>-147.775767883314</v>
      </c>
      <c r="F111" s="30" t="n">
        <f aca="false">SUMPRODUCT($D$6:$D$80,$F$6:$F$80)</f>
        <v>-0.00473869371203326</v>
      </c>
      <c r="G111" s="30" t="n">
        <f aca="false">SUMPRODUCT($D$6:$D$80,$G$6:$G$80)</f>
        <v>-0.061634317722518</v>
      </c>
    </row>
    <row r="112" customFormat="false" ht="15" hidden="false" customHeight="false" outlineLevel="0" collapsed="false">
      <c r="B112" s="30" t="n">
        <f aca="false">SUMPRODUCT($E$6:$E$80,$H$6:$H$80)</f>
        <v>584.44858808933</v>
      </c>
      <c r="C112" s="30" t="n">
        <f aca="false">SUMPRODUCT($E$6:$E$80,$C$6:$C$80)</f>
        <v>-121.059915055662</v>
      </c>
      <c r="D112" s="30" t="n">
        <f aca="false">SUMPRODUCT($E$6:$E$80,$D$6:$D$80)</f>
        <v>-147.775767883314</v>
      </c>
      <c r="E112" s="30" t="n">
        <f aca="false">SUMPRODUCT($E$6:$E$80,$E$6:$E$80)</f>
        <v>6499715.2722563</v>
      </c>
      <c r="F112" s="30" t="n">
        <f aca="false">SUMPRODUCT($E$6:$E$80,$F$6:$F$80)</f>
        <v>-3.98613199032361</v>
      </c>
      <c r="G112" s="30" t="n">
        <f aca="false">SUMPRODUCT($E$6:$E$80,$G$6:$G$80)</f>
        <v>484.435815893992</v>
      </c>
    </row>
    <row r="113" customFormat="false" ht="15" hidden="false" customHeight="false" outlineLevel="0" collapsed="false">
      <c r="B113" s="30" t="n">
        <f aca="false">SUMPRODUCT($F$6:$F$80,$H$6:$H$80)</f>
        <v>-0.0208823745557015</v>
      </c>
      <c r="C113" s="30" t="n">
        <f aca="false">SUMPRODUCT($F$6:$F$80,$C$6:$C$80)</f>
        <v>0.00838775781643029</v>
      </c>
      <c r="D113" s="30" t="n">
        <f aca="false">SUMPRODUCT($F$6:$F$80,$D$6:$D$80)</f>
        <v>-0.00473869371203326</v>
      </c>
      <c r="E113" s="30" t="n">
        <f aca="false">SUMPRODUCT($F$6:$F$80,$E$6:$E$80)</f>
        <v>-3.98613199032361</v>
      </c>
      <c r="F113" s="30" t="n">
        <f aca="false">SUMPRODUCT($F$6:$F$80,$F$6:$F$80)</f>
        <v>0.00342893603166765</v>
      </c>
      <c r="G113" s="30" t="n">
        <f aca="false">SUMPRODUCT($F$6:$F$80,$G$6:$G$80)</f>
        <v>0.0126992968973808</v>
      </c>
    </row>
    <row r="114" customFormat="false" ht="15" hidden="false" customHeight="false" outlineLevel="0" collapsed="false">
      <c r="B114" s="30" t="n">
        <f aca="false">SUMPRODUCT($G$6:$G$80,$H$6:$H$80)</f>
        <v>-0.139041992821077</v>
      </c>
      <c r="C114" s="30" t="n">
        <f aca="false">SUMPRODUCT($G$6:$G$80,$C$6:$C$80)</f>
        <v>-0.0585548135955289</v>
      </c>
      <c r="D114" s="30" t="n">
        <f aca="false">SUMPRODUCT($G$6:$G$80,$D$6:$D$80)</f>
        <v>-0.061634317722518</v>
      </c>
      <c r="E114" s="30" t="n">
        <f aca="false">SUMPRODUCT($G$6:$G$80,$E$6:$E$80)</f>
        <v>484.435815893992</v>
      </c>
      <c r="F114" s="30" t="n">
        <f aca="false">SUMPRODUCT($G$6:$G$80,$F$6:$F$80)</f>
        <v>0.0126992968973808</v>
      </c>
      <c r="G114" s="30" t="n">
        <f aca="false">SUMPRODUCT($G$6:$G$80,$G$6:$G$80)</f>
        <v>0.504650258175321</v>
      </c>
    </row>
    <row r="115" customFormat="false" ht="15" hidden="false" customHeight="false" outlineLevel="0" collapsed="false">
      <c r="A115" s="10" t="s">
        <v>187</v>
      </c>
    </row>
    <row r="116" customFormat="false" ht="15" hidden="false" customHeight="false" outlineLevel="0" collapsed="false">
      <c r="B116" s="30" t="n">
        <f aca="false">INDEX(MINVERSE($B$109:$G$114),1,1)</f>
        <v>0.0144274444397371</v>
      </c>
      <c r="C116" s="30" t="n">
        <f aca="false">INDEX(MINVERSE($B$109:$G$114),1,2)</f>
        <v>-0.0721505428024616</v>
      </c>
      <c r="D116" s="30" t="n">
        <f aca="false">INDEX(MINVERSE($B$109:$G$114),1,3)</f>
        <v>-0.0459054187589998</v>
      </c>
      <c r="E116" s="30" t="n">
        <f aca="false">INDEX(MINVERSE($B$109:$G$114),1,4)</f>
        <v>-2.49715031767253E-006</v>
      </c>
      <c r="F116" s="30" t="n">
        <f aca="false">INDEX(MINVERSE($B$109:$G$114),1,5)</f>
        <v>0.249429156185633</v>
      </c>
      <c r="G116" s="30" t="n">
        <f aca="false">INDEX(MINVERSE($B$109:$G$114),1,6)</f>
        <v>-0.013882794802127</v>
      </c>
    </row>
    <row r="117" customFormat="false" ht="15" hidden="false" customHeight="false" outlineLevel="0" collapsed="false">
      <c r="B117" s="30" t="n">
        <f aca="false">INDEX(MINVERSE($B$109:$G$114),2,1)</f>
        <v>-0.0721505428024614</v>
      </c>
      <c r="C117" s="30" t="n">
        <f aca="false">INDEX(MINVERSE($B$109:$G$114),2,2)</f>
        <v>5.02317115921828</v>
      </c>
      <c r="D117" s="30" t="n">
        <f aca="false">INDEX(MINVERSE($B$109:$G$114),2,3)</f>
        <v>4.7988175792178</v>
      </c>
      <c r="E117" s="30" t="n">
        <f aca="false">INDEX(MINVERSE($B$109:$G$114),2,4)</f>
        <v>0.000103878096029002</v>
      </c>
      <c r="F117" s="30" t="n">
        <f aca="false">INDEX(MINVERSE($B$109:$G$114),2,5)</f>
        <v>-10.8740788532894</v>
      </c>
      <c r="G117" s="30" t="n">
        <f aca="false">INDEX(MINVERSE($B$109:$G$114),2,6)</f>
        <v>1.32297887066607</v>
      </c>
    </row>
    <row r="118" customFormat="false" ht="15" hidden="false" customHeight="false" outlineLevel="0" collapsed="false">
      <c r="B118" s="30" t="n">
        <f aca="false">INDEX(MINVERSE($B$109:$G$114),3,1)</f>
        <v>-0.0459054187589991</v>
      </c>
      <c r="C118" s="30" t="n">
        <f aca="false">INDEX(MINVERSE($B$109:$G$114),3,2)</f>
        <v>4.7988175792178</v>
      </c>
      <c r="D118" s="30" t="n">
        <f aca="false">INDEX(MINVERSE($B$109:$G$114),3,3)</f>
        <v>28.869473502561</v>
      </c>
      <c r="E118" s="30" t="n">
        <f aca="false">INDEX(MINVERSE($B$109:$G$114),3,4)</f>
        <v>0.000526125733989885</v>
      </c>
      <c r="F118" s="30" t="n">
        <f aca="false">INDEX(MINVERSE($B$109:$G$114),3,5)</f>
        <v>16.8579956494801</v>
      </c>
      <c r="G118" s="30" t="n">
        <f aca="false">INDEX(MINVERSE($B$109:$G$114),3,6)</f>
        <v>3.14079409161186</v>
      </c>
    </row>
    <row r="119" customFormat="false" ht="15" hidden="false" customHeight="false" outlineLevel="0" collapsed="false">
      <c r="B119" s="30" t="n">
        <f aca="false">INDEX(MINVERSE($B$109:$G$114),4,1)</f>
        <v>-2.49715031767249E-006</v>
      </c>
      <c r="C119" s="30" t="n">
        <f aca="false">INDEX(MINVERSE($B$109:$G$114),4,2)</f>
        <v>0.000103878096029003</v>
      </c>
      <c r="D119" s="30" t="n">
        <f aca="false">INDEX(MINVERSE($B$109:$G$114),4,3)</f>
        <v>0.000526125733989885</v>
      </c>
      <c r="E119" s="30" t="n">
        <f aca="false">INDEX(MINVERSE($B$109:$G$114),4,4)</f>
        <v>1.77853210459267E-007</v>
      </c>
      <c r="F119" s="30" t="n">
        <f aca="false">INDEX(MINVERSE($B$109:$G$114),4,5)</f>
        <v>0.00112126946133937</v>
      </c>
      <c r="G119" s="30" t="n">
        <f aca="false">INDEX(MINVERSE($B$109:$G$114),4,6)</f>
        <v>-0.000123323120235629</v>
      </c>
    </row>
    <row r="120" customFormat="false" ht="15" hidden="false" customHeight="false" outlineLevel="0" collapsed="false">
      <c r="B120" s="30" t="n">
        <f aca="false">INDEX(MINVERSE($B$109:$G$114),5,1)</f>
        <v>0.249429156185632</v>
      </c>
      <c r="C120" s="30" t="n">
        <f aca="false">INDEX(MINVERSE($B$109:$G$114),5,2)</f>
        <v>-10.8740788532894</v>
      </c>
      <c r="D120" s="30" t="n">
        <f aca="false">INDEX(MINVERSE($B$109:$G$114),5,3)</f>
        <v>16.8579956494801</v>
      </c>
      <c r="E120" s="30" t="n">
        <f aca="false">INDEX(MINVERSE($B$109:$G$114),5,4)</f>
        <v>0.00112126946133936</v>
      </c>
      <c r="F120" s="30" t="n">
        <f aca="false">INDEX(MINVERSE($B$109:$G$114),5,5)</f>
        <v>380.60668791097</v>
      </c>
      <c r="G120" s="30" t="n">
        <f aca="false">INDEX(MINVERSE($B$109:$G$114),5,6)</f>
        <v>-9.78824009408087</v>
      </c>
    </row>
    <row r="121" customFormat="false" ht="15" hidden="false" customHeight="false" outlineLevel="0" collapsed="false">
      <c r="B121" s="30" t="n">
        <f aca="false">INDEX(MINVERSE($B$109:$G$114),6,1)</f>
        <v>-0.0138827948021267</v>
      </c>
      <c r="C121" s="30" t="n">
        <f aca="false">INDEX(MINVERSE($B$109:$G$114),6,2)</f>
        <v>1.32297887066607</v>
      </c>
      <c r="D121" s="30" t="n">
        <f aca="false">INDEX(MINVERSE($B$109:$G$114),6,3)</f>
        <v>3.14079409161186</v>
      </c>
      <c r="E121" s="30" t="n">
        <f aca="false">INDEX(MINVERSE($B$109:$G$114),6,4)</f>
        <v>-0.000123323120235629</v>
      </c>
      <c r="F121" s="30" t="n">
        <f aca="false">INDEX(MINVERSE($B$109:$G$114),6,5)</f>
        <v>-9.78824009408085</v>
      </c>
      <c r="G121" s="30" t="n">
        <f aca="false">INDEX(MINVERSE($B$109:$G$114),6,6)</f>
        <v>2.87954493342109</v>
      </c>
    </row>
    <row r="122" customFormat="false" ht="15" hidden="false" customHeight="false" outlineLevel="0" collapsed="false">
      <c r="A122" s="10" t="s">
        <v>188</v>
      </c>
    </row>
    <row r="123" customFormat="false" ht="15" hidden="false" customHeight="false" outlineLevel="0" collapsed="false">
      <c r="B123" s="30" t="n">
        <f aca="false">SUMPRODUCT($K$6:$K$80,$K$6:$K$80)</f>
        <v>0.0508735239508454</v>
      </c>
      <c r="C123" s="30" t="n">
        <f aca="false">SUMPRODUCT($K$6:$K$80,$L$6:$L$80)</f>
        <v>0.000933155413257446</v>
      </c>
      <c r="D123" s="30" t="n">
        <f aca="false">SUMPRODUCT($K$6:$K$80,$M$6:$M$80)</f>
        <v>-0.000102600845961463</v>
      </c>
      <c r="E123" s="30" t="n">
        <f aca="false">SUMPRODUCT($K$6:$K$80,$N$6:$N$80)</f>
        <v>-3.5661739308152</v>
      </c>
      <c r="F123" s="30" t="n">
        <f aca="false">SUMPRODUCT($K$6:$K$80,$O$6:$O$80)</f>
        <v>-4.76205310766245E-005</v>
      </c>
      <c r="G123" s="30" t="n">
        <f aca="false">SUMPRODUCT($K$6:$K$80,$P$6:$P$80)</f>
        <v>-6.64752518532772E-006</v>
      </c>
    </row>
    <row r="124" customFormat="false" ht="15" hidden="false" customHeight="false" outlineLevel="0" collapsed="false">
      <c r="B124" s="30" t="n">
        <f aca="false">SUMPRODUCT($L$6:$L$80,$K$6:$K$80)</f>
        <v>0.000933155413257446</v>
      </c>
      <c r="C124" s="30" t="n">
        <f aca="false">SUMPRODUCT($L$6:$L$80,$L$6:$L$80)</f>
        <v>0.000219748591751663</v>
      </c>
      <c r="D124" s="30" t="n">
        <f aca="false">SUMPRODUCT($L$6:$L$80,$M$6:$M$80)</f>
        <v>-3.02599967809409E-005</v>
      </c>
      <c r="E124" s="30" t="n">
        <f aca="false">SUMPRODUCT($L$6:$L$80,$N$6:$N$80)</f>
        <v>-0.126699137450305</v>
      </c>
      <c r="F124" s="30" t="n">
        <f aca="false">SUMPRODUCT($L$6:$L$80,$O$6:$O$80)</f>
        <v>2.848807613592E-006</v>
      </c>
      <c r="G124" s="30" t="n">
        <f aca="false">SUMPRODUCT($L$6:$L$80,$P$6:$P$80)</f>
        <v>-2.42407432680195E-005</v>
      </c>
    </row>
    <row r="125" customFormat="false" ht="15" hidden="false" customHeight="false" outlineLevel="0" collapsed="false">
      <c r="B125" s="30" t="n">
        <f aca="false">SUMPRODUCT($M$6:$M$80,$K$6:$K$80)</f>
        <v>-0.000102600845961463</v>
      </c>
      <c r="C125" s="30" t="n">
        <f aca="false">SUMPRODUCT($M$6:$M$80,$L$6:$L$80)</f>
        <v>-3.02599967809409E-005</v>
      </c>
      <c r="D125" s="30" t="n">
        <f aca="false">SUMPRODUCT($M$6:$M$80,$M$6:$M$80)</f>
        <v>7.3223573096422E-005</v>
      </c>
      <c r="E125" s="30" t="n">
        <f aca="false">SUMPRODUCT($M$6:$M$80,$N$6:$N$80)</f>
        <v>-0.2956512862891</v>
      </c>
      <c r="F125" s="30" t="n">
        <f aca="false">SUMPRODUCT($M$6:$M$80,$O$6:$O$80)</f>
        <v>-5.84367336476566E-006</v>
      </c>
      <c r="G125" s="30" t="n">
        <f aca="false">SUMPRODUCT($M$6:$M$80,$P$6:$P$80)</f>
        <v>-0.000133548618075533</v>
      </c>
    </row>
    <row r="126" customFormat="false" ht="15" hidden="false" customHeight="false" outlineLevel="0" collapsed="false">
      <c r="B126" s="30" t="n">
        <f aca="false">SUMPRODUCT($N$6:$N$80,$K$6:$K$80)</f>
        <v>-3.5661739308152</v>
      </c>
      <c r="C126" s="30" t="n">
        <f aca="false">SUMPRODUCT($N$6:$N$80,$L$6:$L$80)</f>
        <v>-0.126699137450305</v>
      </c>
      <c r="D126" s="30" t="n">
        <f aca="false">SUMPRODUCT($N$6:$N$80,$M$6:$M$80)</f>
        <v>-0.2956512862891</v>
      </c>
      <c r="E126" s="30" t="n">
        <f aca="false">SUMPRODUCT($N$6:$N$80,$N$6:$N$80)</f>
        <v>3696.55663123188</v>
      </c>
      <c r="F126" s="30" t="n">
        <f aca="false">SUMPRODUCT($N$6:$N$80,$O$6:$O$80)</f>
        <v>0.0146063704812661</v>
      </c>
      <c r="G126" s="30" t="n">
        <f aca="false">SUMPRODUCT($N$6:$N$80,$P$6:$P$80)</f>
        <v>0.635625631757695</v>
      </c>
    </row>
    <row r="127" customFormat="false" ht="15" hidden="false" customHeight="false" outlineLevel="0" collapsed="false">
      <c r="B127" s="30" t="n">
        <f aca="false">SUMPRODUCT($O$6:$O$80,$K$6:$K$80)</f>
        <v>-4.76205310766245E-005</v>
      </c>
      <c r="C127" s="30" t="n">
        <f aca="false">SUMPRODUCT($O$6:$O$80,$L$6:$L$80)</f>
        <v>2.848807613592E-006</v>
      </c>
      <c r="D127" s="30" t="n">
        <f aca="false">SUMPRODUCT($O$6:$O$80,$M$6:$M$80)</f>
        <v>-5.84367336476566E-006</v>
      </c>
      <c r="E127" s="30" t="n">
        <f aca="false">SUMPRODUCT($O$6:$O$80,$N$6:$N$80)</f>
        <v>0.0146063704812661</v>
      </c>
      <c r="F127" s="30" t="n">
        <f aca="false">SUMPRODUCT($O$6:$O$80,$O$6:$O$80)</f>
        <v>2.56201504322447E-006</v>
      </c>
      <c r="G127" s="30" t="n">
        <f aca="false">SUMPRODUCT($O$6:$O$80,$P$6:$P$80)</f>
        <v>8.64828843738902E-006</v>
      </c>
    </row>
    <row r="128" customFormat="false" ht="15" hidden="false" customHeight="false" outlineLevel="0" collapsed="false">
      <c r="B128" s="30" t="n">
        <f aca="false">SUMPRODUCT($P$6:$P$80,$K$6:$K$80)</f>
        <v>-6.64752518532772E-006</v>
      </c>
      <c r="C128" s="30" t="n">
        <f aca="false">SUMPRODUCT($P$6:$P$80,$L$6:$L$80)</f>
        <v>-2.42407432680195E-005</v>
      </c>
      <c r="D128" s="30" t="n">
        <f aca="false">SUMPRODUCT($P$6:$P$80,$M$6:$M$80)</f>
        <v>-0.000133548618075533</v>
      </c>
      <c r="E128" s="30" t="n">
        <f aca="false">SUMPRODUCT($P$6:$P$80,$N$6:$N$80)</f>
        <v>0.635625631757695</v>
      </c>
      <c r="F128" s="30" t="n">
        <f aca="false">SUMPRODUCT($P$6:$P$80,$O$6:$O$80)</f>
        <v>8.64828843738902E-006</v>
      </c>
      <c r="G128" s="30" t="n">
        <f aca="false">SUMPRODUCT($P$6:$P$80,$P$6:$P$80)</f>
        <v>0.000528730847442289</v>
      </c>
    </row>
    <row r="129" customFormat="false" ht="15" hidden="false" customHeight="false" outlineLevel="0" collapsed="false">
      <c r="A129" s="10" t="s">
        <v>189</v>
      </c>
    </row>
    <row r="130" customFormat="false" ht="15" hidden="false" customHeight="false" outlineLevel="0" collapsed="false">
      <c r="B130" s="30" t="n">
        <f aca="false">SUMPRODUCT($K$7:$K$80,$K$6:$K$79)</f>
        <v>-0.00548273076385509</v>
      </c>
      <c r="C130" s="30" t="n">
        <f aca="false">SUMPRODUCT($K$7:$K$80,$L$6:$L$79)</f>
        <v>-0.000136069256413915</v>
      </c>
      <c r="D130" s="30" t="n">
        <f aca="false">SUMPRODUCT($K$7:$K$80,$M$6:$M$79)</f>
        <v>6.99668383669961E-005</v>
      </c>
      <c r="E130" s="30" t="n">
        <f aca="false">SUMPRODUCT($K$7:$K$80,$N$6:$N$79)</f>
        <v>1.1298668726089</v>
      </c>
      <c r="F130" s="30" t="n">
        <f aca="false">SUMPRODUCT($K$7:$K$80,$O$6:$O$79)</f>
        <v>-2.54600949997655E-006</v>
      </c>
      <c r="G130" s="30" t="n">
        <f aca="false">SUMPRODUCT($K$7:$K$80,$P$6:$P$79)</f>
        <v>-0.000674150382344961</v>
      </c>
    </row>
    <row r="131" customFormat="false" ht="15" hidden="false" customHeight="false" outlineLevel="0" collapsed="false">
      <c r="B131" s="30" t="n">
        <f aca="false">SUMPRODUCT($L$7:$L$80,$K$6:$K$79)</f>
        <v>-0.000246987001322527</v>
      </c>
      <c r="C131" s="30" t="n">
        <f aca="false">SUMPRODUCT($L$7:$L$80,$L$6:$L$79)</f>
        <v>-8.37857385560427E-006</v>
      </c>
      <c r="D131" s="30" t="n">
        <f aca="false">SUMPRODUCT($L$7:$L$80,$M$6:$M$79)</f>
        <v>3.62915058779357E-005</v>
      </c>
      <c r="E131" s="30" t="n">
        <f aca="false">SUMPRODUCT($L$7:$L$80,$N$6:$N$79)</f>
        <v>-0.112968092962681</v>
      </c>
      <c r="F131" s="30" t="n">
        <f aca="false">SUMPRODUCT($L$7:$L$80,$O$6:$O$79)</f>
        <v>2.39114844725641E-006</v>
      </c>
      <c r="G131" s="30" t="n">
        <f aca="false">SUMPRODUCT($L$7:$L$80,$P$6:$P$79)</f>
        <v>-0.000170139024357103</v>
      </c>
    </row>
    <row r="132" customFormat="false" ht="15" hidden="false" customHeight="false" outlineLevel="0" collapsed="false">
      <c r="B132" s="30" t="n">
        <f aca="false">SUMPRODUCT($M$7:$M$80,$K$6:$K$79)</f>
        <v>-5.09931936259165E-005</v>
      </c>
      <c r="C132" s="30" t="n">
        <f aca="false">SUMPRODUCT($M$7:$M$80,$L$6:$L$79)</f>
        <v>-3.01997040528322E-006</v>
      </c>
      <c r="D132" s="30" t="n">
        <f aca="false">SUMPRODUCT($M$7:$M$80,$M$6:$M$79)</f>
        <v>-1.37835507779347E-005</v>
      </c>
      <c r="E132" s="30" t="n">
        <f aca="false">SUMPRODUCT($M$7:$M$80,$N$6:$N$79)</f>
        <v>0.0114505054458654</v>
      </c>
      <c r="F132" s="30" t="n">
        <f aca="false">SUMPRODUCT($M$7:$M$80,$O$6:$O$79)</f>
        <v>7.44423487517842E-008</v>
      </c>
      <c r="G132" s="30" t="n">
        <f aca="false">SUMPRODUCT($M$7:$M$80,$P$6:$P$79)</f>
        <v>3.81129932456626E-005</v>
      </c>
    </row>
    <row r="133" customFormat="false" ht="15" hidden="false" customHeight="false" outlineLevel="0" collapsed="false">
      <c r="B133" s="30" t="n">
        <f aca="false">SUMPRODUCT($N$7:$N$80,$K$6:$K$79)</f>
        <v>1.59969056030734</v>
      </c>
      <c r="C133" s="30" t="n">
        <f aca="false">SUMPRODUCT($N$7:$N$80,$L$6:$L$79)</f>
        <v>0.083677021853817</v>
      </c>
      <c r="D133" s="30" t="n">
        <f aca="false">SUMPRODUCT($N$7:$N$80,$M$6:$M$79)</f>
        <v>-0.0392246054340833</v>
      </c>
      <c r="E133" s="30" t="n">
        <f aca="false">SUMPRODUCT($N$7:$N$80,$N$6:$N$79)</f>
        <v>-94.9531339213304</v>
      </c>
      <c r="F133" s="30" t="n">
        <f aca="false">SUMPRODUCT($N$7:$N$80,$O$6:$O$79)</f>
        <v>0.0194646092447054</v>
      </c>
      <c r="G133" s="30" t="n">
        <f aca="false">SUMPRODUCT($N$7:$N$80,$P$6:$P$79)</f>
        <v>0.0382896275248891</v>
      </c>
    </row>
    <row r="134" customFormat="false" ht="15" hidden="false" customHeight="false" outlineLevel="0" collapsed="false">
      <c r="B134" s="30" t="n">
        <f aca="false">SUMPRODUCT($O$7:$O$80,$K$6:$K$79)</f>
        <v>6.3391329493556E-005</v>
      </c>
      <c r="C134" s="30" t="n">
        <f aca="false">SUMPRODUCT($O$7:$O$80,$L$6:$L$79)</f>
        <v>5.17065290391034E-006</v>
      </c>
      <c r="D134" s="30" t="n">
        <f aca="false">SUMPRODUCT($O$7:$O$80,$M$6:$M$79)</f>
        <v>1.36912904413805E-007</v>
      </c>
      <c r="E134" s="30" t="n">
        <f aca="false">SUMPRODUCT($O$7:$O$80,$N$6:$N$79)</f>
        <v>-0.0141898236933597</v>
      </c>
      <c r="F134" s="30" t="n">
        <f aca="false">SUMPRODUCT($O$7:$O$80,$O$6:$O$79)</f>
        <v>-1.69740598827684E-007</v>
      </c>
      <c r="G134" s="30" t="n">
        <f aca="false">SUMPRODUCT($O$7:$O$80,$P$6:$P$79)</f>
        <v>-2.96928904090642E-006</v>
      </c>
    </row>
    <row r="135" customFormat="false" ht="15" hidden="false" customHeight="false" outlineLevel="0" collapsed="false">
      <c r="B135" s="30" t="n">
        <f aca="false">SUMPRODUCT($P$7:$P$80,$K$6:$K$79)</f>
        <v>0.000121765710716532</v>
      </c>
      <c r="C135" s="30" t="n">
        <f aca="false">SUMPRODUCT($P$7:$P$80,$L$6:$L$79)</f>
        <v>1.60365592303742E-005</v>
      </c>
      <c r="D135" s="30" t="n">
        <f aca="false">SUMPRODUCT($P$7:$P$80,$M$6:$M$79)</f>
        <v>-1.07392542170269E-005</v>
      </c>
      <c r="E135" s="30" t="n">
        <f aca="false">SUMPRODUCT($P$7:$P$80,$N$6:$N$79)</f>
        <v>0.251875462341818</v>
      </c>
      <c r="F135" s="30" t="n">
        <f aca="false">SUMPRODUCT($P$7:$P$80,$O$6:$O$79)</f>
        <v>2.69857990074837E-006</v>
      </c>
      <c r="G135" s="30" t="n">
        <f aca="false">SUMPRODUCT($P$7:$P$80,$P$6:$P$79)</f>
        <v>7.28255382007042E-006</v>
      </c>
    </row>
    <row r="136" customFormat="false" ht="15" hidden="false" customHeight="false" outlineLevel="0" collapsed="false">
      <c r="A136" s="10" t="s">
        <v>190</v>
      </c>
    </row>
    <row r="137" customFormat="false" ht="15" hidden="false" customHeight="false" outlineLevel="0" collapsed="false">
      <c r="B137" s="30" t="n">
        <f aca="false">SUMPRODUCT($K$8:$K$80,$K$6:$K$78)</f>
        <v>-0.00493597899648245</v>
      </c>
      <c r="C137" s="30" t="n">
        <f aca="false">SUMPRODUCT($K$8:$K$80,$L$6:$L$78)</f>
        <v>0.000204010142562663</v>
      </c>
      <c r="D137" s="30" t="n">
        <f aca="false">SUMPRODUCT($K$8:$K$80,$M$6:$M$78)</f>
        <v>0.000198264239104991</v>
      </c>
      <c r="E137" s="30" t="n">
        <f aca="false">SUMPRODUCT($K$8:$K$80,$N$6:$N$78)</f>
        <v>0.114186494344855</v>
      </c>
      <c r="F137" s="30" t="n">
        <f aca="false">SUMPRODUCT($K$8:$K$80,$O$6:$O$78)</f>
        <v>-5.11019312319317E-005</v>
      </c>
      <c r="G137" s="30" t="n">
        <f aca="false">SUMPRODUCT($K$8:$K$80,$P$6:$P$78)</f>
        <v>-0.000744186777488264</v>
      </c>
    </row>
    <row r="138" customFormat="false" ht="15" hidden="false" customHeight="false" outlineLevel="0" collapsed="false">
      <c r="B138" s="30" t="n">
        <f aca="false">SUMPRODUCT($L$8:$L$80,$K$6:$K$78)</f>
        <v>0.000255209396063242</v>
      </c>
      <c r="C138" s="30" t="n">
        <f aca="false">SUMPRODUCT($L$8:$L$80,$L$6:$L$78)</f>
        <v>-7.81519139574365E-006</v>
      </c>
      <c r="D138" s="30" t="n">
        <f aca="false">SUMPRODUCT($L$8:$L$80,$M$6:$M$78)</f>
        <v>7.97075170567939E-006</v>
      </c>
      <c r="E138" s="30" t="n">
        <f aca="false">SUMPRODUCT($L$8:$L$80,$N$6:$N$78)</f>
        <v>-0.190590497555144</v>
      </c>
      <c r="F138" s="30" t="n">
        <f aca="false">SUMPRODUCT($L$8:$L$80,$O$6:$O$78)</f>
        <v>-5.32918037440618E-006</v>
      </c>
      <c r="G138" s="30" t="n">
        <f aca="false">SUMPRODUCT($L$8:$L$80,$P$6:$P$78)</f>
        <v>-1.24532411566286E-005</v>
      </c>
    </row>
    <row r="139" customFormat="false" ht="15" hidden="false" customHeight="false" outlineLevel="0" collapsed="false">
      <c r="B139" s="30" t="n">
        <f aca="false">SUMPRODUCT($M$8:$M$80,$K$6:$K$78)</f>
        <v>1.51846326586051E-006</v>
      </c>
      <c r="C139" s="30" t="n">
        <f aca="false">SUMPRODUCT($M$8:$M$80,$L$6:$L$78)</f>
        <v>-8.70104162378407E-006</v>
      </c>
      <c r="D139" s="30" t="n">
        <f aca="false">SUMPRODUCT($M$8:$M$80,$M$6:$M$78)</f>
        <v>1.40681615142431E-006</v>
      </c>
      <c r="E139" s="30" t="n">
        <f aca="false">SUMPRODUCT($M$8:$M$80,$N$6:$N$78)</f>
        <v>0.127479164526023</v>
      </c>
      <c r="F139" s="30" t="n">
        <f aca="false">SUMPRODUCT($M$8:$M$80,$O$6:$O$78)</f>
        <v>-2.68574276538681E-006</v>
      </c>
      <c r="G139" s="30" t="n">
        <f aca="false">SUMPRODUCT($M$8:$M$80,$P$6:$P$78)</f>
        <v>-1.02498362107253E-006</v>
      </c>
    </row>
    <row r="140" customFormat="false" ht="15" hidden="false" customHeight="false" outlineLevel="0" collapsed="false">
      <c r="B140" s="30" t="n">
        <f aca="false">SUMPRODUCT($N$8:$N$80,$K$6:$K$78)</f>
        <v>-0.0466968354985158</v>
      </c>
      <c r="C140" s="30" t="n">
        <f aca="false">SUMPRODUCT($N$8:$N$80,$L$6:$L$78)</f>
        <v>-0.0430563299537954</v>
      </c>
      <c r="D140" s="30" t="n">
        <f aca="false">SUMPRODUCT($N$8:$N$80,$M$6:$M$78)</f>
        <v>0.109394842668365</v>
      </c>
      <c r="E140" s="30" t="n">
        <f aca="false">SUMPRODUCT($N$8:$N$80,$N$6:$N$78)</f>
        <v>-1396.46723278261</v>
      </c>
      <c r="F140" s="30" t="n">
        <f aca="false">SUMPRODUCT($N$8:$N$80,$O$6:$O$78)</f>
        <v>0.00700988778062608</v>
      </c>
      <c r="G140" s="30" t="n">
        <f aca="false">SUMPRODUCT($N$8:$N$80,$P$6:$P$78)</f>
        <v>-0.15179933849592</v>
      </c>
    </row>
    <row r="141" customFormat="false" ht="15" hidden="false" customHeight="false" outlineLevel="0" collapsed="false">
      <c r="B141" s="30" t="n">
        <f aca="false">SUMPRODUCT($O$8:$O$80,$K$6:$K$78)</f>
        <v>0.000104676550731237</v>
      </c>
      <c r="C141" s="30" t="n">
        <f aca="false">SUMPRODUCT($O$8:$O$80,$L$6:$L$78)</f>
        <v>-1.94501049165245E-006</v>
      </c>
      <c r="D141" s="30" t="n">
        <f aca="false">SUMPRODUCT($O$8:$O$80,$M$6:$M$78)</f>
        <v>1.47219971459915E-006</v>
      </c>
      <c r="E141" s="30" t="n">
        <f aca="false">SUMPRODUCT($O$8:$O$80,$N$6:$N$78)</f>
        <v>-0.0239948212291139</v>
      </c>
      <c r="F141" s="30" t="n">
        <f aca="false">SUMPRODUCT($O$8:$O$80,$O$6:$O$78)</f>
        <v>-1.49768941225871E-007</v>
      </c>
      <c r="G141" s="30" t="n">
        <f aca="false">SUMPRODUCT($O$8:$O$80,$P$6:$P$78)</f>
        <v>-1.88032963044351E-006</v>
      </c>
    </row>
    <row r="142" customFormat="false" ht="15" hidden="false" customHeight="false" outlineLevel="0" collapsed="false">
      <c r="B142" s="30" t="n">
        <f aca="false">SUMPRODUCT($P$8:$P$80,$K$6:$K$78)</f>
        <v>-0.000278364798394504</v>
      </c>
      <c r="C142" s="30" t="n">
        <f aca="false">SUMPRODUCT($P$8:$P$80,$L$6:$L$78)</f>
        <v>4.29100141161598E-005</v>
      </c>
      <c r="D142" s="30" t="n">
        <f aca="false">SUMPRODUCT($P$8:$P$80,$M$6:$M$78)</f>
        <v>-2.08810913722655E-005</v>
      </c>
      <c r="E142" s="30" t="n">
        <f aca="false">SUMPRODUCT($P$8:$P$80,$N$6:$N$78)</f>
        <v>-0.247213208419155</v>
      </c>
      <c r="F142" s="30" t="n">
        <f aca="false">SUMPRODUCT($P$8:$P$80,$O$6:$O$78)</f>
        <v>8.3717461864182E-006</v>
      </c>
      <c r="G142" s="30" t="n">
        <f aca="false">SUMPRODUCT($P$8:$P$80,$P$6:$P$78)</f>
        <v>-3.04683036393788E-005</v>
      </c>
    </row>
    <row r="143" customFormat="false" ht="15" hidden="false" customHeight="false" outlineLevel="0" collapsed="false">
      <c r="A143" s="10" t="s">
        <v>191</v>
      </c>
    </row>
    <row r="144" customFormat="false" ht="15" hidden="false" customHeight="false" outlineLevel="0" collapsed="false">
      <c r="B144" s="30" t="n">
        <f aca="false">SUMPRODUCT($K$9:$K$80,$K$6:$K$77)</f>
        <v>0.00115830329851248</v>
      </c>
      <c r="C144" s="30" t="n">
        <f aca="false">SUMPRODUCT($K$9:$K$80,$L$6:$L$77)</f>
        <v>-0.000166715206831295</v>
      </c>
      <c r="D144" s="30" t="n">
        <f aca="false">SUMPRODUCT($K$9:$K$80,$M$6:$M$77)</f>
        <v>0.00013978346360931</v>
      </c>
      <c r="E144" s="30" t="n">
        <f aca="false">SUMPRODUCT($K$9:$K$80,$N$6:$N$77)</f>
        <v>0.431961443226575</v>
      </c>
      <c r="F144" s="30" t="n">
        <f aca="false">SUMPRODUCT($K$9:$K$80,$O$6:$O$77)</f>
        <v>-3.28943175568529E-005</v>
      </c>
      <c r="G144" s="30" t="n">
        <f aca="false">SUMPRODUCT($K$9:$K$80,$P$6:$P$77)</f>
        <v>-2.46893633048559E-005</v>
      </c>
    </row>
    <row r="145" customFormat="false" ht="15" hidden="false" customHeight="false" outlineLevel="0" collapsed="false">
      <c r="B145" s="30" t="n">
        <f aca="false">SUMPRODUCT($L$9:$L$80,$K$6:$K$77)</f>
        <v>0.000650513341703803</v>
      </c>
      <c r="C145" s="30" t="n">
        <f aca="false">SUMPRODUCT($L$9:$L$80,$L$6:$L$77)</f>
        <v>-1.99668207180565E-005</v>
      </c>
      <c r="D145" s="30" t="n">
        <f aca="false">SUMPRODUCT($L$9:$L$80,$M$6:$M$77)</f>
        <v>8.65846743336489E-006</v>
      </c>
      <c r="E145" s="30" t="n">
        <f aca="false">SUMPRODUCT($L$9:$L$80,$N$6:$N$77)</f>
        <v>0.113954447102849</v>
      </c>
      <c r="F145" s="30" t="n">
        <f aca="false">SUMPRODUCT($L$9:$L$80,$O$6:$O$77)</f>
        <v>-8.4798969745466E-006</v>
      </c>
      <c r="G145" s="30" t="n">
        <f aca="false">SUMPRODUCT($L$9:$L$80,$P$6:$P$77)</f>
        <v>4.08389663165676E-006</v>
      </c>
    </row>
    <row r="146" customFormat="false" ht="15" hidden="false" customHeight="false" outlineLevel="0" collapsed="false">
      <c r="B146" s="30" t="n">
        <f aca="false">SUMPRODUCT($M$9:$M$80,$K$6:$K$77)</f>
        <v>-0.000264649127085031</v>
      </c>
      <c r="C146" s="30" t="n">
        <f aca="false">SUMPRODUCT($M$9:$M$80,$L$6:$L$77)</f>
        <v>1.7030119687993E-005</v>
      </c>
      <c r="D146" s="30" t="n">
        <f aca="false">SUMPRODUCT($M$9:$M$80,$M$6:$M$77)</f>
        <v>-4.4490724199317E-006</v>
      </c>
      <c r="E146" s="30" t="n">
        <f aca="false">SUMPRODUCT($M$9:$M$80,$N$6:$N$77)</f>
        <v>-0.0680925316360772</v>
      </c>
      <c r="F146" s="30" t="n">
        <f aca="false">SUMPRODUCT($M$9:$M$80,$O$6:$O$77)</f>
        <v>2.45276143166514E-006</v>
      </c>
      <c r="G146" s="30" t="n">
        <f aca="false">SUMPRODUCT($M$9:$M$80,$P$6:$P$77)</f>
        <v>-8.32302671404609E-006</v>
      </c>
    </row>
    <row r="147" customFormat="false" ht="15" hidden="false" customHeight="false" outlineLevel="0" collapsed="false">
      <c r="B147" s="30" t="n">
        <f aca="false">SUMPRODUCT($N$9:$N$80,$K$6:$K$77)</f>
        <v>-0.483708135777858</v>
      </c>
      <c r="C147" s="30" t="n">
        <f aca="false">SUMPRODUCT($N$9:$N$80,$L$6:$L$77)</f>
        <v>-0.0611914871555807</v>
      </c>
      <c r="D147" s="30" t="n">
        <f aca="false">SUMPRODUCT($N$9:$N$80,$M$6:$M$77)</f>
        <v>-0.00820149183957263</v>
      </c>
      <c r="E147" s="30" t="n">
        <f aca="false">SUMPRODUCT($N$9:$N$80,$N$6:$N$77)</f>
        <v>199.304645189249</v>
      </c>
      <c r="F147" s="30" t="n">
        <f aca="false">SUMPRODUCT($N$9:$N$80,$O$6:$O$77)</f>
        <v>-0.00668493535182156</v>
      </c>
      <c r="G147" s="30" t="n">
        <f aca="false">SUMPRODUCT($N$9:$N$80,$P$6:$P$77)</f>
        <v>0.103309919013712</v>
      </c>
    </row>
    <row r="148" customFormat="false" ht="15" hidden="false" customHeight="false" outlineLevel="0" collapsed="false">
      <c r="B148" s="30" t="n">
        <f aca="false">SUMPRODUCT($O$9:$O$80,$K$6:$K$77)</f>
        <v>-1.68431956386633E-006</v>
      </c>
      <c r="C148" s="30" t="n">
        <f aca="false">SUMPRODUCT($O$9:$O$80,$L$6:$L$77)</f>
        <v>-2.80860533945057E-007</v>
      </c>
      <c r="D148" s="30" t="n">
        <f aca="false">SUMPRODUCT($O$9:$O$80,$M$6:$M$77)</f>
        <v>-8.46966006369393E-007</v>
      </c>
      <c r="E148" s="30" t="n">
        <f aca="false">SUMPRODUCT($O$9:$O$80,$N$6:$N$77)</f>
        <v>0.0138193096013916</v>
      </c>
      <c r="F148" s="30" t="n">
        <f aca="false">SUMPRODUCT($O$9:$O$80,$O$6:$O$77)</f>
        <v>-1.43693066727176E-007</v>
      </c>
      <c r="G148" s="30" t="n">
        <f aca="false">SUMPRODUCT($O$9:$O$80,$P$6:$P$77)</f>
        <v>2.57833102813894E-006</v>
      </c>
    </row>
    <row r="149" customFormat="false" ht="15" hidden="false" customHeight="false" outlineLevel="0" collapsed="false">
      <c r="B149" s="30" t="n">
        <f aca="false">SUMPRODUCT($P$9:$P$80,$K$6:$K$77)</f>
        <v>0.000723207976047997</v>
      </c>
      <c r="C149" s="30" t="n">
        <f aca="false">SUMPRODUCT($P$9:$P$80,$L$6:$L$77)</f>
        <v>-3.90352792128433E-005</v>
      </c>
      <c r="D149" s="30" t="n">
        <f aca="false">SUMPRODUCT($P$9:$P$80,$M$6:$M$77)</f>
        <v>3.10538000086604E-006</v>
      </c>
      <c r="E149" s="30" t="n">
        <f aca="false">SUMPRODUCT($P$9:$P$80,$N$6:$N$77)</f>
        <v>0.09228074834669</v>
      </c>
      <c r="F149" s="30" t="n">
        <f aca="false">SUMPRODUCT($P$9:$P$80,$O$6:$O$77)</f>
        <v>-1.53720893669984E-006</v>
      </c>
      <c r="G149" s="30" t="n">
        <f aca="false">SUMPRODUCT($P$9:$P$80,$P$6:$P$77)</f>
        <v>4.10692920931725E-005</v>
      </c>
    </row>
    <row r="150" customFormat="false" ht="15" hidden="false" customHeight="false" outlineLevel="0" collapsed="false">
      <c r="A150" s="10" t="s">
        <v>192</v>
      </c>
    </row>
    <row r="151" customFormat="false" ht="15" hidden="false" customHeight="false" outlineLevel="0" collapsed="false">
      <c r="B151" s="30" t="n">
        <f aca="false">SUMPRODUCT($K$10:$K$80,$K$6:$K$76)</f>
        <v>-0.0165886562837611</v>
      </c>
      <c r="C151" s="30" t="n">
        <f aca="false">SUMPRODUCT($K$10:$K$80,$L$6:$L$76)</f>
        <v>0.000112542914564753</v>
      </c>
      <c r="D151" s="30" t="n">
        <f aca="false">SUMPRODUCT($K$10:$K$80,$M$6:$M$76)</f>
        <v>0.000211271054375574</v>
      </c>
      <c r="E151" s="30" t="n">
        <f aca="false">SUMPRODUCT($K$10:$K$80,$N$6:$N$76)</f>
        <v>-0.710451843587764</v>
      </c>
      <c r="F151" s="30" t="n">
        <f aca="false">SUMPRODUCT($K$10:$K$80,$O$6:$O$76)</f>
        <v>1.43887629747689E-005</v>
      </c>
      <c r="G151" s="30" t="n">
        <f aca="false">SUMPRODUCT($K$10:$K$80,$P$6:$P$76)</f>
        <v>-0.000584793279239741</v>
      </c>
    </row>
    <row r="152" customFormat="false" ht="15" hidden="false" customHeight="false" outlineLevel="0" collapsed="false">
      <c r="B152" s="30" t="n">
        <f aca="false">SUMPRODUCT($L$10:$L$80,$K$6:$K$76)</f>
        <v>-0.000356906050812932</v>
      </c>
      <c r="C152" s="30" t="n">
        <f aca="false">SUMPRODUCT($L$10:$L$80,$L$6:$L$76)</f>
        <v>4.29112859468486E-006</v>
      </c>
      <c r="D152" s="30" t="n">
        <f aca="false">SUMPRODUCT($L$10:$L$80,$M$6:$M$76)</f>
        <v>3.7470526958785E-006</v>
      </c>
      <c r="E152" s="30" t="n">
        <f aca="false">SUMPRODUCT($L$10:$L$80,$N$6:$N$76)</f>
        <v>0.0356140313225536</v>
      </c>
      <c r="F152" s="30" t="n">
        <f aca="false">SUMPRODUCT($L$10:$L$80,$O$6:$O$76)</f>
        <v>8.0984053224196E-007</v>
      </c>
      <c r="G152" s="30" t="n">
        <f aca="false">SUMPRODUCT($L$10:$L$80,$P$6:$P$76)</f>
        <v>-5.85211443782295E-005</v>
      </c>
    </row>
    <row r="153" customFormat="false" ht="15" hidden="false" customHeight="false" outlineLevel="0" collapsed="false">
      <c r="B153" s="30" t="n">
        <f aca="false">SUMPRODUCT($M$10:$M$80,$K$6:$K$76)</f>
        <v>7.03612474878566E-005</v>
      </c>
      <c r="C153" s="30" t="n">
        <f aca="false">SUMPRODUCT($M$10:$M$80,$L$6:$L$76)</f>
        <v>-6.1367808348588E-006</v>
      </c>
      <c r="D153" s="30" t="n">
        <f aca="false">SUMPRODUCT($M$10:$M$80,$M$6:$M$76)</f>
        <v>2.53871103953272E-005</v>
      </c>
      <c r="E153" s="30" t="n">
        <f aca="false">SUMPRODUCT($M$10:$M$80,$N$6:$N$76)</f>
        <v>-0.120507436997427</v>
      </c>
      <c r="F153" s="30" t="n">
        <f aca="false">SUMPRODUCT($M$10:$M$80,$O$6:$O$76)</f>
        <v>1.08050084176991E-007</v>
      </c>
      <c r="G153" s="30" t="n">
        <f aca="false">SUMPRODUCT($M$10:$M$80,$P$6:$P$76)</f>
        <v>-5.67898888712257E-005</v>
      </c>
    </row>
    <row r="154" customFormat="false" ht="15" hidden="false" customHeight="false" outlineLevel="0" collapsed="false">
      <c r="B154" s="30" t="n">
        <f aca="false">SUMPRODUCT($N$10:$N$80,$K$6:$K$76)</f>
        <v>0.842576775947641</v>
      </c>
      <c r="C154" s="30" t="n">
        <f aca="false">SUMPRODUCT($N$10:$N$80,$L$6:$L$76)</f>
        <v>0.0445220210845024</v>
      </c>
      <c r="D154" s="30" t="n">
        <f aca="false">SUMPRODUCT($N$10:$N$80,$M$6:$M$76)</f>
        <v>-0.152718505849998</v>
      </c>
      <c r="E154" s="30" t="n">
        <f aca="false">SUMPRODUCT($N$10:$N$80,$N$6:$N$76)</f>
        <v>545.032354674511</v>
      </c>
      <c r="F154" s="30" t="n">
        <f aca="false">SUMPRODUCT($N$10:$N$80,$O$6:$O$76)</f>
        <v>-0.00549715202114926</v>
      </c>
      <c r="G154" s="30" t="n">
        <f aca="false">SUMPRODUCT($N$10:$N$80,$P$6:$P$76)</f>
        <v>0.370216047768335</v>
      </c>
    </row>
    <row r="155" customFormat="false" ht="15" hidden="false" customHeight="false" outlineLevel="0" collapsed="false">
      <c r="B155" s="30" t="n">
        <f aca="false">SUMPRODUCT($O$10:$O$80,$K$6:$K$76)</f>
        <v>-1.63525374938415E-005</v>
      </c>
      <c r="C155" s="30" t="n">
        <f aca="false">SUMPRODUCT($O$10:$O$80,$L$6:$L$76)</f>
        <v>-5.31868523162607E-007</v>
      </c>
      <c r="D155" s="30" t="n">
        <f aca="false">SUMPRODUCT($O$10:$O$80,$M$6:$M$76)</f>
        <v>-1.29181456393113E-006</v>
      </c>
      <c r="E155" s="30" t="n">
        <f aca="false">SUMPRODUCT($O$10:$O$80,$N$6:$N$76)</f>
        <v>0.0386026953021354</v>
      </c>
      <c r="F155" s="30" t="n">
        <f aca="false">SUMPRODUCT($O$10:$O$80,$O$6:$O$76)</f>
        <v>-3.98429551768374E-007</v>
      </c>
      <c r="G155" s="30" t="n">
        <f aca="false">SUMPRODUCT($O$10:$O$80,$P$6:$P$76)</f>
        <v>7.35252991270256E-006</v>
      </c>
    </row>
    <row r="156" customFormat="false" ht="15" hidden="false" customHeight="false" outlineLevel="0" collapsed="false">
      <c r="B156" s="30" t="n">
        <f aca="false">SUMPRODUCT($P$10:$P$80,$K$6:$K$76)</f>
        <v>-0.000321072982474212</v>
      </c>
      <c r="C156" s="30" t="n">
        <f aca="false">SUMPRODUCT($P$10:$P$80,$L$6:$L$76)</f>
        <v>2.60712749742146E-005</v>
      </c>
      <c r="D156" s="30" t="n">
        <f aca="false">SUMPRODUCT($P$10:$P$80,$M$6:$M$76)</f>
        <v>-6.33978421242884E-005</v>
      </c>
      <c r="E156" s="30" t="n">
        <f aca="false">SUMPRODUCT($P$10:$P$80,$N$6:$N$76)</f>
        <v>0.429245904150598</v>
      </c>
      <c r="F156" s="30" t="n">
        <f aca="false">SUMPRODUCT($P$10:$P$80,$O$6:$O$76)</f>
        <v>-2.27354393461588E-006</v>
      </c>
      <c r="G156" s="30" t="n">
        <f aca="false">SUMPRODUCT($P$10:$P$80,$P$6:$P$76)</f>
        <v>0.000166556591510884</v>
      </c>
    </row>
    <row r="157" customFormat="false" ht="15" hidden="false" customHeight="false" outlineLevel="0" collapsed="false">
      <c r="A157" s="10" t="s">
        <v>193</v>
      </c>
    </row>
    <row r="158" customFormat="false" ht="15" hidden="false" customHeight="false" outlineLevel="0" collapsed="false">
      <c r="B158" s="30" t="n">
        <f aca="false">INDEX($B$123:$G$128,1,1)+0.8*(INDEX($B$130:$G$135,1,1)+INDEX($B$130:$G$135,1,1))+0.6*(INDEX($B$137:$G$142,1,1)+INDEX($B$137:$G$142,1,1))+0.4*(INDEX($B$144:$G$149,1,1)+INDEX($B$144:$G$149,1,1))+0.2*(INDEX($B$151:$G$156,1,1)+INDEX($B$151:$G$156,1,1))</f>
        <v>0.0304691600582039</v>
      </c>
      <c r="C158" s="30" t="n">
        <f aca="false">INDEX($B$123:$G$128,1,2)+0.8*(INDEX($B$130:$G$135,1,2)+INDEX($B$130:$G$135,2,1))+0.6*(INDEX($B$137:$G$142,1,2)+INDEX($B$137:$G$142,2,1))+0.4*(INDEX($B$144:$G$149,1,2)+INDEX($B$144:$G$149,2,1))+0.2*(INDEX($B$151:$G$156,1,2)+INDEX($B$151:$G$156,2,1))</f>
        <v>0.0010468887569432</v>
      </c>
      <c r="D158" s="30" t="n">
        <f aca="false">INDEX($B$123:$G$128,1,3)+0.8*(INDEX($B$130:$G$135,1,3)+INDEX($B$130:$G$135,3,1))+0.6*(INDEX($B$137:$G$142,1,3)+INDEX($B$137:$G$142,3,1))+0.4*(INDEX($B$144:$G$149,1,3)+INDEX($B$144:$G$149,3,1))+0.2*(INDEX($B$151:$G$156,1,3)+INDEX($B$151:$G$156,3,1))</f>
        <v>3.88278862363098E-005</v>
      </c>
      <c r="E158" s="30" t="n">
        <f aca="false">INDEX($B$123:$G$128,1,4)+0.8*(INDEX($B$130:$G$135,1,4)+INDEX($B$130:$G$135,4,1))+0.6*(INDEX($B$137:$G$142,1,4)+INDEX($B$137:$G$142,4,1))+0.4*(INDEX($B$144:$G$149,1,4)+INDEX($B$144:$G$149,4,1))+0.2*(INDEX($B$151:$G$156,1,4)+INDEX($B$151:$G$156,4,1))</f>
        <v>-1.33630787972294</v>
      </c>
      <c r="F158" s="30" t="n">
        <f aca="false">INDEX($B$123:$G$128,1,5)+0.8*(INDEX($B$130:$G$135,1,5)+INDEX($B$130:$G$135,5,1))+0.6*(INDEX($B$137:$G$142,1,5)+INDEX($B$137:$G$142,5,1))+0.4*(INDEX($B$144:$G$149,1,5)+INDEX($B$144:$G$149,5,1))+0.2*(INDEX($B$151:$G$156,1,5)+INDEX($B$151:$G$156,5,1))</f>
        <v>1.897628686572E-005</v>
      </c>
      <c r="G158" s="30" t="n">
        <f aca="false">INDEX($B$123:$G$128,1,6)+0.8*(INDEX($B$130:$G$135,1,6)+INDEX($B$130:$G$135,6,1))+0.6*(INDEX($B$137:$G$142,1,6)+INDEX($B$137:$G$142,6,1))+0.4*(INDEX($B$144:$G$149,1,6)+INDEX($B$144:$G$149,6,1))+0.2*(INDEX($B$151:$G$156,1,6)+INDEX($B$151:$G$156,6,1))</f>
        <v>-0.000963852015263266</v>
      </c>
    </row>
    <row r="159" customFormat="false" ht="15" hidden="false" customHeight="false" outlineLevel="0" collapsed="false">
      <c r="B159" s="30" t="n">
        <f aca="false">INDEX($B$123:$G$128,2,1)+0.8*(INDEX($B$130:$G$135,2,1)+INDEX($B$130:$G$135,1,2))+0.6*(INDEX($B$137:$G$142,2,1)+INDEX($B$137:$G$142,1,2))+0.4*(INDEX($B$144:$G$149,2,1)+INDEX($B$144:$G$149,1,2))+0.2*(INDEX($B$151:$G$156,2,1)+INDEX($B$151:$G$156,1,2))</f>
        <v>0.0010468887569432</v>
      </c>
      <c r="C159" s="30" t="n">
        <f aca="false">INDEX($B$123:$G$128,2,2)+0.8*(INDEX($B$130:$G$135,2,2)+INDEX($B$130:$G$135,2,2))+0.6*(INDEX($B$137:$G$142,2,2)+INDEX($B$137:$G$142,2,2))+0.4*(INDEX($B$144:$G$149,2,2)+INDEX($B$144:$G$149,2,2))+0.2*(INDEX($B$151:$G$156,2,2)+INDEX($B$151:$G$156,2,2))</f>
        <v>0.000182707638771233</v>
      </c>
      <c r="D159" s="30" t="n">
        <f aca="false">INDEX($B$123:$G$128,2,3)+0.8*(INDEX($B$130:$G$135,2,3)+INDEX($B$130:$G$135,3,2))+0.6*(INDEX($B$137:$G$142,2,3)+INDEX($B$137:$G$142,3,2))+0.4*(INDEX($B$144:$G$149,2,3)+INDEX($B$144:$G$149,3,2))+0.2*(INDEX($B$151:$G$156,2,3)+INDEX($B$151:$G$156,3,2))</f>
        <v>5.71654686706533E-006</v>
      </c>
      <c r="E159" s="30" t="n">
        <f aca="false">INDEX($B$123:$G$128,2,4)+0.8*(INDEX($B$130:$G$135,2,4)+INDEX($B$130:$G$135,4,2))+0.6*(INDEX($B$137:$G$142,2,4)+INDEX($B$137:$G$142,4,2))+0.4*(INDEX($B$144:$G$149,2,4)+INDEX($B$144:$G$149,4,2))+0.2*(INDEX($B$151:$G$156,2,4)+INDEX($B$151:$G$156,4,2))</f>
        <v>-0.253187696382442</v>
      </c>
      <c r="F159" s="30" t="n">
        <f aca="false">INDEX($B$123:$G$128,2,5)+0.8*(INDEX($B$130:$G$135,2,5)+INDEX($B$130:$G$135,5,2))+0.6*(INDEX($B$137:$G$142,2,5)+INDEX($B$137:$G$142,5,2))+0.4*(INDEX($B$144:$G$149,2,5)+INDEX($B$144:$G$149,5,2))+0.2*(INDEX($B$151:$G$156,2,5)+INDEX($B$151:$G$156,5,2))</f>
        <v>1.08502557330943E-006</v>
      </c>
      <c r="G159" s="30" t="n">
        <f aca="false">INDEX($B$123:$G$128,2,6)+0.8*(INDEX($B$130:$G$135,2,6)+INDEX($B$130:$G$135,6,2))+0.6*(INDEX($B$137:$G$142,2,6)+INDEX($B$137:$G$142,6,2))+0.4*(INDEX($B$144:$G$149,2,6)+INDEX($B$144:$G$149,6,2))+0.2*(INDEX($B$151:$G$156,2,6)+INDEX($B$151:$G$156,6,2))</f>
        <v>-0.000149719178506962</v>
      </c>
    </row>
    <row r="160" customFormat="false" ht="15" hidden="false" customHeight="false" outlineLevel="0" collapsed="false">
      <c r="B160" s="30" t="n">
        <f aca="false">INDEX($B$123:$G$128,3,1)+0.8*(INDEX($B$130:$G$135,3,1)+INDEX($B$130:$G$135,1,3))+0.6*(INDEX($B$137:$G$142,3,1)+INDEX($B$137:$G$142,1,3))+0.4*(INDEX($B$144:$G$149,3,1)+INDEX($B$144:$G$149,1,3))+0.2*(INDEX($B$151:$G$156,3,1)+INDEX($B$151:$G$156,1,3))</f>
        <v>3.88278862363098E-005</v>
      </c>
      <c r="C160" s="30" t="n">
        <f aca="false">INDEX($B$123:$G$128,3,2)+0.8*(INDEX($B$130:$G$135,3,2)+INDEX($B$130:$G$135,2,3))+0.6*(INDEX($B$137:$G$142,3,2)+INDEX($B$137:$G$142,2,3))+0.4*(INDEX($B$144:$G$149,3,2)+INDEX($B$144:$G$149,2,3))+0.2*(INDEX($B$151:$G$156,3,2)+INDEX($B$151:$G$156,2,3))</f>
        <v>5.71654686706533E-006</v>
      </c>
      <c r="D160" s="30" t="n">
        <f aca="false">INDEX($B$123:$G$128,3,3)+0.8*(INDEX($B$130:$G$135,3,3)+INDEX($B$130:$G$135,3,3))+0.6*(INDEX($B$137:$G$142,3,3)+INDEX($B$137:$G$142,3,3))+0.4*(INDEX($B$144:$G$149,3,3)+INDEX($B$144:$G$149,3,3))+0.2*(INDEX($B$151:$G$156,3,3)+INDEX($B$151:$G$156,3,3))</f>
        <v>5.94536574556211E-005</v>
      </c>
      <c r="E160" s="30" t="n">
        <f aca="false">INDEX($B$123:$G$128,3,4)+0.8*(INDEX($B$130:$G$135,3,4)+INDEX($B$130:$G$135,4,3))+0.6*(INDEX($B$137:$G$142,3,4)+INDEX($B$137:$G$142,4,3))+0.4*(INDEX($B$144:$G$149,3,4)+INDEX($B$144:$G$149,4,3))+0.2*(INDEX($B$151:$G$156,3,4)+INDEX($B$151:$G$156,4,3))</f>
        <v>-0.260908959922787</v>
      </c>
      <c r="F160" s="30" t="n">
        <f aca="false">INDEX($B$123:$G$128,3,5)+0.8*(INDEX($B$130:$G$135,3,5)+INDEX($B$130:$G$135,5,3))+0.6*(INDEX($B$137:$G$142,3,5)+INDEX($B$137:$G$142,5,3))+0.4*(INDEX($B$144:$G$149,3,5)+INDEX($B$144:$G$149,5,3))+0.2*(INDEX($B$151:$G$156,3,5)+INDEX($B$151:$G$156,5,3))</f>
        <v>-5.99714971853831E-006</v>
      </c>
      <c r="G160" s="30" t="n">
        <f aca="false">INDEX($B$123:$G$128,3,6)+0.8*(INDEX($B$130:$G$135,3,6)+INDEX($B$130:$G$135,6,3))+0.6*(INDEX($B$137:$G$142,3,6)+INDEX($B$137:$G$142,6,3))+0.4*(INDEX($B$144:$G$149,3,6)+INDEX($B$144:$G$149,6,3))+0.2*(INDEX($B$151:$G$156,3,6)+INDEX($B$151:$G$156,6,3))</f>
        <v>-0.000150917876733002</v>
      </c>
    </row>
    <row r="161" customFormat="false" ht="15" hidden="false" customHeight="false" outlineLevel="0" collapsed="false">
      <c r="B161" s="30" t="n">
        <f aca="false">INDEX($B$123:$G$128,4,1)+0.8*(INDEX($B$130:$G$135,4,1)+INDEX($B$130:$G$135,1,4))+0.6*(INDEX($B$137:$G$142,4,1)+INDEX($B$137:$G$142,1,4))+0.4*(INDEX($B$144:$G$149,4,1)+INDEX($B$144:$G$149,1,4))+0.2*(INDEX($B$151:$G$156,4,1)+INDEX($B$151:$G$156,1,4))</f>
        <v>-1.33630787972294</v>
      </c>
      <c r="C161" s="30" t="n">
        <f aca="false">INDEX($B$123:$G$128,4,2)+0.8*(INDEX($B$130:$G$135,4,2)+INDEX($B$130:$G$135,2,4))+0.6*(INDEX($B$137:$G$142,4,2)+INDEX($B$137:$G$142,2,4))+0.4*(INDEX($B$144:$G$149,4,2)+INDEX($B$144:$G$149,2,4))+0.2*(INDEX($B$151:$G$156,4,2)+INDEX($B$151:$G$156,2,4))</f>
        <v>-0.253187696382442</v>
      </c>
      <c r="D161" s="30" t="n">
        <f aca="false">INDEX($B$123:$G$128,4,3)+0.8*(INDEX($B$130:$G$135,4,3)+INDEX($B$130:$G$135,3,4))+0.6*(INDEX($B$137:$G$142,4,3)+INDEX($B$137:$G$142,3,4))+0.4*(INDEX($B$144:$G$149,4,3)+INDEX($B$144:$G$149,3,4))+0.2*(INDEX($B$151:$G$156,4,3)+INDEX($B$151:$G$156,3,4))</f>
        <v>-0.260908959922787</v>
      </c>
      <c r="E161" s="30" t="n">
        <f aca="false">INDEX($B$123:$G$128,4,4)+0.8*(INDEX($B$130:$G$135,4,4)+INDEX($B$130:$G$135,4,4))+0.6*(INDEX($B$137:$G$142,4,4)+INDEX($B$137:$G$142,4,4))+0.4*(INDEX($B$144:$G$149,4,4)+INDEX($B$144:$G$149,4,4))+0.2*(INDEX($B$151:$G$156,4,4)+INDEX($B$151:$G$156,4,4))</f>
        <v>2246.32759563982</v>
      </c>
      <c r="F161" s="30" t="n">
        <f aca="false">INDEX($B$123:$G$128,4,5)+0.8*(INDEX($B$130:$G$135,4,5)+INDEX($B$130:$G$135,5,4))+0.6*(INDEX($B$137:$G$142,4,5)+INDEX($B$137:$G$142,5,4))+0.4*(INDEX($B$144:$G$149,4,5)+INDEX($B$144:$G$149,5,4))+0.2*(INDEX($B$151:$G$156,4,5)+INDEX($B$151:$G$156,5,4))</f>
        <v>0.0181100972092752</v>
      </c>
      <c r="G161" s="30" t="n">
        <f aca="false">INDEX($B$123:$G$128,4,6)+0.8*(INDEX($B$130:$G$135,4,6)+INDEX($B$130:$G$135,6,4))+0.6*(INDEX($B$137:$G$142,4,6)+INDEX($B$137:$G$142,6,4))+0.4*(INDEX($B$144:$G$149,4,6)+INDEX($B$144:$G$149,6,4))+0.2*(INDEX($B$151:$G$156,4,6)+INDEX($B$151:$G$156,6,4))</f>
        <v>0.866478832829963</v>
      </c>
    </row>
    <row r="162" customFormat="false" ht="15" hidden="false" customHeight="false" outlineLevel="0" collapsed="false">
      <c r="B162" s="30" t="n">
        <f aca="false">INDEX($B$123:$G$128,5,1)+0.8*(INDEX($B$130:$G$135,5,1)+INDEX($B$130:$G$135,1,5))+0.6*(INDEX($B$137:$G$142,5,1)+INDEX($B$137:$G$142,1,5))+0.4*(INDEX($B$144:$G$149,5,1)+INDEX($B$144:$G$149,1,5))+0.2*(INDEX($B$151:$G$156,5,1)+INDEX($B$151:$G$156,1,5))</f>
        <v>1.897628686572E-005</v>
      </c>
      <c r="C162" s="30" t="n">
        <f aca="false">INDEX($B$123:$G$128,5,2)+0.8*(INDEX($B$130:$G$135,5,2)+INDEX($B$130:$G$135,2,5))+0.6*(INDEX($B$137:$G$142,5,2)+INDEX($B$137:$G$142,2,5))+0.4*(INDEX($B$144:$G$149,5,2)+INDEX($B$144:$G$149,2,5))+0.2*(INDEX($B$151:$G$156,5,2)+INDEX($B$151:$G$156,2,5))</f>
        <v>1.08502557330943E-006</v>
      </c>
      <c r="D162" s="30" t="n">
        <f aca="false">INDEX($B$123:$G$128,5,3)+0.8*(INDEX($B$130:$G$135,5,3)+INDEX($B$130:$G$135,3,5))+0.6*(INDEX($B$137:$G$142,5,3)+INDEX($B$137:$G$142,3,5))+0.4*(INDEX($B$144:$G$149,5,3)+INDEX($B$144:$G$149,3,5))+0.2*(INDEX($B$151:$G$156,5,3)+INDEX($B$151:$G$156,3,5))</f>
        <v>-5.99714971853831E-006</v>
      </c>
      <c r="E162" s="30" t="n">
        <f aca="false">INDEX($B$123:$G$128,5,4)+0.8*(INDEX($B$130:$G$135,5,4)+INDEX($B$130:$G$135,4,5))+0.6*(INDEX($B$137:$G$142,5,4)+INDEX($B$137:$G$142,4,5))+0.4*(INDEX($B$144:$G$149,5,4)+INDEX($B$144:$G$149,4,5))+0.2*(INDEX($B$151:$G$156,5,4)+INDEX($B$151:$G$156,4,5))</f>
        <v>0.0181100972092752</v>
      </c>
      <c r="F162" s="30" t="n">
        <f aca="false">INDEX($B$123:$G$128,5,5)+0.8*(INDEX($B$130:$G$135,5,5)+INDEX($B$130:$G$135,5,5))+0.6*(INDEX($B$137:$G$142,5,5)+INDEX($B$137:$G$142,5,5))+0.4*(INDEX($B$144:$G$149,5,5)+INDEX($B$144:$G$149,5,5))+0.2*(INDEX($B$151:$G$156,5,5)+INDEX($B$151:$G$156,5,5))</f>
        <v>1.83638108154004E-006</v>
      </c>
      <c r="G162" s="30" t="n">
        <f aca="false">INDEX($B$123:$G$128,5,6)+0.8*(INDEX($B$130:$G$135,5,6)+INDEX($B$130:$G$135,6,5))+0.6*(INDEX($B$137:$G$142,5,6)+INDEX($B$137:$G$142,6,5))+0.4*(INDEX($B$144:$G$149,5,6)+INDEX($B$144:$G$149,6,5))+0.2*(INDEX($B$151:$G$156,5,6)+INDEX($B$151:$G$156,6,5))</f>
        <v>1.37588170910404E-005</v>
      </c>
    </row>
    <row r="163" customFormat="false" ht="15" hidden="false" customHeight="false" outlineLevel="0" collapsed="false">
      <c r="B163" s="30" t="n">
        <f aca="false">INDEX($B$123:$G$128,6,1)+0.8*(INDEX($B$130:$G$135,6,1)+INDEX($B$130:$G$135,1,6))+0.6*(INDEX($B$137:$G$142,6,1)+INDEX($B$137:$G$142,1,6))+0.4*(INDEX($B$144:$G$149,6,1)+INDEX($B$144:$G$149,1,6))+0.2*(INDEX($B$151:$G$156,6,1)+INDEX($B$151:$G$156,1,6))</f>
        <v>-0.000963852015263266</v>
      </c>
      <c r="C163" s="30" t="n">
        <f aca="false">INDEX($B$123:$G$128,6,2)+0.8*(INDEX($B$130:$G$135,6,2)+INDEX($B$130:$G$135,2,6))+0.6*(INDEX($B$137:$G$142,6,2)+INDEX($B$137:$G$142,2,6))+0.4*(INDEX($B$144:$G$149,6,2)+INDEX($B$144:$G$149,2,6))+0.2*(INDEX($B$151:$G$156,6,2)+INDEX($B$151:$G$156,2,6))</f>
        <v>-0.000149719178506962</v>
      </c>
      <c r="D163" s="30" t="n">
        <f aca="false">INDEX($B$123:$G$128,6,3)+0.8*(INDEX($B$130:$G$135,6,3)+INDEX($B$130:$G$135,3,6))+0.6*(INDEX($B$137:$G$142,6,3)+INDEX($B$137:$G$142,3,6))+0.4*(INDEX($B$144:$G$149,6,3)+INDEX($B$144:$G$149,3,6))+0.2*(INDEX($B$151:$G$156,6,3)+INDEX($B$151:$G$156,3,6))</f>
        <v>-0.000150917876733002</v>
      </c>
      <c r="E163" s="30" t="n">
        <f aca="false">INDEX($B$123:$G$128,6,4)+0.8*(INDEX($B$130:$G$135,6,4)+INDEX($B$130:$G$135,4,6))+0.6*(INDEX($B$137:$G$142,6,4)+INDEX($B$137:$G$142,4,6))+0.4*(INDEX($B$144:$G$149,6,4)+INDEX($B$144:$G$149,4,6))+0.2*(INDEX($B$151:$G$156,6,4)+INDEX($B$151:$G$156,4,6))</f>
        <v>0.866478832829963</v>
      </c>
      <c r="F163" s="30" t="n">
        <f aca="false">INDEX($B$123:$G$128,6,5)+0.8*(INDEX($B$130:$G$135,6,5)+INDEX($B$130:$G$135,5,6))+0.6*(INDEX($B$137:$G$142,6,5)+INDEX($B$137:$G$142,5,6))+0.4*(INDEX($B$144:$G$149,6,5)+INDEX($B$144:$G$149,5,6))+0.2*(INDEX($B$151:$G$156,6,5)+INDEX($B$151:$G$156,5,6))</f>
        <v>1.37588170910404E-005</v>
      </c>
      <c r="G163" s="30" t="n">
        <f aca="false">INDEX($B$123:$G$128,6,6)+0.8*(INDEX($B$130:$G$135,6,6)+INDEX($B$130:$G$135,6,6))+0.6*(INDEX($B$137:$G$142,6,6)+INDEX($B$137:$G$142,6,6))+0.4*(INDEX($B$144:$G$149,6,6)+INDEX($B$144:$G$149,6,6))+0.2*(INDEX($B$151:$G$156,6,6)+INDEX($B$151:$G$156,6,6))</f>
        <v>0.000603299039466039</v>
      </c>
    </row>
    <row r="164" customFormat="false" ht="15" hidden="false" customHeight="false" outlineLevel="0" collapsed="false">
      <c r="A164" s="10" t="s">
        <v>194</v>
      </c>
    </row>
    <row r="165" customFormat="false" ht="15" hidden="false" customHeight="false" outlineLevel="0" collapsed="false">
      <c r="B165" s="30" t="n">
        <f aca="false">INDEX(MMULT(MMULT($B$116:$G$121,$B$158:$G$163),$B$116:$G$121),1,1)</f>
        <v>5.48619601662801E-006</v>
      </c>
      <c r="C165" s="30" t="n">
        <f aca="false">INDEX(MMULT(MMULT($B$116:$G$121,$B$158:$G$163),$B$116:$G$121),1,2)</f>
        <v>-2.28608174349501E-005</v>
      </c>
      <c r="D165" s="30" t="n">
        <f aca="false">INDEX(MMULT(MMULT($B$116:$G$121,$B$158:$G$163),$B$116:$G$121),1,3)</f>
        <v>-3.35322172406193E-005</v>
      </c>
      <c r="E165" s="30" t="n">
        <f aca="false">INDEX(MMULT(MMULT($B$116:$G$121,$B$158:$G$163),$B$116:$G$121),1,4)</f>
        <v>-3.78291158383572E-010</v>
      </c>
      <c r="F165" s="30" t="n">
        <f aca="false">INDEX(MMULT(MMULT($B$116:$G$121,$B$158:$G$163),$B$116:$G$121),1,5)</f>
        <v>0.000316148037205708</v>
      </c>
      <c r="G165" s="30" t="n">
        <f aca="false">INDEX(MMULT(MMULT($B$116:$G$121,$B$158:$G$163),$B$116:$G$121),1,6)</f>
        <v>-1.93344639142499E-005</v>
      </c>
    </row>
    <row r="166" customFormat="false" ht="15" hidden="false" customHeight="false" outlineLevel="0" collapsed="false">
      <c r="B166" s="30" t="n">
        <f aca="false">INDEX(MMULT(MMULT($B$116:$G$121,$B$158:$G$163),$B$116:$G$121),2,1)</f>
        <v>-2.28608174349501E-005</v>
      </c>
      <c r="C166" s="30" t="n">
        <f aca="false">INDEX(MMULT(MMULT($B$116:$G$121,$B$158:$G$163),$B$116:$G$121),2,2)</f>
        <v>0.00303706254513325</v>
      </c>
      <c r="D166" s="30" t="n">
        <f aca="false">INDEX(MMULT(MMULT($B$116:$G$121,$B$158:$G$163),$B$116:$G$121),2,3)</f>
        <v>0.00411830259516109</v>
      </c>
      <c r="E166" s="30" t="n">
        <f aca="false">INDEX(MMULT(MMULT($B$116:$G$121,$B$158:$G$163),$B$116:$G$121),2,4)</f>
        <v>-2.60420816500727E-008</v>
      </c>
      <c r="F166" s="30" t="n">
        <f aca="false">INDEX(MMULT(MMULT($B$116:$G$121,$B$158:$G$163),$B$116:$G$121),2,5)</f>
        <v>-0.00817150809194921</v>
      </c>
      <c r="G166" s="30" t="n">
        <f aca="false">INDEX(MMULT(MMULT($B$116:$G$121,$B$158:$G$163),$B$116:$G$121),2,6)</f>
        <v>-0.000244389985489209</v>
      </c>
    </row>
    <row r="167" customFormat="false" ht="15" hidden="false" customHeight="false" outlineLevel="0" collapsed="false">
      <c r="B167" s="30" t="n">
        <f aca="false">INDEX(MMULT(MMULT($B$116:$G$121,$B$158:$G$163),$B$116:$G$121),3,1)</f>
        <v>-3.35322172406192E-005</v>
      </c>
      <c r="C167" s="30" t="n">
        <f aca="false">INDEX(MMULT(MMULT($B$116:$G$121,$B$158:$G$163),$B$116:$G$121),3,2)</f>
        <v>0.00411830259516108</v>
      </c>
      <c r="D167" s="30" t="n">
        <f aca="false">INDEX(MMULT(MMULT($B$116:$G$121,$B$158:$G$163),$B$116:$G$121),3,3)</f>
        <v>0.0201451532713995</v>
      </c>
      <c r="E167" s="30" t="n">
        <f aca="false">INDEX(MMULT(MMULT($B$116:$G$121,$B$158:$G$163),$B$116:$G$121),3,4)</f>
        <v>-8.93341740530834E-009</v>
      </c>
      <c r="F167" s="30" t="n">
        <f aca="false">INDEX(MMULT(MMULT($B$116:$G$121,$B$158:$G$163),$B$116:$G$121),3,5)</f>
        <v>-0.000195132741284763</v>
      </c>
      <c r="G167" s="30" t="n">
        <f aca="false">INDEX(MMULT(MMULT($B$116:$G$121,$B$158:$G$163),$B$116:$G$121),3,6)</f>
        <v>-0.00190937213690604</v>
      </c>
    </row>
    <row r="168" customFormat="false" ht="15" hidden="false" customHeight="false" outlineLevel="0" collapsed="false">
      <c r="B168" s="30" t="n">
        <f aca="false">INDEX(MMULT(MMULT($B$116:$G$121,$B$158:$G$163),$B$116:$G$121),4,1)</f>
        <v>-3.78291158383546E-010</v>
      </c>
      <c r="C168" s="30" t="n">
        <f aca="false">INDEX(MMULT(MMULT($B$116:$G$121,$B$158:$G$163),$B$116:$G$121),4,2)</f>
        <v>-2.60420816500719E-008</v>
      </c>
      <c r="D168" s="30" t="n">
        <f aca="false">INDEX(MMULT(MMULT($B$116:$G$121,$B$158:$G$163),$B$116:$G$121),4,3)</f>
        <v>-8.93341740530842E-009</v>
      </c>
      <c r="E168" s="30" t="n">
        <f aca="false">INDEX(MMULT(MMULT($B$116:$G$121,$B$158:$G$163),$B$116:$G$121),4,4)</f>
        <v>2.54469334818366E-011</v>
      </c>
      <c r="F168" s="30" t="n">
        <f aca="false">INDEX(MMULT(MMULT($B$116:$G$121,$B$158:$G$163),$B$116:$G$121),4,5)</f>
        <v>3.41437328339155E-007</v>
      </c>
      <c r="G168" s="30" t="n">
        <f aca="false">INDEX(MMULT(MMULT($B$116:$G$121,$B$158:$G$163),$B$116:$G$121),4,6)</f>
        <v>-3.21138991798575E-008</v>
      </c>
    </row>
    <row r="169" customFormat="false" ht="15" hidden="false" customHeight="false" outlineLevel="0" collapsed="false">
      <c r="B169" s="30" t="n">
        <f aca="false">INDEX(MMULT(MMULT($B$116:$G$121,$B$158:$G$163),$B$116:$G$121),5,1)</f>
        <v>0.000316148037205708</v>
      </c>
      <c r="C169" s="30" t="n">
        <f aca="false">INDEX(MMULT(MMULT($B$116:$G$121,$B$158:$G$163),$B$116:$G$121),5,2)</f>
        <v>-0.00817150809194921</v>
      </c>
      <c r="D169" s="30" t="n">
        <f aca="false">INDEX(MMULT(MMULT($B$116:$G$121,$B$158:$G$163),$B$116:$G$121),5,3)</f>
        <v>-0.00019513274128477</v>
      </c>
      <c r="E169" s="30" t="n">
        <f aca="false">INDEX(MMULT(MMULT($B$116:$G$121,$B$158:$G$163),$B$116:$G$121),5,4)</f>
        <v>3.41437328339153E-007</v>
      </c>
      <c r="F169" s="30" t="n">
        <f aca="false">INDEX(MMULT(MMULT($B$116:$G$121,$B$158:$G$163),$B$116:$G$121),5,5)</f>
        <v>0.189383399235656</v>
      </c>
      <c r="G169" s="30" t="n">
        <f aca="false">INDEX(MMULT(MMULT($B$116:$G$121,$B$158:$G$163),$B$116:$G$121),5,6)</f>
        <v>-0.00766966808621217</v>
      </c>
    </row>
    <row r="170" customFormat="false" ht="15" hidden="false" customHeight="false" outlineLevel="0" collapsed="false">
      <c r="B170" s="30" t="n">
        <f aca="false">INDEX(MMULT(MMULT($B$116:$G$121,$B$158:$G$163),$B$116:$G$121),6,1)</f>
        <v>-1.93344639142496E-005</v>
      </c>
      <c r="C170" s="30" t="n">
        <f aca="false">INDEX(MMULT(MMULT($B$116:$G$121,$B$158:$G$163),$B$116:$G$121),6,2)</f>
        <v>-0.000244389985489208</v>
      </c>
      <c r="D170" s="30" t="n">
        <f aca="false">INDEX(MMULT(MMULT($B$116:$G$121,$B$158:$G$163),$B$116:$G$121),6,3)</f>
        <v>-0.00190937213690604</v>
      </c>
      <c r="E170" s="30" t="n">
        <f aca="false">INDEX(MMULT(MMULT($B$116:$G$121,$B$158:$G$163),$B$116:$G$121),6,4)</f>
        <v>-3.21138991798573E-008</v>
      </c>
      <c r="F170" s="30" t="n">
        <f aca="false">INDEX(MMULT(MMULT($B$116:$G$121,$B$158:$G$163),$B$116:$G$121),6,5)</f>
        <v>-0.00766966808621215</v>
      </c>
      <c r="G170" s="30" t="n">
        <f aca="false">INDEX(MMULT(MMULT($B$116:$G$121,$B$158:$G$163),$B$116:$G$121),6,6)</f>
        <v>0.0016155228874647</v>
      </c>
    </row>
    <row r="172" customFormat="false" ht="15" hidden="false" customHeight="false" outlineLevel="0" collapsed="false">
      <c r="A172" s="14" t="s">
        <v>25</v>
      </c>
      <c r="B172" s="14" t="s">
        <v>26</v>
      </c>
      <c r="C172" s="14" t="s">
        <v>27</v>
      </c>
      <c r="D172" s="14" t="s">
        <v>28</v>
      </c>
      <c r="E172" s="14" t="s">
        <v>29</v>
      </c>
    </row>
    <row r="173" customFormat="false" ht="15" hidden="false" customHeight="false" outlineLevel="0" collapsed="false">
      <c r="A173" s="24" t="s">
        <v>161</v>
      </c>
      <c r="B173" s="8" t="n">
        <f aca="false">B87</f>
        <v>0.00107785777002713</v>
      </c>
      <c r="C173" s="25" t="n">
        <f aca="false">SQRT(INDEX($B$165:$G$170,1,1))</f>
        <v>0.00234226301183877</v>
      </c>
      <c r="D173" s="5" t="n">
        <f aca="false">B173/C173</f>
        <v>0.460177940982369</v>
      </c>
      <c r="E173" s="7" t="n">
        <f aca="false">TDIST(ABS(D173),$H$86,2)</f>
        <v>0.646835400315724</v>
      </c>
    </row>
    <row r="174" customFormat="false" ht="15" hidden="false" customHeight="false" outlineLevel="0" collapsed="false">
      <c r="A174" s="24" t="s">
        <v>173</v>
      </c>
      <c r="B174" s="8" t="n">
        <f aca="false">B88</f>
        <v>0.929938395528355</v>
      </c>
      <c r="C174" s="25" t="n">
        <f aca="false">SQRT(INDEX($B$165:$G$170,2,2))</f>
        <v>0.0551095503985765</v>
      </c>
      <c r="D174" s="5" t="n">
        <f aca="false">B174/C174</f>
        <v>16.8743600483515</v>
      </c>
      <c r="E174" s="7" t="n">
        <f aca="false">TDIST(ABS(D174),$H$86,2)</f>
        <v>3.44435753601766E-026</v>
      </c>
    </row>
    <row r="175" customFormat="false" ht="15" hidden="false" customHeight="false" outlineLevel="0" collapsed="false">
      <c r="A175" s="24" t="s">
        <v>141</v>
      </c>
      <c r="B175" s="8" t="n">
        <f aca="false">B89</f>
        <v>1.08691342573873</v>
      </c>
      <c r="C175" s="25" t="n">
        <f aca="false">SQRT(INDEX($B$165:$G$170,3,3))</f>
        <v>0.141933622765712</v>
      </c>
      <c r="D175" s="5" t="n">
        <f aca="false">B175/C175</f>
        <v>7.65789954881149</v>
      </c>
      <c r="E175" s="7" t="n">
        <f aca="false">TDIST(ABS(D175),$H$86,2)</f>
        <v>8.43820213156106E-011</v>
      </c>
    </row>
    <row r="176" customFormat="false" ht="15" hidden="false" customHeight="false" outlineLevel="0" collapsed="false">
      <c r="A176" s="24" t="s">
        <v>144</v>
      </c>
      <c r="B176" s="8" t="n">
        <f aca="false">B90</f>
        <v>-5.07566225850236E-005</v>
      </c>
      <c r="C176" s="25" t="n">
        <f aca="false">SQRT(INDEX($B$165:$G$170,4,4))</f>
        <v>5.04449536443802E-006</v>
      </c>
      <c r="D176" s="5" t="n">
        <f aca="false">B176/C176</f>
        <v>-10.0617839680934</v>
      </c>
      <c r="E176" s="7" t="n">
        <f aca="false">TDIST(ABS(D176),$H$86,2)</f>
        <v>3.61770663101093E-015</v>
      </c>
    </row>
    <row r="177" customFormat="false" ht="15" hidden="false" customHeight="false" outlineLevel="0" collapsed="false">
      <c r="A177" s="24" t="s">
        <v>176</v>
      </c>
      <c r="B177" s="8" t="n">
        <f aca="false">B91</f>
        <v>-1.34859745490279</v>
      </c>
      <c r="C177" s="25" t="n">
        <f aca="false">SQRT(INDEX($B$165:$G$170,5,5))</f>
        <v>0.435182030000845</v>
      </c>
      <c r="D177" s="5" t="n">
        <f aca="false">B177/C177</f>
        <v>-3.09892725786533</v>
      </c>
      <c r="E177" s="7" t="n">
        <f aca="false">TDIST(ABS(D177),$H$86,2)</f>
        <v>0.00280980810596069</v>
      </c>
    </row>
    <row r="178" customFormat="false" ht="15" hidden="false" customHeight="false" outlineLevel="0" collapsed="false">
      <c r="A178" s="24" t="s">
        <v>177</v>
      </c>
      <c r="B178" s="8" t="n">
        <f aca="false">B92</f>
        <v>0.177991199648902</v>
      </c>
      <c r="C178" s="25" t="n">
        <f aca="false">SQRT(INDEX($B$165:$G$170,6,6))</f>
        <v>0.0401935677374466</v>
      </c>
      <c r="D178" s="5" t="n">
        <f aca="false">B178/C178</f>
        <v>4.42835034728892</v>
      </c>
      <c r="E178" s="7" t="n">
        <f aca="false">TDIST(ABS(D178),$H$86,2)</f>
        <v>3.4764413003667E-005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1" min="2" style="0" width="13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5" customFormat="false" ht="23.85" hidden="false" customHeight="false" outlineLevel="0" collapsed="false">
      <c r="A5" s="3" t="s">
        <v>39</v>
      </c>
      <c r="B5" s="3" t="s">
        <v>140</v>
      </c>
      <c r="C5" s="3" t="s">
        <v>173</v>
      </c>
      <c r="D5" s="3" t="s">
        <v>141</v>
      </c>
      <c r="E5" s="3" t="s">
        <v>144</v>
      </c>
      <c r="F5" s="3" t="s">
        <v>176</v>
      </c>
      <c r="G5" s="3" t="s">
        <v>177</v>
      </c>
      <c r="H5" s="3" t="s">
        <v>197</v>
      </c>
      <c r="I5" s="3" t="s">
        <v>198</v>
      </c>
      <c r="J5" s="3" t="s">
        <v>148</v>
      </c>
      <c r="K5" s="3" t="s">
        <v>149</v>
      </c>
      <c r="L5" s="3" t="s">
        <v>150</v>
      </c>
      <c r="M5" s="3" t="s">
        <v>178</v>
      </c>
      <c r="N5" s="3" t="s">
        <v>179</v>
      </c>
      <c r="O5" s="3" t="s">
        <v>180</v>
      </c>
      <c r="P5" s="3" t="s">
        <v>181</v>
      </c>
      <c r="Q5" s="3" t="s">
        <v>182</v>
      </c>
      <c r="R5" s="3" t="s">
        <v>183</v>
      </c>
      <c r="S5" s="3" t="s">
        <v>199</v>
      </c>
      <c r="T5" s="3" t="s">
        <v>200</v>
      </c>
      <c r="W5" s="3" t="s">
        <v>201</v>
      </c>
    </row>
    <row r="6" customFormat="false" ht="15" hidden="false" customHeight="false" outlineLevel="0" collapsed="false">
      <c r="A6" s="19" t="str">
        <f aca="false">Datos!A15</f>
        <v>2007Q3</v>
      </c>
      <c r="B6" s="20" t="n">
        <f aca="false">Datos!G15</f>
        <v>0.0842779771268098</v>
      </c>
      <c r="C6" s="20" t="n">
        <f aca="false">Datos!N15</f>
        <v>0.0985938738676382</v>
      </c>
      <c r="D6" s="20" t="n">
        <f aca="false">Datos!J15</f>
        <v>-0.0067</v>
      </c>
      <c r="E6" s="20" t="n">
        <f aca="false">Datos!I13</f>
        <v>-71.4258225806452</v>
      </c>
      <c r="F6" s="20" t="n">
        <f aca="false">Datos!M13</f>
        <v>-0.00117265970530427</v>
      </c>
      <c r="G6" s="20" t="n">
        <f aca="false">Datos!L15</f>
        <v>-0.0137496292897965</v>
      </c>
      <c r="H6" s="20" t="n">
        <f aca="false">IF($A6="2020Q2",1,0)</f>
        <v>0</v>
      </c>
      <c r="I6" s="20" t="n">
        <f aca="false">IF($A6="2021Q2",1,0)</f>
        <v>0</v>
      </c>
      <c r="J6" s="18" t="n">
        <v>1</v>
      </c>
      <c r="K6" s="18" t="n">
        <f aca="false">B6-($B$87+$B$88*C6+$B$89*D6+$B$90*E6+$B$91*F6+$B$92*G6+$B$93*H6+$B$94*I6)</f>
        <v>0.00100964857770791</v>
      </c>
      <c r="L6" s="18" t="n">
        <f aca="false">K6^2</f>
        <v>1.01939025046761E-006</v>
      </c>
      <c r="M6" s="18" t="n">
        <f aca="false">J6*$K6</f>
        <v>0.00100964857770791</v>
      </c>
      <c r="N6" s="18" t="n">
        <f aca="false">C6*$K6</f>
        <v>9.95451645211741E-005</v>
      </c>
      <c r="O6" s="18" t="n">
        <f aca="false">D6*$K6</f>
        <v>-6.764645470643E-006</v>
      </c>
      <c r="P6" s="18" t="n">
        <f aca="false">E6*$K6</f>
        <v>-0.072114980180166</v>
      </c>
      <c r="Q6" s="18" t="n">
        <f aca="false">F6*$K6</f>
        <v>-1.18397420359584E-006</v>
      </c>
      <c r="R6" s="18" t="n">
        <f aca="false">G6*$K6</f>
        <v>-1.3882293656454E-005</v>
      </c>
      <c r="S6" s="18" t="n">
        <f aca="false">H6*$K6</f>
        <v>0</v>
      </c>
      <c r="T6" s="18" t="n">
        <f aca="false">I6*$K6</f>
        <v>0</v>
      </c>
      <c r="W6" s="18" t="n">
        <f aca="false">B6-C6</f>
        <v>-0.0143158967408283</v>
      </c>
    </row>
    <row r="7" customFormat="false" ht="15" hidden="false" customHeight="false" outlineLevel="0" collapsed="false">
      <c r="A7" s="19" t="str">
        <f aca="false">Datos!A16</f>
        <v>2007Q4</v>
      </c>
      <c r="B7" s="20" t="n">
        <f aca="false">Datos!G16</f>
        <v>0.092673486299768</v>
      </c>
      <c r="C7" s="20" t="n">
        <f aca="false">Datos!N16</f>
        <v>0.0842779771268098</v>
      </c>
      <c r="D7" s="20" t="n">
        <f aca="false">Datos!J16</f>
        <v>0.0077</v>
      </c>
      <c r="E7" s="20" t="n">
        <f aca="false">Datos!I14</f>
        <v>58.1062311827956</v>
      </c>
      <c r="F7" s="20" t="n">
        <f aca="false">Datos!M14</f>
        <v>0.000278696192864608</v>
      </c>
      <c r="G7" s="20" t="n">
        <f aca="false">Datos!L16</f>
        <v>-0.0602367573720288</v>
      </c>
      <c r="H7" s="20" t="n">
        <f aca="false">IF($A7="2020Q2",1,0)</f>
        <v>0</v>
      </c>
      <c r="I7" s="20" t="n">
        <f aca="false">IF($A7="2021Q2",1,0)</f>
        <v>0</v>
      </c>
      <c r="J7" s="18" t="n">
        <v>1</v>
      </c>
      <c r="K7" s="18" t="n">
        <f aca="false">B7-($B$87+$B$88*C7+$B$89*D7+$B$90*E7+$B$91*F7+$B$92*G7+$B$93*H7+$B$94*I7)</f>
        <v>0.0321053867023534</v>
      </c>
      <c r="L7" s="18" t="n">
        <f aca="false">K7^2</f>
        <v>0.00103075585530765</v>
      </c>
      <c r="M7" s="18" t="n">
        <f aca="false">J7*$K7</f>
        <v>0.0321053867023534</v>
      </c>
      <c r="N7" s="18" t="n">
        <f aca="false">C7*$K7</f>
        <v>0.00270577704614832</v>
      </c>
      <c r="O7" s="18" t="n">
        <f aca="false">D7*$K7</f>
        <v>0.000247211477608121</v>
      </c>
      <c r="P7" s="18" t="n">
        <f aca="false">E7*$K7</f>
        <v>1.86552302194</v>
      </c>
      <c r="Q7" s="18" t="n">
        <f aca="false">F7*$K7</f>
        <v>8.9476490443919E-006</v>
      </c>
      <c r="R7" s="18" t="n">
        <f aca="false">G7*$K7</f>
        <v>-0.00193392438912482</v>
      </c>
      <c r="S7" s="18" t="n">
        <f aca="false">H7*$K7</f>
        <v>0</v>
      </c>
      <c r="T7" s="18" t="n">
        <f aca="false">I7*$K7</f>
        <v>0</v>
      </c>
      <c r="W7" s="18" t="n">
        <f aca="false">B7-C7</f>
        <v>0.00839550917295817</v>
      </c>
    </row>
    <row r="8" customFormat="false" ht="15" hidden="false" customHeight="false" outlineLevel="0" collapsed="false">
      <c r="A8" s="19" t="str">
        <f aca="false">Datos!A17</f>
        <v>2008Q1</v>
      </c>
      <c r="B8" s="20" t="n">
        <f aca="false">Datos!G17</f>
        <v>0.0691231457663233</v>
      </c>
      <c r="C8" s="20" t="n">
        <f aca="false">Datos!N17</f>
        <v>0.092673486299768</v>
      </c>
      <c r="D8" s="20" t="n">
        <f aca="false">Datos!J17</f>
        <v>-0.0048</v>
      </c>
      <c r="E8" s="20" t="n">
        <f aca="false">Datos!I15</f>
        <v>146.742396825397</v>
      </c>
      <c r="F8" s="20" t="n">
        <f aca="false">Datos!M15</f>
        <v>0.000602920672835385</v>
      </c>
      <c r="G8" s="20" t="n">
        <f aca="false">Datos!L17</f>
        <v>-0.0286951815686505</v>
      </c>
      <c r="H8" s="20" t="n">
        <f aca="false">IF($A8="2020Q2",1,0)</f>
        <v>0</v>
      </c>
      <c r="I8" s="20" t="n">
        <f aca="false">IF($A8="2021Q2",1,0)</f>
        <v>0</v>
      </c>
      <c r="J8" s="18" t="n">
        <v>1</v>
      </c>
      <c r="K8" s="18" t="n">
        <f aca="false">B8-($B$87+$B$88*C8+$B$89*D8+$B$90*E8+$B$91*F8+$B$92*G8+$B$93*H8+$B$94*I8)</f>
        <v>0.0062336111548381</v>
      </c>
      <c r="L8" s="18" t="n">
        <f aca="false">K8^2</f>
        <v>3.8857908029722E-005</v>
      </c>
      <c r="M8" s="18" t="n">
        <f aca="false">J8*$K8</f>
        <v>0.0062336111548381</v>
      </c>
      <c r="N8" s="18" t="n">
        <f aca="false">C8*$K8</f>
        <v>0.00057769047795597</v>
      </c>
      <c r="O8" s="18" t="n">
        <f aca="false">D8*$K8</f>
        <v>-2.99213335432229E-005</v>
      </c>
      <c r="P8" s="18" t="n">
        <f aca="false">E8*$K8</f>
        <v>0.914735041738473</v>
      </c>
      <c r="Q8" s="18" t="n">
        <f aca="false">F8*$K8</f>
        <v>3.75837303166915E-006</v>
      </c>
      <c r="R8" s="18" t="n">
        <f aca="false">G8*$K8</f>
        <v>-0.000178874603916444</v>
      </c>
      <c r="S8" s="18" t="n">
        <f aca="false">H8*$K8</f>
        <v>0</v>
      </c>
      <c r="T8" s="18" t="n">
        <f aca="false">I8*$K8</f>
        <v>0</v>
      </c>
      <c r="W8" s="18" t="n">
        <f aca="false">B8-C8</f>
        <v>-0.0235503405334447</v>
      </c>
    </row>
    <row r="9" customFormat="false" ht="15" hidden="false" customHeight="false" outlineLevel="0" collapsed="false">
      <c r="A9" s="19" t="str">
        <f aca="false">Datos!A18</f>
        <v>2008Q2</v>
      </c>
      <c r="B9" s="20" t="n">
        <f aca="false">Datos!G18</f>
        <v>0.0545268547475248</v>
      </c>
      <c r="C9" s="20" t="n">
        <f aca="false">Datos!N18</f>
        <v>0.0691231457663233</v>
      </c>
      <c r="D9" s="20" t="n">
        <f aca="false">Datos!J18</f>
        <v>0.0018</v>
      </c>
      <c r="E9" s="20" t="n">
        <f aca="false">Datos!I16</f>
        <v>-28.2266763952893</v>
      </c>
      <c r="F9" s="20" t="n">
        <f aca="false">Datos!M16</f>
        <v>-0.00338135505996591</v>
      </c>
      <c r="G9" s="20" t="n">
        <f aca="false">Datos!L18</f>
        <v>-0.0389251911637248</v>
      </c>
      <c r="H9" s="20" t="n">
        <f aca="false">IF($A9="2020Q2",1,0)</f>
        <v>0</v>
      </c>
      <c r="I9" s="20" t="n">
        <f aca="false">IF($A9="2021Q2",1,0)</f>
        <v>0</v>
      </c>
      <c r="J9" s="18" t="n">
        <v>1</v>
      </c>
      <c r="K9" s="18" t="n">
        <f aca="false">B9-($B$87+$B$88*C9+$B$89*D9+$B$90*E9+$B$91*F9+$B$92*G9+$B$93*H9+$B$94*I9)</f>
        <v>-0.00453367049113346</v>
      </c>
      <c r="L9" s="18" t="n">
        <f aca="false">K9^2</f>
        <v>2.05541681221743E-005</v>
      </c>
      <c r="M9" s="18" t="n">
        <f aca="false">J9*$K9</f>
        <v>-0.00453367049113346</v>
      </c>
      <c r="N9" s="18" t="n">
        <f aca="false">C9*$K9</f>
        <v>-0.000313381566215096</v>
      </c>
      <c r="O9" s="18" t="n">
        <f aca="false">D9*$K9</f>
        <v>-8.1606068840402E-006</v>
      </c>
      <c r="P9" s="18" t="n">
        <f aca="false">E9*$K9</f>
        <v>0.127970449836096</v>
      </c>
      <c r="Q9" s="18" t="n">
        <f aca="false">F9*$K9</f>
        <v>1.53299496554123E-005</v>
      </c>
      <c r="R9" s="18" t="n">
        <f aca="false">G9*$K9</f>
        <v>0.000176473990540708</v>
      </c>
      <c r="S9" s="18" t="n">
        <f aca="false">H9*$K9</f>
        <v>-0</v>
      </c>
      <c r="T9" s="18" t="n">
        <f aca="false">I9*$K9</f>
        <v>-0</v>
      </c>
      <c r="W9" s="18" t="n">
        <f aca="false">B9-C9</f>
        <v>-0.0145962910187984</v>
      </c>
    </row>
    <row r="10" customFormat="false" ht="15" hidden="false" customHeight="false" outlineLevel="0" collapsed="false">
      <c r="A10" s="19" t="str">
        <f aca="false">Datos!A19</f>
        <v>2008Q3</v>
      </c>
      <c r="B10" s="20" t="n">
        <f aca="false">Datos!G19</f>
        <v>0.060060161436698</v>
      </c>
      <c r="C10" s="20" t="n">
        <f aca="false">Datos!N19</f>
        <v>0.0545268547475248</v>
      </c>
      <c r="D10" s="20" t="n">
        <f aca="false">Datos!J19</f>
        <v>0.0064</v>
      </c>
      <c r="E10" s="20" t="n">
        <f aca="false">Datos!I17</f>
        <v>95.3370391327341</v>
      </c>
      <c r="F10" s="20" t="n">
        <f aca="false">Datos!M17</f>
        <v>-0.0029350875851957</v>
      </c>
      <c r="G10" s="20" t="n">
        <f aca="false">Datos!L19</f>
        <v>0.0202193728000716</v>
      </c>
      <c r="H10" s="20" t="n">
        <f aca="false">IF($A10="2020Q2",1,0)</f>
        <v>0</v>
      </c>
      <c r="I10" s="20" t="n">
        <f aca="false">IF($A10="2021Q2",1,0)</f>
        <v>0</v>
      </c>
      <c r="J10" s="18" t="n">
        <v>1</v>
      </c>
      <c r="K10" s="18" t="n">
        <f aca="false">B10-($B$87+$B$88*C10+$B$89*D10+$B$90*E10+$B$91*F10+$B$92*G10+$B$93*H10+$B$94*I10)</f>
        <v>0.002540866741281</v>
      </c>
      <c r="L10" s="18" t="n">
        <f aca="false">K10^2</f>
        <v>6.45600379694795E-006</v>
      </c>
      <c r="M10" s="18" t="n">
        <f aca="false">J10*$K10</f>
        <v>0.002540866741281</v>
      </c>
      <c r="N10" s="18" t="n">
        <f aca="false">C10*$K10</f>
        <v>0.000138545471734646</v>
      </c>
      <c r="O10" s="18" t="n">
        <f aca="false">D10*$K10</f>
        <v>1.62615471441984E-005</v>
      </c>
      <c r="P10" s="18" t="n">
        <f aca="false">E10*$K10</f>
        <v>0.24223871194457</v>
      </c>
      <c r="Q10" s="18" t="n">
        <f aca="false">F10*$K10</f>
        <v>-7.45766642797053E-006</v>
      </c>
      <c r="R10" s="18" t="n">
        <f aca="false">G10*$K10</f>
        <v>5.13747318772636E-005</v>
      </c>
      <c r="S10" s="18" t="n">
        <f aca="false">H10*$K10</f>
        <v>0</v>
      </c>
      <c r="T10" s="18" t="n">
        <f aca="false">I10*$K10</f>
        <v>0</v>
      </c>
      <c r="W10" s="18" t="n">
        <f aca="false">B10-C10</f>
        <v>0.00553330668917318</v>
      </c>
    </row>
    <row r="11" customFormat="false" ht="15" hidden="false" customHeight="false" outlineLevel="0" collapsed="false">
      <c r="A11" s="19" t="str">
        <f aca="false">Datos!A20</f>
        <v>2008Q4</v>
      </c>
      <c r="B11" s="20" t="n">
        <f aca="false">Datos!G20</f>
        <v>-0.019789908841391</v>
      </c>
      <c r="C11" s="20" t="n">
        <f aca="false">Datos!N20</f>
        <v>0.060060161436698</v>
      </c>
      <c r="D11" s="20" t="n">
        <f aca="false">Datos!J20</f>
        <v>-0.0596</v>
      </c>
      <c r="E11" s="20" t="n">
        <f aca="false">Datos!I18</f>
        <v>74.4147768954915</v>
      </c>
      <c r="F11" s="20" t="n">
        <f aca="false">Datos!M18</f>
        <v>-0.00233089484643468</v>
      </c>
      <c r="G11" s="20" t="n">
        <f aca="false">Datos!L20</f>
        <v>0.0208164044278587</v>
      </c>
      <c r="H11" s="20" t="n">
        <f aca="false">IF($A11="2020Q2",1,0)</f>
        <v>0</v>
      </c>
      <c r="I11" s="20" t="n">
        <f aca="false">IF($A11="2021Q2",1,0)</f>
        <v>0</v>
      </c>
      <c r="J11" s="18" t="n">
        <v>1</v>
      </c>
      <c r="K11" s="18" t="n">
        <f aca="false">B11-($B$87+$B$88*C11+$B$89*D11+$B$90*E11+$B$91*F11+$B$92*G11+$B$93*H11+$B$94*I11)</f>
        <v>-0.0407563294937556</v>
      </c>
      <c r="L11" s="18" t="n">
        <f aca="false">K11^2</f>
        <v>0.00166107839380357</v>
      </c>
      <c r="M11" s="18" t="n">
        <f aca="false">J11*$K11</f>
        <v>-0.0407563294937556</v>
      </c>
      <c r="N11" s="18" t="n">
        <f aca="false">C11*$K11</f>
        <v>-0.00244783172896222</v>
      </c>
      <c r="O11" s="18" t="n">
        <f aca="false">D11*$K11</f>
        <v>0.00242907723782783</v>
      </c>
      <c r="P11" s="18" t="n">
        <f aca="false">E11*$K11</f>
        <v>-3.03287316635696</v>
      </c>
      <c r="Q11" s="18" t="n">
        <f aca="false">F11*$K11</f>
        <v>9.49987183765886E-005</v>
      </c>
      <c r="R11" s="18" t="n">
        <f aca="false">G11*$K11</f>
        <v>-0.000848400237737082</v>
      </c>
      <c r="S11" s="18" t="n">
        <f aca="false">H11*$K11</f>
        <v>-0</v>
      </c>
      <c r="T11" s="18" t="n">
        <f aca="false">I11*$K11</f>
        <v>-0</v>
      </c>
      <c r="W11" s="18" t="n">
        <f aca="false">B11-C11</f>
        <v>-0.079850070278089</v>
      </c>
    </row>
    <row r="12" customFormat="false" ht="15" hidden="false" customHeight="false" outlineLevel="0" collapsed="false">
      <c r="A12" s="19" t="str">
        <f aca="false">Datos!A21</f>
        <v>2009Q1</v>
      </c>
      <c r="B12" s="20" t="n">
        <f aca="false">Datos!G21</f>
        <v>-0.0618875514402444</v>
      </c>
      <c r="C12" s="20" t="n">
        <f aca="false">Datos!N21</f>
        <v>-0.019789908841391</v>
      </c>
      <c r="D12" s="20" t="n">
        <f aca="false">Datos!J21</f>
        <v>-0.0344</v>
      </c>
      <c r="E12" s="20" t="n">
        <f aca="false">Datos!I19</f>
        <v>140.17396875</v>
      </c>
      <c r="F12" s="20" t="n">
        <f aca="false">Datos!M19</f>
        <v>-4.19342947748196E-005</v>
      </c>
      <c r="G12" s="20" t="n">
        <f aca="false">Datos!L21</f>
        <v>-0.0374388367953842</v>
      </c>
      <c r="H12" s="20" t="n">
        <f aca="false">IF($A12="2020Q2",1,0)</f>
        <v>0</v>
      </c>
      <c r="I12" s="20" t="n">
        <f aca="false">IF($A12="2021Q2",1,0)</f>
        <v>0</v>
      </c>
      <c r="J12" s="18" t="n">
        <v>1</v>
      </c>
      <c r="K12" s="18" t="n">
        <f aca="false">B12-($B$87+$B$88*C12+$B$89*D12+$B$90*E12+$B$91*F12+$B$92*G12+$B$93*H12+$B$94*I12)</f>
        <v>-0.0101473125819858</v>
      </c>
      <c r="L12" s="18" t="n">
        <f aca="false">K12^2</f>
        <v>0.000102967952636528</v>
      </c>
      <c r="M12" s="18" t="n">
        <f aca="false">J12*$K12</f>
        <v>-0.0101473125819858</v>
      </c>
      <c r="N12" s="18" t="n">
        <f aca="false">C12*$K12</f>
        <v>0.000200814390982599</v>
      </c>
      <c r="O12" s="18" t="n">
        <f aca="false">D12*$K12</f>
        <v>0.000349067552820313</v>
      </c>
      <c r="P12" s="18" t="n">
        <f aca="false">E12*$K12</f>
        <v>-1.42238907676376</v>
      </c>
      <c r="Q12" s="18" t="n">
        <f aca="false">F12*$K12</f>
        <v>4.25520396985229E-007</v>
      </c>
      <c r="R12" s="18" t="n">
        <f aca="false">G12*$K12</f>
        <v>0.000379903579668716</v>
      </c>
      <c r="S12" s="18" t="n">
        <f aca="false">H12*$K12</f>
        <v>-0</v>
      </c>
      <c r="T12" s="18" t="n">
        <f aca="false">I12*$K12</f>
        <v>-0</v>
      </c>
      <c r="W12" s="18" t="n">
        <f aca="false">B12-C12</f>
        <v>-0.0420976425988534</v>
      </c>
    </row>
    <row r="13" customFormat="false" ht="15" hidden="false" customHeight="false" outlineLevel="0" collapsed="false">
      <c r="A13" s="19" t="str">
        <f aca="false">Datos!A22</f>
        <v>2009Q2</v>
      </c>
      <c r="B13" s="20" t="n">
        <f aca="false">Datos!G22</f>
        <v>-0.112745471526209</v>
      </c>
      <c r="C13" s="20" t="n">
        <f aca="false">Datos!N22</f>
        <v>-0.0618875514402444</v>
      </c>
      <c r="D13" s="20" t="n">
        <f aca="false">Datos!J22</f>
        <v>0.0022</v>
      </c>
      <c r="E13" s="20" t="n">
        <f aca="false">Datos!I20</f>
        <v>999.763070060484</v>
      </c>
      <c r="F13" s="20" t="n">
        <f aca="false">Datos!M20</f>
        <v>-0.00270103720609816</v>
      </c>
      <c r="G13" s="20" t="n">
        <f aca="false">Datos!L22</f>
        <v>-0.043804080965929</v>
      </c>
      <c r="H13" s="20" t="n">
        <f aca="false">IF($A13="2020Q2",1,0)</f>
        <v>0</v>
      </c>
      <c r="I13" s="20" t="n">
        <f aca="false">IF($A13="2021Q2",1,0)</f>
        <v>0</v>
      </c>
      <c r="J13" s="18" t="n">
        <v>1</v>
      </c>
      <c r="K13" s="18" t="n">
        <f aca="false">B13-($B$87+$B$88*C13+$B$89*D13+$B$90*E13+$B$91*F13+$B$92*G13+$B$93*H13+$B$94*I13)</f>
        <v>-0.0112982215900482</v>
      </c>
      <c r="L13" s="18" t="n">
        <f aca="false">K13^2</f>
        <v>0.000127649811097832</v>
      </c>
      <c r="M13" s="18" t="n">
        <f aca="false">J13*$K13</f>
        <v>-0.0112982215900482</v>
      </c>
      <c r="N13" s="18" t="n">
        <f aca="false">C13*$K13</f>
        <v>0.000699219269837389</v>
      </c>
      <c r="O13" s="18" t="n">
        <f aca="false">D13*$K13</f>
        <v>-2.48560874981061E-005</v>
      </c>
      <c r="P13" s="18" t="n">
        <f aca="false">E13*$K13</f>
        <v>-11.2955447030903</v>
      </c>
      <c r="Q13" s="18" t="n">
        <f aca="false">F13*$K13</f>
        <v>3.05169168774617E-005</v>
      </c>
      <c r="R13" s="18" t="n">
        <f aca="false">G13*$K13</f>
        <v>0.000494908213301479</v>
      </c>
      <c r="S13" s="18" t="n">
        <f aca="false">H13*$K13</f>
        <v>-0</v>
      </c>
      <c r="T13" s="18" t="n">
        <f aca="false">I13*$K13</f>
        <v>-0</v>
      </c>
      <c r="W13" s="18" t="n">
        <f aca="false">B13-C13</f>
        <v>-0.0508579200859648</v>
      </c>
    </row>
    <row r="14" customFormat="false" ht="15" hidden="false" customHeight="false" outlineLevel="0" collapsed="false">
      <c r="A14" s="19" t="str">
        <f aca="false">Datos!A23</f>
        <v>2009Q3</v>
      </c>
      <c r="B14" s="20" t="n">
        <f aca="false">Datos!G23</f>
        <v>-0.0565117996405296</v>
      </c>
      <c r="C14" s="20" t="n">
        <f aca="false">Datos!N23</f>
        <v>-0.112745471526209</v>
      </c>
      <c r="D14" s="20" t="n">
        <f aca="false">Datos!J23</f>
        <v>0.0104</v>
      </c>
      <c r="E14" s="20" t="n">
        <f aca="false">Datos!I21</f>
        <v>3.47016790058183</v>
      </c>
      <c r="F14" s="20" t="n">
        <f aca="false">Datos!M21</f>
        <v>-0.00347983095461357</v>
      </c>
      <c r="G14" s="20" t="n">
        <f aca="false">Datos!L23</f>
        <v>0.0271712027425793</v>
      </c>
      <c r="H14" s="20" t="n">
        <f aca="false">IF($A14="2020Q2",1,0)</f>
        <v>0</v>
      </c>
      <c r="I14" s="20" t="n">
        <f aca="false">IF($A14="2021Q2",1,0)</f>
        <v>0</v>
      </c>
      <c r="J14" s="18" t="n">
        <v>1</v>
      </c>
      <c r="K14" s="18" t="n">
        <f aca="false">B14-($B$87+$B$88*C14+$B$89*D14+$B$90*E14+$B$91*F14+$B$92*G14+$B$93*H14+$B$94*I14)</f>
        <v>0.0183754020100176</v>
      </c>
      <c r="L14" s="18" t="n">
        <f aca="false">K14^2</f>
        <v>0.00033765539902976</v>
      </c>
      <c r="M14" s="18" t="n">
        <f aca="false">J14*$K14</f>
        <v>0.0183754020100176</v>
      </c>
      <c r="N14" s="18" t="n">
        <f aca="false">C14*$K14</f>
        <v>-0.00207174336410309</v>
      </c>
      <c r="O14" s="18" t="n">
        <f aca="false">D14*$K14</f>
        <v>0.000191104180904183</v>
      </c>
      <c r="P14" s="18" t="n">
        <f aca="false">E14*$K14</f>
        <v>0.06376573021545</v>
      </c>
      <c r="Q14" s="18" t="n">
        <f aca="false">F14*$K14</f>
        <v>-6.39432927179278E-005</v>
      </c>
      <c r="R14" s="18" t="n">
        <f aca="false">G14*$K14</f>
        <v>0.000499281773490589</v>
      </c>
      <c r="S14" s="18" t="n">
        <f aca="false">H14*$K14</f>
        <v>0</v>
      </c>
      <c r="T14" s="18" t="n">
        <f aca="false">I14*$K14</f>
        <v>0</v>
      </c>
      <c r="W14" s="18" t="n">
        <f aca="false">B14-C14</f>
        <v>0.0562336718856797</v>
      </c>
    </row>
    <row r="15" customFormat="false" ht="15" hidden="false" customHeight="false" outlineLevel="0" collapsed="false">
      <c r="A15" s="19" t="str">
        <f aca="false">Datos!A24</f>
        <v>2009Q4</v>
      </c>
      <c r="B15" s="20" t="n">
        <f aca="false">Datos!G24</f>
        <v>0.00281998226127467</v>
      </c>
      <c r="C15" s="20" t="n">
        <f aca="false">Datos!N24</f>
        <v>-0.0565117996405296</v>
      </c>
      <c r="D15" s="20" t="n">
        <f aca="false">Datos!J24</f>
        <v>0.0649</v>
      </c>
      <c r="E15" s="20" t="n">
        <f aca="false">Datos!I22</f>
        <v>-244.401219359875</v>
      </c>
      <c r="F15" s="20" t="n">
        <f aca="false">Datos!M22</f>
        <v>-0.0080313344662462</v>
      </c>
      <c r="G15" s="20" t="n">
        <f aca="false">Datos!L24</f>
        <v>-0.00576713422833086</v>
      </c>
      <c r="H15" s="20" t="n">
        <f aca="false">IF($A15="2020Q2",1,0)</f>
        <v>0</v>
      </c>
      <c r="I15" s="20" t="n">
        <f aca="false">IF($A15="2021Q2",1,0)</f>
        <v>0</v>
      </c>
      <c r="J15" s="18" t="n">
        <v>1</v>
      </c>
      <c r="K15" s="18" t="n">
        <f aca="false">B15-($B$87+$B$88*C15+$B$89*D15+$B$90*E15+$B$91*F15+$B$92*G15+$B$93*H15+$B$94*I15)</f>
        <v>-0.0148564371000359</v>
      </c>
      <c r="L15" s="18" t="n">
        <f aca="false">K15^2</f>
        <v>0.000220713723307324</v>
      </c>
      <c r="M15" s="18" t="n">
        <f aca="false">J15*$K15</f>
        <v>-0.0148564371000359</v>
      </c>
      <c r="N15" s="18" t="n">
        <f aca="false">C15*$K15</f>
        <v>0.00083956399676936</v>
      </c>
      <c r="O15" s="18" t="n">
        <f aca="false">D15*$K15</f>
        <v>-0.000964182767792332</v>
      </c>
      <c r="P15" s="18" t="n">
        <f aca="false">E15*$K15</f>
        <v>3.63093134259207</v>
      </c>
      <c r="Q15" s="18" t="n">
        <f aca="false">F15*$K15</f>
        <v>0.000119317015327137</v>
      </c>
      <c r="R15" s="18" t="n">
        <f aca="false">G15*$K15</f>
        <v>8.56790669106617E-005</v>
      </c>
      <c r="S15" s="18" t="n">
        <f aca="false">H15*$K15</f>
        <v>-0</v>
      </c>
      <c r="T15" s="18" t="n">
        <f aca="false">I15*$K15</f>
        <v>-0</v>
      </c>
      <c r="W15" s="18" t="n">
        <f aca="false">B15-C15</f>
        <v>0.0593317819018042</v>
      </c>
    </row>
    <row r="16" customFormat="false" ht="15" hidden="false" customHeight="false" outlineLevel="0" collapsed="false">
      <c r="A16" s="19" t="str">
        <f aca="false">Datos!A25</f>
        <v>2010Q1</v>
      </c>
      <c r="B16" s="20" t="n">
        <f aca="false">Datos!G25</f>
        <v>0.0571326910752132</v>
      </c>
      <c r="C16" s="20" t="n">
        <f aca="false">Datos!N25</f>
        <v>0.00281998226127467</v>
      </c>
      <c r="D16" s="20" t="n">
        <f aca="false">Datos!J25</f>
        <v>0.0388</v>
      </c>
      <c r="E16" s="20" t="n">
        <f aca="false">Datos!I23</f>
        <v>-533.989581101191</v>
      </c>
      <c r="F16" s="20" t="n">
        <f aca="false">Datos!M23</f>
        <v>-0.0083302111754376</v>
      </c>
      <c r="G16" s="20" t="n">
        <f aca="false">Datos!L25</f>
        <v>0.0315418144587436</v>
      </c>
      <c r="H16" s="20" t="n">
        <f aca="false">IF($A16="2020Q2",1,0)</f>
        <v>0</v>
      </c>
      <c r="I16" s="20" t="n">
        <f aca="false">IF($A16="2021Q2",1,0)</f>
        <v>0</v>
      </c>
      <c r="J16" s="18" t="n">
        <v>1</v>
      </c>
      <c r="K16" s="18" t="n">
        <f aca="false">B16-($B$87+$B$88*C16+$B$89*D16+$B$90*E16+$B$91*F16+$B$92*G16+$B$93*H16+$B$94*I16)</f>
        <v>-0.0173636825966396</v>
      </c>
      <c r="L16" s="18" t="n">
        <f aca="false">K16^2</f>
        <v>0.000301497473316845</v>
      </c>
      <c r="M16" s="18" t="n">
        <f aca="false">J16*$K16</f>
        <v>-0.0173636825966396</v>
      </c>
      <c r="N16" s="18" t="n">
        <f aca="false">C16*$K16</f>
        <v>-4.89652769129273E-005</v>
      </c>
      <c r="O16" s="18" t="n">
        <f aca="false">D16*$K16</f>
        <v>-0.000673710884749617</v>
      </c>
      <c r="P16" s="18" t="n">
        <f aca="false">E16*$K16</f>
        <v>9.27202559615362</v>
      </c>
      <c r="Q16" s="18" t="n">
        <f aca="false">F16*$K16</f>
        <v>0.000144643142813279</v>
      </c>
      <c r="R16" s="18" t="n">
        <f aca="false">G16*$K16</f>
        <v>-0.000547682054783722</v>
      </c>
      <c r="S16" s="18" t="n">
        <f aca="false">H16*$K16</f>
        <v>-0</v>
      </c>
      <c r="T16" s="18" t="n">
        <f aca="false">I16*$K16</f>
        <v>-0</v>
      </c>
      <c r="W16" s="18" t="n">
        <f aca="false">B16-C16</f>
        <v>0.0543127088139386</v>
      </c>
    </row>
    <row r="17" customFormat="false" ht="15" hidden="false" customHeight="false" outlineLevel="0" collapsed="false">
      <c r="A17" s="19" t="str">
        <f aca="false">Datos!A26</f>
        <v>2010Q2</v>
      </c>
      <c r="B17" s="20" t="n">
        <f aca="false">Datos!G26</f>
        <v>0.162441995090574</v>
      </c>
      <c r="C17" s="20" t="n">
        <f aca="false">Datos!N26</f>
        <v>0.0571326910752132</v>
      </c>
      <c r="D17" s="20" t="n">
        <f aca="false">Datos!J26</f>
        <v>-0.00690000000000002</v>
      </c>
      <c r="E17" s="20" t="n">
        <f aca="false">Datos!I24</f>
        <v>-203.745835181452</v>
      </c>
      <c r="F17" s="20" t="n">
        <f aca="false">Datos!M24</f>
        <v>-0.00738339686401843</v>
      </c>
      <c r="G17" s="20" t="n">
        <f aca="false">Datos!L26</f>
        <v>0.0935739728512151</v>
      </c>
      <c r="H17" s="20" t="n">
        <f aca="false">IF($A17="2020Q2",1,0)</f>
        <v>0</v>
      </c>
      <c r="I17" s="20" t="n">
        <f aca="false">IF($A17="2021Q2",1,0)</f>
        <v>0</v>
      </c>
      <c r="J17" s="18" t="n">
        <v>1</v>
      </c>
      <c r="K17" s="18" t="n">
        <f aca="false">B17-($B$87+$B$88*C17+$B$89*D17+$B$90*E17+$B$91*F17+$B$92*G17+$B$93*H17+$B$94*I17)</f>
        <v>0.072292025206836</v>
      </c>
      <c r="L17" s="18" t="n">
        <f aca="false">K17^2</f>
        <v>0.00522613690850581</v>
      </c>
      <c r="M17" s="18" t="n">
        <f aca="false">J17*$K17</f>
        <v>0.072292025206836</v>
      </c>
      <c r="N17" s="18" t="n">
        <f aca="false">C17*$K17</f>
        <v>0.00413023794334369</v>
      </c>
      <c r="O17" s="18" t="n">
        <f aca="false">D17*$K17</f>
        <v>-0.00049881497392717</v>
      </c>
      <c r="P17" s="18" t="n">
        <f aca="false">E17*$K17</f>
        <v>-14.7291990527253</v>
      </c>
      <c r="Q17" s="18" t="n">
        <f aca="false">F17*$K17</f>
        <v>-0.000533760712205695</v>
      </c>
      <c r="R17" s="18" t="n">
        <f aca="false">G17*$K17</f>
        <v>0.00676465200406383</v>
      </c>
      <c r="S17" s="18" t="n">
        <f aca="false">H17*$K17</f>
        <v>0</v>
      </c>
      <c r="T17" s="18" t="n">
        <f aca="false">I17*$K17</f>
        <v>0</v>
      </c>
      <c r="W17" s="18" t="n">
        <f aca="false">B17-C17</f>
        <v>0.105309304015361</v>
      </c>
    </row>
    <row r="18" customFormat="false" ht="15" hidden="false" customHeight="false" outlineLevel="0" collapsed="false">
      <c r="A18" s="19" t="str">
        <f aca="false">Datos!A27</f>
        <v>2010Q3</v>
      </c>
      <c r="B18" s="20" t="n">
        <f aca="false">Datos!G27</f>
        <v>0.0950774236722809</v>
      </c>
      <c r="C18" s="20" t="n">
        <f aca="false">Datos!N27</f>
        <v>0.162441995090574</v>
      </c>
      <c r="D18" s="20" t="n">
        <f aca="false">Datos!J27</f>
        <v>-0.0161</v>
      </c>
      <c r="E18" s="20" t="n">
        <f aca="false">Datos!I25</f>
        <v>15.4416356425168</v>
      </c>
      <c r="F18" s="20" t="n">
        <f aca="false">Datos!M25</f>
        <v>-0.00274815082820695</v>
      </c>
      <c r="G18" s="20" t="n">
        <f aca="false">Datos!L27</f>
        <v>-0.0123659345741185</v>
      </c>
      <c r="H18" s="20" t="n">
        <f aca="false">IF($A18="2020Q2",1,0)</f>
        <v>0</v>
      </c>
      <c r="I18" s="20" t="n">
        <f aca="false">IF($A18="2021Q2",1,0)</f>
        <v>0</v>
      </c>
      <c r="J18" s="18" t="n">
        <v>1</v>
      </c>
      <c r="K18" s="18" t="n">
        <f aca="false">B18-($B$87+$B$88*C18+$B$89*D18+$B$90*E18+$B$91*F18+$B$92*G18+$B$93*H18+$B$94*I18)</f>
        <v>-0.0352408576542936</v>
      </c>
      <c r="L18" s="18" t="n">
        <f aca="false">K18^2</f>
        <v>0.00124191804821019</v>
      </c>
      <c r="M18" s="18" t="n">
        <f aca="false">J18*$K18</f>
        <v>-0.0352408576542936</v>
      </c>
      <c r="N18" s="18" t="n">
        <f aca="false">C18*$K18</f>
        <v>-0.00572459522606638</v>
      </c>
      <c r="O18" s="18" t="n">
        <f aca="false">D18*$K18</f>
        <v>0.000567377808234128</v>
      </c>
      <c r="P18" s="18" t="n">
        <f aca="false">E18*$K18</f>
        <v>-0.5441764836274</v>
      </c>
      <c r="Q18" s="18" t="n">
        <f aca="false">F18*$K18</f>
        <v>9.68471921493703E-005</v>
      </c>
      <c r="R18" s="18" t="n">
        <f aca="false">G18*$K18</f>
        <v>0.000435786140088818</v>
      </c>
      <c r="S18" s="18" t="n">
        <f aca="false">H18*$K18</f>
        <v>-0</v>
      </c>
      <c r="T18" s="18" t="n">
        <f aca="false">I18*$K18</f>
        <v>-0</v>
      </c>
      <c r="W18" s="18" t="n">
        <f aca="false">B18-C18</f>
        <v>-0.0673645714182929</v>
      </c>
    </row>
    <row r="19" customFormat="false" ht="15" hidden="false" customHeight="false" outlineLevel="0" collapsed="false">
      <c r="A19" s="19" t="str">
        <f aca="false">Datos!A28</f>
        <v>2010Q4</v>
      </c>
      <c r="B19" s="20" t="n">
        <f aca="false">Datos!G28</f>
        <v>0.0860979311042298</v>
      </c>
      <c r="C19" s="20" t="n">
        <f aca="false">Datos!N28</f>
        <v>0.0950774236722809</v>
      </c>
      <c r="D19" s="20" t="n">
        <f aca="false">Datos!J28</f>
        <v>-0.0122</v>
      </c>
      <c r="E19" s="20" t="n">
        <f aca="false">Datos!I26</f>
        <v>0.464510798855258</v>
      </c>
      <c r="F19" s="20" t="n">
        <f aca="false">Datos!M26</f>
        <v>0.00434277462531486</v>
      </c>
      <c r="G19" s="20" t="n">
        <f aca="false">Datos!L28</f>
        <v>0.0288216919373594</v>
      </c>
      <c r="H19" s="20" t="n">
        <f aca="false">IF($A19="2020Q2",1,0)</f>
        <v>0</v>
      </c>
      <c r="I19" s="20" t="n">
        <f aca="false">IF($A19="2021Q2",1,0)</f>
        <v>0</v>
      </c>
      <c r="J19" s="18" t="n">
        <v>1</v>
      </c>
      <c r="K19" s="18" t="n">
        <f aca="false">B19-($B$87+$B$88*C19+$B$89*D19+$B$90*E19+$B$91*F19+$B$92*G19+$B$93*H19+$B$94*I19)</f>
        <v>0.0110816627495031</v>
      </c>
      <c r="L19" s="18" t="n">
        <f aca="false">K19^2</f>
        <v>0.000122803249293725</v>
      </c>
      <c r="M19" s="18" t="n">
        <f aca="false">J19*$K19</f>
        <v>0.0110816627495031</v>
      </c>
      <c r="N19" s="18" t="n">
        <f aca="false">C19*$K19</f>
        <v>0.00105361594422784</v>
      </c>
      <c r="O19" s="18" t="n">
        <f aca="false">D19*$K19</f>
        <v>-0.000135196285543938</v>
      </c>
      <c r="P19" s="18" t="n">
        <f aca="false">E19*$K19</f>
        <v>0.00514755201641626</v>
      </c>
      <c r="Q19" s="18" t="n">
        <f aca="false">F19*$K19</f>
        <v>4.81251637948391E-005</v>
      </c>
      <c r="R19" s="18" t="n">
        <f aca="false">G19*$K19</f>
        <v>0.00031939226991989</v>
      </c>
      <c r="S19" s="18" t="n">
        <f aca="false">H19*$K19</f>
        <v>0</v>
      </c>
      <c r="T19" s="18" t="n">
        <f aca="false">I19*$K19</f>
        <v>0</v>
      </c>
      <c r="W19" s="18" t="n">
        <f aca="false">B19-C19</f>
        <v>-0.00897949256805108</v>
      </c>
    </row>
    <row r="20" customFormat="false" ht="15" hidden="false" customHeight="false" outlineLevel="0" collapsed="false">
      <c r="A20" s="19" t="str">
        <f aca="false">Datos!A29</f>
        <v>2011Q1</v>
      </c>
      <c r="B20" s="20" t="n">
        <f aca="false">Datos!G29</f>
        <v>0.0829261625044686</v>
      </c>
      <c r="C20" s="20" t="n">
        <f aca="false">Datos!N29</f>
        <v>0.0860979311042298</v>
      </c>
      <c r="D20" s="20" t="n">
        <f aca="false">Datos!J29</f>
        <v>-0.00499999999999999</v>
      </c>
      <c r="E20" s="20" t="n">
        <f aca="false">Datos!I27</f>
        <v>-22.7225300099209</v>
      </c>
      <c r="F20" s="20" t="n">
        <f aca="false">Datos!M27</f>
        <v>0.00241267441570089</v>
      </c>
      <c r="G20" s="20" t="n">
        <f aca="false">Datos!L29</f>
        <v>0.0352338810614263</v>
      </c>
      <c r="H20" s="20" t="n">
        <f aca="false">IF($A20="2020Q2",1,0)</f>
        <v>0</v>
      </c>
      <c r="I20" s="20" t="n">
        <f aca="false">IF($A20="2021Q2",1,0)</f>
        <v>0</v>
      </c>
      <c r="J20" s="18" t="n">
        <v>1</v>
      </c>
      <c r="K20" s="18" t="n">
        <f aca="false">B20-($B$87+$B$88*C20+$B$89*D20+$B$90*E20+$B$91*F20+$B$92*G20+$B$93*H20+$B$94*I20)</f>
        <v>0.0052803462114196</v>
      </c>
      <c r="L20" s="18" t="n">
        <f aca="false">K20^2</f>
        <v>2.78820561124533E-005</v>
      </c>
      <c r="M20" s="18" t="n">
        <f aca="false">J20*$K20</f>
        <v>0.0052803462114196</v>
      </c>
      <c r="N20" s="18" t="n">
        <f aca="false">C20*$K20</f>
        <v>0.000454626884317285</v>
      </c>
      <c r="O20" s="18" t="n">
        <f aca="false">D20*$K20</f>
        <v>-2.64017310570979E-005</v>
      </c>
      <c r="P20" s="18" t="n">
        <f aca="false">E20*$K20</f>
        <v>-0.119982825251754</v>
      </c>
      <c r="Q20" s="18" t="n">
        <f aca="false">F20*$K20</f>
        <v>1.27397562103352E-005</v>
      </c>
      <c r="R20" s="18" t="n">
        <f aca="false">G20*$K20</f>
        <v>0.000186047090376311</v>
      </c>
      <c r="S20" s="18" t="n">
        <f aca="false">H20*$K20</f>
        <v>0</v>
      </c>
      <c r="T20" s="18" t="n">
        <f aca="false">I20*$K20</f>
        <v>0</v>
      </c>
      <c r="W20" s="18" t="n">
        <f aca="false">B20-C20</f>
        <v>-0.0031717685997612</v>
      </c>
    </row>
    <row r="21" customFormat="false" ht="15" hidden="false" customHeight="false" outlineLevel="0" collapsed="false">
      <c r="A21" s="19" t="str">
        <f aca="false">Datos!A30</f>
        <v>2011Q2</v>
      </c>
      <c r="B21" s="20" t="n">
        <f aca="false">Datos!G30</f>
        <v>0.0444334376577356</v>
      </c>
      <c r="C21" s="20" t="n">
        <f aca="false">Datos!N30</f>
        <v>0.0829261625044686</v>
      </c>
      <c r="D21" s="20" t="n">
        <f aca="false">Datos!J30</f>
        <v>-0.0049</v>
      </c>
      <c r="E21" s="20" t="n">
        <f aca="false">Datos!I28</f>
        <v>-165.748584173387</v>
      </c>
      <c r="F21" s="20" t="n">
        <f aca="false">Datos!M28</f>
        <v>-0.00216449992080475</v>
      </c>
      <c r="G21" s="20" t="n">
        <f aca="false">Datos!L30</f>
        <v>-0.0193928471303448</v>
      </c>
      <c r="H21" s="20" t="n">
        <f aca="false">IF($A21="2020Q2",1,0)</f>
        <v>0</v>
      </c>
      <c r="I21" s="20" t="n">
        <f aca="false">IF($A21="2021Q2",1,0)</f>
        <v>0</v>
      </c>
      <c r="J21" s="18" t="n">
        <v>1</v>
      </c>
      <c r="K21" s="18" t="n">
        <f aca="false">B21-($B$87+$B$88*C21+$B$89*D21+$B$90*E21+$B$91*F21+$B$92*G21+$B$93*H21+$B$94*I21)</f>
        <v>-0.0312658193113895</v>
      </c>
      <c r="L21" s="18" t="n">
        <f aca="false">K21^2</f>
        <v>0.000977551457212454</v>
      </c>
      <c r="M21" s="18" t="n">
        <f aca="false">J21*$K21</f>
        <v>-0.0312658193113895</v>
      </c>
      <c r="N21" s="18" t="n">
        <f aca="false">C21*$K21</f>
        <v>-0.00259275441305163</v>
      </c>
      <c r="O21" s="18" t="n">
        <f aca="false">D21*$K21</f>
        <v>0.000153202514625808</v>
      </c>
      <c r="P21" s="18" t="n">
        <f aca="false">E21*$K21</f>
        <v>5.18226528388375</v>
      </c>
      <c r="Q21" s="18" t="n">
        <f aca="false">F21*$K21</f>
        <v>6.76748634233981E-005</v>
      </c>
      <c r="R21" s="18" t="n">
        <f aca="false">G21*$K21</f>
        <v>0.000606333254310758</v>
      </c>
      <c r="S21" s="18" t="n">
        <f aca="false">H21*$K21</f>
        <v>-0</v>
      </c>
      <c r="T21" s="18" t="n">
        <f aca="false">I21*$K21</f>
        <v>-0</v>
      </c>
      <c r="W21" s="18" t="n">
        <f aca="false">B21-C21</f>
        <v>-0.0384927248467331</v>
      </c>
    </row>
    <row r="22" customFormat="false" ht="15" hidden="false" customHeight="false" outlineLevel="0" collapsed="false">
      <c r="A22" s="19" t="str">
        <f aca="false">Datos!A31</f>
        <v>2011Q3</v>
      </c>
      <c r="B22" s="20" t="n">
        <f aca="false">Datos!G31</f>
        <v>0.0640936718081673</v>
      </c>
      <c r="C22" s="20" t="n">
        <f aca="false">Datos!N31</f>
        <v>0.0444334376577356</v>
      </c>
      <c r="D22" s="20" t="n">
        <f aca="false">Datos!J31</f>
        <v>-0.0117</v>
      </c>
      <c r="E22" s="20" t="n">
        <f aca="false">Datos!I29</f>
        <v>-12.9487096774192</v>
      </c>
      <c r="F22" s="20" t="n">
        <f aca="false">Datos!M29</f>
        <v>0.00150805653382125</v>
      </c>
      <c r="G22" s="20" t="n">
        <f aca="false">Datos!L31</f>
        <v>0.0064285495380567</v>
      </c>
      <c r="H22" s="20" t="n">
        <f aca="false">IF($A22="2020Q2",1,0)</f>
        <v>0</v>
      </c>
      <c r="I22" s="20" t="n">
        <f aca="false">IF($A22="2021Q2",1,0)</f>
        <v>0</v>
      </c>
      <c r="J22" s="18" t="n">
        <v>1</v>
      </c>
      <c r="K22" s="18" t="n">
        <f aca="false">B22-($B$87+$B$88*C22+$B$89*D22+$B$90*E22+$B$91*F22+$B$92*G22+$B$93*H22+$B$94*I22)</f>
        <v>0.0319457774239314</v>
      </c>
      <c r="L22" s="18" t="n">
        <f aca="false">K22^2</f>
        <v>0.00102053269521937</v>
      </c>
      <c r="M22" s="18" t="n">
        <f aca="false">J22*$K22</f>
        <v>0.0319457774239314</v>
      </c>
      <c r="N22" s="18" t="n">
        <f aca="false">C22*$K22</f>
        <v>0.00141946070959415</v>
      </c>
      <c r="O22" s="18" t="n">
        <f aca="false">D22*$K22</f>
        <v>-0.000373765595859998</v>
      </c>
      <c r="P22" s="18" t="n">
        <f aca="false">E22*$K22</f>
        <v>-0.41365659728194</v>
      </c>
      <c r="Q22" s="18" t="n">
        <f aca="false">F22*$K22</f>
        <v>4.81760383721591E-005</v>
      </c>
      <c r="R22" s="18" t="n">
        <f aca="false">G22*$K22</f>
        <v>0.000205365012701477</v>
      </c>
      <c r="S22" s="18" t="n">
        <f aca="false">H22*$K22</f>
        <v>0</v>
      </c>
      <c r="T22" s="18" t="n">
        <f aca="false">I22*$K22</f>
        <v>0</v>
      </c>
      <c r="W22" s="18" t="n">
        <f aca="false">B22-C22</f>
        <v>0.0196602341504317</v>
      </c>
    </row>
    <row r="23" customFormat="false" ht="15" hidden="false" customHeight="false" outlineLevel="0" collapsed="false">
      <c r="A23" s="19" t="str">
        <f aca="false">Datos!A32</f>
        <v>2011Q4</v>
      </c>
      <c r="B23" s="20" t="n">
        <f aca="false">Datos!G32</f>
        <v>0.0521713189216535</v>
      </c>
      <c r="C23" s="20" t="n">
        <f aca="false">Datos!N32</f>
        <v>0.0640936718081673</v>
      </c>
      <c r="D23" s="20" t="n">
        <f aca="false">Datos!J32</f>
        <v>-0.0096</v>
      </c>
      <c r="E23" s="20" t="n">
        <f aca="false">Datos!I30</f>
        <v>41.5229032258063</v>
      </c>
      <c r="F23" s="20" t="n">
        <f aca="false">Datos!M30</f>
        <v>-0.00105380264062771</v>
      </c>
      <c r="G23" s="20" t="n">
        <f aca="false">Datos!L32</f>
        <v>-0.0196574711342907</v>
      </c>
      <c r="H23" s="20" t="n">
        <f aca="false">IF($A23="2020Q2",1,0)</f>
        <v>0</v>
      </c>
      <c r="I23" s="20" t="n">
        <f aca="false">IF($A23="2021Q2",1,0)</f>
        <v>0</v>
      </c>
      <c r="J23" s="18" t="n">
        <v>1</v>
      </c>
      <c r="K23" s="18" t="n">
        <f aca="false">B23-($B$87+$B$88*C23+$B$89*D23+$B$90*E23+$B$91*F23+$B$92*G23+$B$93*H23+$B$94*I23)</f>
        <v>0.006794081495824</v>
      </c>
      <c r="L23" s="18" t="n">
        <f aca="false">K23^2</f>
        <v>4.61595433718981E-005</v>
      </c>
      <c r="M23" s="18" t="n">
        <f aca="false">J23*$K23</f>
        <v>0.006794081495824</v>
      </c>
      <c r="N23" s="18" t="n">
        <f aca="false">C23*$K23</f>
        <v>0.000435457629631286</v>
      </c>
      <c r="O23" s="18" t="n">
        <f aca="false">D23*$K23</f>
        <v>-6.52231823599104E-005</v>
      </c>
      <c r="P23" s="18" t="n">
        <f aca="false">E23*$K23</f>
        <v>0.282109988459341</v>
      </c>
      <c r="Q23" s="18" t="n">
        <f aca="false">F23*$K23</f>
        <v>-7.15962102093917E-006</v>
      </c>
      <c r="R23" s="18" t="n">
        <f aca="false">G23*$K23</f>
        <v>-0.000133554460888179</v>
      </c>
      <c r="S23" s="18" t="n">
        <f aca="false">H23*$K23</f>
        <v>0</v>
      </c>
      <c r="T23" s="18" t="n">
        <f aca="false">I23*$K23</f>
        <v>0</v>
      </c>
      <c r="W23" s="18" t="n">
        <f aca="false">B23-C23</f>
        <v>-0.0119223528865138</v>
      </c>
    </row>
    <row r="24" customFormat="false" ht="15" hidden="false" customHeight="false" outlineLevel="0" collapsed="false">
      <c r="A24" s="19" t="str">
        <f aca="false">Datos!A33</f>
        <v>2012Q1</v>
      </c>
      <c r="B24" s="20" t="n">
        <f aca="false">Datos!G33</f>
        <v>0.0156424693190642</v>
      </c>
      <c r="C24" s="20" t="n">
        <f aca="false">Datos!N33</f>
        <v>0.0521713189216535</v>
      </c>
      <c r="D24" s="20" t="n">
        <f aca="false">Datos!J33</f>
        <v>-0.0086</v>
      </c>
      <c r="E24" s="20" t="n">
        <f aca="false">Datos!I31</f>
        <v>158.444625</v>
      </c>
      <c r="F24" s="20" t="n">
        <f aca="false">Datos!M31</f>
        <v>-0.00352299984857712</v>
      </c>
      <c r="G24" s="20" t="n">
        <f aca="false">Datos!L33</f>
        <v>-0.0305004534419946</v>
      </c>
      <c r="H24" s="20" t="n">
        <f aca="false">IF($A24="2020Q2",1,0)</f>
        <v>0</v>
      </c>
      <c r="I24" s="20" t="n">
        <f aca="false">IF($A24="2021Q2",1,0)</f>
        <v>0</v>
      </c>
      <c r="J24" s="18" t="n">
        <v>1</v>
      </c>
      <c r="K24" s="18" t="n">
        <f aca="false">B24-($B$87+$B$88*C24+$B$89*D24+$B$90*E24+$B$91*F24+$B$92*G24+$B$93*H24+$B$94*I24)</f>
        <v>-0.0161850703321282</v>
      </c>
      <c r="L24" s="18" t="n">
        <f aca="false">K24^2</f>
        <v>0.000261956501655937</v>
      </c>
      <c r="M24" s="18" t="n">
        <f aca="false">J24*$K24</f>
        <v>-0.0161850703321282</v>
      </c>
      <c r="N24" s="18" t="n">
        <f aca="false">C24*$K24</f>
        <v>-0.000844396466066853</v>
      </c>
      <c r="O24" s="18" t="n">
        <f aca="false">D24*$K24</f>
        <v>0.000139191604856303</v>
      </c>
      <c r="P24" s="18" t="n">
        <f aca="false">E24*$K24</f>
        <v>-2.56443739937268</v>
      </c>
      <c r="Q24" s="18" t="n">
        <f aca="false">F24*$K24</f>
        <v>5.70200003292978E-005</v>
      </c>
      <c r="R24" s="18" t="n">
        <f aca="false">G24*$K24</f>
        <v>0.000493651984120484</v>
      </c>
      <c r="S24" s="18" t="n">
        <f aca="false">H24*$K24</f>
        <v>-0</v>
      </c>
      <c r="T24" s="18" t="n">
        <f aca="false">I24*$K24</f>
        <v>-0</v>
      </c>
      <c r="W24" s="18" t="n">
        <f aca="false">B24-C24</f>
        <v>-0.0365288496025893</v>
      </c>
    </row>
    <row r="25" customFormat="false" ht="15" hidden="false" customHeight="false" outlineLevel="0" collapsed="false">
      <c r="A25" s="19" t="str">
        <f aca="false">Datos!A34</f>
        <v>2012Q2</v>
      </c>
      <c r="B25" s="20" t="n">
        <f aca="false">Datos!G34</f>
        <v>-0.0463175722342237</v>
      </c>
      <c r="C25" s="20" t="n">
        <f aca="false">Datos!N34</f>
        <v>0.0156424693190642</v>
      </c>
      <c r="D25" s="20" t="n">
        <f aca="false">Datos!J34</f>
        <v>-0.0072</v>
      </c>
      <c r="E25" s="20" t="n">
        <f aca="false">Datos!I32</f>
        <v>174.585041666667</v>
      </c>
      <c r="F25" s="20" t="n">
        <f aca="false">Datos!M32</f>
        <v>-0.000637790538180211</v>
      </c>
      <c r="G25" s="20" t="n">
        <f aca="false">Datos!L34</f>
        <v>-0.01627495217818</v>
      </c>
      <c r="H25" s="20" t="n">
        <f aca="false">IF($A25="2020Q2",1,0)</f>
        <v>0</v>
      </c>
      <c r="I25" s="20" t="n">
        <f aca="false">IF($A25="2021Q2",1,0)</f>
        <v>0</v>
      </c>
      <c r="J25" s="18" t="n">
        <v>1</v>
      </c>
      <c r="K25" s="18" t="n">
        <f aca="false">B25-($B$87+$B$88*C25+$B$89*D25+$B$90*E25+$B$91*F25+$B$92*G25+$B$93*H25+$B$94*I25)</f>
        <v>-0.0461579227823218</v>
      </c>
      <c r="L25" s="18" t="n">
        <f aca="false">K25^2</f>
        <v>0.00213055383557878</v>
      </c>
      <c r="M25" s="18" t="n">
        <f aca="false">J25*$K25</f>
        <v>-0.0461579227823218</v>
      </c>
      <c r="N25" s="18" t="n">
        <f aca="false">C25*$K25</f>
        <v>-0.000722023890954203</v>
      </c>
      <c r="O25" s="18" t="n">
        <f aca="false">D25*$K25</f>
        <v>0.000332337044032717</v>
      </c>
      <c r="P25" s="18" t="n">
        <f aca="false">E25*$K25</f>
        <v>-8.05848287219843</v>
      </c>
      <c r="Q25" s="18" t="n">
        <f aca="false">F25*$K25</f>
        <v>2.94390864126176E-005</v>
      </c>
      <c r="R25" s="18" t="n">
        <f aca="false">G25*$K25</f>
        <v>0.000751217985926411</v>
      </c>
      <c r="S25" s="18" t="n">
        <f aca="false">H25*$K25</f>
        <v>-0</v>
      </c>
      <c r="T25" s="18" t="n">
        <f aca="false">I25*$K25</f>
        <v>-0</v>
      </c>
      <c r="W25" s="18" t="n">
        <f aca="false">B25-C25</f>
        <v>-0.0619600415532879</v>
      </c>
    </row>
    <row r="26" customFormat="false" ht="15" hidden="false" customHeight="false" outlineLevel="0" collapsed="false">
      <c r="A26" s="19" t="str">
        <f aca="false">Datos!A35</f>
        <v>2012Q3</v>
      </c>
      <c r="B26" s="20" t="n">
        <f aca="false">Datos!G35</f>
        <v>-0.0111829419552486</v>
      </c>
      <c r="C26" s="20" t="n">
        <f aca="false">Datos!N35</f>
        <v>-0.0463175722342237</v>
      </c>
      <c r="D26" s="20" t="n">
        <f aca="false">Datos!J35</f>
        <v>0.015</v>
      </c>
      <c r="E26" s="20" t="n">
        <f aca="false">Datos!I33</f>
        <v>-75.1010327956988</v>
      </c>
      <c r="F26" s="20" t="n">
        <f aca="false">Datos!M33</f>
        <v>-0.00100156130651481</v>
      </c>
      <c r="G26" s="20" t="n">
        <f aca="false">Datos!L35</f>
        <v>0.0663292235215516</v>
      </c>
      <c r="H26" s="20" t="n">
        <f aca="false">IF($A26="2020Q2",1,0)</f>
        <v>0</v>
      </c>
      <c r="I26" s="20" t="n">
        <f aca="false">IF($A26="2021Q2",1,0)</f>
        <v>0</v>
      </c>
      <c r="J26" s="18" t="n">
        <v>1</v>
      </c>
      <c r="K26" s="18" t="n">
        <f aca="false">B26-($B$87+$B$88*C26+$B$89*D26+$B$90*E26+$B$91*F26+$B$92*G26+$B$93*H26+$B$94*I26)</f>
        <v>-0.00462678956473785</v>
      </c>
      <c r="L26" s="18" t="n">
        <f aca="false">K26^2</f>
        <v>2.14071816763671E-005</v>
      </c>
      <c r="M26" s="18" t="n">
        <f aca="false">J26*$K26</f>
        <v>-0.00462678956473785</v>
      </c>
      <c r="N26" s="18" t="n">
        <f aca="false">C26*$K26</f>
        <v>0.000214301659877298</v>
      </c>
      <c r="O26" s="18" t="n">
        <f aca="false">D26*$K26</f>
        <v>-6.94018434710677E-005</v>
      </c>
      <c r="P26" s="18" t="n">
        <f aca="false">E26*$K26</f>
        <v>0.347476674840174</v>
      </c>
      <c r="Q26" s="18" t="n">
        <f aca="false">F26*$K26</f>
        <v>4.63401340142795E-006</v>
      </c>
      <c r="R26" s="18" t="n">
        <f aca="false">G26*$K26</f>
        <v>-0.000306891359226679</v>
      </c>
      <c r="S26" s="18" t="n">
        <f aca="false">H26*$K26</f>
        <v>-0</v>
      </c>
      <c r="T26" s="18" t="n">
        <f aca="false">I26*$K26</f>
        <v>-0</v>
      </c>
      <c r="W26" s="18" t="n">
        <f aca="false">B26-C26</f>
        <v>0.0351346302789751</v>
      </c>
    </row>
    <row r="27" customFormat="false" ht="15" hidden="false" customHeight="false" outlineLevel="0" collapsed="false">
      <c r="A27" s="19" t="str">
        <f aca="false">Datos!A36</f>
        <v>2012Q4</v>
      </c>
      <c r="B27" s="20" t="n">
        <f aca="false">Datos!G36</f>
        <v>0.00555804016441552</v>
      </c>
      <c r="C27" s="20" t="n">
        <f aca="false">Datos!N36</f>
        <v>-0.0111829419552486</v>
      </c>
      <c r="D27" s="20" t="n">
        <f aca="false">Datos!J36</f>
        <v>-9.99999999999994E-005</v>
      </c>
      <c r="E27" s="20" t="n">
        <f aca="false">Datos!I34</f>
        <v>231.838685176651</v>
      </c>
      <c r="F27" s="20" t="n">
        <f aca="false">Datos!M34</f>
        <v>-0.00300269044532598</v>
      </c>
      <c r="G27" s="20" t="n">
        <f aca="false">Datos!L36</f>
        <v>0.0304311234506662</v>
      </c>
      <c r="H27" s="20" t="n">
        <f aca="false">IF($A27="2020Q2",1,0)</f>
        <v>0</v>
      </c>
      <c r="I27" s="20" t="n">
        <f aca="false">IF($A27="2021Q2",1,0)</f>
        <v>0</v>
      </c>
      <c r="J27" s="18" t="n">
        <v>1</v>
      </c>
      <c r="K27" s="18" t="n">
        <f aca="false">B27-($B$87+$B$88*C27+$B$89*D27+$B$90*E27+$B$91*F27+$B$92*G27+$B$93*H27+$B$94*I27)</f>
        <v>0.0115032898881919</v>
      </c>
      <c r="L27" s="18" t="n">
        <f aca="false">K27^2</f>
        <v>0.000132325678251778</v>
      </c>
      <c r="M27" s="18" t="n">
        <f aca="false">J27*$K27</f>
        <v>0.0115032898881919</v>
      </c>
      <c r="N27" s="18" t="n">
        <f aca="false">C27*$K27</f>
        <v>-0.000128640623114048</v>
      </c>
      <c r="O27" s="18" t="n">
        <f aca="false">D27*$K27</f>
        <v>-1.15032898881918E-006</v>
      </c>
      <c r="P27" s="18" t="n">
        <f aca="false">E27*$K27</f>
        <v>2.66690760288428</v>
      </c>
      <c r="Q27" s="18" t="n">
        <f aca="false">F27*$K27</f>
        <v>-3.45408186370889E-005</v>
      </c>
      <c r="R27" s="18" t="n">
        <f aca="false">G27*$K27</f>
        <v>0.000350058034676368</v>
      </c>
      <c r="S27" s="18" t="n">
        <f aca="false">H27*$K27</f>
        <v>0</v>
      </c>
      <c r="T27" s="18" t="n">
        <f aca="false">I27*$K27</f>
        <v>0</v>
      </c>
      <c r="W27" s="18" t="n">
        <f aca="false">B27-C27</f>
        <v>0.0167409821196641</v>
      </c>
    </row>
    <row r="28" customFormat="false" ht="15" hidden="false" customHeight="false" outlineLevel="0" collapsed="false">
      <c r="A28" s="19" t="str">
        <f aca="false">Datos!A37</f>
        <v>2013Q1</v>
      </c>
      <c r="B28" s="20" t="n">
        <f aca="false">Datos!G37</f>
        <v>0.00654025144614989</v>
      </c>
      <c r="C28" s="20" t="n">
        <f aca="false">Datos!N37</f>
        <v>0.00555804016441552</v>
      </c>
      <c r="D28" s="20" t="n">
        <f aca="false">Datos!J37</f>
        <v>0.0024</v>
      </c>
      <c r="E28" s="20" t="n">
        <f aca="false">Datos!I35</f>
        <v>-43.7133031746029</v>
      </c>
      <c r="F28" s="20" t="n">
        <f aca="false">Datos!M35</f>
        <v>0.00125591690417205</v>
      </c>
      <c r="G28" s="20" t="n">
        <f aca="false">Datos!L37</f>
        <v>-0.0333884367038117</v>
      </c>
      <c r="H28" s="20" t="n">
        <f aca="false">IF($A28="2020Q2",1,0)</f>
        <v>0</v>
      </c>
      <c r="I28" s="20" t="n">
        <f aca="false">IF($A28="2021Q2",1,0)</f>
        <v>0</v>
      </c>
      <c r="J28" s="18" t="n">
        <v>1</v>
      </c>
      <c r="K28" s="18" t="n">
        <f aca="false">B28-($B$87+$B$88*C28+$B$89*D28+$B$90*E28+$B$91*F28+$B$92*G28+$B$93*H28+$B$94*I28)</f>
        <v>0.00633295860681882</v>
      </c>
      <c r="L28" s="18" t="n">
        <f aca="false">K28^2</f>
        <v>4.01063647156805E-005</v>
      </c>
      <c r="M28" s="18" t="n">
        <f aca="false">J28*$K28</f>
        <v>0.00633295860681882</v>
      </c>
      <c r="N28" s="18" t="n">
        <f aca="false">C28*$K28</f>
        <v>3.519883829628E-005</v>
      </c>
      <c r="O28" s="18" t="n">
        <f aca="false">D28*$K28</f>
        <v>1.51991006563652E-005</v>
      </c>
      <c r="P28" s="18" t="n">
        <f aca="false">E28*$K28</f>
        <v>-0.276834539572081</v>
      </c>
      <c r="Q28" s="18" t="n">
        <f aca="false">F28*$K28</f>
        <v>7.95366976772563E-006</v>
      </c>
      <c r="R28" s="18" t="n">
        <f aca="false">G28*$K28</f>
        <v>-0.00021144758759163</v>
      </c>
      <c r="S28" s="18" t="n">
        <f aca="false">H28*$K28</f>
        <v>0</v>
      </c>
      <c r="T28" s="18" t="n">
        <f aca="false">I28*$K28</f>
        <v>0</v>
      </c>
      <c r="W28" s="18" t="n">
        <f aca="false">B28-C28</f>
        <v>0.000982211281734369</v>
      </c>
    </row>
    <row r="29" customFormat="false" ht="15" hidden="false" customHeight="false" outlineLevel="0" collapsed="false">
      <c r="A29" s="19" t="str">
        <f aca="false">Datos!A38</f>
        <v>2013Q2</v>
      </c>
      <c r="B29" s="20" t="n">
        <f aca="false">Datos!G38</f>
        <v>0.0624602349363816</v>
      </c>
      <c r="C29" s="20" t="n">
        <f aca="false">Datos!N38</f>
        <v>0.00654025144614989</v>
      </c>
      <c r="D29" s="20" t="n">
        <f aca="false">Datos!J38</f>
        <v>0.013</v>
      </c>
      <c r="E29" s="20" t="n">
        <f aca="false">Datos!I36</f>
        <v>16.4557341269839</v>
      </c>
      <c r="F29" s="20" t="n">
        <f aca="false">Datos!M36</f>
        <v>-0.00130886014989251</v>
      </c>
      <c r="G29" s="20" t="n">
        <f aca="false">Datos!L38</f>
        <v>0.0010851184441924</v>
      </c>
      <c r="H29" s="20" t="n">
        <f aca="false">IF($A29="2020Q2",1,0)</f>
        <v>0</v>
      </c>
      <c r="I29" s="20" t="n">
        <f aca="false">IF($A29="2021Q2",1,0)</f>
        <v>0</v>
      </c>
      <c r="J29" s="18" t="n">
        <v>1</v>
      </c>
      <c r="K29" s="18" t="n">
        <f aca="false">B29-($B$87+$B$88*C29+$B$89*D29+$B$90*E29+$B$91*F29+$B$92*G29+$B$93*H29+$B$94*I29)</f>
        <v>0.0450692956135462</v>
      </c>
      <c r="L29" s="18" t="n">
        <f aca="false">K29^2</f>
        <v>0.00203124140710121</v>
      </c>
      <c r="M29" s="18" t="n">
        <f aca="false">J29*$K29</f>
        <v>0.0450692956135462</v>
      </c>
      <c r="N29" s="18" t="n">
        <f aca="false">C29*$K29</f>
        <v>0.000294764525813452</v>
      </c>
      <c r="O29" s="18" t="n">
        <f aca="false">D29*$K29</f>
        <v>0.0005859008429761</v>
      </c>
      <c r="P29" s="18" t="n">
        <f aca="false">E29*$K29</f>
        <v>0.741648345906957</v>
      </c>
      <c r="Q29" s="18" t="n">
        <f aca="false">F29*$K29</f>
        <v>-5.89894050122959E-005</v>
      </c>
      <c r="R29" s="18" t="n">
        <f aca="false">G29*$K29</f>
        <v>4.89055239370186E-005</v>
      </c>
      <c r="S29" s="18" t="n">
        <f aca="false">H29*$K29</f>
        <v>0</v>
      </c>
      <c r="T29" s="18" t="n">
        <f aca="false">I29*$K29</f>
        <v>0</v>
      </c>
      <c r="W29" s="18" t="n">
        <f aca="false">B29-C29</f>
        <v>0.0559199834902318</v>
      </c>
    </row>
    <row r="30" customFormat="false" ht="15" hidden="false" customHeight="false" outlineLevel="0" collapsed="false">
      <c r="A30" s="19" t="str">
        <f aca="false">Datos!A39</f>
        <v>2013Q3</v>
      </c>
      <c r="B30" s="20" t="n">
        <f aca="false">Datos!G39</f>
        <v>0.0255838987402566</v>
      </c>
      <c r="C30" s="20" t="n">
        <f aca="false">Datos!N39</f>
        <v>0.0624602349363816</v>
      </c>
      <c r="D30" s="20" t="n">
        <f aca="false">Datos!J39</f>
        <v>-0.0126</v>
      </c>
      <c r="E30" s="20" t="n">
        <f aca="false">Datos!I37</f>
        <v>88.9247333333331</v>
      </c>
      <c r="F30" s="20" t="n">
        <f aca="false">Datos!M37</f>
        <v>-0.00175680240468713</v>
      </c>
      <c r="G30" s="20" t="n">
        <f aca="false">Datos!L39</f>
        <v>-0.0776602322661193</v>
      </c>
      <c r="H30" s="20" t="n">
        <f aca="false">IF($A30="2020Q2",1,0)</f>
        <v>0</v>
      </c>
      <c r="I30" s="20" t="n">
        <f aca="false">IF($A30="2021Q2",1,0)</f>
        <v>0</v>
      </c>
      <c r="J30" s="18" t="n">
        <v>1</v>
      </c>
      <c r="K30" s="18" t="n">
        <f aca="false">B30-($B$87+$B$88*C30+$B$89*D30+$B$90*E30+$B$91*F30+$B$92*G30+$B$93*H30+$B$94*I30)</f>
        <v>-0.00137890802141066</v>
      </c>
      <c r="L30" s="18" t="n">
        <f aca="false">K30^2</f>
        <v>1.90138733151065E-006</v>
      </c>
      <c r="M30" s="18" t="n">
        <f aca="false">J30*$K30</f>
        <v>-0.00137890802141066</v>
      </c>
      <c r="N30" s="18" t="n">
        <f aca="false">C30*$K30</f>
        <v>-8.61269189729708E-005</v>
      </c>
      <c r="O30" s="18" t="n">
        <f aca="false">D30*$K30</f>
        <v>1.73742410697743E-005</v>
      </c>
      <c r="P30" s="18" t="n">
        <f aca="false">E30*$K30</f>
        <v>-0.122619028095137</v>
      </c>
      <c r="Q30" s="18" t="n">
        <f aca="false">F30*$K30</f>
        <v>2.42246892785661E-006</v>
      </c>
      <c r="R30" s="18" t="n">
        <f aca="false">G30*$K30</f>
        <v>0.000107086317216367</v>
      </c>
      <c r="S30" s="18" t="n">
        <f aca="false">H30*$K30</f>
        <v>-0</v>
      </c>
      <c r="T30" s="18" t="n">
        <f aca="false">I30*$K30</f>
        <v>-0</v>
      </c>
      <c r="W30" s="18" t="n">
        <f aca="false">B30-C30</f>
        <v>-0.0368763361961251</v>
      </c>
    </row>
    <row r="31" customFormat="false" ht="15" hidden="false" customHeight="false" outlineLevel="0" collapsed="false">
      <c r="A31" s="19" t="str">
        <f aca="false">Datos!A40</f>
        <v>2013Q4</v>
      </c>
      <c r="B31" s="20" t="n">
        <f aca="false">Datos!G40</f>
        <v>-0.000510205754616022</v>
      </c>
      <c r="C31" s="20" t="n">
        <f aca="false">Datos!N40</f>
        <v>0.0255838987402566</v>
      </c>
      <c r="D31" s="20" t="n">
        <f aca="false">Datos!J40</f>
        <v>-0.0023</v>
      </c>
      <c r="E31" s="20" t="n">
        <f aca="false">Datos!I38</f>
        <v>74.8855166666669</v>
      </c>
      <c r="F31" s="20" t="n">
        <f aca="false">Datos!M38</f>
        <v>0.00125258435651265</v>
      </c>
      <c r="G31" s="20" t="n">
        <f aca="false">Datos!L40</f>
        <v>-0.0630538774164901</v>
      </c>
      <c r="H31" s="20" t="n">
        <f aca="false">IF($A31="2020Q2",1,0)</f>
        <v>0</v>
      </c>
      <c r="I31" s="20" t="n">
        <f aca="false">IF($A31="2021Q2",1,0)</f>
        <v>0</v>
      </c>
      <c r="J31" s="18" t="n">
        <v>1</v>
      </c>
      <c r="K31" s="18" t="n">
        <f aca="false">B31-($B$87+$B$88*C31+$B$89*D31+$B$90*E31+$B$91*F31+$B$92*G31+$B$93*H31+$B$94*I31)</f>
        <v>-0.00205943426991922</v>
      </c>
      <c r="L31" s="18" t="n">
        <f aca="false">K31^2</f>
        <v>4.24126951211772E-006</v>
      </c>
      <c r="M31" s="18" t="n">
        <f aca="false">J31*$K31</f>
        <v>-0.00205943426991922</v>
      </c>
      <c r="N31" s="18" t="n">
        <f aca="false">C31*$K31</f>
        <v>-5.26883578238276E-005</v>
      </c>
      <c r="O31" s="18" t="n">
        <f aca="false">D31*$K31</f>
        <v>4.73669882081421E-006</v>
      </c>
      <c r="P31" s="18" t="n">
        <f aca="false">E31*$K31</f>
        <v>-0.154221799343941</v>
      </c>
      <c r="Q31" s="18" t="n">
        <f aca="false">F31*$K31</f>
        <v>-2.57961514976687E-006</v>
      </c>
      <c r="R31" s="18" t="n">
        <f aca="false">G31*$K31</f>
        <v>0.000129855316002805</v>
      </c>
      <c r="S31" s="18" t="n">
        <f aca="false">H31*$K31</f>
        <v>-0</v>
      </c>
      <c r="T31" s="18" t="n">
        <f aca="false">I31*$K31</f>
        <v>-0</v>
      </c>
      <c r="W31" s="18" t="n">
        <f aca="false">B31-C31</f>
        <v>-0.0260941044948726</v>
      </c>
    </row>
    <row r="32" customFormat="false" ht="15" hidden="false" customHeight="false" outlineLevel="0" collapsed="false">
      <c r="A32" s="19" t="str">
        <f aca="false">Datos!A41</f>
        <v>2014Q1</v>
      </c>
      <c r="B32" s="20" t="n">
        <f aca="false">Datos!G41</f>
        <v>-0.00889028383967849</v>
      </c>
      <c r="C32" s="20" t="n">
        <f aca="false">Datos!N41</f>
        <v>-0.000510205754616022</v>
      </c>
      <c r="D32" s="20" t="n">
        <f aca="false">Datos!J41</f>
        <v>0.00939999999999999</v>
      </c>
      <c r="E32" s="20" t="n">
        <f aca="false">Datos!I39</f>
        <v>-109.725953125</v>
      </c>
      <c r="F32" s="20" t="n">
        <f aca="false">Datos!M39</f>
        <v>-0.00406567893775619</v>
      </c>
      <c r="G32" s="20" t="n">
        <f aca="false">Datos!L41</f>
        <v>-0.0842813466413068</v>
      </c>
      <c r="H32" s="20" t="n">
        <f aca="false">IF($A32="2020Q2",1,0)</f>
        <v>0</v>
      </c>
      <c r="I32" s="20" t="n">
        <f aca="false">IF($A32="2021Q2",1,0)</f>
        <v>0</v>
      </c>
      <c r="J32" s="18" t="n">
        <v>1</v>
      </c>
      <c r="K32" s="18" t="n">
        <f aca="false">B32-($B$87+$B$88*C32+$B$89*D32+$B$90*E32+$B$91*F32+$B$92*G32+$B$93*H32+$B$94*I32)</f>
        <v>-0.00756633257740624</v>
      </c>
      <c r="L32" s="18" t="n">
        <f aca="false">K32^2</f>
        <v>5.7249388671919E-005</v>
      </c>
      <c r="M32" s="18" t="n">
        <f aca="false">J32*$K32</f>
        <v>-0.00756633257740624</v>
      </c>
      <c r="N32" s="18" t="n">
        <f aca="false">C32*$K32</f>
        <v>3.86038642233134E-006</v>
      </c>
      <c r="O32" s="18" t="n">
        <f aca="false">D32*$K32</f>
        <v>-7.11235262276186E-005</v>
      </c>
      <c r="P32" s="18" t="n">
        <f aca="false">E32*$K32</f>
        <v>0.830223053716637</v>
      </c>
      <c r="Q32" s="18" t="n">
        <f aca="false">F32*$K32</f>
        <v>3.07622789960191E-005</v>
      </c>
      <c r="R32" s="18" t="n">
        <f aca="false">G32*$K32</f>
        <v>0.000637700698759788</v>
      </c>
      <c r="S32" s="18" t="n">
        <f aca="false">H32*$K32</f>
        <v>-0</v>
      </c>
      <c r="T32" s="18" t="n">
        <f aca="false">I32*$K32</f>
        <v>-0</v>
      </c>
      <c r="W32" s="18" t="n">
        <f aca="false">B32-C32</f>
        <v>-0.00838007808506247</v>
      </c>
    </row>
    <row r="33" customFormat="false" ht="15" hidden="false" customHeight="false" outlineLevel="0" collapsed="false">
      <c r="A33" s="19" t="str">
        <f aca="false">Datos!A42</f>
        <v>2014Q2</v>
      </c>
      <c r="B33" s="20" t="n">
        <f aca="false">Datos!G42</f>
        <v>-0.0204893869308982</v>
      </c>
      <c r="C33" s="20" t="n">
        <f aca="false">Datos!N42</f>
        <v>-0.00889028383967849</v>
      </c>
      <c r="D33" s="20" t="n">
        <f aca="false">Datos!J42</f>
        <v>-0.0391</v>
      </c>
      <c r="E33" s="20" t="n">
        <f aca="false">Datos!I40</f>
        <v>-236.474292776639</v>
      </c>
      <c r="F33" s="20" t="n">
        <f aca="false">Datos!M40</f>
        <v>-0.00727729392696567</v>
      </c>
      <c r="G33" s="20" t="n">
        <f aca="false">Datos!L42</f>
        <v>-0.0366748678812265</v>
      </c>
      <c r="H33" s="20" t="n">
        <f aca="false">IF($A33="2020Q2",1,0)</f>
        <v>0</v>
      </c>
      <c r="I33" s="20" t="n">
        <f aca="false">IF($A33="2021Q2",1,0)</f>
        <v>0</v>
      </c>
      <c r="J33" s="18" t="n">
        <v>1</v>
      </c>
      <c r="K33" s="18" t="n">
        <f aca="false">B33-($B$87+$B$88*C33+$B$89*D33+$B$90*E33+$B$91*F33+$B$92*G33+$B$93*H33+$B$94*I33)</f>
        <v>-0.00422048776079301</v>
      </c>
      <c r="L33" s="18" t="n">
        <f aca="false">K33^2</f>
        <v>1.78125169390036E-005</v>
      </c>
      <c r="M33" s="18" t="n">
        <f aca="false">J33*$K33</f>
        <v>-0.00422048776079301</v>
      </c>
      <c r="N33" s="18" t="n">
        <f aca="false">C33*$K33</f>
        <v>3.7521334135339E-005</v>
      </c>
      <c r="O33" s="18" t="n">
        <f aca="false">D33*$K33</f>
        <v>0.000165021071447007</v>
      </c>
      <c r="P33" s="18" t="n">
        <f aca="false">E33*$K33</f>
        <v>0.998036858405988</v>
      </c>
      <c r="Q33" s="18" t="n">
        <f aca="false">F33*$K33</f>
        <v>3.07137299504519E-005</v>
      </c>
      <c r="R33" s="18" t="n">
        <f aca="false">G33*$K33</f>
        <v>0.000154785831021417</v>
      </c>
      <c r="S33" s="18" t="n">
        <f aca="false">H33*$K33</f>
        <v>-0</v>
      </c>
      <c r="T33" s="18" t="n">
        <f aca="false">I33*$K33</f>
        <v>-0</v>
      </c>
      <c r="W33" s="18" t="n">
        <f aca="false">B33-C33</f>
        <v>-0.0115991030912197</v>
      </c>
    </row>
    <row r="34" customFormat="false" ht="15" hidden="false" customHeight="false" outlineLevel="0" collapsed="false">
      <c r="A34" s="19" t="str">
        <f aca="false">Datos!A43</f>
        <v>2014Q3</v>
      </c>
      <c r="B34" s="20" t="n">
        <f aca="false">Datos!G43</f>
        <v>-0.0423851505475772</v>
      </c>
      <c r="C34" s="20" t="n">
        <f aca="false">Datos!N43</f>
        <v>-0.0204893869308982</v>
      </c>
      <c r="D34" s="20" t="n">
        <f aca="false">Datos!J43</f>
        <v>-0.002</v>
      </c>
      <c r="E34" s="20" t="n">
        <f aca="false">Datos!I41</f>
        <v>71.9946229508196</v>
      </c>
      <c r="F34" s="20" t="n">
        <f aca="false">Datos!M41</f>
        <v>-0.00118439913588839</v>
      </c>
      <c r="G34" s="20" t="n">
        <f aca="false">Datos!L43</f>
        <v>0.0130613529329055</v>
      </c>
      <c r="H34" s="20" t="n">
        <f aca="false">IF($A34="2020Q2",1,0)</f>
        <v>0</v>
      </c>
      <c r="I34" s="20" t="n">
        <f aca="false">IF($A34="2021Q2",1,0)</f>
        <v>0</v>
      </c>
      <c r="J34" s="18" t="n">
        <v>1</v>
      </c>
      <c r="K34" s="18" t="n">
        <f aca="false">B34-($B$87+$B$88*C34+$B$89*D34+$B$90*E34+$B$91*F34+$B$92*G34+$B$93*H34+$B$94*I34)</f>
        <v>-0.0276137010822306</v>
      </c>
      <c r="L34" s="18" t="n">
        <f aca="false">K34^2</f>
        <v>0.000762516487458781</v>
      </c>
      <c r="M34" s="18" t="n">
        <f aca="false">J34*$K34</f>
        <v>-0.0276137010822306</v>
      </c>
      <c r="N34" s="18" t="n">
        <f aca="false">C34*$K34</f>
        <v>0.000565787806067984</v>
      </c>
      <c r="O34" s="18" t="n">
        <f aca="false">D34*$K34</f>
        <v>5.52274021644611E-005</v>
      </c>
      <c r="P34" s="18" t="n">
        <f aca="false">E34*$K34</f>
        <v>-1.98803799769183</v>
      </c>
      <c r="Q34" s="18" t="n">
        <f aca="false">F34*$K34</f>
        <v>3.27056437004742E-005</v>
      </c>
      <c r="R34" s="18" t="n">
        <f aca="false">G34*$K34</f>
        <v>-0.000360672295618768</v>
      </c>
      <c r="S34" s="18" t="n">
        <f aca="false">H34*$K34</f>
        <v>-0</v>
      </c>
      <c r="T34" s="18" t="n">
        <f aca="false">I34*$K34</f>
        <v>-0</v>
      </c>
      <c r="W34" s="18" t="n">
        <f aca="false">B34-C34</f>
        <v>-0.021895763616679</v>
      </c>
    </row>
    <row r="35" customFormat="false" ht="15" hidden="false" customHeight="false" outlineLevel="0" collapsed="false">
      <c r="A35" s="19" t="str">
        <f aca="false">Datos!A44</f>
        <v>2014Q4</v>
      </c>
      <c r="B35" s="20" t="n">
        <f aca="false">Datos!G44</f>
        <v>-0.0281573013880524</v>
      </c>
      <c r="C35" s="20" t="n">
        <f aca="false">Datos!N44</f>
        <v>-0.0423851505475772</v>
      </c>
      <c r="D35" s="20" t="n">
        <f aca="false">Datos!J44</f>
        <v>0.0041</v>
      </c>
      <c r="E35" s="20" t="n">
        <f aca="false">Datos!I42</f>
        <v>-143.202551652355</v>
      </c>
      <c r="F35" s="20" t="n">
        <f aca="false">Datos!M42</f>
        <v>-0.00410547863798731</v>
      </c>
      <c r="G35" s="20" t="n">
        <f aca="false">Datos!L44</f>
        <v>0.0476258562716286</v>
      </c>
      <c r="H35" s="20" t="n">
        <f aca="false">IF($A35="2020Q2",1,0)</f>
        <v>0</v>
      </c>
      <c r="I35" s="20" t="n">
        <f aca="false">IF($A35="2021Q2",1,0)</f>
        <v>0</v>
      </c>
      <c r="J35" s="18" t="n">
        <v>1</v>
      </c>
      <c r="K35" s="18" t="n">
        <f aca="false">B35-($B$87+$B$88*C35+$B$89*D35+$B$90*E35+$B$91*F35+$B$92*G35+$B$93*H35+$B$94*I35)</f>
        <v>-0.0216779119894951</v>
      </c>
      <c r="L35" s="18" t="n">
        <f aca="false">K35^2</f>
        <v>0.000469931868224294</v>
      </c>
      <c r="M35" s="18" t="n">
        <f aca="false">J35*$K35</f>
        <v>-0.0216779119894951</v>
      </c>
      <c r="N35" s="18" t="n">
        <f aca="false">C35*$K35</f>
        <v>0.000918821563231877</v>
      </c>
      <c r="O35" s="18" t="n">
        <f aca="false">D35*$K35</f>
        <v>-8.88794391569297E-005</v>
      </c>
      <c r="P35" s="18" t="n">
        <f aca="false">E35*$K35</f>
        <v>3.10433231139088</v>
      </c>
      <c r="Q35" s="18" t="n">
        <f aca="false">F35*$K35</f>
        <v>8.8998204589041E-005</v>
      </c>
      <c r="R35" s="18" t="n">
        <f aca="false">G35*$K35</f>
        <v>-0.00103242912068071</v>
      </c>
      <c r="S35" s="18" t="n">
        <f aca="false">H35*$K35</f>
        <v>-0</v>
      </c>
      <c r="T35" s="18" t="n">
        <f aca="false">I35*$K35</f>
        <v>-0</v>
      </c>
      <c r="W35" s="18" t="n">
        <f aca="false">B35-C35</f>
        <v>0.0142278491595248</v>
      </c>
    </row>
    <row r="36" customFormat="false" ht="15" hidden="false" customHeight="false" outlineLevel="0" collapsed="false">
      <c r="A36" s="19" t="str">
        <f aca="false">Datos!A45</f>
        <v>2015Q1</v>
      </c>
      <c r="B36" s="20" t="n">
        <f aca="false">Datos!G45</f>
        <v>0.00250908947797246</v>
      </c>
      <c r="C36" s="20" t="n">
        <f aca="false">Datos!N45</f>
        <v>-0.0281573013880524</v>
      </c>
      <c r="D36" s="20" t="n">
        <f aca="false">Datos!J45</f>
        <v>-0.0138</v>
      </c>
      <c r="E36" s="20" t="n">
        <f aca="false">Datos!I43</f>
        <v>-73.5206691468252</v>
      </c>
      <c r="F36" s="20" t="n">
        <f aca="false">Datos!M43</f>
        <v>-0.00441492926641144</v>
      </c>
      <c r="G36" s="20" t="n">
        <f aca="false">Datos!L45</f>
        <v>0.0970284563259407</v>
      </c>
      <c r="H36" s="20" t="n">
        <f aca="false">IF($A36="2020Q2",1,0)</f>
        <v>0</v>
      </c>
      <c r="I36" s="20" t="n">
        <f aca="false">IF($A36="2021Q2",1,0)</f>
        <v>0</v>
      </c>
      <c r="J36" s="18" t="n">
        <v>1</v>
      </c>
      <c r="K36" s="18" t="n">
        <f aca="false">B36-($B$87+$B$88*C36+$B$89*D36+$B$90*E36+$B$91*F36+$B$92*G36+$B$93*H36+$B$94*I36)</f>
        <v>-0.00111771267679578</v>
      </c>
      <c r="L36" s="18" t="n">
        <f aca="false">K36^2</f>
        <v>1.24928162786999E-006</v>
      </c>
      <c r="M36" s="18" t="n">
        <f aca="false">J36*$K36</f>
        <v>-0.00111771267679578</v>
      </c>
      <c r="N36" s="18" t="n">
        <f aca="false">C36*$K36</f>
        <v>3.14717727057856E-005</v>
      </c>
      <c r="O36" s="18" t="n">
        <f aca="false">D36*$K36</f>
        <v>1.54244349397818E-005</v>
      </c>
      <c r="P36" s="18" t="n">
        <f aca="false">E36*$K36</f>
        <v>0.0821749839119149</v>
      </c>
      <c r="Q36" s="18" t="n">
        <f aca="false">F36*$K36</f>
        <v>4.93462240822476E-006</v>
      </c>
      <c r="R36" s="18" t="n">
        <f aca="false">G36*$K36</f>
        <v>-0.00010844993564543</v>
      </c>
      <c r="S36" s="18" t="n">
        <f aca="false">H36*$K36</f>
        <v>-0</v>
      </c>
      <c r="T36" s="18" t="n">
        <f aca="false">I36*$K36</f>
        <v>-0</v>
      </c>
      <c r="W36" s="18" t="n">
        <f aca="false">B36-C36</f>
        <v>0.0306663908660249</v>
      </c>
    </row>
    <row r="37" customFormat="false" ht="15" hidden="false" customHeight="false" outlineLevel="0" collapsed="false">
      <c r="A37" s="19" t="str">
        <f aca="false">Datos!A46</f>
        <v>2015Q2</v>
      </c>
      <c r="B37" s="20" t="n">
        <f aca="false">Datos!G46</f>
        <v>0.0403103203233863</v>
      </c>
      <c r="C37" s="20" t="n">
        <f aca="false">Datos!N46</f>
        <v>0.00250908947797246</v>
      </c>
      <c r="D37" s="20" t="n">
        <f aca="false">Datos!J46</f>
        <v>-0.0112</v>
      </c>
      <c r="E37" s="20" t="n">
        <f aca="false">Datos!I44</f>
        <v>21.0197781762296</v>
      </c>
      <c r="F37" s="20" t="n">
        <f aca="false">Datos!M44</f>
        <v>-0.000491837075280319</v>
      </c>
      <c r="G37" s="20" t="n">
        <f aca="false">Datos!L46</f>
        <v>0.0949181376142003</v>
      </c>
      <c r="H37" s="20" t="n">
        <f aca="false">IF($A37="2020Q2",1,0)</f>
        <v>0</v>
      </c>
      <c r="I37" s="20" t="n">
        <f aca="false">IF($A37="2021Q2",1,0)</f>
        <v>0</v>
      </c>
      <c r="J37" s="18" t="n">
        <v>1</v>
      </c>
      <c r="K37" s="18" t="n">
        <f aca="false">B37-($B$87+$B$88*C37+$B$89*D37+$B$90*E37+$B$91*F37+$B$92*G37+$B$93*H37+$B$94*I37)</f>
        <v>0.0202406206880075</v>
      </c>
      <c r="L37" s="18" t="n">
        <f aca="false">K37^2</f>
        <v>0.000409682725835797</v>
      </c>
      <c r="M37" s="18" t="n">
        <f aca="false">J37*$K37</f>
        <v>0.0202406206880075</v>
      </c>
      <c r="N37" s="18" t="n">
        <f aca="false">C37*$K37</f>
        <v>5.07855283959113E-005</v>
      </c>
      <c r="O37" s="18" t="n">
        <f aca="false">D37*$K37</f>
        <v>-0.000226694951705684</v>
      </c>
      <c r="P37" s="18" t="n">
        <f aca="false">E37*$K37</f>
        <v>0.425453357011121</v>
      </c>
      <c r="Q37" s="18" t="n">
        <f aca="false">F37*$K37</f>
        <v>-9.95508768104791E-006</v>
      </c>
      <c r="R37" s="18" t="n">
        <f aca="false">G37*$K37</f>
        <v>0.00192120201986112</v>
      </c>
      <c r="S37" s="18" t="n">
        <f aca="false">H37*$K37</f>
        <v>0</v>
      </c>
      <c r="T37" s="18" t="n">
        <f aca="false">I37*$K37</f>
        <v>0</v>
      </c>
      <c r="W37" s="18" t="n">
        <f aca="false">B37-C37</f>
        <v>0.0378012308454139</v>
      </c>
    </row>
    <row r="38" customFormat="false" ht="15" hidden="false" customHeight="false" outlineLevel="0" collapsed="false">
      <c r="A38" s="19" t="str">
        <f aca="false">Datos!A47</f>
        <v>2015Q3</v>
      </c>
      <c r="B38" s="20" t="n">
        <f aca="false">Datos!G47</f>
        <v>0.0396616998607275</v>
      </c>
      <c r="C38" s="20" t="n">
        <f aca="false">Datos!N47</f>
        <v>0.0403103203233863</v>
      </c>
      <c r="D38" s="20" t="n">
        <f aca="false">Datos!J47</f>
        <v>-0.0153</v>
      </c>
      <c r="E38" s="20" t="n">
        <f aca="false">Datos!I45</f>
        <v>-63.2494918032786</v>
      </c>
      <c r="F38" s="20" t="n">
        <f aca="false">Datos!M45</f>
        <v>-0.00379583329619817</v>
      </c>
      <c r="G38" s="20" t="n">
        <f aca="false">Datos!L47</f>
        <v>-0.0451740937489069</v>
      </c>
      <c r="H38" s="20" t="n">
        <f aca="false">IF($A38="2020Q2",1,0)</f>
        <v>0</v>
      </c>
      <c r="I38" s="20" t="n">
        <f aca="false">IF($A38="2021Q2",1,0)</f>
        <v>0</v>
      </c>
      <c r="J38" s="18" t="n">
        <v>1</v>
      </c>
      <c r="K38" s="18" t="n">
        <f aca="false">B38-($B$87+$B$88*C38+$B$89*D38+$B$90*E38+$B$91*F38+$B$92*G38+$B$93*H38+$B$94*I38)</f>
        <v>0.0149700598864479</v>
      </c>
      <c r="L38" s="18" t="n">
        <f aca="false">K38^2</f>
        <v>0.000224102693003835</v>
      </c>
      <c r="M38" s="18" t="n">
        <f aca="false">J38*$K38</f>
        <v>0.0149700598864479</v>
      </c>
      <c r="N38" s="18" t="n">
        <f aca="false">C38*$K38</f>
        <v>0.00060344790928299</v>
      </c>
      <c r="O38" s="18" t="n">
        <f aca="false">D38*$K38</f>
        <v>-0.000229041916262652</v>
      </c>
      <c r="P38" s="18" t="n">
        <f aca="false">E38*$K38</f>
        <v>-0.946848680082474</v>
      </c>
      <c r="Q38" s="18" t="n">
        <f aca="false">F38*$K38</f>
        <v>-5.68238517630594E-005</v>
      </c>
      <c r="R38" s="18" t="n">
        <f aca="false">G38*$K38</f>
        <v>-0.000676258888737146</v>
      </c>
      <c r="S38" s="18" t="n">
        <f aca="false">H38*$K38</f>
        <v>0</v>
      </c>
      <c r="T38" s="18" t="n">
        <f aca="false">I38*$K38</f>
        <v>0</v>
      </c>
      <c r="W38" s="18" t="n">
        <f aca="false">B38-C38</f>
        <v>-0.000648620462658789</v>
      </c>
    </row>
    <row r="39" customFormat="false" ht="15" hidden="false" customHeight="false" outlineLevel="0" collapsed="false">
      <c r="A39" s="19" t="str">
        <f aca="false">Datos!A48</f>
        <v>2015Q4</v>
      </c>
      <c r="B39" s="20" t="n">
        <f aca="false">Datos!G48</f>
        <v>0.0247270091543546</v>
      </c>
      <c r="C39" s="20" t="n">
        <f aca="false">Datos!N48</f>
        <v>0.0396616998607275</v>
      </c>
      <c r="D39" s="20" t="n">
        <f aca="false">Datos!J48</f>
        <v>-0.0127</v>
      </c>
      <c r="E39" s="20" t="n">
        <f aca="false">Datos!I46</f>
        <v>-69.448288776797</v>
      </c>
      <c r="F39" s="20" t="n">
        <f aca="false">Datos!M46</f>
        <v>-0.00217649253180521</v>
      </c>
      <c r="G39" s="20" t="n">
        <f aca="false">Datos!L48</f>
        <v>-0.00760537036467967</v>
      </c>
      <c r="H39" s="20" t="n">
        <f aca="false">IF($A39="2020Q2",1,0)</f>
        <v>0</v>
      </c>
      <c r="I39" s="20" t="n">
        <f aca="false">IF($A39="2021Q2",1,0)</f>
        <v>0</v>
      </c>
      <c r="J39" s="18" t="n">
        <v>1</v>
      </c>
      <c r="K39" s="18" t="n">
        <f aca="false">B39-($B$87+$B$88*C39+$B$89*D39+$B$90*E39+$B$91*F39+$B$92*G39+$B$93*H39+$B$94*I39)</f>
        <v>-0.00785969840977684</v>
      </c>
      <c r="L39" s="18" t="n">
        <f aca="false">K39^2</f>
        <v>6.17748590926486E-005</v>
      </c>
      <c r="M39" s="18" t="n">
        <f aca="false">J39*$K39</f>
        <v>-0.00785969840977684</v>
      </c>
      <c r="N39" s="18" t="n">
        <f aca="false">C39*$K39</f>
        <v>-0.000311728999324407</v>
      </c>
      <c r="O39" s="18" t="n">
        <f aca="false">D39*$K39</f>
        <v>9.98181698041659E-005</v>
      </c>
      <c r="P39" s="18" t="n">
        <f aca="false">E39*$K39</f>
        <v>0.545842604860714</v>
      </c>
      <c r="Q39" s="18" t="n">
        <f aca="false">F39*$K39</f>
        <v>1.71065748911206E-005</v>
      </c>
      <c r="R39" s="18" t="n">
        <f aca="false">G39*$K39</f>
        <v>5.97759173610367E-005</v>
      </c>
      <c r="S39" s="18" t="n">
        <f aca="false">H39*$K39</f>
        <v>-0</v>
      </c>
      <c r="T39" s="18" t="n">
        <f aca="false">I39*$K39</f>
        <v>-0</v>
      </c>
      <c r="W39" s="18" t="n">
        <f aca="false">B39-C39</f>
        <v>-0.014934690706373</v>
      </c>
    </row>
    <row r="40" customFormat="false" ht="15" hidden="false" customHeight="false" outlineLevel="0" collapsed="false">
      <c r="A40" s="19" t="str">
        <f aca="false">Datos!A49</f>
        <v>2016Q1</v>
      </c>
      <c r="B40" s="20" t="n">
        <f aca="false">Datos!G49</f>
        <v>0.00728692545281007</v>
      </c>
      <c r="C40" s="20" t="n">
        <f aca="false">Datos!N49</f>
        <v>0.0247270091543546</v>
      </c>
      <c r="D40" s="20" t="n">
        <f aca="false">Datos!J49</f>
        <v>0.0037</v>
      </c>
      <c r="E40" s="20" t="n">
        <f aca="false">Datos!I47</f>
        <v>-12.3885780885781</v>
      </c>
      <c r="F40" s="20" t="n">
        <f aca="false">Datos!M47</f>
        <v>0.000773184816559663</v>
      </c>
      <c r="G40" s="20" t="n">
        <f aca="false">Datos!L49</f>
        <v>-0.0917417768075395</v>
      </c>
      <c r="H40" s="20" t="n">
        <f aca="false">IF($A40="2020Q2",1,0)</f>
        <v>0</v>
      </c>
      <c r="I40" s="20" t="n">
        <f aca="false">IF($A40="2021Q2",1,0)</f>
        <v>0</v>
      </c>
      <c r="J40" s="18" t="n">
        <v>1</v>
      </c>
      <c r="K40" s="18" t="n">
        <f aca="false">B40-($B$87+$B$88*C40+$B$89*D40+$B$90*E40+$B$91*F40+$B$92*G40+$B$93*H40+$B$94*I40)</f>
        <v>0.00486885393443128</v>
      </c>
      <c r="L40" s="18" t="n">
        <f aca="false">K40^2</f>
        <v>2.37057386348269E-005</v>
      </c>
      <c r="M40" s="18" t="n">
        <f aca="false">J40*$K40</f>
        <v>0.00486885393443128</v>
      </c>
      <c r="N40" s="18" t="n">
        <f aca="false">C40*$K40</f>
        <v>0.000120392195807897</v>
      </c>
      <c r="O40" s="18" t="n">
        <f aca="false">D40*$K40</f>
        <v>1.80147595573957E-005</v>
      </c>
      <c r="P40" s="18" t="n">
        <f aca="false">E40*$K40</f>
        <v>-0.0603181771685827</v>
      </c>
      <c r="Q40" s="18" t="n">
        <f aca="false">F40*$K40</f>
        <v>3.76452393614904E-006</v>
      </c>
      <c r="R40" s="18" t="n">
        <f aca="false">G40*$K40</f>
        <v>-0.000446677310961104</v>
      </c>
      <c r="S40" s="18" t="n">
        <f aca="false">H40*$K40</f>
        <v>0</v>
      </c>
      <c r="T40" s="18" t="n">
        <f aca="false">I40*$K40</f>
        <v>0</v>
      </c>
      <c r="W40" s="18" t="n">
        <f aca="false">B40-C40</f>
        <v>-0.0174400837015445</v>
      </c>
    </row>
    <row r="41" customFormat="false" ht="15" hidden="false" customHeight="false" outlineLevel="0" collapsed="false">
      <c r="A41" s="19" t="str">
        <f aca="false">Datos!A50</f>
        <v>2016Q2</v>
      </c>
      <c r="B41" s="20" t="n">
        <f aca="false">Datos!G50</f>
        <v>-0.0385885964740134</v>
      </c>
      <c r="C41" s="20" t="n">
        <f aca="false">Datos!N50</f>
        <v>0.00728692545281007</v>
      </c>
      <c r="D41" s="20" t="n">
        <f aca="false">Datos!J50</f>
        <v>0.0192</v>
      </c>
      <c r="E41" s="20" t="n">
        <f aca="false">Datos!I48</f>
        <v>-78.2729603729604</v>
      </c>
      <c r="F41" s="20" t="n">
        <f aca="false">Datos!M48</f>
        <v>-0.00280010033850613</v>
      </c>
      <c r="G41" s="20" t="n">
        <f aca="false">Datos!L50</f>
        <v>-0.105589828941248</v>
      </c>
      <c r="H41" s="20" t="n">
        <f aca="false">IF($A41="2020Q2",1,0)</f>
        <v>0</v>
      </c>
      <c r="I41" s="20" t="n">
        <f aca="false">IF($A41="2021Q2",1,0)</f>
        <v>0</v>
      </c>
      <c r="J41" s="18" t="n">
        <v>1</v>
      </c>
      <c r="K41" s="18" t="n">
        <f aca="false">B41-($B$87+$B$88*C41+$B$89*D41+$B$90*E41+$B$91*F41+$B$92*G41+$B$93*H41+$B$94*I41)</f>
        <v>-0.0413585421350521</v>
      </c>
      <c r="L41" s="18" t="n">
        <f aca="false">K41^2</f>
        <v>0.00171052900753688</v>
      </c>
      <c r="M41" s="18" t="n">
        <f aca="false">J41*$K41</f>
        <v>-0.0413585421350521</v>
      </c>
      <c r="N41" s="18" t="n">
        <f aca="false">C41*$K41</f>
        <v>-0.000301376613375029</v>
      </c>
      <c r="O41" s="18" t="n">
        <f aca="false">D41*$K41</f>
        <v>-0.000794084008993</v>
      </c>
      <c r="P41" s="18" t="n">
        <f aca="false">E41*$K41</f>
        <v>3.23725552962035</v>
      </c>
      <c r="Q41" s="18" t="n">
        <f aca="false">F41*$K41</f>
        <v>0.00011580806783248</v>
      </c>
      <c r="R41" s="18" t="n">
        <f aca="false">G41*$K41</f>
        <v>0.00436704138929956</v>
      </c>
      <c r="S41" s="18" t="n">
        <f aca="false">H41*$K41</f>
        <v>-0</v>
      </c>
      <c r="T41" s="18" t="n">
        <f aca="false">I41*$K41</f>
        <v>-0</v>
      </c>
      <c r="W41" s="18" t="n">
        <f aca="false">B41-C41</f>
        <v>-0.0458755219268234</v>
      </c>
    </row>
    <row r="42" customFormat="false" ht="15" hidden="false" customHeight="false" outlineLevel="0" collapsed="false">
      <c r="A42" s="19" t="str">
        <f aca="false">Datos!A51</f>
        <v>2016Q3</v>
      </c>
      <c r="B42" s="20" t="n">
        <f aca="false">Datos!G51</f>
        <v>-0.0332721885187776</v>
      </c>
      <c r="C42" s="20" t="n">
        <f aca="false">Datos!N51</f>
        <v>-0.0385885964740134</v>
      </c>
      <c r="D42" s="20" t="n">
        <f aca="false">Datos!J51</f>
        <v>0.00790000000000001</v>
      </c>
      <c r="E42" s="20" t="n">
        <f aca="false">Datos!I49</f>
        <v>-38.2862026862027</v>
      </c>
      <c r="F42" s="20" t="n">
        <f aca="false">Datos!M49</f>
        <v>0.00260547432509496</v>
      </c>
      <c r="G42" s="20" t="n">
        <f aca="false">Datos!L51</f>
        <v>0.00909160826158509</v>
      </c>
      <c r="H42" s="20" t="n">
        <f aca="false">IF($A42="2020Q2",1,0)</f>
        <v>0</v>
      </c>
      <c r="I42" s="20" t="n">
        <f aca="false">IF($A42="2021Q2",1,0)</f>
        <v>0</v>
      </c>
      <c r="J42" s="18" t="n">
        <v>1</v>
      </c>
      <c r="K42" s="18" t="n">
        <f aca="false">B42-($B$87+$B$88*C42+$B$89*D42+$B$90*E42+$B$91*F42+$B$92*G42+$B$93*H42+$B$94*I42)</f>
        <v>-0.00742793487555989</v>
      </c>
      <c r="L42" s="18" t="n">
        <f aca="false">K42^2</f>
        <v>5.5174216515559E-005</v>
      </c>
      <c r="M42" s="18" t="n">
        <f aca="false">J42*$K42</f>
        <v>-0.00742793487555989</v>
      </c>
      <c r="N42" s="18" t="n">
        <f aca="false">C42*$K42</f>
        <v>0.000286633581548231</v>
      </c>
      <c r="O42" s="18" t="n">
        <f aca="false">D42*$K42</f>
        <v>-5.86806855169232E-005</v>
      </c>
      <c r="P42" s="18" t="n">
        <f aca="false">E42*$K42</f>
        <v>0.2843874201856</v>
      </c>
      <c r="Q42" s="18" t="n">
        <f aca="false">F42*$K42</f>
        <v>-1.93532936067487E-005</v>
      </c>
      <c r="R42" s="18" t="n">
        <f aca="false">G42*$K42</f>
        <v>-6.75318740811563E-005</v>
      </c>
      <c r="S42" s="18" t="n">
        <f aca="false">H42*$K42</f>
        <v>-0</v>
      </c>
      <c r="T42" s="18" t="n">
        <f aca="false">I42*$K42</f>
        <v>-0</v>
      </c>
      <c r="W42" s="18" t="n">
        <f aca="false">B42-C42</f>
        <v>0.0053164079552358</v>
      </c>
    </row>
    <row r="43" customFormat="false" ht="15" hidden="false" customHeight="false" outlineLevel="0" collapsed="false">
      <c r="A43" s="19" t="str">
        <f aca="false">Datos!A52</f>
        <v>2016Q4</v>
      </c>
      <c r="B43" s="20" t="n">
        <f aca="false">Datos!G52</f>
        <v>-0.0149328839288507</v>
      </c>
      <c r="C43" s="20" t="n">
        <f aca="false">Datos!N52</f>
        <v>-0.0332721885187776</v>
      </c>
      <c r="D43" s="20" t="n">
        <f aca="false">Datos!J52</f>
        <v>0.0024</v>
      </c>
      <c r="E43" s="20" t="n">
        <f aca="false">Datos!I50</f>
        <v>-20.156746031746</v>
      </c>
      <c r="F43" s="20" t="n">
        <f aca="false">Datos!M50</f>
        <v>0.000745358878983644</v>
      </c>
      <c r="G43" s="20" t="n">
        <f aca="false">Datos!L52</f>
        <v>0.0256334028858917</v>
      </c>
      <c r="H43" s="20" t="n">
        <f aca="false">IF($A43="2020Q2",1,0)</f>
        <v>0</v>
      </c>
      <c r="I43" s="20" t="n">
        <f aca="false">IF($A43="2021Q2",1,0)</f>
        <v>0</v>
      </c>
      <c r="J43" s="18" t="n">
        <v>1</v>
      </c>
      <c r="K43" s="18" t="n">
        <f aca="false">B43-($B$87+$B$88*C43+$B$89*D43+$B$90*E43+$B$91*F43+$B$92*G43+$B$93*H43+$B$94*I43)</f>
        <v>0.00369356392796937</v>
      </c>
      <c r="L43" s="18" t="n">
        <f aca="false">K43^2</f>
        <v>1.36424144899965E-005</v>
      </c>
      <c r="M43" s="18" t="n">
        <f aca="false">J43*$K43</f>
        <v>0.00369356392796937</v>
      </c>
      <c r="N43" s="18" t="n">
        <f aca="false">C43*$K43</f>
        <v>-0.000122892955317553</v>
      </c>
      <c r="O43" s="18" t="n">
        <f aca="false">D43*$K43</f>
        <v>8.86455342712649E-006</v>
      </c>
      <c r="P43" s="18" t="n">
        <f aca="false">E43*$K43</f>
        <v>-0.0744502300480969</v>
      </c>
      <c r="Q43" s="18" t="n">
        <f aca="false">F43*$K43</f>
        <v>2.75303066880568E-006</v>
      </c>
      <c r="R43" s="18" t="n">
        <f aca="false">G43*$K43</f>
        <v>9.46786122504356E-005</v>
      </c>
      <c r="S43" s="18" t="n">
        <f aca="false">H43*$K43</f>
        <v>0</v>
      </c>
      <c r="T43" s="18" t="n">
        <f aca="false">I43*$K43</f>
        <v>0</v>
      </c>
      <c r="W43" s="18" t="n">
        <f aca="false">B43-C43</f>
        <v>0.0183393045899268</v>
      </c>
    </row>
    <row r="44" customFormat="false" ht="15" hidden="false" customHeight="false" outlineLevel="0" collapsed="false">
      <c r="A44" s="19" t="str">
        <f aca="false">Datos!A53</f>
        <v>2017Q1</v>
      </c>
      <c r="B44" s="20" t="n">
        <f aca="false">Datos!G53</f>
        <v>0.00559679082443165</v>
      </c>
      <c r="C44" s="20" t="n">
        <f aca="false">Datos!N53</f>
        <v>-0.0149328839288507</v>
      </c>
      <c r="D44" s="20" t="n">
        <f aca="false">Datos!J53</f>
        <v>0.026</v>
      </c>
      <c r="E44" s="20" t="n">
        <f aca="false">Datos!I51</f>
        <v>51.5281007751937</v>
      </c>
      <c r="F44" s="20" t="n">
        <f aca="false">Datos!M51</f>
        <v>-0.00224991902638157</v>
      </c>
      <c r="G44" s="20" t="n">
        <f aca="false">Datos!L53</f>
        <v>0.0820466115755285</v>
      </c>
      <c r="H44" s="20" t="n">
        <f aca="false">IF($A44="2020Q2",1,0)</f>
        <v>0</v>
      </c>
      <c r="I44" s="20" t="n">
        <f aca="false">IF($A44="2021Q2",1,0)</f>
        <v>0</v>
      </c>
      <c r="J44" s="18" t="n">
        <v>1</v>
      </c>
      <c r="K44" s="18" t="n">
        <f aca="false">B44-($B$87+$B$88*C44+$B$89*D44+$B$90*E44+$B$91*F44+$B$92*G44+$B$93*H44+$B$94*I44)</f>
        <v>-0.0213040141050308</v>
      </c>
      <c r="L44" s="18" t="n">
        <f aca="false">K44^2</f>
        <v>0.000453861016987351</v>
      </c>
      <c r="M44" s="18" t="n">
        <f aca="false">J44*$K44</f>
        <v>-0.0213040141050308</v>
      </c>
      <c r="N44" s="18" t="n">
        <f aca="false">C44*$K44</f>
        <v>0.000318130369849024</v>
      </c>
      <c r="O44" s="18" t="n">
        <f aca="false">D44*$K44</f>
        <v>-0.000553904366730801</v>
      </c>
      <c r="P44" s="18" t="n">
        <f aca="false">E44*$K44</f>
        <v>-1.09775538572018</v>
      </c>
      <c r="Q44" s="18" t="n">
        <f aca="false">F44*$K44</f>
        <v>4.79323066732102E-005</v>
      </c>
      <c r="R44" s="18" t="n">
        <f aca="false">G44*$K44</f>
        <v>-0.00174792217027504</v>
      </c>
      <c r="S44" s="18" t="n">
        <f aca="false">H44*$K44</f>
        <v>-0</v>
      </c>
      <c r="T44" s="18" t="n">
        <f aca="false">I44*$K44</f>
        <v>-0</v>
      </c>
      <c r="W44" s="18" t="n">
        <f aca="false">B44-C44</f>
        <v>0.0205296747532824</v>
      </c>
    </row>
    <row r="45" customFormat="false" ht="15" hidden="false" customHeight="false" outlineLevel="0" collapsed="false">
      <c r="A45" s="19" t="str">
        <f aca="false">Datos!A54</f>
        <v>2017Q2</v>
      </c>
      <c r="B45" s="20" t="n">
        <f aca="false">Datos!G54</f>
        <v>0.0232658340767662</v>
      </c>
      <c r="C45" s="20" t="n">
        <f aca="false">Datos!N54</f>
        <v>0.00559679082443165</v>
      </c>
      <c r="D45" s="20" t="n">
        <f aca="false">Datos!J54</f>
        <v>0.0049</v>
      </c>
      <c r="E45" s="20" t="n">
        <f aca="false">Datos!I52</f>
        <v>-26.5005366726296</v>
      </c>
      <c r="F45" s="20" t="n">
        <f aca="false">Datos!M52</f>
        <v>-0.00212333552972169</v>
      </c>
      <c r="G45" s="20" t="n">
        <f aca="false">Datos!L54</f>
        <v>0.090804942430336</v>
      </c>
      <c r="H45" s="20" t="n">
        <f aca="false">IF($A45="2020Q2",1,0)</f>
        <v>0</v>
      </c>
      <c r="I45" s="20" t="n">
        <f aca="false">IF($A45="2021Q2",1,0)</f>
        <v>0</v>
      </c>
      <c r="J45" s="18" t="n">
        <v>1</v>
      </c>
      <c r="K45" s="18" t="n">
        <f aca="false">B45-($B$87+$B$88*C45+$B$89*D45+$B$90*E45+$B$91*F45+$B$92*G45+$B$93*H45+$B$94*I45)</f>
        <v>-0.0133267901849952</v>
      </c>
      <c r="L45" s="18" t="n">
        <f aca="false">K45^2</f>
        <v>0.000177603336634885</v>
      </c>
      <c r="M45" s="18" t="n">
        <f aca="false">J45*$K45</f>
        <v>-0.0133267901849952</v>
      </c>
      <c r="N45" s="18" t="n">
        <f aca="false">C45*$K45</f>
        <v>-7.45872570265072E-005</v>
      </c>
      <c r="O45" s="18" t="n">
        <f aca="false">D45*$K45</f>
        <v>-6.53012719064767E-005</v>
      </c>
      <c r="P45" s="18" t="n">
        <f aca="false">E45*$K45</f>
        <v>0.353167092025907</v>
      </c>
      <c r="Q45" s="18" t="n">
        <f aca="false">F45*$K45</f>
        <v>2.82972470969466E-005</v>
      </c>
      <c r="R45" s="18" t="n">
        <f aca="false">G45*$K45</f>
        <v>-0.00121013841552966</v>
      </c>
      <c r="S45" s="18" t="n">
        <f aca="false">H45*$K45</f>
        <v>-0</v>
      </c>
      <c r="T45" s="18" t="n">
        <f aca="false">I45*$K45</f>
        <v>-0</v>
      </c>
      <c r="W45" s="18" t="n">
        <f aca="false">B45-C45</f>
        <v>0.0176690432523345</v>
      </c>
    </row>
    <row r="46" customFormat="false" ht="15" hidden="false" customHeight="false" outlineLevel="0" collapsed="false">
      <c r="A46" s="19" t="str">
        <f aca="false">Datos!A55</f>
        <v>2017Q3</v>
      </c>
      <c r="B46" s="20" t="n">
        <f aca="false">Datos!G55</f>
        <v>0.0385060856362685</v>
      </c>
      <c r="C46" s="20" t="n">
        <f aca="false">Datos!N55</f>
        <v>0.0232658340767662</v>
      </c>
      <c r="D46" s="20" t="n">
        <f aca="false">Datos!J55</f>
        <v>0.0075</v>
      </c>
      <c r="E46" s="20" t="n">
        <f aca="false">Datos!I53</f>
        <v>-15.9076923076924</v>
      </c>
      <c r="F46" s="20" t="n">
        <f aca="false">Datos!M53</f>
        <v>0.00313795605318815</v>
      </c>
      <c r="G46" s="20" t="n">
        <f aca="false">Datos!L55</f>
        <v>-0.0255266010597097</v>
      </c>
      <c r="H46" s="20" t="n">
        <f aca="false">IF($A46="2020Q2",1,0)</f>
        <v>0</v>
      </c>
      <c r="I46" s="20" t="n">
        <f aca="false">IF($A46="2021Q2",1,0)</f>
        <v>0</v>
      </c>
      <c r="J46" s="18" t="n">
        <v>1</v>
      </c>
      <c r="K46" s="18" t="n">
        <f aca="false">B46-($B$87+$B$88*C46+$B$89*D46+$B$90*E46+$B$91*F46+$B$92*G46+$B$93*H46+$B$94*I46)</f>
        <v>0.0224905690452006</v>
      </c>
      <c r="L46" s="18" t="n">
        <f aca="false">K46^2</f>
        <v>0.000505825695976935</v>
      </c>
      <c r="M46" s="18" t="n">
        <f aca="false">J46*$K46</f>
        <v>0.0224905690452006</v>
      </c>
      <c r="N46" s="18" t="n">
        <f aca="false">C46*$K46</f>
        <v>0.000523261847697691</v>
      </c>
      <c r="O46" s="18" t="n">
        <f aca="false">D46*$K46</f>
        <v>0.000168679267839004</v>
      </c>
      <c r="P46" s="18" t="n">
        <f aca="false">E46*$K46</f>
        <v>-0.357773052195962</v>
      </c>
      <c r="Q46" s="18" t="n">
        <f aca="false">F46*$K46</f>
        <v>7.05744172750332E-005</v>
      </c>
      <c r="R46" s="18" t="n">
        <f aca="false">G46*$K46</f>
        <v>-0.000574107783622692</v>
      </c>
      <c r="S46" s="18" t="n">
        <f aca="false">H46*$K46</f>
        <v>0</v>
      </c>
      <c r="T46" s="18" t="n">
        <f aca="false">I46*$K46</f>
        <v>0</v>
      </c>
      <c r="W46" s="18" t="n">
        <f aca="false">B46-C46</f>
        <v>0.0152402515595023</v>
      </c>
    </row>
    <row r="47" customFormat="false" ht="15" hidden="false" customHeight="false" outlineLevel="0" collapsed="false">
      <c r="A47" s="19" t="str">
        <f aca="false">Datos!A56</f>
        <v>2017Q4</v>
      </c>
      <c r="B47" s="20" t="n">
        <f aca="false">Datos!G56</f>
        <v>0.0453268482640472</v>
      </c>
      <c r="C47" s="20" t="n">
        <f aca="false">Datos!N56</f>
        <v>0.0385060856362685</v>
      </c>
      <c r="D47" s="20" t="n">
        <f aca="false">Datos!J56</f>
        <v>0.0075</v>
      </c>
      <c r="E47" s="20" t="n">
        <f aca="false">Datos!I54</f>
        <v>-40.3959134615384</v>
      </c>
      <c r="F47" s="20" t="n">
        <f aca="false">Datos!M54</f>
        <v>-0.00131224327995142</v>
      </c>
      <c r="G47" s="20" t="n">
        <f aca="false">Datos!L56</f>
        <v>-0.0155592807433043</v>
      </c>
      <c r="H47" s="20" t="n">
        <f aca="false">IF($A47="2020Q2",1,0)</f>
        <v>0</v>
      </c>
      <c r="I47" s="20" t="n">
        <f aca="false">IF($A47="2021Q2",1,0)</f>
        <v>0</v>
      </c>
      <c r="J47" s="18" t="n">
        <v>1</v>
      </c>
      <c r="K47" s="18" t="n">
        <f aca="false">B47-($B$87+$B$88*C47+$B$89*D47+$B$90*E47+$B$91*F47+$B$92*G47+$B$93*H47+$B$94*I47)</f>
        <v>0.00571262022219744</v>
      </c>
      <c r="L47" s="18" t="n">
        <f aca="false">K47^2</f>
        <v>3.26340298030591E-005</v>
      </c>
      <c r="M47" s="18" t="n">
        <f aca="false">J47*$K47</f>
        <v>0.00571262022219744</v>
      </c>
      <c r="N47" s="18" t="n">
        <f aca="false">C47*$K47</f>
        <v>0.000219970643483413</v>
      </c>
      <c r="O47" s="18" t="n">
        <f aca="false">D47*$K47</f>
        <v>4.28446516664808E-005</v>
      </c>
      <c r="P47" s="18" t="n">
        <f aca="false">E47*$K47</f>
        <v>-0.230766512134522</v>
      </c>
      <c r="Q47" s="18" t="n">
        <f aca="false">F47*$K47</f>
        <v>-7.49634749749318E-006</v>
      </c>
      <c r="R47" s="18" t="n">
        <f aca="false">G47*$K47</f>
        <v>-8.88842618170471E-005</v>
      </c>
      <c r="S47" s="18" t="n">
        <f aca="false">H47*$K47</f>
        <v>0</v>
      </c>
      <c r="T47" s="18" t="n">
        <f aca="false">I47*$K47</f>
        <v>0</v>
      </c>
      <c r="W47" s="18" t="n">
        <f aca="false">B47-C47</f>
        <v>0.00682076262777875</v>
      </c>
    </row>
    <row r="48" customFormat="false" ht="15" hidden="false" customHeight="false" outlineLevel="0" collapsed="false">
      <c r="A48" s="19" t="str">
        <f aca="false">Datos!A57</f>
        <v>2018Q1</v>
      </c>
      <c r="B48" s="20" t="n">
        <f aca="false">Datos!G57</f>
        <v>0.0379774021814201</v>
      </c>
      <c r="C48" s="20" t="n">
        <f aca="false">Datos!N57</f>
        <v>0.0453268482640472</v>
      </c>
      <c r="D48" s="20" t="n">
        <f aca="false">Datos!J57</f>
        <v>-0.0093</v>
      </c>
      <c r="E48" s="20" t="n">
        <f aca="false">Datos!I55</f>
        <v>0.498765624999805</v>
      </c>
      <c r="F48" s="20" t="n">
        <f aca="false">Datos!M55</f>
        <v>0.00437317645861715</v>
      </c>
      <c r="G48" s="20" t="n">
        <f aca="false">Datos!L57</f>
        <v>-0.0321415960972991</v>
      </c>
      <c r="H48" s="20" t="n">
        <f aca="false">IF($A48="2020Q2",1,0)</f>
        <v>0</v>
      </c>
      <c r="I48" s="20" t="n">
        <f aca="false">IF($A48="2021Q2",1,0)</f>
        <v>0</v>
      </c>
      <c r="J48" s="18" t="n">
        <v>1</v>
      </c>
      <c r="K48" s="18" t="n">
        <f aca="false">B48-($B$87+$B$88*C48+$B$89*D48+$B$90*E48+$B$91*F48+$B$92*G48+$B$93*H48+$B$94*I48)</f>
        <v>0.0181496845100091</v>
      </c>
      <c r="L48" s="18" t="n">
        <f aca="false">K48^2</f>
        <v>0.000329411047812866</v>
      </c>
      <c r="M48" s="18" t="n">
        <f aca="false">J48*$K48</f>
        <v>0.0181496845100091</v>
      </c>
      <c r="N48" s="18" t="n">
        <f aca="false">C48*$K48</f>
        <v>0.000822667995825512</v>
      </c>
      <c r="O48" s="18" t="n">
        <f aca="false">D48*$K48</f>
        <v>-0.000168792065943085</v>
      </c>
      <c r="P48" s="18" t="n">
        <f aca="false">E48*$K48</f>
        <v>0.009052438738184</v>
      </c>
      <c r="Q48" s="18" t="n">
        <f aca="false">F48*$K48</f>
        <v>7.93717730305003E-005</v>
      </c>
      <c r="R48" s="18" t="n">
        <f aca="false">G48*$K48</f>
        <v>-0.000583359828814119</v>
      </c>
      <c r="S48" s="18" t="n">
        <f aca="false">H48*$K48</f>
        <v>0</v>
      </c>
      <c r="T48" s="18" t="n">
        <f aca="false">I48*$K48</f>
        <v>0</v>
      </c>
      <c r="W48" s="18" t="n">
        <f aca="false">B48-C48</f>
        <v>-0.00734944608262711</v>
      </c>
    </row>
    <row r="49" customFormat="false" ht="15" hidden="false" customHeight="false" outlineLevel="0" collapsed="false">
      <c r="A49" s="19" t="str">
        <f aca="false">Datos!A58</f>
        <v>2018Q2</v>
      </c>
      <c r="B49" s="20" t="n">
        <f aca="false">Datos!G58</f>
        <v>-0.039790994073943</v>
      </c>
      <c r="C49" s="20" t="n">
        <f aca="false">Datos!N58</f>
        <v>0.0379774021814201</v>
      </c>
      <c r="D49" s="20" t="n">
        <f aca="false">Datos!J58</f>
        <v>-0.004</v>
      </c>
      <c r="E49" s="20" t="n">
        <f aca="false">Datos!I56</f>
        <v>-54.5718281249997</v>
      </c>
      <c r="F49" s="20" t="n">
        <f aca="false">Datos!M56</f>
        <v>-0.00282356527239929</v>
      </c>
      <c r="G49" s="20" t="n">
        <f aca="false">Datos!L58</f>
        <v>-0.0862072970433814</v>
      </c>
      <c r="H49" s="20" t="n">
        <f aca="false">IF($A49="2020Q2",1,0)</f>
        <v>0</v>
      </c>
      <c r="I49" s="20" t="n">
        <f aca="false">IF($A49="2021Q2",1,0)</f>
        <v>0</v>
      </c>
      <c r="J49" s="18" t="n">
        <v>1</v>
      </c>
      <c r="K49" s="18" t="n">
        <f aca="false">B49-($B$87+$B$88*C49+$B$89*D49+$B$90*E49+$B$91*F49+$B$92*G49+$B$93*H49+$B$94*I49)</f>
        <v>-0.0576663115844446</v>
      </c>
      <c r="L49" s="18" t="n">
        <f aca="false">K49^2</f>
        <v>0.00332540349175425</v>
      </c>
      <c r="M49" s="18" t="n">
        <f aca="false">J49*$K49</f>
        <v>-0.0576663115844446</v>
      </c>
      <c r="N49" s="18" t="n">
        <f aca="false">C49*$K49</f>
        <v>-0.00219001670736154</v>
      </c>
      <c r="O49" s="18" t="n">
        <f aca="false">D49*$K49</f>
        <v>0.000230665246337778</v>
      </c>
      <c r="P49" s="18" t="n">
        <f aca="false">E49*$K49</f>
        <v>3.14695604438899</v>
      </c>
      <c r="Q49" s="18" t="n">
        <f aca="false">F49*$K49</f>
        <v>0.000162824594777195</v>
      </c>
      <c r="R49" s="18" t="n">
        <f aca="false">G49*$K49</f>
        <v>0.0049712568521564</v>
      </c>
      <c r="S49" s="18" t="n">
        <f aca="false">H49*$K49</f>
        <v>-0</v>
      </c>
      <c r="T49" s="18" t="n">
        <f aca="false">I49*$K49</f>
        <v>-0</v>
      </c>
      <c r="W49" s="18" t="n">
        <f aca="false">B49-C49</f>
        <v>-0.0777683962553631</v>
      </c>
    </row>
    <row r="50" customFormat="false" ht="15" hidden="false" customHeight="false" outlineLevel="0" collapsed="false">
      <c r="A50" s="19" t="str">
        <f aca="false">Datos!A59</f>
        <v>2018Q3</v>
      </c>
      <c r="B50" s="20" t="n">
        <f aca="false">Datos!G59</f>
        <v>-0.0346944038739507</v>
      </c>
      <c r="C50" s="20" t="n">
        <f aca="false">Datos!N59</f>
        <v>-0.039790994073943</v>
      </c>
      <c r="D50" s="20" t="n">
        <f aca="false">Datos!J59</f>
        <v>0.0049</v>
      </c>
      <c r="E50" s="20" t="n">
        <f aca="false">Datos!I57</f>
        <v>28.5320987903223</v>
      </c>
      <c r="F50" s="20" t="n">
        <f aca="false">Datos!M57</f>
        <v>0.00290671938696596</v>
      </c>
      <c r="G50" s="20" t="n">
        <f aca="false">Datos!L59</f>
        <v>-0.007186629179833</v>
      </c>
      <c r="H50" s="20" t="n">
        <f aca="false">IF($A50="2020Q2",1,0)</f>
        <v>0</v>
      </c>
      <c r="I50" s="20" t="n">
        <f aca="false">IF($A50="2021Q2",1,0)</f>
        <v>0</v>
      </c>
      <c r="J50" s="18" t="n">
        <v>1</v>
      </c>
      <c r="K50" s="18" t="n">
        <f aca="false">B50-($B$87+$B$88*C50+$B$89*D50+$B$90*E50+$B$91*F50+$B$92*G50+$B$93*H50+$B$94*I50)</f>
        <v>0.00157254407642313</v>
      </c>
      <c r="L50" s="18" t="n">
        <f aca="false">K50^2</f>
        <v>2.47289487229349E-006</v>
      </c>
      <c r="M50" s="18" t="n">
        <f aca="false">J50*$K50</f>
        <v>0.00157254407642313</v>
      </c>
      <c r="N50" s="18" t="n">
        <f aca="false">C50*$K50</f>
        <v>-6.25730920259672E-005</v>
      </c>
      <c r="O50" s="18" t="n">
        <f aca="false">D50*$K50</f>
        <v>7.70546597447336E-006</v>
      </c>
      <c r="P50" s="18" t="n">
        <f aca="false">E50*$K50</f>
        <v>0.0448679829406409</v>
      </c>
      <c r="Q50" s="18" t="n">
        <f aca="false">F50*$K50</f>
        <v>4.57094435379761E-006</v>
      </c>
      <c r="R50" s="18" t="n">
        <f aca="false">G50*$K50</f>
        <v>-1.1301291146196E-005</v>
      </c>
      <c r="S50" s="18" t="n">
        <f aca="false">H50*$K50</f>
        <v>0</v>
      </c>
      <c r="T50" s="18" t="n">
        <f aca="false">I50*$K50</f>
        <v>0</v>
      </c>
      <c r="W50" s="18" t="n">
        <f aca="false">B50-C50</f>
        <v>0.00509659019999231</v>
      </c>
    </row>
    <row r="51" customFormat="false" ht="15" hidden="false" customHeight="false" outlineLevel="0" collapsed="false">
      <c r="A51" s="19" t="str">
        <f aca="false">Datos!A60</f>
        <v>2018Q4</v>
      </c>
      <c r="B51" s="20" t="n">
        <f aca="false">Datos!G60</f>
        <v>-0.0633973916700751</v>
      </c>
      <c r="C51" s="20" t="n">
        <f aca="false">Datos!N60</f>
        <v>-0.0346944038739507</v>
      </c>
      <c r="D51" s="20" t="n">
        <f aca="false">Datos!J60</f>
        <v>-0.0032</v>
      </c>
      <c r="E51" s="20" t="n">
        <f aca="false">Datos!I58</f>
        <v>77.2218156327545</v>
      </c>
      <c r="F51" s="20" t="n">
        <f aca="false">Datos!M58</f>
        <v>0.00448572267268541</v>
      </c>
      <c r="G51" s="20" t="n">
        <f aca="false">Datos!L60</f>
        <v>-0.142847120756375</v>
      </c>
      <c r="H51" s="20" t="n">
        <f aca="false">IF($A51="2020Q2",1,0)</f>
        <v>0</v>
      </c>
      <c r="I51" s="20" t="n">
        <f aca="false">IF($A51="2021Q2",1,0)</f>
        <v>0</v>
      </c>
      <c r="J51" s="18" t="n">
        <v>1</v>
      </c>
      <c r="K51" s="18" t="n">
        <f aca="false">B51-($B$87+$B$88*C51+$B$89*D51+$B$90*E51+$B$91*F51+$B$92*G51+$B$93*H51+$B$94*I51)</f>
        <v>0.0113583360728037</v>
      </c>
      <c r="L51" s="18" t="n">
        <f aca="false">K51^2</f>
        <v>0.000129011798342754</v>
      </c>
      <c r="M51" s="18" t="n">
        <f aca="false">J51*$K51</f>
        <v>0.0113583360728037</v>
      </c>
      <c r="N51" s="18" t="n">
        <f aca="false">C51*$K51</f>
        <v>-0.000394070699045915</v>
      </c>
      <c r="O51" s="18" t="n">
        <f aca="false">D51*$K51</f>
        <v>-3.63466754329719E-005</v>
      </c>
      <c r="P51" s="18" t="n">
        <f aca="false">E51*$K51</f>
        <v>0.877111334108912</v>
      </c>
      <c r="Q51" s="18" t="n">
        <f aca="false">F51*$K51</f>
        <v>5.09503456457562E-005</v>
      </c>
      <c r="R51" s="18" t="n">
        <f aca="false">G51*$K51</f>
        <v>-0.00162250560458328</v>
      </c>
      <c r="S51" s="18" t="n">
        <f aca="false">H51*$K51</f>
        <v>0</v>
      </c>
      <c r="T51" s="18" t="n">
        <f aca="false">I51*$K51</f>
        <v>0</v>
      </c>
      <c r="W51" s="18" t="n">
        <f aca="false">B51-C51</f>
        <v>-0.0287029877961243</v>
      </c>
    </row>
    <row r="52" customFormat="false" ht="15" hidden="false" customHeight="false" outlineLevel="0" collapsed="false">
      <c r="A52" s="19" t="str">
        <f aca="false">Datos!A61</f>
        <v>2019Q1</v>
      </c>
      <c r="B52" s="20" t="n">
        <f aca="false">Datos!G61</f>
        <v>-0.0586372539873753</v>
      </c>
      <c r="C52" s="20" t="n">
        <f aca="false">Datos!N61</f>
        <v>-0.0633973916700751</v>
      </c>
      <c r="D52" s="20" t="n">
        <f aca="false">Datos!J61</f>
        <v>-0.0063</v>
      </c>
      <c r="E52" s="20" t="n">
        <f aca="false">Datos!I59</f>
        <v>166.169284270953</v>
      </c>
      <c r="F52" s="20" t="n">
        <f aca="false">Datos!M59</f>
        <v>0.00398660376814081</v>
      </c>
      <c r="G52" s="20" t="n">
        <f aca="false">Datos!L61</f>
        <v>-0.00307543246636571</v>
      </c>
      <c r="H52" s="20" t="n">
        <f aca="false">IF($A52="2020Q2",1,0)</f>
        <v>0</v>
      </c>
      <c r="I52" s="20" t="n">
        <f aca="false">IF($A52="2021Q2",1,0)</f>
        <v>0</v>
      </c>
      <c r="J52" s="18" t="n">
        <v>1</v>
      </c>
      <c r="K52" s="18" t="n">
        <f aca="false">B52-($B$87+$B$88*C52+$B$89*D52+$B$90*E52+$B$91*F52+$B$92*G52+$B$93*H52+$B$94*I52)</f>
        <v>0.0117433082761173</v>
      </c>
      <c r="L52" s="18" t="n">
        <f aca="false">K52^2</f>
        <v>0.000137905289267925</v>
      </c>
      <c r="M52" s="18" t="n">
        <f aca="false">J52*$K52</f>
        <v>0.0117433082761173</v>
      </c>
      <c r="N52" s="18" t="n">
        <f aca="false">C52*$K52</f>
        <v>-0.000744495114283443</v>
      </c>
      <c r="O52" s="18" t="n">
        <f aca="false">D52*$K52</f>
        <v>-7.3982842139539E-005</v>
      </c>
      <c r="P52" s="18" t="n">
        <f aca="false">E52*$K52</f>
        <v>1.95137713121557</v>
      </c>
      <c r="Q52" s="18" t="n">
        <f aca="false">F52*$K52</f>
        <v>4.68159170240084E-005</v>
      </c>
      <c r="R52" s="18" t="n">
        <f aca="false">G52*$K52</f>
        <v>-3.61157515349123E-005</v>
      </c>
      <c r="S52" s="18" t="n">
        <f aca="false">H52*$K52</f>
        <v>0</v>
      </c>
      <c r="T52" s="18" t="n">
        <f aca="false">I52*$K52</f>
        <v>0</v>
      </c>
      <c r="W52" s="18" t="n">
        <f aca="false">B52-C52</f>
        <v>0.00476013768269978</v>
      </c>
    </row>
    <row r="53" customFormat="false" ht="15" hidden="false" customHeight="false" outlineLevel="0" collapsed="false">
      <c r="A53" s="19" t="str">
        <f aca="false">Datos!A62</f>
        <v>2019Q2</v>
      </c>
      <c r="B53" s="20" t="n">
        <f aca="false">Datos!G62</f>
        <v>0.00582819893603537</v>
      </c>
      <c r="C53" s="20" t="n">
        <f aca="false">Datos!N62</f>
        <v>-0.0586372539873753</v>
      </c>
      <c r="D53" s="20" t="n">
        <f aca="false">Datos!J62</f>
        <v>0.0049</v>
      </c>
      <c r="E53" s="20" t="n">
        <f aca="false">Datos!I60</f>
        <v>56.51817630597</v>
      </c>
      <c r="F53" s="20" t="n">
        <f aca="false">Datos!M60</f>
        <v>0.00237141847561423</v>
      </c>
      <c r="G53" s="20" t="n">
        <f aca="false">Datos!L62</f>
        <v>0.0177693705862153</v>
      </c>
      <c r="H53" s="20" t="n">
        <f aca="false">IF($A53="2020Q2",1,0)</f>
        <v>0</v>
      </c>
      <c r="I53" s="20" t="n">
        <f aca="false">IF($A53="2021Q2",1,0)</f>
        <v>0</v>
      </c>
      <c r="J53" s="18" t="n">
        <v>1</v>
      </c>
      <c r="K53" s="18" t="n">
        <f aca="false">B53-($B$87+$B$88*C53+$B$89*D53+$B$90*E53+$B$91*F53+$B$92*G53+$B$93*H53+$B$94*I53)</f>
        <v>0.0524360370648955</v>
      </c>
      <c r="L53" s="18" t="n">
        <f aca="false">K53^2</f>
        <v>0.0027495379830711</v>
      </c>
      <c r="M53" s="18" t="n">
        <f aca="false">J53*$K53</f>
        <v>0.0524360370648955</v>
      </c>
      <c r="N53" s="18" t="n">
        <f aca="false">C53*$K53</f>
        <v>-0.0030747052234657</v>
      </c>
      <c r="O53" s="18" t="n">
        <f aca="false">D53*$K53</f>
        <v>0.000256936581617988</v>
      </c>
      <c r="P53" s="18" t="n">
        <f aca="false">E53*$K53</f>
        <v>2.96358918762014</v>
      </c>
      <c r="Q53" s="18" t="n">
        <f aca="false">F53*$K53</f>
        <v>0.000124347787083686</v>
      </c>
      <c r="R53" s="18" t="n">
        <f aca="false">G53*$K53</f>
        <v>0.00093175537467865</v>
      </c>
      <c r="S53" s="18" t="n">
        <f aca="false">H53*$K53</f>
        <v>0</v>
      </c>
      <c r="T53" s="18" t="n">
        <f aca="false">I53*$K53</f>
        <v>0</v>
      </c>
      <c r="W53" s="18" t="n">
        <f aca="false">B53-C53</f>
        <v>0.0644654529234107</v>
      </c>
    </row>
    <row r="54" customFormat="false" ht="15" hidden="false" customHeight="false" outlineLevel="0" collapsed="false">
      <c r="A54" s="19" t="str">
        <f aca="false">Datos!A63</f>
        <v>2019Q3</v>
      </c>
      <c r="B54" s="20" t="n">
        <f aca="false">Datos!G63</f>
        <v>-0.0175271616356651</v>
      </c>
      <c r="C54" s="20" t="n">
        <f aca="false">Datos!N63</f>
        <v>0.00582819893603537</v>
      </c>
      <c r="D54" s="20" t="n">
        <f aca="false">Datos!J63</f>
        <v>0.0011</v>
      </c>
      <c r="E54" s="20" t="n">
        <f aca="false">Datos!I61</f>
        <v>19.2017013888889</v>
      </c>
      <c r="F54" s="20" t="n">
        <f aca="false">Datos!M61</f>
        <v>0.00391032989339685</v>
      </c>
      <c r="G54" s="20" t="n">
        <f aca="false">Datos!L63</f>
        <v>0.0305353600114784</v>
      </c>
      <c r="H54" s="20" t="n">
        <f aca="false">IF($A54="2020Q2",1,0)</f>
        <v>0</v>
      </c>
      <c r="I54" s="20" t="n">
        <f aca="false">IF($A54="2021Q2",1,0)</f>
        <v>0</v>
      </c>
      <c r="J54" s="18" t="n">
        <v>1</v>
      </c>
      <c r="K54" s="18" t="n">
        <f aca="false">B54-($B$87+$B$88*C54+$B$89*D54+$B$90*E54+$B$91*F54+$B$92*G54+$B$93*H54+$B$94*I54)</f>
        <v>-0.0255113071944702</v>
      </c>
      <c r="L54" s="18" t="n">
        <f aca="false">K54^2</f>
        <v>0.000650826794770628</v>
      </c>
      <c r="M54" s="18" t="n">
        <f aca="false">J54*$K54</f>
        <v>-0.0255113071944702</v>
      </c>
      <c r="N54" s="18" t="n">
        <f aca="false">C54*$K54</f>
        <v>-0.000148684973447683</v>
      </c>
      <c r="O54" s="18" t="n">
        <f aca="false">D54*$K54</f>
        <v>-2.80624379139173E-005</v>
      </c>
      <c r="P54" s="18" t="n">
        <f aca="false">E54*$K54</f>
        <v>-0.489860502788429</v>
      </c>
      <c r="Q54" s="18" t="n">
        <f aca="false">F54*$K54</f>
        <v>-9.9757627142167E-005</v>
      </c>
      <c r="R54" s="18" t="n">
        <f aca="false">G54*$K54</f>
        <v>-0.000778996949546568</v>
      </c>
      <c r="S54" s="18" t="n">
        <f aca="false">H54*$K54</f>
        <v>-0</v>
      </c>
      <c r="T54" s="18" t="n">
        <f aca="false">I54*$K54</f>
        <v>-0</v>
      </c>
      <c r="W54" s="18" t="n">
        <f aca="false">B54-C54</f>
        <v>-0.0233553605717005</v>
      </c>
    </row>
    <row r="55" customFormat="false" ht="15" hidden="false" customHeight="false" outlineLevel="0" collapsed="false">
      <c r="A55" s="19" t="str">
        <f aca="false">Datos!A64</f>
        <v>2019Q4</v>
      </c>
      <c r="B55" s="20" t="n">
        <f aca="false">Datos!G64</f>
        <v>-0.0107484273951806</v>
      </c>
      <c r="C55" s="20" t="n">
        <f aca="false">Datos!N64</f>
        <v>-0.0175271616356651</v>
      </c>
      <c r="D55" s="20" t="n">
        <f aca="false">Datos!J64</f>
        <v>0.0048</v>
      </c>
      <c r="E55" s="20" t="n">
        <f aca="false">Datos!I62</f>
        <v>162.790259661836</v>
      </c>
      <c r="F55" s="20" t="n">
        <f aca="false">Datos!M62</f>
        <v>0.00677189883217557</v>
      </c>
      <c r="G55" s="20" t="n">
        <f aca="false">Datos!L64</f>
        <v>0.112964984181918</v>
      </c>
      <c r="H55" s="20" t="n">
        <f aca="false">IF($A55="2020Q2",1,0)</f>
        <v>0</v>
      </c>
      <c r="I55" s="20" t="n">
        <f aca="false">IF($A55="2021Q2",1,0)</f>
        <v>0</v>
      </c>
      <c r="J55" s="18" t="n">
        <v>1</v>
      </c>
      <c r="K55" s="18" t="n">
        <f aca="false">B55-($B$87+$B$88*C55+$B$89*D55+$B$90*E55+$B$91*F55+$B$92*G55+$B$93*H55+$B$94*I55)</f>
        <v>-0.0100638664026711</v>
      </c>
      <c r="L55" s="18" t="n">
        <f aca="false">K55^2</f>
        <v>0.000101281406970812</v>
      </c>
      <c r="M55" s="18" t="n">
        <f aca="false">J55*$K55</f>
        <v>-0.0100638664026711</v>
      </c>
      <c r="N55" s="18" t="n">
        <f aca="false">C55*$K55</f>
        <v>0.000176391013119356</v>
      </c>
      <c r="O55" s="18" t="n">
        <f aca="false">D55*$K55</f>
        <v>-4.83065587328213E-005</v>
      </c>
      <c r="P55" s="18" t="n">
        <f aca="false">E55*$K55</f>
        <v>-1.63829942489285</v>
      </c>
      <c r="Q55" s="18" t="n">
        <f aca="false">F55*$K55</f>
        <v>-6.81514851394194E-005</v>
      </c>
      <c r="R55" s="18" t="n">
        <f aca="false">G55*$K55</f>
        <v>-0.00113686450898668</v>
      </c>
      <c r="S55" s="18" t="n">
        <f aca="false">H55*$K55</f>
        <v>-0</v>
      </c>
      <c r="T55" s="18" t="n">
        <f aca="false">I55*$K55</f>
        <v>-0</v>
      </c>
      <c r="W55" s="18" t="n">
        <f aca="false">B55-C55</f>
        <v>0.00677873424048458</v>
      </c>
    </row>
    <row r="56" customFormat="false" ht="15" hidden="false" customHeight="false" outlineLevel="0" collapsed="false">
      <c r="A56" s="19" t="str">
        <f aca="false">Datos!A65</f>
        <v>2020Q1</v>
      </c>
      <c r="B56" s="20" t="n">
        <f aca="false">Datos!G65</f>
        <v>-0.0502506965865937</v>
      </c>
      <c r="C56" s="20" t="n">
        <f aca="false">Datos!N65</f>
        <v>-0.0107484273951806</v>
      </c>
      <c r="D56" s="20" t="n">
        <f aca="false">Datos!J65</f>
        <v>-0.0126</v>
      </c>
      <c r="E56" s="20" t="n">
        <f aca="false">Datos!I63</f>
        <v>679.618686815129</v>
      </c>
      <c r="F56" s="20" t="n">
        <f aca="false">Datos!M63</f>
        <v>0.00263914554419044</v>
      </c>
      <c r="G56" s="20" t="n">
        <f aca="false">Datos!L65</f>
        <v>0.104899274945815</v>
      </c>
      <c r="H56" s="20" t="n">
        <f aca="false">IF($A56="2020Q2",1,0)</f>
        <v>0</v>
      </c>
      <c r="I56" s="20" t="n">
        <f aca="false">IF($A56="2021Q2",1,0)</f>
        <v>0</v>
      </c>
      <c r="J56" s="18" t="n">
        <v>1</v>
      </c>
      <c r="K56" s="18" t="n">
        <f aca="false">B56-($B$87+$B$88*C56+$B$89*D56+$B$90*E56+$B$91*F56+$B$92*G56+$B$93*H56+$B$94*I56)</f>
        <v>-0.0251923424705458</v>
      </c>
      <c r="L56" s="18" t="n">
        <f aca="false">K56^2</f>
        <v>0.000634654119153264</v>
      </c>
      <c r="M56" s="18" t="n">
        <f aca="false">J56*$K56</f>
        <v>-0.0251923424705458</v>
      </c>
      <c r="N56" s="18" t="n">
        <f aca="false">C56*$K56</f>
        <v>0.000270778063959185</v>
      </c>
      <c r="O56" s="18" t="n">
        <f aca="false">D56*$K56</f>
        <v>0.000317423515128877</v>
      </c>
      <c r="P56" s="18" t="n">
        <f aca="false">E56*$K56</f>
        <v>-17.1211867076293</v>
      </c>
      <c r="Q56" s="18" t="n">
        <f aca="false">F56*$K56</f>
        <v>-6.64862583788605E-005</v>
      </c>
      <c r="R56" s="18" t="n">
        <f aca="false">G56*$K56</f>
        <v>-0.00264265845934692</v>
      </c>
      <c r="S56" s="18" t="n">
        <f aca="false">H56*$K56</f>
        <v>-0</v>
      </c>
      <c r="T56" s="18" t="n">
        <f aca="false">I56*$K56</f>
        <v>-0</v>
      </c>
      <c r="W56" s="18" t="n">
        <f aca="false">B56-C56</f>
        <v>-0.0395022691914131</v>
      </c>
    </row>
    <row r="57" customFormat="false" ht="15" hidden="false" customHeight="false" outlineLevel="0" collapsed="false">
      <c r="A57" s="19" t="str">
        <f aca="false">Datos!A66</f>
        <v>2020Q2</v>
      </c>
      <c r="B57" s="20" t="n">
        <f aca="false">Datos!G66</f>
        <v>-0.189421940385846</v>
      </c>
      <c r="C57" s="20" t="n">
        <f aca="false">Datos!N66</f>
        <v>-0.0502506965865937</v>
      </c>
      <c r="D57" s="20" t="n">
        <f aca="false">Datos!J66</f>
        <v>-0.1055</v>
      </c>
      <c r="E57" s="20" t="n">
        <f aca="false">Datos!I64</f>
        <v>598.881251590669</v>
      </c>
      <c r="F57" s="20" t="n">
        <f aca="false">Datos!M64</f>
        <v>0.00338854605282741</v>
      </c>
      <c r="G57" s="20" t="n">
        <f aca="false">Datos!L66</f>
        <v>0.288132779402122</v>
      </c>
      <c r="H57" s="20" t="n">
        <f aca="false">IF($A57="2020Q2",1,0)</f>
        <v>1</v>
      </c>
      <c r="I57" s="20" t="n">
        <f aca="false">IF($A57="2021Q2",1,0)</f>
        <v>0</v>
      </c>
      <c r="J57" s="18" t="n">
        <v>1</v>
      </c>
      <c r="K57" s="18" t="n">
        <f aca="false">B57-($B$87+$B$88*C57+$B$89*D57+$B$90*E57+$B$91*F57+$B$92*G57+$B$93*H57+$B$94*I57)</f>
        <v>0</v>
      </c>
      <c r="L57" s="18" t="n">
        <f aca="false">K57^2</f>
        <v>0</v>
      </c>
      <c r="M57" s="18" t="n">
        <f aca="false">J57*$K57</f>
        <v>0</v>
      </c>
      <c r="N57" s="18" t="n">
        <f aca="false">C57*$K57</f>
        <v>-0</v>
      </c>
      <c r="O57" s="18" t="n">
        <f aca="false">D57*$K57</f>
        <v>-0</v>
      </c>
      <c r="P57" s="18" t="n">
        <f aca="false">E57*$K57</f>
        <v>0</v>
      </c>
      <c r="Q57" s="18" t="n">
        <f aca="false">F57*$K57</f>
        <v>0</v>
      </c>
      <c r="R57" s="18" t="n">
        <f aca="false">G57*$K57</f>
        <v>0</v>
      </c>
      <c r="S57" s="18" t="n">
        <f aca="false">H57*$K57</f>
        <v>0</v>
      </c>
      <c r="T57" s="18" t="n">
        <f aca="false">I57*$K57</f>
        <v>0</v>
      </c>
      <c r="W57" s="18" t="n">
        <f aca="false">B57-C57</f>
        <v>-0.139171243799252</v>
      </c>
    </row>
    <row r="58" customFormat="false" ht="15" hidden="false" customHeight="false" outlineLevel="0" collapsed="false">
      <c r="A58" s="19" t="str">
        <f aca="false">Datos!A67</f>
        <v>2020Q3</v>
      </c>
      <c r="B58" s="20" t="n">
        <f aca="false">Datos!G67</f>
        <v>-0.101927662759163</v>
      </c>
      <c r="C58" s="20" t="n">
        <f aca="false">Datos!N67</f>
        <v>-0.189421940385846</v>
      </c>
      <c r="D58" s="20" t="n">
        <f aca="false">Datos!J67</f>
        <v>0.071</v>
      </c>
      <c r="E58" s="20" t="n">
        <f aca="false">Datos!I65</f>
        <v>187.118199188056</v>
      </c>
      <c r="F58" s="20" t="n">
        <f aca="false">Datos!M65</f>
        <v>-0.00640937758118261</v>
      </c>
      <c r="G58" s="20" t="n">
        <f aca="false">Datos!L67</f>
        <v>0.0331109070476762</v>
      </c>
      <c r="H58" s="20" t="n">
        <f aca="false">IF($A58="2020Q2",1,0)</f>
        <v>0</v>
      </c>
      <c r="I58" s="20" t="n">
        <f aca="false">IF($A58="2021Q2",1,0)</f>
        <v>0</v>
      </c>
      <c r="J58" s="18" t="n">
        <v>1</v>
      </c>
      <c r="K58" s="18" t="n">
        <f aca="false">B58-($B$87+$B$88*C58+$B$89*D58+$B$90*E58+$B$91*F58+$B$92*G58+$B$93*H58+$B$94*I58)</f>
        <v>0.00226906357238373</v>
      </c>
      <c r="L58" s="18" t="n">
        <f aca="false">K58^2</f>
        <v>5.14864949551879E-006</v>
      </c>
      <c r="M58" s="18" t="n">
        <f aca="false">J58*$K58</f>
        <v>0.00226906357238373</v>
      </c>
      <c r="N58" s="18" t="n">
        <f aca="false">C58*$K58</f>
        <v>-0.000429810424739764</v>
      </c>
      <c r="O58" s="18" t="n">
        <f aca="false">D58*$K58</f>
        <v>0.000161103513639245</v>
      </c>
      <c r="P58" s="18" t="n">
        <f aca="false">E58*$K58</f>
        <v>0.424583089507659</v>
      </c>
      <c r="Q58" s="18" t="n">
        <f aca="false">F58*$K58</f>
        <v>-1.45432851911144E-005</v>
      </c>
      <c r="R58" s="18" t="n">
        <f aca="false">G58*$K58</f>
        <v>7.51307530304657E-005</v>
      </c>
      <c r="S58" s="18" t="n">
        <f aca="false">H58*$K58</f>
        <v>0</v>
      </c>
      <c r="T58" s="18" t="n">
        <f aca="false">I58*$K58</f>
        <v>0</v>
      </c>
      <c r="W58" s="18" t="n">
        <f aca="false">B58-C58</f>
        <v>0.0874942776266831</v>
      </c>
    </row>
    <row r="59" customFormat="false" ht="15" hidden="false" customHeight="false" outlineLevel="0" collapsed="false">
      <c r="A59" s="19" t="str">
        <f aca="false">Datos!A68</f>
        <v>2020Q4</v>
      </c>
      <c r="B59" s="20" t="n">
        <f aca="false">Datos!G68</f>
        <v>-0.0431329947641036</v>
      </c>
      <c r="C59" s="20" t="n">
        <f aca="false">Datos!N68</f>
        <v>-0.101927662759163</v>
      </c>
      <c r="D59" s="20" t="n">
        <f aca="false">Datos!J68</f>
        <v>0.0271</v>
      </c>
      <c r="E59" s="20" t="n">
        <f aca="false">Datos!I66</f>
        <v>756.86685274431</v>
      </c>
      <c r="F59" s="20" t="n">
        <f aca="false">Datos!M66</f>
        <v>-0.0301146296112311</v>
      </c>
      <c r="G59" s="20" t="n">
        <f aca="false">Datos!L68</f>
        <v>-0.0229330659860356</v>
      </c>
      <c r="H59" s="20" t="n">
        <f aca="false">IF($A59="2020Q2",1,0)</f>
        <v>0</v>
      </c>
      <c r="I59" s="20" t="n">
        <f aca="false">IF($A59="2021Q2",1,0)</f>
        <v>0</v>
      </c>
      <c r="J59" s="18" t="n">
        <v>1</v>
      </c>
      <c r="K59" s="18" t="n">
        <f aca="false">B59-($B$87+$B$88*C59+$B$89*D59+$B$90*E59+$B$91*F59+$B$92*G59+$B$93*H59+$B$94*I59)</f>
        <v>0.0163859753555775</v>
      </c>
      <c r="L59" s="18" t="n">
        <f aca="false">K59^2</f>
        <v>0.000268500188353593</v>
      </c>
      <c r="M59" s="18" t="n">
        <f aca="false">J59*$K59</f>
        <v>0.0163859753555775</v>
      </c>
      <c r="N59" s="18" t="n">
        <f aca="false">C59*$K59</f>
        <v>-0.00167018417002325</v>
      </c>
      <c r="O59" s="18" t="n">
        <f aca="false">D59*$K59</f>
        <v>0.00044405993213615</v>
      </c>
      <c r="P59" s="18" t="n">
        <f aca="false">E59*$K59</f>
        <v>12.4020015965218</v>
      </c>
      <c r="Q59" s="18" t="n">
        <f aca="false">F59*$K59</f>
        <v>-0.000493457578651977</v>
      </c>
      <c r="R59" s="18" t="n">
        <f aca="false">G59*$K59</f>
        <v>-0.000375780654075012</v>
      </c>
      <c r="S59" s="18" t="n">
        <f aca="false">H59*$K59</f>
        <v>0</v>
      </c>
      <c r="T59" s="18" t="n">
        <f aca="false">I59*$K59</f>
        <v>0</v>
      </c>
      <c r="W59" s="18" t="n">
        <f aca="false">B59-C59</f>
        <v>0.0587946679950591</v>
      </c>
    </row>
    <row r="60" customFormat="false" ht="15" hidden="false" customHeight="false" outlineLevel="0" collapsed="false">
      <c r="A60" s="19" t="str">
        <f aca="false">Datos!A69</f>
        <v>2021Q1</v>
      </c>
      <c r="B60" s="20" t="n">
        <f aca="false">Datos!G69</f>
        <v>0.0323260077948051</v>
      </c>
      <c r="C60" s="20" t="n">
        <f aca="false">Datos!N69</f>
        <v>-0.0431329947641036</v>
      </c>
      <c r="D60" s="20" t="n">
        <f aca="false">Datos!J69</f>
        <v>0.0208</v>
      </c>
      <c r="E60" s="20" t="n">
        <f aca="false">Datos!I67</f>
        <v>-1097.40393434344</v>
      </c>
      <c r="F60" s="20" t="n">
        <f aca="false">Datos!M67</f>
        <v>-0.0131633092731946</v>
      </c>
      <c r="G60" s="20" t="n">
        <f aca="false">Datos!L69</f>
        <v>-0.177252388070428</v>
      </c>
      <c r="H60" s="20" t="n">
        <f aca="false">IF($A60="2020Q2",1,0)</f>
        <v>0</v>
      </c>
      <c r="I60" s="20" t="n">
        <f aca="false">IF($A60="2021Q2",1,0)</f>
        <v>0</v>
      </c>
      <c r="J60" s="18" t="n">
        <v>1</v>
      </c>
      <c r="K60" s="18" t="n">
        <f aca="false">B60-($B$87+$B$88*C60+$B$89*D60+$B$90*E60+$B$91*F60+$B$92*G60+$B$93*H60+$B$94*I60)</f>
        <v>0.024984269243076</v>
      </c>
      <c r="L60" s="18" t="n">
        <f aca="false">K60^2</f>
        <v>0.000624213709610511</v>
      </c>
      <c r="M60" s="18" t="n">
        <f aca="false">J60*$K60</f>
        <v>0.024984269243076</v>
      </c>
      <c r="N60" s="18" t="n">
        <f aca="false">C60*$K60</f>
        <v>-0.00107764635444655</v>
      </c>
      <c r="O60" s="18" t="n">
        <f aca="false">D60*$K60</f>
        <v>0.00051967280025598</v>
      </c>
      <c r="P60" s="18" t="n">
        <f aca="false">E60*$K60</f>
        <v>-27.4178353640472</v>
      </c>
      <c r="Q60" s="18" t="n">
        <f aca="false">F60*$K60</f>
        <v>-0.000328875663011372</v>
      </c>
      <c r="R60" s="18" t="n">
        <f aca="false">G60*$K60</f>
        <v>-0.00442852138752976</v>
      </c>
      <c r="S60" s="18" t="n">
        <f aca="false">H60*$K60</f>
        <v>0</v>
      </c>
      <c r="T60" s="18" t="n">
        <f aca="false">I60*$K60</f>
        <v>0</v>
      </c>
      <c r="W60" s="18" t="n">
        <f aca="false">B60-C60</f>
        <v>0.0754590025589087</v>
      </c>
    </row>
    <row r="61" customFormat="false" ht="15" hidden="false" customHeight="false" outlineLevel="0" collapsed="false">
      <c r="A61" s="19" t="str">
        <f aca="false">Datos!A70</f>
        <v>2021Q2</v>
      </c>
      <c r="B61" s="20" t="n">
        <f aca="false">Datos!G70</f>
        <v>0.187299607796633</v>
      </c>
      <c r="C61" s="20" t="n">
        <f aca="false">Datos!N70</f>
        <v>0.0323260077948051</v>
      </c>
      <c r="D61" s="20" t="n">
        <f aca="false">Datos!J70</f>
        <v>0.1065</v>
      </c>
      <c r="E61" s="20" t="n">
        <f aca="false">Datos!I68</f>
        <v>-606.890139160839</v>
      </c>
      <c r="F61" s="20" t="n">
        <f aca="false">Datos!M68</f>
        <v>-0.00871925616384151</v>
      </c>
      <c r="G61" s="20" t="n">
        <f aca="false">Datos!L70</f>
        <v>-0.266310713371175</v>
      </c>
      <c r="H61" s="20" t="n">
        <f aca="false">IF($A61="2020Q2",1,0)</f>
        <v>0</v>
      </c>
      <c r="I61" s="20" t="n">
        <f aca="false">IF($A61="2021Q2",1,0)</f>
        <v>1</v>
      </c>
      <c r="J61" s="18" t="n">
        <v>1</v>
      </c>
      <c r="K61" s="18" t="n">
        <f aca="false">B61-($B$87+$B$88*C61+$B$89*D61+$B$90*E61+$B$91*F61+$B$92*G61+$B$93*H61+$B$94*I61)</f>
        <v>0</v>
      </c>
      <c r="L61" s="18" t="n">
        <f aca="false">K61^2</f>
        <v>0</v>
      </c>
      <c r="M61" s="18" t="n">
        <f aca="false">J61*$K61</f>
        <v>0</v>
      </c>
      <c r="N61" s="18" t="n">
        <f aca="false">C61*$K61</f>
        <v>0</v>
      </c>
      <c r="O61" s="18" t="n">
        <f aca="false">D61*$K61</f>
        <v>0</v>
      </c>
      <c r="P61" s="18" t="n">
        <f aca="false">E61*$K61</f>
        <v>-0</v>
      </c>
      <c r="Q61" s="18" t="n">
        <f aca="false">F61*$K61</f>
        <v>-0</v>
      </c>
      <c r="R61" s="18" t="n">
        <f aca="false">G61*$K61</f>
        <v>-0</v>
      </c>
      <c r="S61" s="18" t="n">
        <f aca="false">H61*$K61</f>
        <v>0</v>
      </c>
      <c r="T61" s="18" t="n">
        <f aca="false">I61*$K61</f>
        <v>0</v>
      </c>
      <c r="W61" s="18" t="n">
        <f aca="false">B61-C61</f>
        <v>0.154973600001828</v>
      </c>
    </row>
    <row r="62" customFormat="false" ht="15" hidden="false" customHeight="false" outlineLevel="0" collapsed="false">
      <c r="A62" s="19" t="str">
        <f aca="false">Datos!A71</f>
        <v>2021Q3</v>
      </c>
      <c r="B62" s="20" t="n">
        <f aca="false">Datos!G71</f>
        <v>0.118145356665691</v>
      </c>
      <c r="C62" s="20" t="n">
        <f aca="false">Datos!N71</f>
        <v>0.187299607796633</v>
      </c>
      <c r="D62" s="20" t="n">
        <f aca="false">Datos!J71</f>
        <v>-0.0819</v>
      </c>
      <c r="E62" s="20" t="n">
        <f aca="false">Datos!I69</f>
        <v>100.224470329671</v>
      </c>
      <c r="F62" s="20" t="n">
        <f aca="false">Datos!M69</f>
        <v>0.00939647003148</v>
      </c>
      <c r="G62" s="20" t="n">
        <f aca="false">Datos!L71</f>
        <v>0.0372101431885892</v>
      </c>
      <c r="H62" s="20" t="n">
        <f aca="false">IF($A62="2020Q2",1,0)</f>
        <v>0</v>
      </c>
      <c r="I62" s="20" t="n">
        <f aca="false">IF($A62="2021Q2",1,0)</f>
        <v>0</v>
      </c>
      <c r="J62" s="18" t="n">
        <v>1</v>
      </c>
      <c r="K62" s="18" t="n">
        <f aca="false">B62-($B$87+$B$88*C62+$B$89*D62+$B$90*E62+$B$91*F62+$B$92*G62+$B$93*H62+$B$94*I62)</f>
        <v>0.0193715277332608</v>
      </c>
      <c r="L62" s="18" t="n">
        <f aca="false">K62^2</f>
        <v>0.000375256086720494</v>
      </c>
      <c r="M62" s="18" t="n">
        <f aca="false">J62*$K62</f>
        <v>0.0193715277332608</v>
      </c>
      <c r="N62" s="18" t="n">
        <f aca="false">C62*$K62</f>
        <v>0.00362827954686135</v>
      </c>
      <c r="O62" s="18" t="n">
        <f aca="false">D62*$K62</f>
        <v>-0.00158652812135406</v>
      </c>
      <c r="P62" s="18" t="n">
        <f aca="false">E62*$K62</f>
        <v>1.9415011065426</v>
      </c>
      <c r="Q62" s="18" t="n">
        <f aca="false">F62*$K62</f>
        <v>0.000182023979809569</v>
      </c>
      <c r="R62" s="18" t="n">
        <f aca="false">G62*$K62</f>
        <v>0.000720817320736363</v>
      </c>
      <c r="S62" s="18" t="n">
        <f aca="false">H62*$K62</f>
        <v>0</v>
      </c>
      <c r="T62" s="18" t="n">
        <f aca="false">I62*$K62</f>
        <v>0</v>
      </c>
      <c r="W62" s="18" t="n">
        <f aca="false">B62-C62</f>
        <v>-0.0691542511309424</v>
      </c>
    </row>
    <row r="63" customFormat="false" ht="15" hidden="false" customHeight="false" outlineLevel="0" collapsed="false">
      <c r="A63" s="19" t="str">
        <f aca="false">Datos!A72</f>
        <v>2021Q4</v>
      </c>
      <c r="B63" s="20" t="n">
        <f aca="false">Datos!G72</f>
        <v>0.08364113941174</v>
      </c>
      <c r="C63" s="20" t="n">
        <f aca="false">Datos!N72</f>
        <v>0.118145356665691</v>
      </c>
      <c r="D63" s="20" t="n">
        <f aca="false">Datos!J72</f>
        <v>-0.0275</v>
      </c>
      <c r="E63" s="20" t="n">
        <f aca="false">Datos!I70</f>
        <v>51.4231142857141</v>
      </c>
      <c r="F63" s="20" t="n">
        <f aca="false">Datos!M70</f>
        <v>0.0246142392142514</v>
      </c>
      <c r="G63" s="20" t="n">
        <f aca="false">Datos!L72</f>
        <v>0.0552776218574341</v>
      </c>
      <c r="H63" s="20" t="n">
        <f aca="false">IF($A63="2020Q2",1,0)</f>
        <v>0</v>
      </c>
      <c r="I63" s="20" t="n">
        <f aca="false">IF($A63="2021Q2",1,0)</f>
        <v>0</v>
      </c>
      <c r="J63" s="18" t="n">
        <v>1</v>
      </c>
      <c r="K63" s="18" t="n">
        <f aca="false">B63-($B$87+$B$88*C63+$B$89*D63+$B$90*E63+$B$91*F63+$B$92*G63+$B$93*H63+$B$94*I63)</f>
        <v>0.0271026146229245</v>
      </c>
      <c r="L63" s="18" t="n">
        <f aca="false">K63^2</f>
        <v>0.000734551719398758</v>
      </c>
      <c r="M63" s="18" t="n">
        <f aca="false">J63*$K63</f>
        <v>0.0271026146229245</v>
      </c>
      <c r="N63" s="18" t="n">
        <f aca="false">C63*$K63</f>
        <v>0.00320204807119817</v>
      </c>
      <c r="O63" s="18" t="n">
        <f aca="false">D63*$K63</f>
        <v>-0.000745321902130422</v>
      </c>
      <c r="P63" s="18" t="n">
        <f aca="false">E63*$K63</f>
        <v>1.39370084919631</v>
      </c>
      <c r="Q63" s="18" t="n">
        <f aca="false">F63*$K63</f>
        <v>0.00066711023966033</v>
      </c>
      <c r="R63" s="18" t="n">
        <f aca="false">G63*$K63</f>
        <v>0.00149816808247378</v>
      </c>
      <c r="S63" s="18" t="n">
        <f aca="false">H63*$K63</f>
        <v>0</v>
      </c>
      <c r="T63" s="18" t="n">
        <f aca="false">I63*$K63</f>
        <v>0</v>
      </c>
      <c r="W63" s="18" t="n">
        <f aca="false">B63-C63</f>
        <v>-0.0345042172539505</v>
      </c>
    </row>
    <row r="64" customFormat="false" ht="15" hidden="false" customHeight="false" outlineLevel="0" collapsed="false">
      <c r="A64" s="19" t="str">
        <f aca="false">Datos!A73</f>
        <v>2022Q1</v>
      </c>
      <c r="B64" s="20" t="n">
        <f aca="false">Datos!G73</f>
        <v>0.0686138387185451</v>
      </c>
      <c r="C64" s="20" t="n">
        <f aca="false">Datos!N73</f>
        <v>0.08364113941174</v>
      </c>
      <c r="D64" s="20" t="n">
        <f aca="false">Datos!J73</f>
        <v>0.000200000000000001</v>
      </c>
      <c r="E64" s="20" t="n">
        <f aca="false">Datos!I71</f>
        <v>24.6869913043479</v>
      </c>
      <c r="F64" s="20" t="n">
        <f aca="false">Datos!M71</f>
        <v>0.00461798360799486</v>
      </c>
      <c r="G64" s="20" t="n">
        <f aca="false">Datos!L73</f>
        <v>0.0518366625880128</v>
      </c>
      <c r="H64" s="20" t="n">
        <f aca="false">IF($A64="2020Q2",1,0)</f>
        <v>0</v>
      </c>
      <c r="I64" s="20" t="n">
        <f aca="false">IF($A64="2021Q2",1,0)</f>
        <v>0</v>
      </c>
      <c r="J64" s="18" t="n">
        <v>1</v>
      </c>
      <c r="K64" s="18" t="n">
        <f aca="false">B64-($B$87+$B$88*C64+$B$89*D64+$B$90*E64+$B$91*F64+$B$92*G64+$B$93*H64+$B$94*I64)</f>
        <v>-0.00851770349164446</v>
      </c>
      <c r="L64" s="18" t="n">
        <f aca="false">K64^2</f>
        <v>7.25512727715723E-005</v>
      </c>
      <c r="M64" s="18" t="n">
        <f aca="false">J64*$K64</f>
        <v>-0.00851770349164446</v>
      </c>
      <c r="N64" s="18" t="n">
        <f aca="false">C64*$K64</f>
        <v>-0.000712430425212499</v>
      </c>
      <c r="O64" s="18" t="n">
        <f aca="false">D64*$K64</f>
        <v>-1.7035406983289E-006</v>
      </c>
      <c r="P64" s="18" t="n">
        <f aca="false">E64*$K64</f>
        <v>-0.21027647203124</v>
      </c>
      <c r="Q64" s="18" t="n">
        <f aca="false">F64*$K64</f>
        <v>-3.93346151021747E-005</v>
      </c>
      <c r="R64" s="18" t="n">
        <f aca="false">G64*$K64</f>
        <v>-0.000441529321921112</v>
      </c>
      <c r="S64" s="18" t="n">
        <f aca="false">H64*$K64</f>
        <v>-0</v>
      </c>
      <c r="T64" s="18" t="n">
        <f aca="false">I64*$K64</f>
        <v>-0</v>
      </c>
      <c r="W64" s="18" t="n">
        <f aca="false">B64-C64</f>
        <v>-0.0150273006931949</v>
      </c>
    </row>
    <row r="65" customFormat="false" ht="15" hidden="false" customHeight="false" outlineLevel="0" collapsed="false">
      <c r="A65" s="19" t="str">
        <f aca="false">Datos!A74</f>
        <v>2022Q2</v>
      </c>
      <c r="B65" s="20" t="n">
        <f aca="false">Datos!G74</f>
        <v>0.0813001446194395</v>
      </c>
      <c r="C65" s="20" t="n">
        <f aca="false">Datos!N74</f>
        <v>0.0686138387185451</v>
      </c>
      <c r="D65" s="20" t="n">
        <f aca="false">Datos!J74</f>
        <v>0.0206</v>
      </c>
      <c r="E65" s="20" t="n">
        <f aca="false">Datos!I72</f>
        <v>144.162478260869</v>
      </c>
      <c r="F65" s="20" t="n">
        <f aca="false">Datos!M72</f>
        <v>-0.00665639034014846</v>
      </c>
      <c r="G65" s="20" t="n">
        <f aca="false">Datos!L74</f>
        <v>-0.0371627200592699</v>
      </c>
      <c r="H65" s="20" t="n">
        <f aca="false">IF($A65="2020Q2",1,0)</f>
        <v>0</v>
      </c>
      <c r="I65" s="20" t="n">
        <f aca="false">IF($A65="2021Q2",1,0)</f>
        <v>0</v>
      </c>
      <c r="J65" s="18" t="n">
        <v>1</v>
      </c>
      <c r="K65" s="18" t="n">
        <f aca="false">B65-($B$87+$B$88*C65+$B$89*D65+$B$90*E65+$B$91*F65+$B$92*G65+$B$93*H65+$B$94*I65)</f>
        <v>0.0131674690841458</v>
      </c>
      <c r="L65" s="18" t="n">
        <f aca="false">K65^2</f>
        <v>0.000173382242081936</v>
      </c>
      <c r="M65" s="18" t="n">
        <f aca="false">J65*$K65</f>
        <v>0.0131674690841458</v>
      </c>
      <c r="N65" s="18" t="n">
        <f aca="false">C65*$K65</f>
        <v>0.000903470600071011</v>
      </c>
      <c r="O65" s="18" t="n">
        <f aca="false">D65*$K65</f>
        <v>0.000271249863133404</v>
      </c>
      <c r="P65" s="18" t="n">
        <f aca="false">E65*$K65</f>
        <v>1.89825497559384</v>
      </c>
      <c r="Q65" s="18" t="n">
        <f aca="false">F65*$K65</f>
        <v>-8.76478140159118E-005</v>
      </c>
      <c r="R65" s="18" t="n">
        <f aca="false">G65*$K65</f>
        <v>-0.000489338967463203</v>
      </c>
      <c r="S65" s="18" t="n">
        <f aca="false">H65*$K65</f>
        <v>0</v>
      </c>
      <c r="T65" s="18" t="n">
        <f aca="false">I65*$K65</f>
        <v>0</v>
      </c>
      <c r="W65" s="18" t="n">
        <f aca="false">B65-C65</f>
        <v>0.0126863059008944</v>
      </c>
    </row>
    <row r="66" customFormat="false" ht="15" hidden="false" customHeight="false" outlineLevel="0" collapsed="false">
      <c r="A66" s="19" t="str">
        <f aca="false">Datos!A75</f>
        <v>2022Q3</v>
      </c>
      <c r="B66" s="20" t="n">
        <f aca="false">Datos!G75</f>
        <v>0.066844213632383</v>
      </c>
      <c r="C66" s="20" t="n">
        <f aca="false">Datos!N75</f>
        <v>0.0813001446194395</v>
      </c>
      <c r="D66" s="20" t="n">
        <f aca="false">Datos!J75</f>
        <v>0.0078</v>
      </c>
      <c r="E66" s="20" t="n">
        <f aca="false">Datos!I73</f>
        <v>94.729852657005</v>
      </c>
      <c r="F66" s="20" t="n">
        <f aca="false">Datos!M73</f>
        <v>0.000817296802044967</v>
      </c>
      <c r="G66" s="20" t="n">
        <f aca="false">Datos!L75</f>
        <v>-0.0573823048184637</v>
      </c>
      <c r="H66" s="20" t="n">
        <f aca="false">IF($A66="2020Q2",1,0)</f>
        <v>0</v>
      </c>
      <c r="I66" s="20" t="n">
        <f aca="false">IF($A66="2021Q2",1,0)</f>
        <v>0</v>
      </c>
      <c r="J66" s="18" t="n">
        <v>1</v>
      </c>
      <c r="K66" s="18" t="n">
        <f aca="false">B66-($B$87+$B$88*C66+$B$89*D66+$B$90*E66+$B$91*F66+$B$92*G66+$B$93*H66+$B$94*I66)</f>
        <v>0.0105983353685697</v>
      </c>
      <c r="L66" s="18" t="n">
        <f aca="false">K66^2</f>
        <v>0.000112324712584676</v>
      </c>
      <c r="M66" s="18" t="n">
        <f aca="false">J66*$K66</f>
        <v>0.0105983353685697</v>
      </c>
      <c r="N66" s="18" t="n">
        <f aca="false">C66*$K66</f>
        <v>0.000861646198190039</v>
      </c>
      <c r="O66" s="18" t="n">
        <f aca="false">D66*$K66</f>
        <v>8.26670158748439E-005</v>
      </c>
      <c r="P66" s="18" t="n">
        <f aca="false">E66*$K66</f>
        <v>1.00397874787414</v>
      </c>
      <c r="Q66" s="18" t="n">
        <f aca="false">F66*$K66</f>
        <v>8.66198560373211E-006</v>
      </c>
      <c r="R66" s="18" t="n">
        <f aca="false">G66*$K66</f>
        <v>-0.000608156910687573</v>
      </c>
      <c r="S66" s="18" t="n">
        <f aca="false">H66*$K66</f>
        <v>0</v>
      </c>
      <c r="T66" s="18" t="n">
        <f aca="false">I66*$K66</f>
        <v>0</v>
      </c>
      <c r="W66" s="18" t="n">
        <f aca="false">B66-C66</f>
        <v>-0.0144559309870564</v>
      </c>
    </row>
    <row r="67" customFormat="false" ht="15" hidden="false" customHeight="false" outlineLevel="0" collapsed="false">
      <c r="A67" s="19" t="str">
        <f aca="false">Datos!A76</f>
        <v>2022Q4</v>
      </c>
      <c r="B67" s="20" t="n">
        <f aca="false">Datos!G76</f>
        <v>0.023854276267842</v>
      </c>
      <c r="C67" s="20" t="n">
        <f aca="false">Datos!N76</f>
        <v>0.066844213632383</v>
      </c>
      <c r="D67" s="20" t="n">
        <f aca="false">Datos!J76</f>
        <v>-0.0162</v>
      </c>
      <c r="E67" s="20" t="n">
        <f aca="false">Datos!I74</f>
        <v>111.567003052503</v>
      </c>
      <c r="F67" s="20" t="n">
        <f aca="false">Datos!M74</f>
        <v>-0.00197446679129137</v>
      </c>
      <c r="G67" s="20" t="n">
        <f aca="false">Datos!L76</f>
        <v>-0.0807286952638523</v>
      </c>
      <c r="H67" s="20" t="n">
        <f aca="false">IF($A67="2020Q2",1,0)</f>
        <v>0</v>
      </c>
      <c r="I67" s="20" t="n">
        <f aca="false">IF($A67="2021Q2",1,0)</f>
        <v>0</v>
      </c>
      <c r="J67" s="18" t="n">
        <v>1</v>
      </c>
      <c r="K67" s="18" t="n">
        <f aca="false">B67-($B$87+$B$88*C67+$B$89*D67+$B$90*E67+$B$91*F67+$B$92*G67+$B$93*H67+$B$94*I67)</f>
        <v>-0.00312335724147485</v>
      </c>
      <c r="L67" s="18" t="n">
        <f aca="false">K67^2</f>
        <v>9.75536045787337E-006</v>
      </c>
      <c r="M67" s="18" t="n">
        <f aca="false">J67*$K67</f>
        <v>-0.00312335724147485</v>
      </c>
      <c r="N67" s="18" t="n">
        <f aca="false">C67*$K67</f>
        <v>-0.000208778358699395</v>
      </c>
      <c r="O67" s="18" t="n">
        <f aca="false">D67*$K67</f>
        <v>5.05983873118925E-005</v>
      </c>
      <c r="P67" s="18" t="n">
        <f aca="false">E67*$K67</f>
        <v>-0.348463606893682</v>
      </c>
      <c r="Q67" s="18" t="n">
        <f aca="false">F67*$K67</f>
        <v>6.1669651506315E-006</v>
      </c>
      <c r="R67" s="18" t="n">
        <f aca="false">G67*$K67</f>
        <v>0.000252144554947169</v>
      </c>
      <c r="S67" s="18" t="n">
        <f aca="false">H67*$K67</f>
        <v>-0</v>
      </c>
      <c r="T67" s="18" t="n">
        <f aca="false">I67*$K67</f>
        <v>-0</v>
      </c>
      <c r="W67" s="18" t="n">
        <f aca="false">B67-C67</f>
        <v>-0.042989937364541</v>
      </c>
    </row>
    <row r="68" customFormat="false" ht="15" hidden="false" customHeight="false" outlineLevel="0" collapsed="false">
      <c r="A68" s="19" t="str">
        <f aca="false">Datos!A77</f>
        <v>2023Q1</v>
      </c>
      <c r="B68" s="20" t="n">
        <f aca="false">Datos!G77</f>
        <v>0.00911982377224452</v>
      </c>
      <c r="C68" s="20" t="n">
        <f aca="false">Datos!N77</f>
        <v>0.023854276267842</v>
      </c>
      <c r="D68" s="20" t="n">
        <f aca="false">Datos!J77</f>
        <v>0.0174</v>
      </c>
      <c r="E68" s="20" t="n">
        <f aca="false">Datos!I75</f>
        <v>613.427821391941</v>
      </c>
      <c r="F68" s="20" t="n">
        <f aca="false">Datos!M75</f>
        <v>0.0064523774543946</v>
      </c>
      <c r="G68" s="20" t="n">
        <f aca="false">Datos!L77</f>
        <v>-0.0128795408240223</v>
      </c>
      <c r="H68" s="20" t="n">
        <f aca="false">IF($A68="2020Q2",1,0)</f>
        <v>0</v>
      </c>
      <c r="I68" s="20" t="n">
        <f aca="false">IF($A68="2021Q2",1,0)</f>
        <v>0</v>
      </c>
      <c r="J68" s="18" t="n">
        <v>1</v>
      </c>
      <c r="K68" s="18" t="n">
        <f aca="false">B68-($B$87+$B$88*C68+$B$89*D68+$B$90*E68+$B$91*F68+$B$92*G68+$B$93*H68+$B$94*I68)</f>
        <v>0.0177109946475746</v>
      </c>
      <c r="L68" s="18" t="n">
        <f aca="false">K68^2</f>
        <v>0.000313679331406417</v>
      </c>
      <c r="M68" s="18" t="n">
        <f aca="false">J68*$K68</f>
        <v>0.0177109946475746</v>
      </c>
      <c r="N68" s="18" t="n">
        <f aca="false">C68*$K68</f>
        <v>0.000422482959301516</v>
      </c>
      <c r="O68" s="18" t="n">
        <f aca="false">D68*$K68</f>
        <v>0.000308171306867799</v>
      </c>
      <c r="P68" s="18" t="n">
        <f aca="false">E68*$K68</f>
        <v>10.864416861346</v>
      </c>
      <c r="Q68" s="18" t="n">
        <f aca="false">F68*$K68</f>
        <v>0.000114278022558914</v>
      </c>
      <c r="R68" s="18" t="n">
        <f aca="false">G68*$K68</f>
        <v>-0.000228109478597478</v>
      </c>
      <c r="S68" s="18" t="n">
        <f aca="false">H68*$K68</f>
        <v>0</v>
      </c>
      <c r="T68" s="18" t="n">
        <f aca="false">I68*$K68</f>
        <v>0</v>
      </c>
      <c r="W68" s="18" t="n">
        <f aca="false">B68-C68</f>
        <v>-0.0147344524955975</v>
      </c>
    </row>
    <row r="69" customFormat="false" ht="15" hidden="false" customHeight="false" outlineLevel="0" collapsed="false">
      <c r="A69" s="19" t="str">
        <f aca="false">Datos!A78</f>
        <v>2023Q2</v>
      </c>
      <c r="B69" s="20" t="n">
        <f aca="false">Datos!G78</f>
        <v>-0.0567487243252599</v>
      </c>
      <c r="C69" s="20" t="n">
        <f aca="false">Datos!N78</f>
        <v>0.00911982377224452</v>
      </c>
      <c r="D69" s="20" t="n">
        <f aca="false">Datos!J78</f>
        <v>-0.0059</v>
      </c>
      <c r="E69" s="20" t="n">
        <f aca="false">Datos!I76</f>
        <v>-69.2846118840562</v>
      </c>
      <c r="F69" s="20" t="n">
        <f aca="false">Datos!M76</f>
        <v>0.00437305788940643</v>
      </c>
      <c r="G69" s="20" t="n">
        <f aca="false">Datos!L78</f>
        <v>-0.0539439840741031</v>
      </c>
      <c r="H69" s="20" t="n">
        <f aca="false">IF($A69="2020Q2",1,0)</f>
        <v>0</v>
      </c>
      <c r="I69" s="20" t="n">
        <f aca="false">IF($A69="2021Q2",1,0)</f>
        <v>0</v>
      </c>
      <c r="J69" s="18" t="n">
        <v>1</v>
      </c>
      <c r="K69" s="18" t="n">
        <f aca="false">B69-($B$87+$B$88*C69+$B$89*D69+$B$90*E69+$B$91*F69+$B$92*G69+$B$93*H69+$B$94*I69)</f>
        <v>-0.0459608783605523</v>
      </c>
      <c r="L69" s="18" t="n">
        <f aca="false">K69^2</f>
        <v>0.00211240233967348</v>
      </c>
      <c r="M69" s="18" t="n">
        <f aca="false">J69*$K69</f>
        <v>-0.0459608783605523</v>
      </c>
      <c r="N69" s="18" t="n">
        <f aca="false">C69*$K69</f>
        <v>-0.000419155111065803</v>
      </c>
      <c r="O69" s="18" t="n">
        <f aca="false">D69*$K69</f>
        <v>0.000271169182327259</v>
      </c>
      <c r="P69" s="18" t="n">
        <f aca="false">E69*$K69</f>
        <v>3.18438161906118</v>
      </c>
      <c r="Q69" s="18" t="n">
        <f aca="false">F69*$K69</f>
        <v>-0.000200989581718662</v>
      </c>
      <c r="R69" s="18" t="n">
        <f aca="false">G69*$K69</f>
        <v>0.00247931289031342</v>
      </c>
      <c r="S69" s="18" t="n">
        <f aca="false">H69*$K69</f>
        <v>-0</v>
      </c>
      <c r="T69" s="18" t="n">
        <f aca="false">I69*$K69</f>
        <v>-0</v>
      </c>
      <c r="W69" s="18" t="n">
        <f aca="false">B69-C69</f>
        <v>-0.0658685480975044</v>
      </c>
    </row>
    <row r="70" customFormat="false" ht="15" hidden="false" customHeight="false" outlineLevel="0" collapsed="false">
      <c r="A70" s="19" t="str">
        <f aca="false">Datos!A79</f>
        <v>2023Q3</v>
      </c>
      <c r="B70" s="20" t="n">
        <f aca="false">Datos!G79</f>
        <v>-0.00549172525238073</v>
      </c>
      <c r="C70" s="20" t="n">
        <f aca="false">Datos!N79</f>
        <v>-0.0567487243252599</v>
      </c>
      <c r="D70" s="20" t="n">
        <f aca="false">Datos!J79</f>
        <v>-0.015</v>
      </c>
      <c r="E70" s="20" t="n">
        <f aca="false">Datos!I77</f>
        <v>-376.758957004832</v>
      </c>
      <c r="F70" s="20" t="n">
        <f aca="false">Datos!M77</f>
        <v>-0.000570722589501509</v>
      </c>
      <c r="G70" s="20" t="n">
        <f aca="false">Datos!L79</f>
        <v>-0.029098213004288</v>
      </c>
      <c r="H70" s="20" t="n">
        <f aca="false">IF($A70="2020Q2",1,0)</f>
        <v>0</v>
      </c>
      <c r="I70" s="20" t="n">
        <f aca="false">IF($A70="2021Q2",1,0)</f>
        <v>0</v>
      </c>
      <c r="J70" s="18" t="n">
        <v>1</v>
      </c>
      <c r="K70" s="18" t="n">
        <f aca="false">B70-($B$87+$B$88*C70+$B$89*D70+$B$90*E70+$B$91*F70+$B$92*G70+$B$93*H70+$B$94*I70)</f>
        <v>0.0386453686279671</v>
      </c>
      <c r="L70" s="18" t="n">
        <f aca="false">K70^2</f>
        <v>0.00149346451639146</v>
      </c>
      <c r="M70" s="18" t="n">
        <f aca="false">J70*$K70</f>
        <v>0.0386453686279671</v>
      </c>
      <c r="N70" s="18" t="n">
        <f aca="false">C70*$K70</f>
        <v>-0.00219307537071655</v>
      </c>
      <c r="O70" s="18" t="n">
        <f aca="false">D70*$K70</f>
        <v>-0.000579680529419506</v>
      </c>
      <c r="P70" s="18" t="n">
        <f aca="false">E70*$K70</f>
        <v>-14.5599887773401</v>
      </c>
      <c r="Q70" s="18" t="n">
        <f aca="false">F70*$K70</f>
        <v>-2.20557848555938E-005</v>
      </c>
      <c r="R70" s="18" t="n">
        <f aca="false">G70*$K70</f>
        <v>-0.00112451116796581</v>
      </c>
      <c r="S70" s="18" t="n">
        <f aca="false">H70*$K70</f>
        <v>0</v>
      </c>
      <c r="T70" s="18" t="n">
        <f aca="false">I70*$K70</f>
        <v>0</v>
      </c>
      <c r="W70" s="18" t="n">
        <f aca="false">B70-C70</f>
        <v>0.0512569990728792</v>
      </c>
    </row>
    <row r="71" customFormat="false" ht="15" hidden="false" customHeight="false" outlineLevel="0" collapsed="false">
      <c r="A71" s="19" t="str">
        <f aca="false">Datos!A80</f>
        <v>2023Q4</v>
      </c>
      <c r="B71" s="20" t="n">
        <f aca="false">Datos!G80</f>
        <v>-0.0171598554874708</v>
      </c>
      <c r="C71" s="20" t="n">
        <f aca="false">Datos!N80</f>
        <v>-0.00549172525238073</v>
      </c>
      <c r="D71" s="20" t="n">
        <f aca="false">Datos!J80</f>
        <v>0.000300000000000002</v>
      </c>
      <c r="E71" s="20" t="n">
        <f aca="false">Datos!I78</f>
        <v>396.345972839506</v>
      </c>
      <c r="F71" s="20" t="n">
        <f aca="false">Datos!M78</f>
        <v>-0.000785964784259512</v>
      </c>
      <c r="G71" s="20" t="n">
        <f aca="false">Datos!L80</f>
        <v>0.00751912805335137</v>
      </c>
      <c r="H71" s="20" t="n">
        <f aca="false">IF($A71="2020Q2",1,0)</f>
        <v>0</v>
      </c>
      <c r="I71" s="20" t="n">
        <f aca="false">IF($A71="2021Q2",1,0)</f>
        <v>0</v>
      </c>
      <c r="J71" s="18" t="n">
        <v>1</v>
      </c>
      <c r="K71" s="18" t="n">
        <f aca="false">B71-($B$87+$B$88*C71+$B$89*D71+$B$90*E71+$B$91*F71+$B$92*G71+$B$93*H71+$B$94*I71)</f>
        <v>0.000430206332480965</v>
      </c>
      <c r="L71" s="18" t="n">
        <f aca="false">K71^2</f>
        <v>1.85077488506723E-007</v>
      </c>
      <c r="M71" s="18" t="n">
        <f aca="false">J71*$K71</f>
        <v>0.000430206332480965</v>
      </c>
      <c r="N71" s="18" t="n">
        <f aca="false">C71*$K71</f>
        <v>-2.36257497981982E-006</v>
      </c>
      <c r="O71" s="18" t="n">
        <f aca="false">D71*$K71</f>
        <v>1.2906189974429E-007</v>
      </c>
      <c r="P71" s="18" t="n">
        <f aca="false">E71*$K71</f>
        <v>0.170510547368884</v>
      </c>
      <c r="Q71" s="18" t="n">
        <f aca="false">F71*$K71</f>
        <v>-3.38127027295478E-007</v>
      </c>
      <c r="R71" s="18" t="n">
        <f aca="false">G71*$K71</f>
        <v>3.23477650328703E-006</v>
      </c>
      <c r="S71" s="18" t="n">
        <f aca="false">H71*$K71</f>
        <v>0</v>
      </c>
      <c r="T71" s="18" t="n">
        <f aca="false">I71*$K71</f>
        <v>0</v>
      </c>
      <c r="W71" s="18" t="n">
        <f aca="false">B71-C71</f>
        <v>-0.0116681302350901</v>
      </c>
    </row>
    <row r="72" customFormat="false" ht="15" hidden="false" customHeight="false" outlineLevel="0" collapsed="false">
      <c r="A72" s="19" t="str">
        <f aca="false">Datos!A81</f>
        <v>2024Q1</v>
      </c>
      <c r="B72" s="20" t="n">
        <f aca="false">Datos!G81</f>
        <v>-0.0496170325779741</v>
      </c>
      <c r="C72" s="20" t="n">
        <f aca="false">Datos!N81</f>
        <v>-0.0171598554874708</v>
      </c>
      <c r="D72" s="20" t="n">
        <f aca="false">Datos!J81</f>
        <v>0.000799999999999999</v>
      </c>
      <c r="E72" s="20" t="n">
        <f aca="false">Datos!I79</f>
        <v>-393.961216440069</v>
      </c>
      <c r="F72" s="20" t="n">
        <f aca="false">Datos!M79</f>
        <v>0.00176185055199882</v>
      </c>
      <c r="G72" s="20" t="n">
        <f aca="false">Datos!L81</f>
        <v>-0.0743830688652541</v>
      </c>
      <c r="H72" s="20" t="n">
        <f aca="false">IF($A72="2020Q2",1,0)</f>
        <v>0</v>
      </c>
      <c r="I72" s="20" t="n">
        <f aca="false">IF($A72="2021Q2",1,0)</f>
        <v>0</v>
      </c>
      <c r="J72" s="18" t="n">
        <v>1</v>
      </c>
      <c r="K72" s="18" t="n">
        <f aca="false">B72-($B$87+$B$88*C72+$B$89*D72+$B$90*E72+$B$91*F72+$B$92*G72+$B$93*H72+$B$94*I72)</f>
        <v>-0.0349850680304027</v>
      </c>
      <c r="L72" s="18" t="n">
        <f aca="false">K72^2</f>
        <v>0.0012239549850919</v>
      </c>
      <c r="M72" s="18" t="n">
        <f aca="false">J72*$K72</f>
        <v>-0.0349850680304027</v>
      </c>
      <c r="N72" s="18" t="n">
        <f aca="false">C72*$K72</f>
        <v>0.000600338711621044</v>
      </c>
      <c r="O72" s="18" t="n">
        <f aca="false">D72*$K72</f>
        <v>-2.79880544243221E-005</v>
      </c>
      <c r="P72" s="18" t="n">
        <f aca="false">E72*$K72</f>
        <v>13.782759958496</v>
      </c>
      <c r="Q72" s="18" t="n">
        <f aca="false">F72*$K72</f>
        <v>-6.16384614210812E-005</v>
      </c>
      <c r="R72" s="18" t="n">
        <f aca="false">G72*$K72</f>
        <v>0.00260229672456104</v>
      </c>
      <c r="S72" s="18" t="n">
        <f aca="false">H72*$K72</f>
        <v>-0</v>
      </c>
      <c r="T72" s="18" t="n">
        <f aca="false">I72*$K72</f>
        <v>-0</v>
      </c>
      <c r="W72" s="18" t="n">
        <f aca="false">B72-C72</f>
        <v>-0.0324571770905033</v>
      </c>
    </row>
    <row r="73" customFormat="false" ht="15" hidden="false" customHeight="false" outlineLevel="0" collapsed="false">
      <c r="A73" s="19" t="str">
        <f aca="false">Datos!A82</f>
        <v>2024Q2</v>
      </c>
      <c r="B73" s="20" t="n">
        <f aca="false">Datos!G82</f>
        <v>-0.0108329991805178</v>
      </c>
      <c r="C73" s="20" t="n">
        <f aca="false">Datos!N82</f>
        <v>-0.0496170325779741</v>
      </c>
      <c r="D73" s="20" t="n">
        <f aca="false">Datos!J82</f>
        <v>0.0101</v>
      </c>
      <c r="E73" s="20" t="n">
        <f aca="false">Datos!I80</f>
        <v>122.080899625603</v>
      </c>
      <c r="F73" s="20" t="n">
        <f aca="false">Datos!M80</f>
        <v>-0.00576423631129689</v>
      </c>
      <c r="G73" s="20" t="n">
        <f aca="false">Datos!L82</f>
        <v>0.135614568235124</v>
      </c>
      <c r="H73" s="20" t="n">
        <f aca="false">IF($A73="2020Q2",1,0)</f>
        <v>0</v>
      </c>
      <c r="I73" s="20" t="n">
        <f aca="false">IF($A73="2021Q2",1,0)</f>
        <v>0</v>
      </c>
      <c r="J73" s="18" t="n">
        <v>1</v>
      </c>
      <c r="K73" s="18" t="n">
        <f aca="false">B73-($B$87+$B$88*C73+$B$89*D73+$B$90*E73+$B$91*F73+$B$92*G73+$B$93*H73+$B$94*I73)</f>
        <v>-0.013763336387308</v>
      </c>
      <c r="L73" s="18" t="n">
        <f aca="false">K73^2</f>
        <v>0.000189429428510197</v>
      </c>
      <c r="M73" s="18" t="n">
        <f aca="false">J73*$K73</f>
        <v>-0.013763336387308</v>
      </c>
      <c r="N73" s="18" t="n">
        <f aca="false">C73*$K73</f>
        <v>0.000682895909910679</v>
      </c>
      <c r="O73" s="18" t="n">
        <f aca="false">D73*$K73</f>
        <v>-0.000139009697511811</v>
      </c>
      <c r="P73" s="18" t="n">
        <f aca="false">E73*$K73</f>
        <v>-1.68024048801236</v>
      </c>
      <c r="Q73" s="18" t="n">
        <f aca="false">F73*$K73</f>
        <v>7.93351233683147E-005</v>
      </c>
      <c r="R73" s="18" t="n">
        <f aca="false">G73*$K73</f>
        <v>-0.00186650892163954</v>
      </c>
      <c r="S73" s="18" t="n">
        <f aca="false">H73*$K73</f>
        <v>-0</v>
      </c>
      <c r="T73" s="18" t="n">
        <f aca="false">I73*$K73</f>
        <v>-0</v>
      </c>
      <c r="W73" s="18" t="n">
        <f aca="false">B73-C73</f>
        <v>0.0387840333974563</v>
      </c>
    </row>
    <row r="74" customFormat="false" ht="15" hidden="false" customHeight="false" outlineLevel="0" collapsed="false">
      <c r="A74" s="19" t="str">
        <f aca="false">Datos!A83</f>
        <v>2024Q3</v>
      </c>
      <c r="B74" s="20" t="n">
        <f aca="false">Datos!G83</f>
        <v>-0.0193706719869603</v>
      </c>
      <c r="C74" s="20" t="n">
        <f aca="false">Datos!N83</f>
        <v>-0.0108329991805178</v>
      </c>
      <c r="D74" s="20" t="n">
        <f aca="false">Datos!J83</f>
        <v>0.0067</v>
      </c>
      <c r="E74" s="20" t="n">
        <f aca="false">Datos!I81</f>
        <v>-454.938553802817</v>
      </c>
      <c r="F74" s="20" t="n">
        <f aca="false">Datos!M81</f>
        <v>0.0235882766524118</v>
      </c>
      <c r="G74" s="20" t="n">
        <f aca="false">Datos!L83</f>
        <v>0.105501575244701</v>
      </c>
      <c r="H74" s="20" t="n">
        <f aca="false">IF($A74="2020Q2",1,0)</f>
        <v>0</v>
      </c>
      <c r="I74" s="20" t="n">
        <f aca="false">IF($A74="2021Q2",1,0)</f>
        <v>0</v>
      </c>
      <c r="J74" s="18" t="n">
        <v>1</v>
      </c>
      <c r="K74" s="18" t="n">
        <f aca="false">B74-($B$87+$B$88*C74+$B$89*D74+$B$90*E74+$B$91*F74+$B$92*G74+$B$93*H74+$B$94*I74)</f>
        <v>-0.0253104580694143</v>
      </c>
      <c r="L74" s="18" t="n">
        <f aca="false">K74^2</f>
        <v>0.000640619287683577</v>
      </c>
      <c r="M74" s="18" t="n">
        <f aca="false">J74*$K74</f>
        <v>-0.0253104580694143</v>
      </c>
      <c r="N74" s="18" t="n">
        <f aca="false">C74*$K74</f>
        <v>0.000274188171524496</v>
      </c>
      <c r="O74" s="18" t="n">
        <f aca="false">D74*$K74</f>
        <v>-0.000169580069065075</v>
      </c>
      <c r="P74" s="18" t="n">
        <f aca="false">E74*$K74</f>
        <v>11.5147031901862</v>
      </c>
      <c r="Q74" s="18" t="n">
        <f aca="false">F74*$K74</f>
        <v>-0.000597030087140611</v>
      </c>
      <c r="R74" s="18" t="n">
        <f aca="false">G74*$K74</f>
        <v>-0.00267029319648816</v>
      </c>
      <c r="S74" s="18" t="n">
        <f aca="false">H74*$K74</f>
        <v>-0</v>
      </c>
      <c r="T74" s="18" t="n">
        <f aca="false">I74*$K74</f>
        <v>-0</v>
      </c>
      <c r="W74" s="18" t="n">
        <f aca="false">B74-C74</f>
        <v>-0.00853767280644247</v>
      </c>
    </row>
    <row r="75" customFormat="false" ht="15" hidden="false" customHeight="false" outlineLevel="0" collapsed="false">
      <c r="A75" s="19" t="str">
        <f aca="false">Datos!A84</f>
        <v>2024Q4</v>
      </c>
      <c r="B75" s="20" t="n">
        <f aca="false">Datos!G84</f>
        <v>0.0263829611146622</v>
      </c>
      <c r="C75" s="20" t="n">
        <f aca="false">Datos!N84</f>
        <v>-0.0193706719869603</v>
      </c>
      <c r="D75" s="20" t="n">
        <f aca="false">Datos!J84</f>
        <v>-0.0056</v>
      </c>
      <c r="E75" s="20" t="n">
        <f aca="false">Datos!I82</f>
        <v>-411.750199402986</v>
      </c>
      <c r="F75" s="20" t="n">
        <f aca="false">Datos!M82</f>
        <v>0.012060493699049</v>
      </c>
      <c r="G75" s="20" t="n">
        <f aca="false">Datos!L84</f>
        <v>0.141127547277293</v>
      </c>
      <c r="H75" s="20" t="n">
        <f aca="false">IF($A75="2020Q2",1,0)</f>
        <v>0</v>
      </c>
      <c r="I75" s="20" t="n">
        <f aca="false">IF($A75="2021Q2",1,0)</f>
        <v>0</v>
      </c>
      <c r="J75" s="18" t="n">
        <v>1</v>
      </c>
      <c r="K75" s="18" t="n">
        <f aca="false">B75-($B$87+$B$88*C75+$B$89*D75+$B$90*E75+$B$91*F75+$B$92*G75+$B$93*H75+$B$94*I75)</f>
        <v>0.0102500951085096</v>
      </c>
      <c r="L75" s="18" t="n">
        <f aca="false">K75^2</f>
        <v>0.000105064449733492</v>
      </c>
      <c r="M75" s="18" t="n">
        <f aca="false">J75*$K75</f>
        <v>0.0102500951085096</v>
      </c>
      <c r="N75" s="18" t="n">
        <f aca="false">C75*$K75</f>
        <v>-0.000198551230182085</v>
      </c>
      <c r="O75" s="18" t="n">
        <f aca="false">D75*$K75</f>
        <v>-5.74005326076537E-005</v>
      </c>
      <c r="P75" s="18" t="n">
        <f aca="false">E75*$K75</f>
        <v>-4.2204787048284</v>
      </c>
      <c r="Q75" s="18" t="n">
        <f aca="false">F75*$K75</f>
        <v>0.000123621207470833</v>
      </c>
      <c r="R75" s="18" t="n">
        <f aca="false">G75*$K75</f>
        <v>0.00144657078202293</v>
      </c>
      <c r="S75" s="18" t="n">
        <f aca="false">H75*$K75</f>
        <v>0</v>
      </c>
      <c r="T75" s="18" t="n">
        <f aca="false">I75*$K75</f>
        <v>0</v>
      </c>
      <c r="W75" s="18" t="n">
        <f aca="false">B75-C75</f>
        <v>0.0457536331016225</v>
      </c>
    </row>
    <row r="76" customFormat="false" ht="15" hidden="false" customHeight="false" outlineLevel="0" collapsed="false">
      <c r="A76" s="19" t="str">
        <f aca="false">Datos!A85</f>
        <v>2025Q1</v>
      </c>
      <c r="B76" s="20" t="n">
        <f aca="false">Datos!G85</f>
        <v>0.0583747415748432</v>
      </c>
      <c r="C76" s="20" t="n">
        <f aca="false">Datos!N85</f>
        <v>0.0263829611146622</v>
      </c>
      <c r="D76" s="20" t="n">
        <f aca="false">Datos!J85</f>
        <v>-0.0043</v>
      </c>
      <c r="E76" s="20" t="n">
        <f aca="false">Datos!I83</f>
        <v>140.77357394844</v>
      </c>
      <c r="F76" s="20" t="n">
        <f aca="false">Datos!M83</f>
        <v>0.00547122476020793</v>
      </c>
      <c r="G76" s="20" t="n">
        <f aca="false">Datos!L85</f>
        <v>0.205115473060102</v>
      </c>
      <c r="H76" s="20" t="n">
        <f aca="false">IF($A76="2020Q2",1,0)</f>
        <v>0</v>
      </c>
      <c r="I76" s="20" t="n">
        <f aca="false">IF($A76="2021Q2",1,0)</f>
        <v>0</v>
      </c>
      <c r="J76" s="18" t="n">
        <v>1</v>
      </c>
      <c r="K76" s="18" t="n">
        <f aca="false">B76-($B$87+$B$88*C76+$B$89*D76+$B$90*E76+$B$91*F76+$B$92*G76+$B$93*H76+$B$94*I76)</f>
        <v>0.00208031816109563</v>
      </c>
      <c r="L76" s="18" t="n">
        <f aca="false">K76^2</f>
        <v>4.32772365138432E-006</v>
      </c>
      <c r="M76" s="18" t="n">
        <f aca="false">J76*$K76</f>
        <v>0.00208031816109563</v>
      </c>
      <c r="N76" s="18" t="n">
        <f aca="false">C76*$K76</f>
        <v>5.48849531503117E-005</v>
      </c>
      <c r="O76" s="18" t="n">
        <f aca="false">D76*$K76</f>
        <v>-8.94536809271123E-006</v>
      </c>
      <c r="P76" s="18" t="n">
        <f aca="false">E76*$K76</f>
        <v>0.292853822487279</v>
      </c>
      <c r="Q76" s="18" t="n">
        <f aca="false">F76*$K76</f>
        <v>1.13818882320967E-005</v>
      </c>
      <c r="R76" s="18" t="n">
        <f aca="false">G76*$K76</f>
        <v>0.000426705443728653</v>
      </c>
      <c r="S76" s="18" t="n">
        <f aca="false">H76*$K76</f>
        <v>0</v>
      </c>
      <c r="T76" s="18" t="n">
        <f aca="false">I76*$K76</f>
        <v>0</v>
      </c>
      <c r="W76" s="18" t="n">
        <f aca="false">B76-C76</f>
        <v>0.031991780460181</v>
      </c>
    </row>
    <row r="77" customFormat="false" ht="15" hidden="false" customHeight="false" outlineLevel="0" collapsed="false">
      <c r="A77" s="19" t="str">
        <f aca="false">Datos!A86</f>
        <v>2025Q2</v>
      </c>
      <c r="B77" s="20" t="n">
        <f aca="false">Datos!G86</f>
        <v>0.0638141408959982</v>
      </c>
      <c r="C77" s="20" t="n">
        <f aca="false">Datos!N86</f>
        <v>0.0583747415748432</v>
      </c>
      <c r="D77" s="20" t="n">
        <f aca="false">Datos!J86</f>
        <v>-0.0079</v>
      </c>
      <c r="E77" s="20" t="n">
        <f aca="false">Datos!I84</f>
        <v>-564.145454545455</v>
      </c>
      <c r="F77" s="20" t="n">
        <f aca="false">Datos!M84</f>
        <v>0.0032209025675252</v>
      </c>
      <c r="G77" s="20" t="n">
        <f aca="false">Datos!L86</f>
        <v>0.0285946514317457</v>
      </c>
      <c r="H77" s="20" t="n">
        <f aca="false">IF($A77="2020Q2",1,0)</f>
        <v>0</v>
      </c>
      <c r="I77" s="20" t="n">
        <f aca="false">IF($A77="2021Q2",1,0)</f>
        <v>0</v>
      </c>
      <c r="J77" s="18" t="n">
        <v>1</v>
      </c>
      <c r="K77" s="18" t="n">
        <f aca="false">B77-($B$87+$B$88*C77+$B$89*D77+$B$90*E77+$B$91*F77+$B$92*G77+$B$93*H77+$B$94*I77)</f>
        <v>-0.0106265609109094</v>
      </c>
      <c r="L77" s="18" t="n">
        <f aca="false">K77^2</f>
        <v>0.000112923796793268</v>
      </c>
      <c r="M77" s="18" t="n">
        <f aca="false">J77*$K77</f>
        <v>-0.0106265609109094</v>
      </c>
      <c r="N77" s="18" t="n">
        <f aca="false">C77*$K77</f>
        <v>-0.000620322747003669</v>
      </c>
      <c r="O77" s="18" t="n">
        <f aca="false">D77*$K77</f>
        <v>8.39498311961846E-005</v>
      </c>
      <c r="P77" s="18" t="n">
        <f aca="false">E77*$K77</f>
        <v>5.99492603533997</v>
      </c>
      <c r="Q77" s="18" t="n">
        <f aca="false">F77*$K77</f>
        <v>-3.42271173219111E-005</v>
      </c>
      <c r="R77" s="18" t="n">
        <f aca="false">G77*$K77</f>
        <v>-0.000303862805165669</v>
      </c>
      <c r="S77" s="18" t="n">
        <f aca="false">H77*$K77</f>
        <v>-0</v>
      </c>
      <c r="T77" s="18" t="n">
        <f aca="false">I77*$K77</f>
        <v>-0</v>
      </c>
      <c r="W77" s="18" t="n">
        <f aca="false">B77-C77</f>
        <v>0.005439399321155</v>
      </c>
    </row>
    <row r="78" customFormat="false" ht="15" hidden="false" customHeight="false" outlineLevel="0" collapsed="false">
      <c r="A78" s="19" t="str">
        <f aca="false">Datos!A87</f>
        <v>2025Q3</v>
      </c>
      <c r="B78" s="20" t="n">
        <f aca="false">Datos!G87</f>
        <v>0.0325690447876617</v>
      </c>
      <c r="C78" s="20" t="n">
        <f aca="false">Datos!N87</f>
        <v>0.0638141408959982</v>
      </c>
      <c r="D78" s="20" t="n">
        <f aca="false">Datos!J87</f>
        <v>-0.0054</v>
      </c>
      <c r="E78" s="20" t="n">
        <f aca="false">Datos!I85</f>
        <v>-235.861538461538</v>
      </c>
      <c r="F78" s="20" t="n">
        <f aca="false">Datos!M85</f>
        <v>-0.00030317463561357</v>
      </c>
      <c r="G78" s="20" t="n">
        <f aca="false">Datos!L87</f>
        <v>-0.122844629081206</v>
      </c>
      <c r="H78" s="20" t="n">
        <f aca="false">IF($A78="2020Q2",1,0)</f>
        <v>0</v>
      </c>
      <c r="I78" s="20" t="n">
        <f aca="false">IF($A78="2021Q2",1,0)</f>
        <v>0</v>
      </c>
      <c r="J78" s="18" t="n">
        <v>1</v>
      </c>
      <c r="K78" s="18" t="n">
        <f aca="false">B78-($B$87+$B$88*C78+$B$89*D78+$B$90*E78+$B$91*F78+$B$92*G78+$B$93*H78+$B$94*I78)</f>
        <v>-0.00175388203492221</v>
      </c>
      <c r="L78" s="18" t="n">
        <f aca="false">K78^2</f>
        <v>3.07610219242287E-006</v>
      </c>
      <c r="M78" s="18" t="n">
        <f aca="false">J78*$K78</f>
        <v>-0.00175388203492221</v>
      </c>
      <c r="N78" s="18" t="n">
        <f aca="false">C78*$K78</f>
        <v>-0.000111922475291486</v>
      </c>
      <c r="O78" s="18" t="n">
        <f aca="false">D78*$K78</f>
        <v>9.47096298857993E-006</v>
      </c>
      <c r="P78" s="18" t="n">
        <f aca="false">E78*$K78</f>
        <v>0.413673315036806</v>
      </c>
      <c r="Q78" s="18" t="n">
        <f aca="false">F78*$K78</f>
        <v>5.31732546846728E-007</v>
      </c>
      <c r="R78" s="18" t="n">
        <f aca="false">G78*$K78</f>
        <v>0.00021545498803221</v>
      </c>
      <c r="S78" s="18" t="n">
        <f aca="false">H78*$K78</f>
        <v>-0</v>
      </c>
      <c r="T78" s="18" t="n">
        <f aca="false">I78*$K78</f>
        <v>-0</v>
      </c>
      <c r="W78" s="18" t="n">
        <f aca="false">B78-C78</f>
        <v>-0.0312450961083366</v>
      </c>
    </row>
    <row r="79" customFormat="false" ht="15" hidden="false" customHeight="false" outlineLevel="0" collapsed="false">
      <c r="A79" s="19" t="str">
        <f aca="false">Datos!A88</f>
        <v>2025Q4</v>
      </c>
      <c r="B79" s="20" t="n">
        <f aca="false">Datos!G88</f>
        <v>0.0205805070747371</v>
      </c>
      <c r="C79" s="20" t="n">
        <f aca="false">Datos!N88</f>
        <v>0.0325690447876617</v>
      </c>
      <c r="D79" s="20" t="n">
        <f aca="false">Datos!J88</f>
        <v>0</v>
      </c>
      <c r="E79" s="20" t="n">
        <f aca="false">Datos!I86</f>
        <v>39.3076923076923</v>
      </c>
      <c r="F79" s="20" t="n">
        <f aca="false">Datos!M86</f>
        <v>-0.000699519053720961</v>
      </c>
      <c r="G79" s="20" t="n">
        <f aca="false">Datos!L88</f>
        <v>-0.0942358215518242</v>
      </c>
      <c r="H79" s="20" t="n">
        <f aca="false">IF($A79="2020Q2",1,0)</f>
        <v>0</v>
      </c>
      <c r="I79" s="20" t="n">
        <f aca="false">IF($A79="2021Q2",1,0)</f>
        <v>0</v>
      </c>
      <c r="J79" s="18" t="n">
        <v>1</v>
      </c>
      <c r="K79" s="18" t="n">
        <f aca="false">B79-($B$87+$B$88*C79+$B$89*D79+$B$90*E79+$B$91*F79+$B$92*G79+$B$93*H79+$B$94*I79)</f>
        <v>0.0144709685632644</v>
      </c>
      <c r="L79" s="18" t="n">
        <f aca="false">K79^2</f>
        <v>0.000209408931158986</v>
      </c>
      <c r="M79" s="18" t="n">
        <f aca="false">J79*$K79</f>
        <v>0.0144709685632644</v>
      </c>
      <c r="N79" s="18" t="n">
        <f aca="false">C79*$K79</f>
        <v>0.000471305623257802</v>
      </c>
      <c r="O79" s="18" t="n">
        <f aca="false">D79*$K79</f>
        <v>0</v>
      </c>
      <c r="P79" s="18" t="n">
        <f aca="false">E79*$K79</f>
        <v>0.568820379679084</v>
      </c>
      <c r="Q79" s="18" t="n">
        <f aca="false">F79*$K79</f>
        <v>-1.01227182358005E-005</v>
      </c>
      <c r="R79" s="18" t="n">
        <f aca="false">G79*$K79</f>
        <v>-0.00136368361120984</v>
      </c>
      <c r="S79" s="18" t="n">
        <f aca="false">H79*$K79</f>
        <v>0</v>
      </c>
      <c r="T79" s="18" t="n">
        <f aca="false">I79*$K79</f>
        <v>0</v>
      </c>
      <c r="W79" s="18" t="n">
        <f aca="false">B79-C79</f>
        <v>-0.0119885377129245</v>
      </c>
    </row>
    <row r="80" customFormat="false" ht="15" hidden="false" customHeight="false" outlineLevel="0" collapsed="false">
      <c r="A80" s="19" t="str">
        <f aca="false">Datos!A89</f>
        <v>2026Q1</v>
      </c>
      <c r="B80" s="20" t="n">
        <f aca="false">Datos!G89</f>
        <v>0.024694045208276</v>
      </c>
      <c r="C80" s="20" t="n">
        <f aca="false">Datos!N89</f>
        <v>0.0205805070747371</v>
      </c>
      <c r="D80" s="20" t="n">
        <f aca="false">Datos!J89</f>
        <v>0</v>
      </c>
      <c r="E80" s="20" t="n">
        <f aca="false">Datos!I87</f>
        <v>142.307692307692</v>
      </c>
      <c r="F80" s="20" t="n">
        <f aca="false">Datos!M87</f>
        <v>-3.86530146869388E-005</v>
      </c>
      <c r="G80" s="20" t="n">
        <f aca="false">Datos!L89</f>
        <v>-0.1024373605341</v>
      </c>
      <c r="H80" s="20" t="n">
        <f aca="false">IF($A80="2020Q2",1,0)</f>
        <v>0</v>
      </c>
      <c r="I80" s="20" t="n">
        <f aca="false">IF($A80="2021Q2",1,0)</f>
        <v>0</v>
      </c>
      <c r="J80" s="18" t="n">
        <v>1</v>
      </c>
      <c r="K80" s="18" t="n">
        <f aca="false">B80-($B$87+$B$88*C80+$B$89*D80+$B$90*E80+$B$91*F80+$B$92*G80+$B$93*H80+$B$94*I80)</f>
        <v>0.0365508972580927</v>
      </c>
      <c r="L80" s="18" t="n">
        <f aca="false">K80^2</f>
        <v>0.00133596809037165</v>
      </c>
      <c r="M80" s="18" t="n">
        <f aca="false">J80*$K80</f>
        <v>0.0365508972580927</v>
      </c>
      <c r="N80" s="18" t="n">
        <f aca="false">C80*$K80</f>
        <v>0.000752235999608166</v>
      </c>
      <c r="O80" s="18" t="n">
        <f aca="false">D80*$K80</f>
        <v>0</v>
      </c>
      <c r="P80" s="18" t="n">
        <f aca="false">E80*$K80</f>
        <v>5.20147384057473</v>
      </c>
      <c r="Q80" s="18" t="n">
        <f aca="false">F80*$K80</f>
        <v>-1.41280236853785E-006</v>
      </c>
      <c r="R80" s="18" t="n">
        <f aca="false">G80*$K80</f>
        <v>-0.00374417744027209</v>
      </c>
      <c r="S80" s="18" t="n">
        <f aca="false">H80*$K80</f>
        <v>0</v>
      </c>
      <c r="T80" s="18" t="n">
        <f aca="false">I80*$K80</f>
        <v>0</v>
      </c>
      <c r="W80" s="18" t="n">
        <f aca="false">B80-C80</f>
        <v>0.00411353813353888</v>
      </c>
    </row>
    <row r="85" customFormat="false" ht="15" hidden="false" customHeight="false" outlineLevel="0" collapsed="false">
      <c r="A85" s="21" t="s">
        <v>157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customFormat="false" ht="15" hidden="false" customHeight="false" outlineLevel="0" collapsed="false">
      <c r="A86" s="14" t="s">
        <v>25</v>
      </c>
      <c r="B86" s="14" t="s">
        <v>26</v>
      </c>
      <c r="C86" s="14" t="s">
        <v>158</v>
      </c>
      <c r="D86" s="14" t="s">
        <v>159</v>
      </c>
      <c r="E86" s="14" t="s">
        <v>21</v>
      </c>
      <c r="G86" s="11" t="s">
        <v>160</v>
      </c>
      <c r="H86" s="23" t="n">
        <f aca="false">INDEX(LINEST($B$6:$B$80,$C$6:$I$80,TRUE(),TRUE()),4,2)</f>
        <v>67</v>
      </c>
    </row>
    <row r="87" customFormat="false" ht="15" hidden="false" customHeight="false" outlineLevel="0" collapsed="false">
      <c r="A87" s="24" t="s">
        <v>161</v>
      </c>
      <c r="B87" s="25" t="n">
        <f aca="false">INDEX(LINEST($B$6:$B$80,$C$6:$I$80,TRUE(),TRUE()),1,8)</f>
        <v>0.00209663649074231</v>
      </c>
      <c r="C87" s="8" t="n">
        <f aca="false">INDEX(LINEST($B$6:$B$80,$C$6:$I$80,TRUE(),TRUE()),2,8)</f>
        <v>0.00299803340110738</v>
      </c>
      <c r="D87" s="5" t="n">
        <f aca="false">B87/C87</f>
        <v>0.699337268880284</v>
      </c>
      <c r="E87" s="7" t="n">
        <f aca="false">TDIST(ABS(D87),$H$86,2)</f>
        <v>0.486762132818334</v>
      </c>
    </row>
    <row r="88" customFormat="false" ht="15" hidden="false" customHeight="false" outlineLevel="0" collapsed="false">
      <c r="A88" s="24" t="s">
        <v>173</v>
      </c>
      <c r="B88" s="25" t="n">
        <f aca="false">INDEX(LINEST($B$6:$B$80,$C$6:$I$80,TRUE(),TRUE()),1,7)</f>
        <v>0.847240372698584</v>
      </c>
      <c r="C88" s="8" t="n">
        <f aca="false">INDEX(LINEST($B$6:$B$80,$C$6:$I$80,TRUE(),TRUE()),2,7)</f>
        <v>0.058446571765027</v>
      </c>
      <c r="D88" s="5" t="n">
        <f aca="false">B88/C88</f>
        <v>14.4959806386035</v>
      </c>
      <c r="E88" s="7" t="n">
        <f aca="false">TDIST(ABS(D88),$H$86,2)</f>
        <v>2.44804873031269E-022</v>
      </c>
    </row>
    <row r="89" customFormat="false" ht="15" hidden="false" customHeight="false" outlineLevel="0" collapsed="false">
      <c r="A89" s="24" t="s">
        <v>141</v>
      </c>
      <c r="B89" s="25" t="n">
        <f aca="false">INDEX(LINEST($B$6:$B$80,$C$6:$I$80,TRUE(),TRUE()),1,6)</f>
        <v>0.627025903813829</v>
      </c>
      <c r="C89" s="8" t="n">
        <f aca="false">INDEX(LINEST($B$6:$B$80,$C$6:$I$80,TRUE(),TRUE()),2,6)</f>
        <v>0.171445077050516</v>
      </c>
      <c r="D89" s="5" t="n">
        <f aca="false">B89/C89</f>
        <v>3.6572989706148</v>
      </c>
      <c r="E89" s="7" t="n">
        <f aca="false">TDIST(ABS(D89),$H$86,2)</f>
        <v>0.000502567146338054</v>
      </c>
    </row>
    <row r="90" customFormat="false" ht="15" hidden="false" customHeight="false" outlineLevel="0" collapsed="false">
      <c r="A90" s="24" t="s">
        <v>144</v>
      </c>
      <c r="B90" s="25" t="n">
        <f aca="false">INDEX(LINEST($B$6:$B$80,$C$6:$I$80,TRUE(),TRUE()),1,5)</f>
        <v>-4.61925000920346E-005</v>
      </c>
      <c r="C90" s="8" t="n">
        <f aca="false">INDEX(LINEST($B$6:$B$80,$C$6:$I$80,TRUE(),TRUE()),2,5)</f>
        <v>1.04033726063444E-005</v>
      </c>
      <c r="D90" s="5" t="n">
        <f aca="false">B90/C90</f>
        <v>-4.44014665627418</v>
      </c>
      <c r="E90" s="7" t="n">
        <f aca="false">TDIST(ABS(D90),$H$86,2)</f>
        <v>3.44354915750996E-005</v>
      </c>
    </row>
    <row r="91" customFormat="false" ht="15" hidden="false" customHeight="false" outlineLevel="0" collapsed="false">
      <c r="A91" s="24" t="s">
        <v>176</v>
      </c>
      <c r="B91" s="25" t="n">
        <f aca="false">INDEX(LINEST($B$6:$B$80,$C$6:$I$80,TRUE(),TRUE()),1,4)</f>
        <v>-1.60322261640931</v>
      </c>
      <c r="C91" s="8" t="n">
        <f aca="false">INDEX(LINEST($B$6:$B$80,$C$6:$I$80,TRUE(),TRUE()),2,4)</f>
        <v>0.483030509231138</v>
      </c>
      <c r="D91" s="5" t="n">
        <f aca="false">B91/C91</f>
        <v>-3.31909182912946</v>
      </c>
      <c r="E91" s="7" t="n">
        <f aca="false">TDIST(ABS(D91),$H$86,2)</f>
        <v>0.00146328450789262</v>
      </c>
    </row>
    <row r="92" customFormat="false" ht="15" hidden="false" customHeight="false" outlineLevel="0" collapsed="false">
      <c r="A92" s="24" t="s">
        <v>177</v>
      </c>
      <c r="B92" s="25" t="n">
        <f aca="false">INDEX(LINEST($B$6:$B$80,$C$6:$I$80,TRUE(),TRUE()),1,3)</f>
        <v>0.242865944539068</v>
      </c>
      <c r="C92" s="8" t="n">
        <f aca="false">INDEX(LINEST($B$6:$B$80,$C$6:$I$80,TRUE(),TRUE()),2,3)</f>
        <v>0.0444116090168355</v>
      </c>
      <c r="D92" s="5" t="n">
        <f aca="false">B92/C92</f>
        <v>5.46852388183014</v>
      </c>
      <c r="E92" s="7" t="n">
        <f aca="false">TDIST(ABS(D92),$H$86,2)</f>
        <v>7.25097461543215E-007</v>
      </c>
    </row>
    <row r="93" customFormat="false" ht="15" hidden="false" customHeight="false" outlineLevel="0" collapsed="false">
      <c r="A93" s="24" t="s">
        <v>197</v>
      </c>
      <c r="B93" s="25" t="n">
        <f aca="false">INDEX(LINEST($B$6:$B$80,$C$6:$I$80,TRUE(),TRUE()),1,2)</f>
        <v>-0.119674148804146</v>
      </c>
      <c r="C93" s="8" t="n">
        <f aca="false">INDEX(LINEST($B$6:$B$80,$C$6:$I$80,TRUE(),TRUE()),2,2)</f>
        <v>0.0335316972023767</v>
      </c>
      <c r="D93" s="5" t="n">
        <f aca="false">B93/C93</f>
        <v>-3.56898572958794</v>
      </c>
      <c r="E93" s="7" t="n">
        <f aca="false">TDIST(ABS(D93),$H$86,2)</f>
        <v>0.000668131137038803</v>
      </c>
    </row>
    <row r="94" customFormat="false" ht="15" hidden="false" customHeight="false" outlineLevel="0" collapsed="false">
      <c r="A94" s="24" t="s">
        <v>198</v>
      </c>
      <c r="B94" s="25" t="n">
        <f aca="false">INDEX(LINEST($B$6:$B$80,$C$6:$I$80,TRUE(),TRUE()),1,1)</f>
        <v>0.113701935112374</v>
      </c>
      <c r="C94" s="8" t="n">
        <f aca="false">INDEX(LINEST($B$6:$B$80,$C$6:$I$80,TRUE(),TRUE()),2,1)</f>
        <v>0.0323660311534697</v>
      </c>
      <c r="D94" s="5" t="n">
        <f aca="false">B94/C94</f>
        <v>3.51300209077953</v>
      </c>
      <c r="E94" s="7" t="n">
        <f aca="false">TDIST(ABS(D94),$H$86,2)</f>
        <v>0.000798674069802787</v>
      </c>
    </row>
    <row r="96" customFormat="false" ht="15" hidden="false" customHeight="false" outlineLevel="0" collapsed="false">
      <c r="A96" s="21" t="s">
        <v>162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customFormat="false" ht="15" hidden="false" customHeight="false" outlineLevel="0" collapsed="false">
      <c r="A97" s="24" t="s">
        <v>163</v>
      </c>
      <c r="B97" s="5" t="n">
        <f aca="false">COUNT($B$6:$B$80)</f>
        <v>75</v>
      </c>
    </row>
    <row r="98" customFormat="false" ht="15" hidden="false" customHeight="false" outlineLevel="0" collapsed="false">
      <c r="A98" s="24" t="s">
        <v>8</v>
      </c>
      <c r="B98" s="5" t="n">
        <v>8</v>
      </c>
    </row>
    <row r="99" customFormat="false" ht="15" hidden="false" customHeight="false" outlineLevel="0" collapsed="false">
      <c r="A99" s="24" t="s">
        <v>9</v>
      </c>
      <c r="B99" s="6" t="n">
        <f aca="false">INDEX(LINEST($B$6:$B$80,$C$6:$I$80,TRUE(),TRUE()),3,1)</f>
        <v>0.850209790481968</v>
      </c>
    </row>
    <row r="100" customFormat="false" ht="15" hidden="false" customHeight="false" outlineLevel="0" collapsed="false">
      <c r="A100" s="24" t="s">
        <v>10</v>
      </c>
      <c r="B100" s="26" t="n">
        <f aca="false">1-(1-B99)*(B97-1)/(B97-B98)</f>
        <v>0.834560067099487</v>
      </c>
    </row>
    <row r="101" customFormat="false" ht="15" hidden="false" customHeight="false" outlineLevel="0" collapsed="false">
      <c r="A101" s="24" t="s">
        <v>11</v>
      </c>
      <c r="B101" s="8" t="n">
        <f aca="false">INDEX(LINEST($B$6:$B$80,$C$6:$I$80,TRUE(),TRUE()),5,2)</f>
        <v>0.0402939117675193</v>
      </c>
    </row>
    <row r="102" customFormat="false" ht="15" hidden="false" customHeight="false" outlineLevel="0" collapsed="false">
      <c r="A102" s="24" t="s">
        <v>164</v>
      </c>
      <c r="B102" s="6" t="n">
        <f aca="false">-B97/2*(LN(2*PI())+LN(B101/B97)+1)</f>
        <v>175.918722800077</v>
      </c>
    </row>
    <row r="103" customFormat="false" ht="15" hidden="false" customHeight="false" outlineLevel="0" collapsed="false">
      <c r="A103" s="24" t="s">
        <v>12</v>
      </c>
      <c r="B103" s="27" t="n">
        <f aca="false">-2*B102+2*B98</f>
        <v>-335.837445600153</v>
      </c>
    </row>
    <row r="104" customFormat="false" ht="15" hidden="false" customHeight="false" outlineLevel="0" collapsed="false">
      <c r="A104" s="24" t="s">
        <v>13</v>
      </c>
      <c r="B104" s="27" t="n">
        <f aca="false">-2*B102+LN(B97)*B98</f>
        <v>-317.297540691863</v>
      </c>
    </row>
    <row r="106" customFormat="false" ht="15" hidden="false" customHeight="false" outlineLevel="0" collapsed="false">
      <c r="A106" s="10" t="s">
        <v>14</v>
      </c>
      <c r="B106" s="28" t="n">
        <f aca="false">SUMXMY2(K7:K80,K6:K79)/SUMSQ(K6:K80)</f>
        <v>2.18908315040365</v>
      </c>
    </row>
    <row r="108" customFormat="false" ht="15" hidden="false" customHeight="false" outlineLevel="0" collapsed="false">
      <c r="A108" s="21" t="s">
        <v>184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customFormat="false" ht="15" hidden="false" customHeight="false" outlineLevel="0" collapsed="false">
      <c r="A109" s="2" t="s">
        <v>185</v>
      </c>
    </row>
    <row r="110" customFormat="false" ht="15" hidden="false" customHeight="false" outlineLevel="0" collapsed="false">
      <c r="A110" s="10" t="s">
        <v>186</v>
      </c>
    </row>
    <row r="111" customFormat="false" ht="15" hidden="false" customHeight="false" outlineLevel="0" collapsed="false">
      <c r="B111" s="30" t="n">
        <f aca="false">SUMPRODUCT($J$6:$J$80,$J$6:$J$80)</f>
        <v>75</v>
      </c>
      <c r="C111" s="30" t="n">
        <f aca="false">SUMPRODUCT($J$6:$J$80,$C$6:$C$80)</f>
        <v>1.1016858372993</v>
      </c>
      <c r="D111" s="30" t="n">
        <f aca="false">SUMPRODUCT($J$6:$J$80,$D$6:$D$80)</f>
        <v>-0.0472</v>
      </c>
      <c r="E111" s="30" t="n">
        <f aca="false">SUMPRODUCT($J$6:$J$80,$E$6:$E$80)</f>
        <v>584.44858808933</v>
      </c>
      <c r="F111" s="30" t="n">
        <f aca="false">SUMPRODUCT($J$6:$J$80,$F$6:$F$80)</f>
        <v>-0.0208823745557015</v>
      </c>
      <c r="G111" s="30" t="n">
        <f aca="false">SUMPRODUCT($J$6:$J$80,$G$6:$G$80)</f>
        <v>-0.139041992821077</v>
      </c>
      <c r="H111" s="30" t="n">
        <f aca="false">SUMPRODUCT($J$6:$J$80,$H$6:$H$80)</f>
        <v>1</v>
      </c>
      <c r="I111" s="30" t="n">
        <f aca="false">SUMPRODUCT($J$6:$J$80,$I$6:$I$80)</f>
        <v>1</v>
      </c>
    </row>
    <row r="112" customFormat="false" ht="15" hidden="false" customHeight="false" outlineLevel="0" collapsed="false">
      <c r="B112" s="30" t="n">
        <f aca="false">SUMPRODUCT($C$6:$C$80,$J$6:$J$80)</f>
        <v>1.1016858372993</v>
      </c>
      <c r="C112" s="30" t="n">
        <f aca="false">SUMPRODUCT($C$6:$C$80,$C$6:$C$80)</f>
        <v>0.292197849762446</v>
      </c>
      <c r="D112" s="30" t="n">
        <f aca="false">SUMPRODUCT($C$6:$C$80,$D$6:$D$80)</f>
        <v>-0.043140040769143</v>
      </c>
      <c r="E112" s="30" t="n">
        <f aca="false">SUMPRODUCT($C$6:$C$80,$E$6:$E$80)</f>
        <v>-121.059915055662</v>
      </c>
      <c r="F112" s="30" t="n">
        <f aca="false">SUMPRODUCT($C$6:$C$80,$F$6:$F$80)</f>
        <v>0.00838775781643029</v>
      </c>
      <c r="G112" s="30" t="n">
        <f aca="false">SUMPRODUCT($C$6:$C$80,$G$6:$G$80)</f>
        <v>-0.0585548135955289</v>
      </c>
      <c r="H112" s="30" t="n">
        <f aca="false">SUMPRODUCT($C$6:$C$80,$H$6:$H$80)</f>
        <v>-0.0502506965865937</v>
      </c>
      <c r="I112" s="30" t="n">
        <f aca="false">SUMPRODUCT($C$6:$C$80,$I$6:$I$80)</f>
        <v>0.0323260077948051</v>
      </c>
    </row>
    <row r="113" customFormat="false" ht="15" hidden="false" customHeight="false" outlineLevel="0" collapsed="false">
      <c r="B113" s="30" t="n">
        <f aca="false">SUMPRODUCT($D$6:$D$80,$J$6:$J$80)</f>
        <v>-0.0472</v>
      </c>
      <c r="C113" s="30" t="n">
        <f aca="false">SUMPRODUCT($D$6:$D$80,$C$6:$C$80)</f>
        <v>-0.043140040769143</v>
      </c>
      <c r="D113" s="30" t="n">
        <f aca="false">SUMPRODUCT($D$6:$D$80,$D$6:$D$80)</f>
        <v>0.05390014</v>
      </c>
      <c r="E113" s="30" t="n">
        <f aca="false">SUMPRODUCT($D$6:$D$80,$E$6:$E$80)</f>
        <v>-147.775767883314</v>
      </c>
      <c r="F113" s="30" t="n">
        <f aca="false">SUMPRODUCT($D$6:$D$80,$F$6:$F$80)</f>
        <v>-0.00473869371203326</v>
      </c>
      <c r="G113" s="30" t="n">
        <f aca="false">SUMPRODUCT($D$6:$D$80,$G$6:$G$80)</f>
        <v>-0.061634317722518</v>
      </c>
      <c r="H113" s="30" t="n">
        <f aca="false">SUMPRODUCT($D$6:$D$80,$H$6:$H$80)</f>
        <v>-0.1055</v>
      </c>
      <c r="I113" s="30" t="n">
        <f aca="false">SUMPRODUCT($D$6:$D$80,$I$6:$I$80)</f>
        <v>0.1065</v>
      </c>
    </row>
    <row r="114" customFormat="false" ht="15" hidden="false" customHeight="false" outlineLevel="0" collapsed="false">
      <c r="B114" s="30" t="n">
        <f aca="false">SUMPRODUCT($E$6:$E$80,$J$6:$J$80)</f>
        <v>584.44858808933</v>
      </c>
      <c r="C114" s="30" t="n">
        <f aca="false">SUMPRODUCT($E$6:$E$80,$C$6:$C$80)</f>
        <v>-121.059915055662</v>
      </c>
      <c r="D114" s="30" t="n">
        <f aca="false">SUMPRODUCT($E$6:$E$80,$D$6:$D$80)</f>
        <v>-147.775767883314</v>
      </c>
      <c r="E114" s="30" t="n">
        <f aca="false">SUMPRODUCT($E$6:$E$80,$E$6:$E$80)</f>
        <v>6499715.2722563</v>
      </c>
      <c r="F114" s="30" t="n">
        <f aca="false">SUMPRODUCT($E$6:$E$80,$F$6:$F$80)</f>
        <v>-3.98613199032361</v>
      </c>
      <c r="G114" s="30" t="n">
        <f aca="false">SUMPRODUCT($E$6:$E$80,$G$6:$G$80)</f>
        <v>484.435815893992</v>
      </c>
      <c r="H114" s="30" t="n">
        <f aca="false">SUMPRODUCT($E$6:$E$80,$H$6:$H$80)</f>
        <v>598.881251590669</v>
      </c>
      <c r="I114" s="30" t="n">
        <f aca="false">SUMPRODUCT($E$6:$E$80,$I$6:$I$80)</f>
        <v>-606.890139160839</v>
      </c>
    </row>
    <row r="115" customFormat="false" ht="15" hidden="false" customHeight="false" outlineLevel="0" collapsed="false">
      <c r="B115" s="30" t="n">
        <f aca="false">SUMPRODUCT($F$6:$F$80,$J$6:$J$80)</f>
        <v>-0.0208823745557015</v>
      </c>
      <c r="C115" s="30" t="n">
        <f aca="false">SUMPRODUCT($F$6:$F$80,$C$6:$C$80)</f>
        <v>0.00838775781643029</v>
      </c>
      <c r="D115" s="30" t="n">
        <f aca="false">SUMPRODUCT($F$6:$F$80,$D$6:$D$80)</f>
        <v>-0.00473869371203326</v>
      </c>
      <c r="E115" s="30" t="n">
        <f aca="false">SUMPRODUCT($F$6:$F$80,$E$6:$E$80)</f>
        <v>-3.98613199032361</v>
      </c>
      <c r="F115" s="30" t="n">
        <f aca="false">SUMPRODUCT($F$6:$F$80,$F$6:$F$80)</f>
        <v>0.00342893603166765</v>
      </c>
      <c r="G115" s="30" t="n">
        <f aca="false">SUMPRODUCT($F$6:$F$80,$G$6:$G$80)</f>
        <v>0.0126992968973808</v>
      </c>
      <c r="H115" s="30" t="n">
        <f aca="false">SUMPRODUCT($F$6:$F$80,$H$6:$H$80)</f>
        <v>0.00338854605282741</v>
      </c>
      <c r="I115" s="30" t="n">
        <f aca="false">SUMPRODUCT($F$6:$F$80,$I$6:$I$80)</f>
        <v>-0.00871925616384151</v>
      </c>
    </row>
    <row r="116" customFormat="false" ht="15" hidden="false" customHeight="false" outlineLevel="0" collapsed="false">
      <c r="B116" s="30" t="n">
        <f aca="false">SUMPRODUCT($G$6:$G$80,$J$6:$J$80)</f>
        <v>-0.139041992821077</v>
      </c>
      <c r="C116" s="30" t="n">
        <f aca="false">SUMPRODUCT($G$6:$G$80,$C$6:$C$80)</f>
        <v>-0.0585548135955289</v>
      </c>
      <c r="D116" s="30" t="n">
        <f aca="false">SUMPRODUCT($G$6:$G$80,$D$6:$D$80)</f>
        <v>-0.061634317722518</v>
      </c>
      <c r="E116" s="30" t="n">
        <f aca="false">SUMPRODUCT($G$6:$G$80,$E$6:$E$80)</f>
        <v>484.435815893992</v>
      </c>
      <c r="F116" s="30" t="n">
        <f aca="false">SUMPRODUCT($G$6:$G$80,$F$6:$F$80)</f>
        <v>0.0126992968973808</v>
      </c>
      <c r="G116" s="30" t="n">
        <f aca="false">SUMPRODUCT($G$6:$G$80,$G$6:$G$80)</f>
        <v>0.504650258175321</v>
      </c>
      <c r="H116" s="30" t="n">
        <f aca="false">SUMPRODUCT($G$6:$G$80,$H$6:$H$80)</f>
        <v>0.288132779402122</v>
      </c>
      <c r="I116" s="30" t="n">
        <f aca="false">SUMPRODUCT($G$6:$G$80,$I$6:$I$80)</f>
        <v>-0.266310713371175</v>
      </c>
    </row>
    <row r="117" customFormat="false" ht="15" hidden="false" customHeight="false" outlineLevel="0" collapsed="false">
      <c r="B117" s="30" t="n">
        <f aca="false">SUMPRODUCT($H$6:$H$80,$J$6:$J$80)</f>
        <v>1</v>
      </c>
      <c r="C117" s="30" t="n">
        <f aca="false">SUMPRODUCT($H$6:$H$80,$C$6:$C$80)</f>
        <v>-0.0502506965865937</v>
      </c>
      <c r="D117" s="30" t="n">
        <f aca="false">SUMPRODUCT($H$6:$H$80,$D$6:$D$80)</f>
        <v>-0.1055</v>
      </c>
      <c r="E117" s="30" t="n">
        <f aca="false">SUMPRODUCT($H$6:$H$80,$E$6:$E$80)</f>
        <v>598.881251590669</v>
      </c>
      <c r="F117" s="30" t="n">
        <f aca="false">SUMPRODUCT($H$6:$H$80,$F$6:$F$80)</f>
        <v>0.00338854605282741</v>
      </c>
      <c r="G117" s="30" t="n">
        <f aca="false">SUMPRODUCT($H$6:$H$80,$G$6:$G$80)</f>
        <v>0.288132779402122</v>
      </c>
      <c r="H117" s="30" t="n">
        <f aca="false">SUMPRODUCT($H$6:$H$80,$H$6:$H$80)</f>
        <v>1</v>
      </c>
      <c r="I117" s="30" t="n">
        <f aca="false">SUMPRODUCT($H$6:$H$80,$I$6:$I$80)</f>
        <v>0</v>
      </c>
    </row>
    <row r="118" customFormat="false" ht="15" hidden="false" customHeight="false" outlineLevel="0" collapsed="false">
      <c r="B118" s="30" t="n">
        <f aca="false">SUMPRODUCT($I$6:$I$80,$J$6:$J$80)</f>
        <v>1</v>
      </c>
      <c r="C118" s="30" t="n">
        <f aca="false">SUMPRODUCT($I$6:$I$80,$C$6:$C$80)</f>
        <v>0.0323260077948051</v>
      </c>
      <c r="D118" s="30" t="n">
        <f aca="false">SUMPRODUCT($I$6:$I$80,$D$6:$D$80)</f>
        <v>0.1065</v>
      </c>
      <c r="E118" s="30" t="n">
        <f aca="false">SUMPRODUCT($I$6:$I$80,$E$6:$E$80)</f>
        <v>-606.890139160839</v>
      </c>
      <c r="F118" s="30" t="n">
        <f aca="false">SUMPRODUCT($I$6:$I$80,$F$6:$F$80)</f>
        <v>-0.00871925616384151</v>
      </c>
      <c r="G118" s="30" t="n">
        <f aca="false">SUMPRODUCT($I$6:$I$80,$G$6:$G$80)</f>
        <v>-0.266310713371175</v>
      </c>
      <c r="H118" s="30" t="n">
        <f aca="false">SUMPRODUCT($I$6:$I$80,$H$6:$H$80)</f>
        <v>0</v>
      </c>
      <c r="I118" s="30" t="n">
        <f aca="false">SUMPRODUCT($I$6:$I$80,$I$6:$I$80)</f>
        <v>1</v>
      </c>
    </row>
    <row r="119" customFormat="false" ht="15" hidden="false" customHeight="false" outlineLevel="0" collapsed="false">
      <c r="A119" s="10" t="s">
        <v>187</v>
      </c>
    </row>
    <row r="120" customFormat="false" ht="15" hidden="false" customHeight="false" outlineLevel="0" collapsed="false">
      <c r="B120" s="30" t="n">
        <f aca="false">INDEX(MINVERSE($B$111:$I$118),1,1)</f>
        <v>0.0149454262431243</v>
      </c>
      <c r="C120" s="30" t="n">
        <f aca="false">INDEX(MINVERSE($B$111:$I$118),1,2)</f>
        <v>-0.0822104861625546</v>
      </c>
      <c r="D120" s="30" t="n">
        <f aca="false">INDEX(MINVERSE($B$111:$I$118),1,3)</f>
        <v>-0.0926515621451572</v>
      </c>
      <c r="E120" s="30" t="n">
        <f aca="false">INDEX(MINVERSE($B$111:$I$118),1,4)</f>
        <v>-2.30094189676629E-006</v>
      </c>
      <c r="F120" s="30" t="n">
        <f aca="false">INDEX(MINVERSE($B$111:$I$118),1,5)</f>
        <v>0.2022496503602</v>
      </c>
      <c r="G120" s="30" t="n">
        <f aca="false">INDEX(MINVERSE($B$111:$I$118),1,6)</f>
        <v>-0.00665365247579265</v>
      </c>
      <c r="H120" s="30" t="n">
        <f aca="false">INDEX(MINVERSE($B$111:$I$118),1,7)</f>
        <v>-0.0262415061562448</v>
      </c>
      <c r="I120" s="30" t="n">
        <f aca="false">INDEX(MINVERSE($B$111:$I$118),1,8)</f>
        <v>-0.00382538943290317</v>
      </c>
    </row>
    <row r="121" customFormat="false" ht="15" hidden="false" customHeight="false" outlineLevel="0" collapsed="false">
      <c r="B121" s="30" t="n">
        <f aca="false">INDEX(MINVERSE($B$111:$I$118),2,1)</f>
        <v>-0.0822104861625546</v>
      </c>
      <c r="C121" s="30" t="n">
        <f aca="false">INDEX(MINVERSE($B$111:$I$118),2,2)</f>
        <v>5.68006696999697</v>
      </c>
      <c r="D121" s="30" t="n">
        <f aca="false">INDEX(MINVERSE($B$111:$I$118),2,3)</f>
        <v>8.40592212389903</v>
      </c>
      <c r="E121" s="30" t="n">
        <f aca="false">INDEX(MINVERSE($B$111:$I$118),2,4)</f>
        <v>6.94163437955884E-005</v>
      </c>
      <c r="F121" s="30" t="n">
        <f aca="false">INDEX(MINVERSE($B$111:$I$118),2,5)</f>
        <v>-8.77060143007299</v>
      </c>
      <c r="G121" s="30" t="n">
        <f aca="false">INDEX(MINVERSE($B$111:$I$118),2,6)</f>
        <v>0.810967443173543</v>
      </c>
      <c r="H121" s="30" t="n">
        <f aca="false">INDEX(MINVERSE($B$111:$I$118),2,7)</f>
        <v>1.00894372873217</v>
      </c>
      <c r="I121" s="30" t="n">
        <f aca="false">INDEX(MINVERSE($B$111:$I$118),2,8)</f>
        <v>-0.815009816901101</v>
      </c>
    </row>
    <row r="122" customFormat="false" ht="15" hidden="false" customHeight="false" outlineLevel="0" collapsed="false">
      <c r="B122" s="30" t="n">
        <f aca="false">INDEX(MINVERSE($B$111:$I$118),3,1)</f>
        <v>-0.0926515621451587</v>
      </c>
      <c r="C122" s="30" t="n">
        <f aca="false">INDEX(MINVERSE($B$111:$I$118),3,2)</f>
        <v>8.40592212389904</v>
      </c>
      <c r="D122" s="30" t="n">
        <f aca="false">INDEX(MINVERSE($B$111:$I$118),3,3)</f>
        <v>48.874846879298</v>
      </c>
      <c r="E122" s="30" t="n">
        <f aca="false">INDEX(MINVERSE($B$111:$I$118),3,4)</f>
        <v>0.000329152698114113</v>
      </c>
      <c r="F122" s="30" t="n">
        <f aca="false">INDEX(MINVERSE($B$111:$I$118),3,5)</f>
        <v>28.0591490734231</v>
      </c>
      <c r="G122" s="30" t="n">
        <f aca="false">INDEX(MINVERSE($B$111:$I$118),3,6)</f>
        <v>0.314984846460265</v>
      </c>
      <c r="H122" s="30" t="n">
        <f aca="false">INDEX(MINVERSE($B$111:$I$118),3,7)</f>
        <v>5.28839079216007</v>
      </c>
      <c r="I122" s="30" t="n">
        <f aca="false">INDEX(MINVERSE($B$111:$I$118),3,8)</f>
        <v>-4.85595126016358</v>
      </c>
    </row>
    <row r="123" customFormat="false" ht="15" hidden="false" customHeight="false" outlineLevel="0" collapsed="false">
      <c r="B123" s="30" t="n">
        <f aca="false">INDEX(MINVERSE($B$111:$I$118),4,1)</f>
        <v>-2.30094189676609E-006</v>
      </c>
      <c r="C123" s="30" t="n">
        <f aca="false">INDEX(MINVERSE($B$111:$I$118),4,2)</f>
        <v>6.94163437955901E-005</v>
      </c>
      <c r="D123" s="30" t="n">
        <f aca="false">INDEX(MINVERSE($B$111:$I$118),4,3)</f>
        <v>0.000329152698114114</v>
      </c>
      <c r="E123" s="30" t="n">
        <f aca="false">INDEX(MINVERSE($B$111:$I$118),4,4)</f>
        <v>1.79963188189057E-007</v>
      </c>
      <c r="F123" s="30" t="n">
        <f aca="false">INDEX(MINVERSE($B$111:$I$118),4,5)</f>
        <v>0.00102455277235434</v>
      </c>
      <c r="G123" s="30" t="n">
        <f aca="false">INDEX(MINVERSE($B$111:$I$118),4,6)</f>
        <v>-9.59046673459862E-005</v>
      </c>
      <c r="H123" s="30" t="n">
        <f aca="false">INDEX(MINVERSE($B$111:$I$118),4,7)</f>
        <v>-4.31002740975208E-005</v>
      </c>
      <c r="I123" s="30" t="n">
        <f aca="false">INDEX(MINVERSE($B$111:$I$118),4,8)</f>
        <v>5.76130082998713E-005</v>
      </c>
    </row>
    <row r="124" customFormat="false" ht="15" hidden="false" customHeight="false" outlineLevel="0" collapsed="false">
      <c r="B124" s="30" t="n">
        <f aca="false">INDEX(MINVERSE($B$111:$I$118),5,1)</f>
        <v>0.202249650360197</v>
      </c>
      <c r="C124" s="30" t="n">
        <f aca="false">INDEX(MINVERSE($B$111:$I$118),5,2)</f>
        <v>-8.77060143007297</v>
      </c>
      <c r="D124" s="30" t="n">
        <f aca="false">INDEX(MINVERSE($B$111:$I$118),5,3)</f>
        <v>28.0591490734232</v>
      </c>
      <c r="E124" s="30" t="n">
        <f aca="false">INDEX(MINVERSE($B$111:$I$118),5,4)</f>
        <v>0.00102455277235433</v>
      </c>
      <c r="F124" s="30" t="n">
        <f aca="false">INDEX(MINVERSE($B$111:$I$118),5,5)</f>
        <v>387.957807894525</v>
      </c>
      <c r="G124" s="30" t="n">
        <f aca="false">INDEX(MINVERSE($B$111:$I$118),5,6)</f>
        <v>-11.4026085209883</v>
      </c>
      <c r="H124" s="30" t="n">
        <f aca="false">INDEX(MINVERSE($B$111:$I$118),5,7)</f>
        <v>3.67452868589537</v>
      </c>
      <c r="I124" s="30" t="n">
        <f aca="false">INDEX(MINVERSE($B$111:$I$118),5,8)</f>
        <v>-1.93917282361621</v>
      </c>
    </row>
    <row r="125" customFormat="false" ht="15" hidden="false" customHeight="false" outlineLevel="0" collapsed="false">
      <c r="B125" s="30" t="n">
        <f aca="false">INDEX(MINVERSE($B$111:$I$118),6,1)</f>
        <v>-0.00665365247579225</v>
      </c>
      <c r="C125" s="30" t="n">
        <f aca="false">INDEX(MINVERSE($B$111:$I$118),6,2)</f>
        <v>0.81096744317354</v>
      </c>
      <c r="D125" s="30" t="n">
        <f aca="false">INDEX(MINVERSE($B$111:$I$118),6,3)</f>
        <v>0.31498484646026</v>
      </c>
      <c r="E125" s="30" t="n">
        <f aca="false">INDEX(MINVERSE($B$111:$I$118),6,4)</f>
        <v>-9.59046673459863E-005</v>
      </c>
      <c r="F125" s="30" t="n">
        <f aca="false">INDEX(MINVERSE($B$111:$I$118),6,5)</f>
        <v>-11.4026085209883</v>
      </c>
      <c r="G125" s="30" t="n">
        <f aca="false">INDEX(MINVERSE($B$111:$I$118),6,6)</f>
        <v>3.27965670840207</v>
      </c>
      <c r="H125" s="30" t="n">
        <f aca="false">INDEX(MINVERSE($B$111:$I$118),6,7)</f>
        <v>-0.768266598861555</v>
      </c>
      <c r="I125" s="30" t="n">
        <f aca="false">INDEX(MINVERSE($B$111:$I$118),6,8)</f>
        <v>0.66267428252325</v>
      </c>
    </row>
    <row r="126" customFormat="false" ht="15" hidden="false" customHeight="false" outlineLevel="0" collapsed="false">
      <c r="B126" s="30" t="n">
        <f aca="false">INDEX(MINVERSE($B$111:$I$118),7,1)</f>
        <v>-0.0262415061562447</v>
      </c>
      <c r="C126" s="30" t="n">
        <f aca="false">INDEX(MINVERSE($B$111:$I$118),7,2)</f>
        <v>1.00894372873217</v>
      </c>
      <c r="D126" s="30" t="n">
        <f aca="false">INDEX(MINVERSE($B$111:$I$118),7,3)</f>
        <v>5.28839079216006</v>
      </c>
      <c r="E126" s="30" t="n">
        <f aca="false">INDEX(MINVERSE($B$111:$I$118),7,4)</f>
        <v>-4.31002740975212E-005</v>
      </c>
      <c r="F126" s="30" t="n">
        <f aca="false">INDEX(MINVERSE($B$111:$I$118),7,5)</f>
        <v>3.67452868589525</v>
      </c>
      <c r="G126" s="30" t="n">
        <f aca="false">INDEX(MINVERSE($B$111:$I$118),7,6)</f>
        <v>-0.768266598861551</v>
      </c>
      <c r="H126" s="30" t="n">
        <f aca="false">INDEX(MINVERSE($B$111:$I$118),7,7)</f>
        <v>1.86959028678723</v>
      </c>
      <c r="I126" s="30" t="n">
        <f aca="false">INDEX(MINVERSE($B$111:$I$118),7,8)</f>
        <v>-0.768302836501593</v>
      </c>
    </row>
    <row r="127" customFormat="false" ht="15" hidden="false" customHeight="false" outlineLevel="0" collapsed="false">
      <c r="B127" s="30" t="n">
        <f aca="false">INDEX(MINVERSE($B$111:$I$118),8,1)</f>
        <v>-0.003825389432903</v>
      </c>
      <c r="C127" s="30" t="n">
        <f aca="false">INDEX(MINVERSE($B$111:$I$118),8,2)</f>
        <v>-0.815009816901104</v>
      </c>
      <c r="D127" s="30" t="n">
        <f aca="false">INDEX(MINVERSE($B$111:$I$118),8,3)</f>
        <v>-4.85595126016358</v>
      </c>
      <c r="E127" s="30" t="n">
        <f aca="false">INDEX(MINVERSE($B$111:$I$118),8,4)</f>
        <v>5.76130082998716E-005</v>
      </c>
      <c r="F127" s="30" t="n">
        <f aca="false">INDEX(MINVERSE($B$111:$I$118),8,5)</f>
        <v>-1.93917282361619</v>
      </c>
      <c r="G127" s="30" t="n">
        <f aca="false">INDEX(MINVERSE($B$111:$I$118),8,6)</f>
        <v>0.662674282523249</v>
      </c>
      <c r="H127" s="30" t="n">
        <f aca="false">INDEX(MINVERSE($B$111:$I$118),8,7)</f>
        <v>-0.768302836501594</v>
      </c>
      <c r="I127" s="30" t="n">
        <f aca="false">INDEX(MINVERSE($B$111:$I$118),8,8)</f>
        <v>1.74186409527532</v>
      </c>
    </row>
    <row r="128" customFormat="false" ht="15" hidden="false" customHeight="false" outlineLevel="0" collapsed="false">
      <c r="A128" s="10" t="s">
        <v>188</v>
      </c>
    </row>
    <row r="129" customFormat="false" ht="15" hidden="false" customHeight="false" outlineLevel="0" collapsed="false">
      <c r="B129" s="30" t="n">
        <f aca="false">SUMPRODUCT($M$6:$M$80,$M$6:$M$80)</f>
        <v>0.0402939117675193</v>
      </c>
      <c r="C129" s="30" t="n">
        <f aca="false">SUMPRODUCT($M$6:$M$80,$N$6:$N$80)</f>
        <v>0.000864222745212559</v>
      </c>
      <c r="D129" s="30" t="n">
        <f aca="false">SUMPRODUCT($M$6:$M$80,$O$6:$O$80)</f>
        <v>-0.000149754742510408</v>
      </c>
      <c r="E129" s="30" t="n">
        <f aca="false">SUMPRODUCT($M$6:$M$80,$P$6:$P$80)</f>
        <v>-1.8628377631046</v>
      </c>
      <c r="F129" s="30" t="n">
        <f aca="false">SUMPRODUCT($M$6:$M$80,$Q$6:$Q$80)</f>
        <v>-2.84709630247772E-005</v>
      </c>
      <c r="G129" s="30" t="n">
        <f aca="false">SUMPRODUCT($M$6:$M$80,$R$6:$R$80)</f>
        <v>-0.000218537227198375</v>
      </c>
      <c r="H129" s="30" t="n">
        <f aca="false">SUMPRODUCT($M$6:$M$80,$S$6:$S$80)</f>
        <v>0</v>
      </c>
      <c r="I129" s="30" t="n">
        <f aca="false">SUMPRODUCT($M$6:$M$80,$T$6:$T$80)</f>
        <v>0</v>
      </c>
    </row>
    <row r="130" customFormat="false" ht="15" hidden="false" customHeight="false" outlineLevel="0" collapsed="false">
      <c r="B130" s="30" t="n">
        <f aca="false">SUMPRODUCT($N$6:$N$80,$M$6:$M$80)</f>
        <v>0.000864222745212559</v>
      </c>
      <c r="C130" s="30" t="n">
        <f aca="false">SUMPRODUCT($N$6:$N$80,$N$6:$N$80)</f>
        <v>0.000135756786792598</v>
      </c>
      <c r="D130" s="30" t="n">
        <f aca="false">SUMPRODUCT($N$6:$N$80,$O$6:$O$80)</f>
        <v>-2.25074779557092E-005</v>
      </c>
      <c r="E130" s="30" t="n">
        <f aca="false">SUMPRODUCT($N$6:$N$80,$P$6:$P$80)</f>
        <v>-0.0098667633502446</v>
      </c>
      <c r="F130" s="30" t="n">
        <f aca="false">SUMPRODUCT($N$6:$N$80,$Q$6:$Q$80)</f>
        <v>4.28864566433715E-007</v>
      </c>
      <c r="G130" s="30" t="n">
        <f aca="false">SUMPRODUCT($N$6:$N$80,$R$6:$R$80)</f>
        <v>1.10004986651657E-005</v>
      </c>
      <c r="H130" s="30" t="n">
        <f aca="false">SUMPRODUCT($N$6:$N$80,$S$6:$S$80)</f>
        <v>0</v>
      </c>
      <c r="I130" s="30" t="n">
        <f aca="false">SUMPRODUCT($N$6:$N$80,$T$6:$T$80)</f>
        <v>0</v>
      </c>
    </row>
    <row r="131" customFormat="false" ht="15" hidden="false" customHeight="false" outlineLevel="0" collapsed="false">
      <c r="B131" s="30" t="n">
        <f aca="false">SUMPRODUCT($O$6:$O$80,$M$6:$M$80)</f>
        <v>-0.000149754742510408</v>
      </c>
      <c r="C131" s="30" t="n">
        <f aca="false">SUMPRODUCT($O$6:$O$80,$N$6:$N$80)</f>
        <v>-2.25074779557092E-005</v>
      </c>
      <c r="D131" s="30" t="n">
        <f aca="false">SUMPRODUCT($O$6:$O$80,$O$6:$O$80)</f>
        <v>1.43451122321992E-005</v>
      </c>
      <c r="E131" s="30" t="n">
        <f aca="false">SUMPRODUCT($O$6:$O$80,$P$6:$P$80)</f>
        <v>-0.0186721644349875</v>
      </c>
      <c r="F131" s="30" t="n">
        <f aca="false">SUMPRODUCT($O$6:$O$80,$Q$6:$Q$80)</f>
        <v>-8.86066750907157E-007</v>
      </c>
      <c r="G131" s="30" t="n">
        <f aca="false">SUMPRODUCT($O$6:$O$80,$R$6:$R$80)</f>
        <v>-9.88268758745137E-006</v>
      </c>
      <c r="H131" s="30" t="n">
        <f aca="false">SUMPRODUCT($O$6:$O$80,$S$6:$S$80)</f>
        <v>0</v>
      </c>
      <c r="I131" s="30" t="n">
        <f aca="false">SUMPRODUCT($O$6:$O$80,$T$6:$T$80)</f>
        <v>0</v>
      </c>
    </row>
    <row r="132" customFormat="false" ht="15" hidden="false" customHeight="false" outlineLevel="0" collapsed="false">
      <c r="B132" s="30" t="n">
        <f aca="false">SUMPRODUCT($P$6:$P$80,$M$6:$M$80)</f>
        <v>-1.8628377631046</v>
      </c>
      <c r="C132" s="30" t="n">
        <f aca="false">SUMPRODUCT($P$6:$P$80,$N$6:$N$80)</f>
        <v>-0.0098667633502446</v>
      </c>
      <c r="D132" s="30" t="n">
        <f aca="false">SUMPRODUCT($P$6:$P$80,$O$6:$O$80)</f>
        <v>-0.0186721644349875</v>
      </c>
      <c r="E132" s="30" t="n">
        <f aca="false">SUMPRODUCT($P$6:$P$80,$P$6:$P$80)</f>
        <v>2577.3869757342</v>
      </c>
      <c r="F132" s="30" t="n">
        <f aca="false">SUMPRODUCT($P$6:$P$80,$Q$6:$Q$80)</f>
        <v>0.00807164239580467</v>
      </c>
      <c r="G132" s="30" t="n">
        <f aca="false">SUMPRODUCT($P$6:$P$80,$R$6:$R$80)</f>
        <v>0.0854199656740459</v>
      </c>
      <c r="H132" s="30" t="n">
        <f aca="false">SUMPRODUCT($P$6:$P$80,$S$6:$S$80)</f>
        <v>0</v>
      </c>
      <c r="I132" s="30" t="n">
        <f aca="false">SUMPRODUCT($P$6:$P$80,$T$6:$T$80)</f>
        <v>0</v>
      </c>
    </row>
    <row r="133" customFormat="false" ht="15" hidden="false" customHeight="false" outlineLevel="0" collapsed="false">
      <c r="B133" s="30" t="n">
        <f aca="false">SUMPRODUCT($Q$6:$Q$80,$M$6:$M$80)</f>
        <v>-2.84709630247772E-005</v>
      </c>
      <c r="C133" s="30" t="n">
        <f aca="false">SUMPRODUCT($Q$6:$Q$80,$N$6:$N$80)</f>
        <v>4.28864566433715E-007</v>
      </c>
      <c r="D133" s="30" t="n">
        <f aca="false">SUMPRODUCT($Q$6:$Q$80,$O$6:$O$80)</f>
        <v>-8.86066750907157E-007</v>
      </c>
      <c r="E133" s="30" t="n">
        <f aca="false">SUMPRODUCT($Q$6:$Q$80,$P$6:$P$80)</f>
        <v>0.00807164239580467</v>
      </c>
      <c r="F133" s="30" t="n">
        <f aca="false">SUMPRODUCT($Q$6:$Q$80,$Q$6:$Q$80)</f>
        <v>1.74730641930188E-006</v>
      </c>
      <c r="G133" s="30" t="n">
        <f aca="false">SUMPRODUCT($Q$6:$Q$80,$R$6:$R$80)</f>
        <v>1.59249008162364E-006</v>
      </c>
      <c r="H133" s="30" t="n">
        <f aca="false">SUMPRODUCT($Q$6:$Q$80,$S$6:$S$80)</f>
        <v>0</v>
      </c>
      <c r="I133" s="30" t="n">
        <f aca="false">SUMPRODUCT($Q$6:$Q$80,$T$6:$T$80)</f>
        <v>0</v>
      </c>
    </row>
    <row r="134" customFormat="false" ht="15" hidden="false" customHeight="false" outlineLevel="0" collapsed="false">
      <c r="B134" s="30" t="n">
        <f aca="false">SUMPRODUCT($R$6:$R$80,$M$6:$M$80)</f>
        <v>-0.000218537227198375</v>
      </c>
      <c r="C134" s="30" t="n">
        <f aca="false">SUMPRODUCT($R$6:$R$80,$N$6:$N$80)</f>
        <v>1.10004986651657E-005</v>
      </c>
      <c r="D134" s="30" t="n">
        <f aca="false">SUMPRODUCT($R$6:$R$80,$O$6:$O$80)</f>
        <v>-9.88268758745137E-006</v>
      </c>
      <c r="E134" s="30" t="n">
        <f aca="false">SUMPRODUCT($R$6:$R$80,$P$6:$P$80)</f>
        <v>0.0854199656740459</v>
      </c>
      <c r="F134" s="30" t="n">
        <f aca="false">SUMPRODUCT($R$6:$R$80,$Q$6:$Q$80)</f>
        <v>1.59249008162364E-006</v>
      </c>
      <c r="G134" s="30" t="n">
        <f aca="false">SUMPRODUCT($R$6:$R$80,$R$6:$R$80)</f>
        <v>0.000186989162922833</v>
      </c>
      <c r="H134" s="30" t="n">
        <f aca="false">SUMPRODUCT($R$6:$R$80,$S$6:$S$80)</f>
        <v>0</v>
      </c>
      <c r="I134" s="30" t="n">
        <f aca="false">SUMPRODUCT($R$6:$R$80,$T$6:$T$80)</f>
        <v>0</v>
      </c>
    </row>
    <row r="135" customFormat="false" ht="15" hidden="false" customHeight="false" outlineLevel="0" collapsed="false">
      <c r="B135" s="30" t="n">
        <f aca="false">SUMPRODUCT($S$6:$S$80,$M$6:$M$80)</f>
        <v>0</v>
      </c>
      <c r="C135" s="30" t="n">
        <f aca="false">SUMPRODUCT($S$6:$S$80,$N$6:$N$80)</f>
        <v>0</v>
      </c>
      <c r="D135" s="30" t="n">
        <f aca="false">SUMPRODUCT($S$6:$S$80,$O$6:$O$80)</f>
        <v>0</v>
      </c>
      <c r="E135" s="30" t="n">
        <f aca="false">SUMPRODUCT($S$6:$S$80,$P$6:$P$80)</f>
        <v>0</v>
      </c>
      <c r="F135" s="30" t="n">
        <f aca="false">SUMPRODUCT($S$6:$S$80,$Q$6:$Q$80)</f>
        <v>0</v>
      </c>
      <c r="G135" s="30" t="n">
        <f aca="false">SUMPRODUCT($S$6:$S$80,$R$6:$R$80)</f>
        <v>0</v>
      </c>
      <c r="H135" s="30" t="n">
        <f aca="false">SUMPRODUCT($S$6:$S$80,$S$6:$S$80)</f>
        <v>0</v>
      </c>
      <c r="I135" s="30" t="n">
        <f aca="false">SUMPRODUCT($S$6:$S$80,$T$6:$T$80)</f>
        <v>0</v>
      </c>
    </row>
    <row r="136" customFormat="false" ht="15" hidden="false" customHeight="false" outlineLevel="0" collapsed="false">
      <c r="B136" s="30" t="n">
        <f aca="false">SUMPRODUCT($T$6:$T$80,$M$6:$M$80)</f>
        <v>0</v>
      </c>
      <c r="C136" s="30" t="n">
        <f aca="false">SUMPRODUCT($T$6:$T$80,$N$6:$N$80)</f>
        <v>0</v>
      </c>
      <c r="D136" s="30" t="n">
        <f aca="false">SUMPRODUCT($T$6:$T$80,$O$6:$O$80)</f>
        <v>0</v>
      </c>
      <c r="E136" s="30" t="n">
        <f aca="false">SUMPRODUCT($T$6:$T$80,$P$6:$P$80)</f>
        <v>0</v>
      </c>
      <c r="F136" s="30" t="n">
        <f aca="false">SUMPRODUCT($T$6:$T$80,$Q$6:$Q$80)</f>
        <v>0</v>
      </c>
      <c r="G136" s="30" t="n">
        <f aca="false">SUMPRODUCT($T$6:$T$80,$R$6:$R$80)</f>
        <v>0</v>
      </c>
      <c r="H136" s="30" t="n">
        <f aca="false">SUMPRODUCT($T$6:$T$80,$S$6:$S$80)</f>
        <v>0</v>
      </c>
      <c r="I136" s="30" t="n">
        <f aca="false">SUMPRODUCT($T$6:$T$80,$T$6:$T$80)</f>
        <v>0</v>
      </c>
    </row>
    <row r="137" customFormat="false" ht="15" hidden="false" customHeight="false" outlineLevel="0" collapsed="false">
      <c r="A137" s="10" t="s">
        <v>189</v>
      </c>
    </row>
    <row r="138" customFormat="false" ht="15" hidden="false" customHeight="false" outlineLevel="0" collapsed="false">
      <c r="B138" s="30" t="n">
        <f aca="false">SUMPRODUCT($M$7:$M$80,$M$6:$M$79)</f>
        <v>-0.00447794362985573</v>
      </c>
      <c r="C138" s="30" t="n">
        <f aca="false">SUMPRODUCT($M$7:$M$80,$N$6:$N$79)</f>
        <v>-0.000257465127782021</v>
      </c>
      <c r="D138" s="30" t="n">
        <f aca="false">SUMPRODUCT($M$7:$M$80,$O$6:$O$79)</f>
        <v>-5.88077514000245E-005</v>
      </c>
      <c r="E138" s="30" t="n">
        <f aca="false">SUMPRODUCT($M$7:$M$80,$P$6:$P$79)</f>
        <v>1.34526080859434</v>
      </c>
      <c r="F138" s="30" t="n">
        <f aca="false">SUMPRODUCT($M$7:$M$80,$Q$6:$Q$79)</f>
        <v>-9.86211777129424E-006</v>
      </c>
      <c r="G138" s="30" t="n">
        <f aca="false">SUMPRODUCT($M$7:$M$80,$R$6:$R$79)</f>
        <v>-0.000223319731810478</v>
      </c>
      <c r="H138" s="30" t="n">
        <f aca="false">SUMPRODUCT($M$7:$M$80,$S$6:$S$79)</f>
        <v>0</v>
      </c>
      <c r="I138" s="30" t="n">
        <f aca="false">SUMPRODUCT($M$7:$M$80,$T$6:$T$79)</f>
        <v>0</v>
      </c>
    </row>
    <row r="139" customFormat="false" ht="15" hidden="false" customHeight="false" outlineLevel="0" collapsed="false">
      <c r="B139" s="30" t="n">
        <f aca="false">SUMPRODUCT($N$7:$N$80,$M$6:$M$79)</f>
        <v>-0.000552632275310274</v>
      </c>
      <c r="C139" s="30" t="n">
        <f aca="false">SUMPRODUCT($N$7:$N$80,$N$6:$N$79)</f>
        <v>-2.07361459737146E-005</v>
      </c>
      <c r="D139" s="30" t="n">
        <f aca="false">SUMPRODUCT($N$7:$N$80,$O$6:$O$79)</f>
        <v>-3.5117550262425E-006</v>
      </c>
      <c r="E139" s="30" t="n">
        <f aca="false">SUMPRODUCT($N$7:$N$80,$P$6:$P$79)</f>
        <v>0.130578548310204</v>
      </c>
      <c r="F139" s="30" t="n">
        <f aca="false">SUMPRODUCT($N$7:$N$80,$Q$6:$Q$79)</f>
        <v>4.49493238899446E-006</v>
      </c>
      <c r="G139" s="30" t="n">
        <f aca="false">SUMPRODUCT($N$7:$N$80,$R$6:$R$79)</f>
        <v>-4.18683495952125E-005</v>
      </c>
      <c r="H139" s="30" t="n">
        <f aca="false">SUMPRODUCT($N$7:$N$80,$S$6:$S$79)</f>
        <v>0</v>
      </c>
      <c r="I139" s="30" t="n">
        <f aca="false">SUMPRODUCT($N$7:$N$80,$T$6:$T$79)</f>
        <v>0</v>
      </c>
    </row>
    <row r="140" customFormat="false" ht="15" hidden="false" customHeight="false" outlineLevel="0" collapsed="false">
      <c r="B140" s="30" t="n">
        <f aca="false">SUMPRODUCT($O$7:$O$80,$M$6:$M$79)</f>
        <v>7.8729141158475E-005</v>
      </c>
      <c r="C140" s="30" t="n">
        <f aca="false">SUMPRODUCT($O$7:$O$80,$N$6:$N$79)</f>
        <v>1.2381444213841E-006</v>
      </c>
      <c r="D140" s="30" t="n">
        <f aca="false">SUMPRODUCT($O$7:$O$80,$O$6:$O$79)</f>
        <v>2.79369613697458E-006</v>
      </c>
      <c r="E140" s="30" t="n">
        <f aca="false">SUMPRODUCT($O$7:$O$80,$P$6:$P$79)</f>
        <v>-0.016067447288057</v>
      </c>
      <c r="F140" s="30" t="n">
        <f aca="false">SUMPRODUCT($O$7:$O$80,$Q$6:$Q$79)</f>
        <v>-6.30859291724166E-007</v>
      </c>
      <c r="G140" s="30" t="n">
        <f aca="false">SUMPRODUCT($O$7:$O$80,$R$6:$R$79)</f>
        <v>3.06244597216012E-007</v>
      </c>
      <c r="H140" s="30" t="n">
        <f aca="false">SUMPRODUCT($O$7:$O$80,$S$6:$S$79)</f>
        <v>0</v>
      </c>
      <c r="I140" s="30" t="n">
        <f aca="false">SUMPRODUCT($O$7:$O$80,$T$6:$T$79)</f>
        <v>0</v>
      </c>
    </row>
    <row r="141" customFormat="false" ht="15" hidden="false" customHeight="false" outlineLevel="0" collapsed="false">
      <c r="B141" s="30" t="n">
        <f aca="false">SUMPRODUCT($P$7:$P$80,$M$6:$M$79)</f>
        <v>1.05382506698287</v>
      </c>
      <c r="C141" s="30" t="n">
        <f aca="false">SUMPRODUCT($P$7:$P$80,$N$6:$N$79)</f>
        <v>0.0695849049322911</v>
      </c>
      <c r="D141" s="30" t="n">
        <f aca="false">SUMPRODUCT($P$7:$P$80,$O$6:$O$79)</f>
        <v>-0.0226213342046414</v>
      </c>
      <c r="E141" s="30" t="n">
        <f aca="false">SUMPRODUCT($P$7:$P$80,$P$6:$P$79)</f>
        <v>-464.301815722002</v>
      </c>
      <c r="F141" s="30" t="n">
        <f aca="false">SUMPRODUCT($P$7:$P$80,$Q$6:$Q$79)</f>
        <v>0.0206580204132181</v>
      </c>
      <c r="G141" s="30" t="n">
        <f aca="false">SUMPRODUCT($P$7:$P$80,$R$6:$R$79)</f>
        <v>-0.0318333880643926</v>
      </c>
      <c r="H141" s="30" t="n">
        <f aca="false">SUMPRODUCT($P$7:$P$80,$S$6:$S$79)</f>
        <v>0</v>
      </c>
      <c r="I141" s="30" t="n">
        <f aca="false">SUMPRODUCT($P$7:$P$80,$T$6:$T$79)</f>
        <v>0</v>
      </c>
    </row>
    <row r="142" customFormat="false" ht="15" hidden="false" customHeight="false" outlineLevel="0" collapsed="false">
      <c r="B142" s="30" t="n">
        <f aca="false">SUMPRODUCT($Q$7:$Q$80,$M$6:$M$79)</f>
        <v>1.79374381069908E-005</v>
      </c>
      <c r="C142" s="30" t="n">
        <f aca="false">SUMPRODUCT($Q$7:$Q$80,$N$6:$N$79)</f>
        <v>3.0268638831523E-006</v>
      </c>
      <c r="D142" s="30" t="n">
        <f aca="false">SUMPRODUCT($Q$7:$Q$80,$O$6:$O$79)</f>
        <v>-1.04643432943573E-006</v>
      </c>
      <c r="E142" s="30" t="n">
        <f aca="false">SUMPRODUCT($Q$7:$Q$80,$P$6:$P$79)</f>
        <v>-0.00691230590742785</v>
      </c>
      <c r="F142" s="30" t="n">
        <f aca="false">SUMPRODUCT($Q$7:$Q$80,$Q$6:$Q$79)</f>
        <v>3.83984998154281E-008</v>
      </c>
      <c r="G142" s="30" t="n">
        <f aca="false">SUMPRODUCT($Q$7:$Q$80,$R$6:$R$79)</f>
        <v>2.13033467768506E-006</v>
      </c>
      <c r="H142" s="30" t="n">
        <f aca="false">SUMPRODUCT($Q$7:$Q$80,$S$6:$S$79)</f>
        <v>0</v>
      </c>
      <c r="I142" s="30" t="n">
        <f aca="false">SUMPRODUCT($Q$7:$Q$80,$T$6:$T$79)</f>
        <v>0</v>
      </c>
    </row>
    <row r="143" customFormat="false" ht="15" hidden="false" customHeight="false" outlineLevel="0" collapsed="false">
      <c r="B143" s="30" t="n">
        <f aca="false">SUMPRODUCT($R$7:$R$80,$M$6:$M$79)</f>
        <v>0.000110407067218258</v>
      </c>
      <c r="C143" s="30" t="n">
        <f aca="false">SUMPRODUCT($R$7:$R$80,$N$6:$N$79)</f>
        <v>1.16213067164447E-005</v>
      </c>
      <c r="D143" s="30" t="n">
        <f aca="false">SUMPRODUCT($R$7:$R$80,$O$6:$O$79)</f>
        <v>-6.74852978134507E-006</v>
      </c>
      <c r="E143" s="30" t="n">
        <f aca="false">SUMPRODUCT($R$7:$R$80,$P$6:$P$79)</f>
        <v>0.016354037048959</v>
      </c>
      <c r="F143" s="30" t="n">
        <f aca="false">SUMPRODUCT($R$7:$R$80,$Q$6:$Q$79)</f>
        <v>3.19633006710703E-006</v>
      </c>
      <c r="G143" s="30" t="n">
        <f aca="false">SUMPRODUCT($R$7:$R$80,$R$6:$R$79)</f>
        <v>2.57235367651524E-007</v>
      </c>
      <c r="H143" s="30" t="n">
        <f aca="false">SUMPRODUCT($R$7:$R$80,$S$6:$S$79)</f>
        <v>0</v>
      </c>
      <c r="I143" s="30" t="n">
        <f aca="false">SUMPRODUCT($R$7:$R$80,$T$6:$T$79)</f>
        <v>0</v>
      </c>
    </row>
    <row r="144" customFormat="false" ht="15" hidden="false" customHeight="false" outlineLevel="0" collapsed="false">
      <c r="B144" s="30" t="n">
        <f aca="false">SUMPRODUCT($S$7:$S$80,$M$6:$M$79)</f>
        <v>0</v>
      </c>
      <c r="C144" s="30" t="n">
        <f aca="false">SUMPRODUCT($S$7:$S$80,$N$6:$N$79)</f>
        <v>0</v>
      </c>
      <c r="D144" s="30" t="n">
        <f aca="false">SUMPRODUCT($S$7:$S$80,$O$6:$O$79)</f>
        <v>0</v>
      </c>
      <c r="E144" s="30" t="n">
        <f aca="false">SUMPRODUCT($S$7:$S$80,$P$6:$P$79)</f>
        <v>0</v>
      </c>
      <c r="F144" s="30" t="n">
        <f aca="false">SUMPRODUCT($S$7:$S$80,$Q$6:$Q$79)</f>
        <v>0</v>
      </c>
      <c r="G144" s="30" t="n">
        <f aca="false">SUMPRODUCT($S$7:$S$80,$R$6:$R$79)</f>
        <v>0</v>
      </c>
      <c r="H144" s="30" t="n">
        <f aca="false">SUMPRODUCT($S$7:$S$80,$S$6:$S$79)</f>
        <v>0</v>
      </c>
      <c r="I144" s="30" t="n">
        <f aca="false">SUMPRODUCT($S$7:$S$80,$T$6:$T$79)</f>
        <v>0</v>
      </c>
    </row>
    <row r="145" customFormat="false" ht="15" hidden="false" customHeight="false" outlineLevel="0" collapsed="false">
      <c r="B145" s="30" t="n">
        <f aca="false">SUMPRODUCT($T$7:$T$80,$M$6:$M$79)</f>
        <v>0</v>
      </c>
      <c r="C145" s="30" t="n">
        <f aca="false">SUMPRODUCT($T$7:$T$80,$N$6:$N$79)</f>
        <v>0</v>
      </c>
      <c r="D145" s="30" t="n">
        <f aca="false">SUMPRODUCT($T$7:$T$80,$O$6:$O$79)</f>
        <v>0</v>
      </c>
      <c r="E145" s="30" t="n">
        <f aca="false">SUMPRODUCT($T$7:$T$80,$P$6:$P$79)</f>
        <v>0</v>
      </c>
      <c r="F145" s="30" t="n">
        <f aca="false">SUMPRODUCT($T$7:$T$80,$Q$6:$Q$79)</f>
        <v>0</v>
      </c>
      <c r="G145" s="30" t="n">
        <f aca="false">SUMPRODUCT($T$7:$T$80,$R$6:$R$79)</f>
        <v>0</v>
      </c>
      <c r="H145" s="30" t="n">
        <f aca="false">SUMPRODUCT($T$7:$T$80,$S$6:$S$79)</f>
        <v>0</v>
      </c>
      <c r="I145" s="30" t="n">
        <f aca="false">SUMPRODUCT($T$7:$T$80,$T$6:$T$79)</f>
        <v>0</v>
      </c>
    </row>
    <row r="146" customFormat="false" ht="15" hidden="false" customHeight="false" outlineLevel="0" collapsed="false">
      <c r="A146" s="10" t="s">
        <v>190</v>
      </c>
    </row>
    <row r="147" customFormat="false" ht="15" hidden="false" customHeight="false" outlineLevel="0" collapsed="false">
      <c r="B147" s="30" t="n">
        <f aca="false">SUMPRODUCT($M$8:$M$80,$M$6:$M$78)</f>
        <v>-0.0010543822052704</v>
      </c>
      <c r="C147" s="30" t="n">
        <f aca="false">SUMPRODUCT($M$8:$M$80,$N$6:$N$78)</f>
        <v>0.000156034718330667</v>
      </c>
      <c r="D147" s="30" t="n">
        <f aca="false">SUMPRODUCT($M$8:$M$80,$O$6:$O$78)</f>
        <v>-2.88746308327211E-005</v>
      </c>
      <c r="E147" s="30" t="n">
        <f aca="false">SUMPRODUCT($M$8:$M$80,$P$6:$P$78)</f>
        <v>0.195227725179876</v>
      </c>
      <c r="F147" s="30" t="n">
        <f aca="false">SUMPRODUCT($M$8:$M$80,$Q$6:$Q$78)</f>
        <v>7.10813803514012E-006</v>
      </c>
      <c r="G147" s="30" t="n">
        <f aca="false">SUMPRODUCT($M$8:$M$80,$R$6:$R$78)</f>
        <v>-0.00016205432430651</v>
      </c>
      <c r="H147" s="30" t="n">
        <f aca="false">SUMPRODUCT($M$8:$M$80,$S$6:$S$78)</f>
        <v>0</v>
      </c>
      <c r="I147" s="30" t="n">
        <f aca="false">SUMPRODUCT($M$8:$M$80,$T$6:$T$78)</f>
        <v>0</v>
      </c>
    </row>
    <row r="148" customFormat="false" ht="15" hidden="false" customHeight="false" outlineLevel="0" collapsed="false">
      <c r="B148" s="30" t="n">
        <f aca="false">SUMPRODUCT($N$8:$N$80,$M$6:$M$78)</f>
        <v>5.7191854446819E-005</v>
      </c>
      <c r="C148" s="30" t="n">
        <f aca="false">SUMPRODUCT($N$8:$N$80,$N$6:$N$78)</f>
        <v>-4.65121837020348E-006</v>
      </c>
      <c r="D148" s="30" t="n">
        <f aca="false">SUMPRODUCT($N$8:$N$80,$O$6:$O$78)</f>
        <v>2.27141211753914E-006</v>
      </c>
      <c r="E148" s="30" t="n">
        <f aca="false">SUMPRODUCT($N$8:$N$80,$P$6:$P$78)</f>
        <v>-0.177847120397086</v>
      </c>
      <c r="F148" s="30" t="n">
        <f aca="false">SUMPRODUCT($N$8:$N$80,$Q$6:$Q$78)</f>
        <v>-2.13616471638068E-006</v>
      </c>
      <c r="G148" s="30" t="n">
        <f aca="false">SUMPRODUCT($N$8:$N$80,$R$6:$R$78)</f>
        <v>-4.70145556916468E-006</v>
      </c>
      <c r="H148" s="30" t="n">
        <f aca="false">SUMPRODUCT($N$8:$N$80,$S$6:$S$78)</f>
        <v>0</v>
      </c>
      <c r="I148" s="30" t="n">
        <f aca="false">SUMPRODUCT($N$8:$N$80,$T$6:$T$78)</f>
        <v>0</v>
      </c>
    </row>
    <row r="149" customFormat="false" ht="15" hidden="false" customHeight="false" outlineLevel="0" collapsed="false">
      <c r="B149" s="30" t="n">
        <f aca="false">SUMPRODUCT($O$8:$O$80,$M$6:$M$78)</f>
        <v>-4.01320799510987E-005</v>
      </c>
      <c r="C149" s="30" t="n">
        <f aca="false">SUMPRODUCT($O$8:$O$80,$N$6:$N$78)</f>
        <v>1.99086867158372E-006</v>
      </c>
      <c r="D149" s="30" t="n">
        <f aca="false">SUMPRODUCT($O$8:$O$80,$O$6:$O$78)</f>
        <v>-1.29380138371495E-006</v>
      </c>
      <c r="E149" s="30" t="n">
        <f aca="false">SUMPRODUCT($O$8:$O$80,$P$6:$P$78)</f>
        <v>0.049272605736496</v>
      </c>
      <c r="F149" s="30" t="n">
        <f aca="false">SUMPRODUCT($O$8:$O$80,$Q$6:$Q$78)</f>
        <v>6.90762778463637E-007</v>
      </c>
      <c r="G149" s="30" t="n">
        <f aca="false">SUMPRODUCT($O$8:$O$80,$R$6:$R$78)</f>
        <v>4.74338835121096E-006</v>
      </c>
      <c r="H149" s="30" t="n">
        <f aca="false">SUMPRODUCT($O$8:$O$80,$S$6:$S$78)</f>
        <v>0</v>
      </c>
      <c r="I149" s="30" t="n">
        <f aca="false">SUMPRODUCT($O$8:$O$80,$T$6:$T$78)</f>
        <v>0</v>
      </c>
    </row>
    <row r="150" customFormat="false" ht="15" hidden="false" customHeight="false" outlineLevel="0" collapsed="false">
      <c r="B150" s="30" t="n">
        <f aca="false">SUMPRODUCT($P$8:$P$80,$M$6:$M$78)</f>
        <v>1.04584792685558</v>
      </c>
      <c r="C150" s="30" t="n">
        <f aca="false">SUMPRODUCT($P$8:$P$80,$N$6:$N$78)</f>
        <v>-0.0115419789889815</v>
      </c>
      <c r="D150" s="30" t="n">
        <f aca="false">SUMPRODUCT($P$8:$P$80,$O$6:$O$78)</f>
        <v>-0.0238587389537731</v>
      </c>
      <c r="E150" s="30" t="n">
        <f aca="false">SUMPRODUCT($P$8:$P$80,$P$6:$P$78)</f>
        <v>-344.085125973609</v>
      </c>
      <c r="F150" s="30" t="n">
        <f aca="false">SUMPRODUCT($P$8:$P$80,$Q$6:$Q$78)</f>
        <v>-0.00271213898275535</v>
      </c>
      <c r="G150" s="30" t="n">
        <f aca="false">SUMPRODUCT($P$8:$P$80,$R$6:$R$78)</f>
        <v>0.0508643053489092</v>
      </c>
      <c r="H150" s="30" t="n">
        <f aca="false">SUMPRODUCT($P$8:$P$80,$S$6:$S$78)</f>
        <v>0</v>
      </c>
      <c r="I150" s="30" t="n">
        <f aca="false">SUMPRODUCT($P$8:$P$80,$T$6:$T$78)</f>
        <v>0</v>
      </c>
    </row>
    <row r="151" customFormat="false" ht="15" hidden="false" customHeight="false" outlineLevel="0" collapsed="false">
      <c r="B151" s="30" t="n">
        <f aca="false">SUMPRODUCT($Q$8:$Q$80,$M$6:$M$78)</f>
        <v>2.81181782562201E-005</v>
      </c>
      <c r="C151" s="30" t="n">
        <f aca="false">SUMPRODUCT($Q$8:$Q$80,$N$6:$N$78)</f>
        <v>-6.6238257217632E-007</v>
      </c>
      <c r="D151" s="30" t="n">
        <f aca="false">SUMPRODUCT($Q$8:$Q$80,$O$6:$O$78)</f>
        <v>6.5334630863816E-007</v>
      </c>
      <c r="E151" s="30" t="n">
        <f aca="false">SUMPRODUCT($Q$8:$Q$80,$P$6:$P$78)</f>
        <v>-0.0155356728533237</v>
      </c>
      <c r="F151" s="30" t="n">
        <f aca="false">SUMPRODUCT($Q$8:$Q$80,$Q$6:$Q$78)</f>
        <v>-1.33985710265627E-007</v>
      </c>
      <c r="G151" s="30" t="n">
        <f aca="false">SUMPRODUCT($Q$8:$Q$80,$R$6:$R$78)</f>
        <v>-2.59829800210196E-006</v>
      </c>
      <c r="H151" s="30" t="n">
        <f aca="false">SUMPRODUCT($Q$8:$Q$80,$S$6:$S$78)</f>
        <v>0</v>
      </c>
      <c r="I151" s="30" t="n">
        <f aca="false">SUMPRODUCT($Q$8:$Q$80,$T$6:$T$78)</f>
        <v>0</v>
      </c>
    </row>
    <row r="152" customFormat="false" ht="15" hidden="false" customHeight="false" outlineLevel="0" collapsed="false">
      <c r="B152" s="30" t="n">
        <f aca="false">SUMPRODUCT($R$8:$R$80,$M$6:$M$78)</f>
        <v>0.000119638079593353</v>
      </c>
      <c r="C152" s="30" t="n">
        <f aca="false">SUMPRODUCT($R$8:$R$80,$N$6:$N$78)</f>
        <v>9.31375988672126E-006</v>
      </c>
      <c r="D152" s="30" t="n">
        <f aca="false">SUMPRODUCT($R$8:$R$80,$O$6:$O$78)</f>
        <v>-6.88877123308842E-006</v>
      </c>
      <c r="E152" s="30" t="n">
        <f aca="false">SUMPRODUCT($R$8:$R$80,$P$6:$P$78)</f>
        <v>-0.100527357119146</v>
      </c>
      <c r="F152" s="30" t="n">
        <f aca="false">SUMPRODUCT($R$8:$R$80,$Q$6:$Q$78)</f>
        <v>1.14821007092076E-007</v>
      </c>
      <c r="G152" s="30" t="n">
        <f aca="false">SUMPRODUCT($R$8:$R$80,$R$6:$R$78)</f>
        <v>-2.46761645754649E-005</v>
      </c>
      <c r="H152" s="30" t="n">
        <f aca="false">SUMPRODUCT($R$8:$R$80,$S$6:$S$78)</f>
        <v>0</v>
      </c>
      <c r="I152" s="30" t="n">
        <f aca="false">SUMPRODUCT($R$8:$R$80,$T$6:$T$78)</f>
        <v>0</v>
      </c>
    </row>
    <row r="153" customFormat="false" ht="15" hidden="false" customHeight="false" outlineLevel="0" collapsed="false">
      <c r="B153" s="30" t="n">
        <f aca="false">SUMPRODUCT($S$8:$S$80,$M$6:$M$78)</f>
        <v>0</v>
      </c>
      <c r="C153" s="30" t="n">
        <f aca="false">SUMPRODUCT($S$8:$S$80,$N$6:$N$78)</f>
        <v>0</v>
      </c>
      <c r="D153" s="30" t="n">
        <f aca="false">SUMPRODUCT($S$8:$S$80,$O$6:$O$78)</f>
        <v>0</v>
      </c>
      <c r="E153" s="30" t="n">
        <f aca="false">SUMPRODUCT($S$8:$S$80,$P$6:$P$78)</f>
        <v>0</v>
      </c>
      <c r="F153" s="30" t="n">
        <f aca="false">SUMPRODUCT($S$8:$S$80,$Q$6:$Q$78)</f>
        <v>0</v>
      </c>
      <c r="G153" s="30" t="n">
        <f aca="false">SUMPRODUCT($S$8:$S$80,$R$6:$R$78)</f>
        <v>0</v>
      </c>
      <c r="H153" s="30" t="n">
        <f aca="false">SUMPRODUCT($S$8:$S$80,$S$6:$S$78)</f>
        <v>0</v>
      </c>
      <c r="I153" s="30" t="n">
        <f aca="false">SUMPRODUCT($S$8:$S$80,$T$6:$T$78)</f>
        <v>0</v>
      </c>
    </row>
    <row r="154" customFormat="false" ht="15" hidden="false" customHeight="false" outlineLevel="0" collapsed="false">
      <c r="B154" s="30" t="n">
        <f aca="false">SUMPRODUCT($T$8:$T$80,$M$6:$M$78)</f>
        <v>0</v>
      </c>
      <c r="C154" s="30" t="n">
        <f aca="false">SUMPRODUCT($T$8:$T$80,$N$6:$N$78)</f>
        <v>0</v>
      </c>
      <c r="D154" s="30" t="n">
        <f aca="false">SUMPRODUCT($T$8:$T$80,$O$6:$O$78)</f>
        <v>0</v>
      </c>
      <c r="E154" s="30" t="n">
        <f aca="false">SUMPRODUCT($T$8:$T$80,$P$6:$P$78)</f>
        <v>0</v>
      </c>
      <c r="F154" s="30" t="n">
        <f aca="false">SUMPRODUCT($T$8:$T$80,$Q$6:$Q$78)</f>
        <v>0</v>
      </c>
      <c r="G154" s="30" t="n">
        <f aca="false">SUMPRODUCT($T$8:$T$80,$R$6:$R$78)</f>
        <v>0</v>
      </c>
      <c r="H154" s="30" t="n">
        <f aca="false">SUMPRODUCT($T$8:$T$80,$S$6:$S$78)</f>
        <v>0</v>
      </c>
      <c r="I154" s="30" t="n">
        <f aca="false">SUMPRODUCT($T$8:$T$80,$T$6:$T$78)</f>
        <v>0</v>
      </c>
    </row>
    <row r="155" customFormat="false" ht="15" hidden="false" customHeight="false" outlineLevel="0" collapsed="false">
      <c r="A155" s="10" t="s">
        <v>191</v>
      </c>
    </row>
    <row r="156" customFormat="false" ht="15" hidden="false" customHeight="false" outlineLevel="0" collapsed="false">
      <c r="B156" s="30" t="n">
        <f aca="false">SUMPRODUCT($M$9:$M$80,$M$6:$M$77)</f>
        <v>-0.0015475289824405</v>
      </c>
      <c r="C156" s="30" t="n">
        <f aca="false">SUMPRODUCT($M$9:$M$80,$N$6:$N$77)</f>
        <v>2.39936484241479E-005</v>
      </c>
      <c r="D156" s="30" t="n">
        <f aca="false">SUMPRODUCT($M$9:$M$80,$O$6:$O$77)</f>
        <v>8.19420399680427E-005</v>
      </c>
      <c r="E156" s="30" t="n">
        <f aca="false">SUMPRODUCT($M$9:$M$80,$P$6:$P$77)</f>
        <v>-0.636074905458558</v>
      </c>
      <c r="F156" s="30" t="n">
        <f aca="false">SUMPRODUCT($M$9:$M$80,$Q$6:$Q$77)</f>
        <v>-1.58503128650776E-005</v>
      </c>
      <c r="G156" s="30" t="n">
        <f aca="false">SUMPRODUCT($M$9:$M$80,$R$6:$R$77)</f>
        <v>-0.000161085528430729</v>
      </c>
      <c r="H156" s="30" t="n">
        <f aca="false">SUMPRODUCT($M$9:$M$80,$S$6:$S$77)</f>
        <v>0</v>
      </c>
      <c r="I156" s="30" t="n">
        <f aca="false">SUMPRODUCT($M$9:$M$80,$T$6:$T$77)</f>
        <v>0</v>
      </c>
    </row>
    <row r="157" customFormat="false" ht="15" hidden="false" customHeight="false" outlineLevel="0" collapsed="false">
      <c r="B157" s="30" t="n">
        <f aca="false">SUMPRODUCT($N$9:$N$80,$M$6:$M$77)</f>
        <v>0.000545151524631084</v>
      </c>
      <c r="C157" s="30" t="n">
        <f aca="false">SUMPRODUCT($N$9:$N$80,$N$6:$N$77)</f>
        <v>4.31303571780162E-006</v>
      </c>
      <c r="D157" s="30" t="n">
        <f aca="false">SUMPRODUCT($N$9:$N$80,$O$6:$O$77)</f>
        <v>-1.12789644429447E-006</v>
      </c>
      <c r="E157" s="30" t="n">
        <f aca="false">SUMPRODUCT($N$9:$N$80,$P$6:$P$77)</f>
        <v>-0.0351995364671508</v>
      </c>
      <c r="F157" s="30" t="n">
        <f aca="false">SUMPRODUCT($N$9:$N$80,$Q$6:$Q$77)</f>
        <v>-3.42228284738022E-006</v>
      </c>
      <c r="G157" s="30" t="n">
        <f aca="false">SUMPRODUCT($N$9:$N$80,$R$6:$R$77)</f>
        <v>-3.6593992544566E-006</v>
      </c>
      <c r="H157" s="30" t="n">
        <f aca="false">SUMPRODUCT($N$9:$N$80,$S$6:$S$77)</f>
        <v>0</v>
      </c>
      <c r="I157" s="30" t="n">
        <f aca="false">SUMPRODUCT($N$9:$N$80,$T$6:$T$77)</f>
        <v>0</v>
      </c>
    </row>
    <row r="158" customFormat="false" ht="15" hidden="false" customHeight="false" outlineLevel="0" collapsed="false">
      <c r="B158" s="30" t="n">
        <f aca="false">SUMPRODUCT($O$9:$O$80,$M$6:$M$77)</f>
        <v>1.04183685863087E-006</v>
      </c>
      <c r="C158" s="30" t="n">
        <f aca="false">SUMPRODUCT($O$9:$O$80,$N$6:$N$77)</f>
        <v>4.87813846991082E-006</v>
      </c>
      <c r="D158" s="30" t="n">
        <f aca="false">SUMPRODUCT($O$9:$O$80,$O$6:$O$77)</f>
        <v>-1.07275742948565E-006</v>
      </c>
      <c r="E158" s="30" t="n">
        <f aca="false">SUMPRODUCT($O$9:$O$80,$P$6:$P$77)</f>
        <v>0.00803336177114304</v>
      </c>
      <c r="F158" s="30" t="n">
        <f aca="false">SUMPRODUCT($O$9:$O$80,$Q$6:$Q$77)</f>
        <v>1.14701628590961E-006</v>
      </c>
      <c r="G158" s="30" t="n">
        <f aca="false">SUMPRODUCT($O$9:$O$80,$R$6:$R$77)</f>
        <v>-1.09060629748234E-006</v>
      </c>
      <c r="H158" s="30" t="n">
        <f aca="false">SUMPRODUCT($O$9:$O$80,$S$6:$S$77)</f>
        <v>0</v>
      </c>
      <c r="I158" s="30" t="n">
        <f aca="false">SUMPRODUCT($O$9:$O$80,$T$6:$T$77)</f>
        <v>0</v>
      </c>
    </row>
    <row r="159" customFormat="false" ht="15" hidden="false" customHeight="false" outlineLevel="0" collapsed="false">
      <c r="B159" s="30" t="n">
        <f aca="false">SUMPRODUCT($P$9:$P$80,$M$6:$M$77)</f>
        <v>-2.38295983327064</v>
      </c>
      <c r="C159" s="30" t="n">
        <f aca="false">SUMPRODUCT($P$9:$P$80,$N$6:$N$77)</f>
        <v>0.0704395638540293</v>
      </c>
      <c r="D159" s="30" t="n">
        <f aca="false">SUMPRODUCT($P$9:$P$80,$O$6:$O$77)</f>
        <v>0.0104725396929004</v>
      </c>
      <c r="E159" s="30" t="n">
        <f aca="false">SUMPRODUCT($P$9:$P$80,$P$6:$P$77)</f>
        <v>-270.366555670633</v>
      </c>
      <c r="F159" s="30" t="n">
        <f aca="false">SUMPRODUCT($P$9:$P$80,$Q$6:$Q$77)</f>
        <v>-0.00897568501574996</v>
      </c>
      <c r="G159" s="30" t="n">
        <f aca="false">SUMPRODUCT($P$9:$P$80,$R$6:$R$77)</f>
        <v>-0.0553623808890397</v>
      </c>
      <c r="H159" s="30" t="n">
        <f aca="false">SUMPRODUCT($P$9:$P$80,$S$6:$S$77)</f>
        <v>0</v>
      </c>
      <c r="I159" s="30" t="n">
        <f aca="false">SUMPRODUCT($P$9:$P$80,$T$6:$T$77)</f>
        <v>0</v>
      </c>
    </row>
    <row r="160" customFormat="false" ht="15" hidden="false" customHeight="false" outlineLevel="0" collapsed="false">
      <c r="B160" s="30" t="n">
        <f aca="false">SUMPRODUCT($Q$9:$Q$80,$M$6:$M$77)</f>
        <v>1.69003303485379E-005</v>
      </c>
      <c r="C160" s="30" t="n">
        <f aca="false">SUMPRODUCT($Q$9:$Q$80,$N$6:$N$77)</f>
        <v>-1.54065198580443E-007</v>
      </c>
      <c r="D160" s="30" t="n">
        <f aca="false">SUMPRODUCT($Q$9:$Q$80,$O$6:$O$77)</f>
        <v>1.89184780637337E-009</v>
      </c>
      <c r="E160" s="30" t="n">
        <f aca="false">SUMPRODUCT($Q$9:$Q$80,$P$6:$P$77)</f>
        <v>-0.0088818127145113</v>
      </c>
      <c r="F160" s="30" t="n">
        <f aca="false">SUMPRODUCT($Q$9:$Q$80,$Q$6:$Q$77)</f>
        <v>-2.13946666481291E-007</v>
      </c>
      <c r="G160" s="30" t="n">
        <f aca="false">SUMPRODUCT($Q$9:$Q$80,$R$6:$R$77)</f>
        <v>-1.09112970959578E-006</v>
      </c>
      <c r="H160" s="30" t="n">
        <f aca="false">SUMPRODUCT($Q$9:$Q$80,$S$6:$S$77)</f>
        <v>0</v>
      </c>
      <c r="I160" s="30" t="n">
        <f aca="false">SUMPRODUCT($Q$9:$Q$80,$T$6:$T$77)</f>
        <v>0</v>
      </c>
    </row>
    <row r="161" customFormat="false" ht="15" hidden="false" customHeight="false" outlineLevel="0" collapsed="false">
      <c r="B161" s="30" t="n">
        <f aca="false">SUMPRODUCT($R$9:$R$80,$M$6:$M$77)</f>
        <v>2.38572214155086E-005</v>
      </c>
      <c r="C161" s="30" t="n">
        <f aca="false">SUMPRODUCT($R$9:$R$80,$N$6:$N$77)</f>
        <v>-2.89728847828779E-006</v>
      </c>
      <c r="D161" s="30" t="n">
        <f aca="false">SUMPRODUCT($R$9:$R$80,$O$6:$O$77)</f>
        <v>7.46965993720976E-006</v>
      </c>
      <c r="E161" s="30" t="n">
        <f aca="false">SUMPRODUCT($R$9:$R$80,$P$6:$P$77)</f>
        <v>-0.0184388664707059</v>
      </c>
      <c r="F161" s="30" t="n">
        <f aca="false">SUMPRODUCT($R$9:$R$80,$Q$6:$Q$77)</f>
        <v>-2.48295986430969E-006</v>
      </c>
      <c r="G161" s="30" t="n">
        <f aca="false">SUMPRODUCT($R$9:$R$80,$R$6:$R$77)</f>
        <v>-5.60889663527727E-006</v>
      </c>
      <c r="H161" s="30" t="n">
        <f aca="false">SUMPRODUCT($R$9:$R$80,$S$6:$S$77)</f>
        <v>0</v>
      </c>
      <c r="I161" s="30" t="n">
        <f aca="false">SUMPRODUCT($R$9:$R$80,$T$6:$T$77)</f>
        <v>0</v>
      </c>
    </row>
    <row r="162" customFormat="false" ht="15" hidden="false" customHeight="false" outlineLevel="0" collapsed="false">
      <c r="B162" s="30" t="n">
        <f aca="false">SUMPRODUCT($S$9:$S$80,$M$6:$M$77)</f>
        <v>0</v>
      </c>
      <c r="C162" s="30" t="n">
        <f aca="false">SUMPRODUCT($S$9:$S$80,$N$6:$N$77)</f>
        <v>0</v>
      </c>
      <c r="D162" s="30" t="n">
        <f aca="false">SUMPRODUCT($S$9:$S$80,$O$6:$O$77)</f>
        <v>0</v>
      </c>
      <c r="E162" s="30" t="n">
        <f aca="false">SUMPRODUCT($S$9:$S$80,$P$6:$P$77)</f>
        <v>0</v>
      </c>
      <c r="F162" s="30" t="n">
        <f aca="false">SUMPRODUCT($S$9:$S$80,$Q$6:$Q$77)</f>
        <v>0</v>
      </c>
      <c r="G162" s="30" t="n">
        <f aca="false">SUMPRODUCT($S$9:$S$80,$R$6:$R$77)</f>
        <v>0</v>
      </c>
      <c r="H162" s="30" t="n">
        <f aca="false">SUMPRODUCT($S$9:$S$80,$S$6:$S$77)</f>
        <v>0</v>
      </c>
      <c r="I162" s="30" t="n">
        <f aca="false">SUMPRODUCT($S$9:$S$80,$T$6:$T$77)</f>
        <v>0</v>
      </c>
    </row>
    <row r="163" customFormat="false" ht="15" hidden="false" customHeight="false" outlineLevel="0" collapsed="false">
      <c r="B163" s="30" t="n">
        <f aca="false">SUMPRODUCT($T$9:$T$80,$M$6:$M$77)</f>
        <v>0</v>
      </c>
      <c r="C163" s="30" t="n">
        <f aca="false">SUMPRODUCT($T$9:$T$80,$N$6:$N$77)</f>
        <v>0</v>
      </c>
      <c r="D163" s="30" t="n">
        <f aca="false">SUMPRODUCT($T$9:$T$80,$O$6:$O$77)</f>
        <v>0</v>
      </c>
      <c r="E163" s="30" t="n">
        <f aca="false">SUMPRODUCT($T$9:$T$80,$P$6:$P$77)</f>
        <v>0</v>
      </c>
      <c r="F163" s="30" t="n">
        <f aca="false">SUMPRODUCT($T$9:$T$80,$Q$6:$Q$77)</f>
        <v>0</v>
      </c>
      <c r="G163" s="30" t="n">
        <f aca="false">SUMPRODUCT($T$9:$T$80,$R$6:$R$77)</f>
        <v>0</v>
      </c>
      <c r="H163" s="30" t="n">
        <f aca="false">SUMPRODUCT($T$9:$T$80,$S$6:$S$77)</f>
        <v>0</v>
      </c>
      <c r="I163" s="30" t="n">
        <f aca="false">SUMPRODUCT($T$9:$T$80,$T$6:$T$77)</f>
        <v>0</v>
      </c>
    </row>
    <row r="164" customFormat="false" ht="15" hidden="false" customHeight="false" outlineLevel="0" collapsed="false">
      <c r="A164" s="10" t="s">
        <v>192</v>
      </c>
    </row>
    <row r="165" customFormat="false" ht="15" hidden="false" customHeight="false" outlineLevel="0" collapsed="false">
      <c r="B165" s="30" t="n">
        <f aca="false">SUMPRODUCT($M$10:$M$80,$M$6:$M$76)</f>
        <v>-0.0117912299802481</v>
      </c>
      <c r="C165" s="30" t="n">
        <f aca="false">SUMPRODUCT($M$10:$M$80,$N$6:$N$76)</f>
        <v>-0.000228623062793612</v>
      </c>
      <c r="D165" s="30" t="n">
        <f aca="false">SUMPRODUCT($M$10:$M$80,$O$6:$O$76)</f>
        <v>-7.63311589098122E-006</v>
      </c>
      <c r="E165" s="30" t="n">
        <f aca="false">SUMPRODUCT($M$10:$M$80,$P$6:$P$76)</f>
        <v>-0.919024633133433</v>
      </c>
      <c r="F165" s="30" t="n">
        <f aca="false">SUMPRODUCT($M$10:$M$80,$Q$6:$Q$76)</f>
        <v>2.02556327265394E-005</v>
      </c>
      <c r="G165" s="30" t="n">
        <f aca="false">SUMPRODUCT($M$10:$M$80,$R$6:$R$76)</f>
        <v>9.90587966553158E-005</v>
      </c>
      <c r="H165" s="30" t="n">
        <f aca="false">SUMPRODUCT($M$10:$M$80,$S$6:$S$76)</f>
        <v>0</v>
      </c>
      <c r="I165" s="30" t="n">
        <f aca="false">SUMPRODUCT($M$10:$M$80,$T$6:$T$76)</f>
        <v>0</v>
      </c>
    </row>
    <row r="166" customFormat="false" ht="15" hidden="false" customHeight="false" outlineLevel="0" collapsed="false">
      <c r="B166" s="30" t="n">
        <f aca="false">SUMPRODUCT($N$10:$N$80,$M$6:$M$76)</f>
        <v>-0.000269564259707021</v>
      </c>
      <c r="C166" s="30" t="n">
        <f aca="false">SUMPRODUCT($N$10:$N$80,$N$6:$N$76)</f>
        <v>-1.17088772741275E-005</v>
      </c>
      <c r="D166" s="30" t="n">
        <f aca="false">SUMPRODUCT($N$10:$N$80,$O$6:$O$76)</f>
        <v>1.81988879033592E-007</v>
      </c>
      <c r="E166" s="30" t="n">
        <f aca="false">SUMPRODUCT($N$10:$N$80,$P$6:$P$76)</f>
        <v>0.0552204990759213</v>
      </c>
      <c r="F166" s="30" t="n">
        <f aca="false">SUMPRODUCT($N$10:$N$80,$Q$6:$Q$76)</f>
        <v>5.25963476547475E-007</v>
      </c>
      <c r="G166" s="30" t="n">
        <f aca="false">SUMPRODUCT($N$10:$N$80,$R$6:$R$76)</f>
        <v>-1.60681567393195E-005</v>
      </c>
      <c r="H166" s="30" t="n">
        <f aca="false">SUMPRODUCT($N$10:$N$80,$S$6:$S$76)</f>
        <v>0</v>
      </c>
      <c r="I166" s="30" t="n">
        <f aca="false">SUMPRODUCT($N$10:$N$80,$T$6:$T$76)</f>
        <v>0</v>
      </c>
    </row>
    <row r="167" customFormat="false" ht="15" hidden="false" customHeight="false" outlineLevel="0" collapsed="false">
      <c r="B167" s="30" t="n">
        <f aca="false">SUMPRODUCT($O$10:$O$80,$M$6:$M$76)</f>
        <v>6.96735263792243E-005</v>
      </c>
      <c r="C167" s="30" t="n">
        <f aca="false">SUMPRODUCT($O$10:$O$80,$N$6:$N$76)</f>
        <v>1.03605548736592E-005</v>
      </c>
      <c r="D167" s="30" t="n">
        <f aca="false">SUMPRODUCT($O$10:$O$80,$O$6:$O$76)</f>
        <v>-1.88800652419208E-006</v>
      </c>
      <c r="E167" s="30" t="n">
        <f aca="false">SUMPRODUCT($O$10:$O$80,$P$6:$P$76)</f>
        <v>-0.00732152707357931</v>
      </c>
      <c r="F167" s="30" t="n">
        <f aca="false">SUMPRODUCT($O$10:$O$80,$Q$6:$Q$76)</f>
        <v>1.55359713099342E-007</v>
      </c>
      <c r="G167" s="30" t="n">
        <f aca="false">SUMPRODUCT($O$10:$O$80,$R$6:$R$76)</f>
        <v>-4.77090297764307E-006</v>
      </c>
      <c r="H167" s="30" t="n">
        <f aca="false">SUMPRODUCT($O$10:$O$80,$S$6:$S$76)</f>
        <v>0</v>
      </c>
      <c r="I167" s="30" t="n">
        <f aca="false">SUMPRODUCT($O$10:$O$80,$T$6:$T$76)</f>
        <v>0</v>
      </c>
    </row>
    <row r="168" customFormat="false" ht="15" hidden="false" customHeight="false" outlineLevel="0" collapsed="false">
      <c r="B168" s="30" t="n">
        <f aca="false">SUMPRODUCT($P$10:$P$80,$M$6:$M$76)</f>
        <v>1.26902946238403</v>
      </c>
      <c r="C168" s="30" t="n">
        <f aca="false">SUMPRODUCT($P$10:$P$80,$N$6:$N$76)</f>
        <v>-0.00493124099995238</v>
      </c>
      <c r="D168" s="30" t="n">
        <f aca="false">SUMPRODUCT($P$10:$P$80,$O$6:$O$76)</f>
        <v>-0.00541841118318277</v>
      </c>
      <c r="E168" s="30" t="n">
        <f aca="false">SUMPRODUCT($P$10:$P$80,$P$6:$P$76)</f>
        <v>429.047159036012</v>
      </c>
      <c r="F168" s="30" t="n">
        <f aca="false">SUMPRODUCT($P$10:$P$80,$Q$6:$Q$76)</f>
        <v>-0.00244601549942541</v>
      </c>
      <c r="G168" s="30" t="n">
        <f aca="false">SUMPRODUCT($P$10:$P$80,$R$6:$R$76)</f>
        <v>0.0803294805186899</v>
      </c>
      <c r="H168" s="30" t="n">
        <f aca="false">SUMPRODUCT($P$10:$P$80,$S$6:$S$76)</f>
        <v>0</v>
      </c>
      <c r="I168" s="30" t="n">
        <f aca="false">SUMPRODUCT($P$10:$P$80,$T$6:$T$76)</f>
        <v>0</v>
      </c>
    </row>
    <row r="169" customFormat="false" ht="15" hidden="false" customHeight="false" outlineLevel="0" collapsed="false">
      <c r="B169" s="30" t="n">
        <f aca="false">SUMPRODUCT($Q$10:$Q$80,$M$6:$M$76)</f>
        <v>-7.49484222924381E-006</v>
      </c>
      <c r="C169" s="30" t="n">
        <f aca="false">SUMPRODUCT($Q$10:$Q$80,$N$6:$N$76)</f>
        <v>-1.03119671501694E-006</v>
      </c>
      <c r="D169" s="30" t="n">
        <f aca="false">SUMPRODUCT($Q$10:$Q$80,$O$6:$O$76)</f>
        <v>7.63659569614899E-007</v>
      </c>
      <c r="E169" s="30" t="n">
        <f aca="false">SUMPRODUCT($Q$10:$Q$80,$P$6:$P$76)</f>
        <v>0.030010282116317</v>
      </c>
      <c r="F169" s="30" t="n">
        <f aca="false">SUMPRODUCT($Q$10:$Q$80,$Q$6:$Q$76)</f>
        <v>-2.64540574976579E-007</v>
      </c>
      <c r="G169" s="30" t="n">
        <f aca="false">SUMPRODUCT($Q$10:$Q$80,$R$6:$R$76)</f>
        <v>3.14519099050058E-006</v>
      </c>
      <c r="H169" s="30" t="n">
        <f aca="false">SUMPRODUCT($Q$10:$Q$80,$S$6:$S$76)</f>
        <v>0</v>
      </c>
      <c r="I169" s="30" t="n">
        <f aca="false">SUMPRODUCT($Q$10:$Q$80,$T$6:$T$76)</f>
        <v>0</v>
      </c>
    </row>
    <row r="170" customFormat="false" ht="15" hidden="false" customHeight="false" outlineLevel="0" collapsed="false">
      <c r="B170" s="30" t="n">
        <f aca="false">SUMPRODUCT($R$10:$R$80,$M$6:$M$76)</f>
        <v>3.99188397491595E-005</v>
      </c>
      <c r="C170" s="30" t="n">
        <f aca="false">SUMPRODUCT($R$10:$R$80,$N$6:$N$76)</f>
        <v>4.77923101870427E-006</v>
      </c>
      <c r="D170" s="30" t="n">
        <f aca="false">SUMPRODUCT($R$10:$R$80,$O$6:$O$76)</f>
        <v>2.49612142099231E-006</v>
      </c>
      <c r="E170" s="30" t="n">
        <f aca="false">SUMPRODUCT($R$10:$R$80,$P$6:$P$76)</f>
        <v>0.107673007065526</v>
      </c>
      <c r="F170" s="30" t="n">
        <f aca="false">SUMPRODUCT($R$10:$R$80,$Q$6:$Q$76)</f>
        <v>-1.99412705283472E-007</v>
      </c>
      <c r="G170" s="30" t="n">
        <f aca="false">SUMPRODUCT($R$10:$R$80,$R$6:$R$76)</f>
        <v>2.36570633453411E-005</v>
      </c>
      <c r="H170" s="30" t="n">
        <f aca="false">SUMPRODUCT($R$10:$R$80,$S$6:$S$76)</f>
        <v>0</v>
      </c>
      <c r="I170" s="30" t="n">
        <f aca="false">SUMPRODUCT($R$10:$R$80,$T$6:$T$76)</f>
        <v>0</v>
      </c>
    </row>
    <row r="171" customFormat="false" ht="15" hidden="false" customHeight="false" outlineLevel="0" collapsed="false">
      <c r="B171" s="30" t="n">
        <f aca="false">SUMPRODUCT($S$10:$S$80,$M$6:$M$76)</f>
        <v>0</v>
      </c>
      <c r="C171" s="30" t="n">
        <f aca="false">SUMPRODUCT($S$10:$S$80,$N$6:$N$76)</f>
        <v>0</v>
      </c>
      <c r="D171" s="30" t="n">
        <f aca="false">SUMPRODUCT($S$10:$S$80,$O$6:$O$76)</f>
        <v>0</v>
      </c>
      <c r="E171" s="30" t="n">
        <f aca="false">SUMPRODUCT($S$10:$S$80,$P$6:$P$76)</f>
        <v>0</v>
      </c>
      <c r="F171" s="30" t="n">
        <f aca="false">SUMPRODUCT($S$10:$S$80,$Q$6:$Q$76)</f>
        <v>0</v>
      </c>
      <c r="G171" s="30" t="n">
        <f aca="false">SUMPRODUCT($S$10:$S$80,$R$6:$R$76)</f>
        <v>0</v>
      </c>
      <c r="H171" s="30" t="n">
        <f aca="false">SUMPRODUCT($S$10:$S$80,$S$6:$S$76)</f>
        <v>0</v>
      </c>
      <c r="I171" s="30" t="n">
        <f aca="false">SUMPRODUCT($S$10:$S$80,$T$6:$T$76)</f>
        <v>0</v>
      </c>
    </row>
    <row r="172" customFormat="false" ht="15" hidden="false" customHeight="false" outlineLevel="0" collapsed="false">
      <c r="B172" s="30" t="n">
        <f aca="false">SUMPRODUCT($T$10:$T$80,$M$6:$M$76)</f>
        <v>0</v>
      </c>
      <c r="C172" s="30" t="n">
        <f aca="false">SUMPRODUCT($T$10:$T$80,$N$6:$N$76)</f>
        <v>0</v>
      </c>
      <c r="D172" s="30" t="n">
        <f aca="false">SUMPRODUCT($T$10:$T$80,$O$6:$O$76)</f>
        <v>0</v>
      </c>
      <c r="E172" s="30" t="n">
        <f aca="false">SUMPRODUCT($T$10:$T$80,$P$6:$P$76)</f>
        <v>0</v>
      </c>
      <c r="F172" s="30" t="n">
        <f aca="false">SUMPRODUCT($T$10:$T$80,$Q$6:$Q$76)</f>
        <v>0</v>
      </c>
      <c r="G172" s="30" t="n">
        <f aca="false">SUMPRODUCT($T$10:$T$80,$R$6:$R$76)</f>
        <v>0</v>
      </c>
      <c r="H172" s="30" t="n">
        <f aca="false">SUMPRODUCT($T$10:$T$80,$S$6:$S$76)</f>
        <v>0</v>
      </c>
      <c r="I172" s="30" t="n">
        <f aca="false">SUMPRODUCT($T$10:$T$80,$T$6:$T$76)</f>
        <v>0</v>
      </c>
    </row>
    <row r="173" customFormat="false" ht="15" hidden="false" customHeight="false" outlineLevel="0" collapsed="false">
      <c r="A173" s="10" t="s">
        <v>193</v>
      </c>
    </row>
    <row r="174" customFormat="false" ht="15" hidden="false" customHeight="false" outlineLevel="0" collapsed="false">
      <c r="B174" s="30" t="n">
        <f aca="false">INDEX($B$129:$I$136,1,1)+0.8*(INDEX($B$138:$I$145,1,1)+INDEX($B$138:$I$145,1,1))+0.6*(INDEX($B$147:$I$154,1,1)+INDEX($B$147:$I$154,1,1))+0.4*(INDEX($B$156:$I$163,1,1)+INDEX($B$156:$I$163,1,1))+0.2*(INDEX($B$165:$I$172,1,1)+INDEX($B$165:$I$172,1,1))</f>
        <v>0.025909428135374</v>
      </c>
      <c r="C174" s="30" t="n">
        <f aca="false">INDEX($B$129:$I$136,1,2)+0.8*(INDEX($B$138:$I$145,1,2)+INDEX($B$138:$I$145,2,1))+0.6*(INDEX($B$147:$I$154,1,2)+INDEX($B$147:$I$154,2,1))+0.4*(INDEX($B$156:$I$163,1,2)+INDEX($B$156:$I$163,2,1))+0.2*(INDEX($B$165:$I$172,1,2)+INDEX($B$165:$I$172,2,1))</f>
        <v>0.000472101371127181</v>
      </c>
      <c r="D174" s="30" t="n">
        <f aca="false">INDEX($B$129:$I$136,1,3)+0.8*(INDEX($B$138:$I$145,1,3)+INDEX($B$138:$I$145,3,1))+0.6*(INDEX($B$147:$I$154,1,3)+INDEX($B$147:$I$154,3,1))+0.4*(INDEX($B$156:$I$163,1,3)+INDEX($B$156:$I$163,3,1))+0.2*(INDEX($B$165:$I$172,1,3)+INDEX($B$165:$I$172,3,1))</f>
        <v>-0.000129620024345622</v>
      </c>
      <c r="E174" s="30" t="n">
        <f aca="false">INDEX($B$129:$I$136,1,4)+0.8*(INDEX($B$138:$I$145,1,4)+INDEX($B$138:$I$145,4,1))+0.6*(INDEX($B$147:$I$154,1,4)+INDEX($B$147:$I$154,4,1))+0.4*(INDEX($B$156:$I$163,1,4)+INDEX($B$156:$I$163,4,1))+0.2*(INDEX($B$165:$I$172,1,4)+INDEX($B$165:$I$172,4,1))</f>
        <v>-0.336536601063104</v>
      </c>
      <c r="F174" s="30" t="n">
        <f aca="false">INDEX($B$129:$I$136,1,5)+0.8*(INDEX($B$138:$I$145,1,5)+INDEX($B$138:$I$145,5,1))+0.6*(INDEX($B$147:$I$154,1,5)+INDEX($B$147:$I$154,5,1))+0.4*(INDEX($B$156:$I$163,1,5)+INDEX($B$156:$I$163,5,1))+0.2*(INDEX($B$165:$I$172,1,5)+INDEX($B$165:$I$172,5,1))</f>
        <v>2.09724811143948E-006</v>
      </c>
      <c r="G174" s="30" t="n">
        <f aca="false">INDEX($B$129:$I$136,1,6)+0.8*(INDEX($B$138:$I$145,1,6)+INDEX($B$138:$I$145,6,1))+0.6*(INDEX($B$147:$I$154,1,6)+INDEX($B$147:$I$154,6,1))+0.4*(INDEX($B$156:$I$163,1,6)+INDEX($B$156:$I$163,6,1))+0.2*(INDEX($B$165:$I$172,1,6)+INDEX($B$165:$I$172,6,1))</f>
        <v>-0.000361412901225238</v>
      </c>
      <c r="H174" s="30" t="n">
        <f aca="false">INDEX($B$129:$I$136,1,7)+0.8*(INDEX($B$138:$I$145,1,7)+INDEX($B$138:$I$145,7,1))+0.6*(INDEX($B$147:$I$154,1,7)+INDEX($B$147:$I$154,7,1))+0.4*(INDEX($B$156:$I$163,1,7)+INDEX($B$156:$I$163,7,1))+0.2*(INDEX($B$165:$I$172,1,7)+INDEX($B$165:$I$172,7,1))</f>
        <v>0</v>
      </c>
      <c r="I174" s="30" t="n">
        <f aca="false">INDEX($B$129:$I$136,1,8)+0.8*(INDEX($B$138:$I$145,1,8)+INDEX($B$138:$I$145,8,1))+0.6*(INDEX($B$147:$I$154,1,8)+INDEX($B$147:$I$154,8,1))+0.4*(INDEX($B$156:$I$163,1,8)+INDEX($B$156:$I$163,8,1))+0.2*(INDEX($B$165:$I$172,1,8)+INDEX($B$165:$I$172,8,1))</f>
        <v>0</v>
      </c>
    </row>
    <row r="175" customFormat="false" ht="15" hidden="false" customHeight="false" outlineLevel="0" collapsed="false">
      <c r="B175" s="30" t="n">
        <f aca="false">INDEX($B$129:$I$136,2,1)+0.8*(INDEX($B$138:$I$145,2,1)+INDEX($B$138:$I$145,1,2))+0.6*(INDEX($B$147:$I$154,2,1)+INDEX($B$147:$I$154,1,2))+0.4*(INDEX($B$156:$I$163,2,1)+INDEX($B$156:$I$163,1,2))+0.2*(INDEX($B$165:$I$172,2,1)+INDEX($B$165:$I$172,1,2))</f>
        <v>0.000472101371127181</v>
      </c>
      <c r="C175" s="30" t="n">
        <f aca="false">INDEX($B$129:$I$136,2,2)+0.8*(INDEX($B$138:$I$145,2,2)+INDEX($B$138:$I$145,2,2))+0.6*(INDEX($B$147:$I$154,2,2)+INDEX($B$147:$I$154,2,2))+0.4*(INDEX($B$156:$I$163,2,2)+INDEX($B$156:$I$163,2,2))+0.2*(INDEX($B$165:$I$172,2,2)+INDEX($B$165:$I$172,2,2))</f>
        <v>9.57643688550006E-005</v>
      </c>
      <c r="D175" s="30" t="n">
        <f aca="false">INDEX($B$129:$I$136,2,3)+0.8*(INDEX($B$138:$I$145,2,3)+INDEX($B$138:$I$145,3,2))+0.6*(INDEX($B$147:$I$154,2,3)+INDEX($B$147:$I$154,3,2))+0.4*(INDEX($B$156:$I$163,2,3)+INDEX($B$156:$I$163,3,2))+0.2*(INDEX($B$165:$I$172,2,3)+INDEX($B$165:$I$172,3,2))</f>
        <v>-1.81603924053371E-005</v>
      </c>
      <c r="E175" s="30" t="n">
        <f aca="false">INDEX($B$129:$I$136,2,4)+0.8*(INDEX($B$138:$I$145,2,4)+INDEX($B$138:$I$145,4,2))+0.6*(INDEX($B$147:$I$154,2,4)+INDEX($B$147:$I$154,4,2))+0.4*(INDEX($B$156:$I$163,2,4)+INDEX($B$156:$I$163,4,2))+0.2*(INDEX($B$165:$I$172,2,4)+INDEX($B$165:$I$172,4,2))</f>
        <v>0.060784402182056</v>
      </c>
      <c r="F175" s="30" t="n">
        <f aca="false">INDEX($B$129:$I$136,2,5)+0.8*(INDEX($B$138:$I$145,2,5)+INDEX($B$138:$I$145,5,2))+0.6*(INDEX($B$147:$I$154,2,5)+INDEX($B$147:$I$154,5,2))+0.4*(INDEX($B$156:$I$163,2,5)+INDEX($B$156:$I$163,5,2))+0.2*(INDEX($B$165:$I$172,2,5)+INDEX($B$165:$I$172,5,2))</f>
        <v>3.23558734493877E-006</v>
      </c>
      <c r="G175" s="30" t="n">
        <f aca="false">INDEX($B$129:$I$136,2,6)+0.8*(INDEX($B$138:$I$145,2,6)+INDEX($B$138:$I$145,6,2))+0.6*(INDEX($B$147:$I$154,2,6)+INDEX($B$147:$I$154,6,2))+0.4*(INDEX($B$156:$I$163,2,6)+INDEX($B$156:$I$163,6,2))+0.2*(INDEX($B$165:$I$172,2,6)+INDEX($B$165:$I$172,6,2))</f>
        <v>-1.53102132845354E-005</v>
      </c>
      <c r="H175" s="30" t="n">
        <f aca="false">INDEX($B$129:$I$136,2,7)+0.8*(INDEX($B$138:$I$145,2,7)+INDEX($B$138:$I$145,7,2))+0.6*(INDEX($B$147:$I$154,2,7)+INDEX($B$147:$I$154,7,2))+0.4*(INDEX($B$156:$I$163,2,7)+INDEX($B$156:$I$163,7,2))+0.2*(INDEX($B$165:$I$172,2,7)+INDEX($B$165:$I$172,7,2))</f>
        <v>0</v>
      </c>
      <c r="I175" s="30" t="n">
        <f aca="false">INDEX($B$129:$I$136,2,8)+0.8*(INDEX($B$138:$I$145,2,8)+INDEX($B$138:$I$145,8,2))+0.6*(INDEX($B$147:$I$154,2,8)+INDEX($B$147:$I$154,8,2))+0.4*(INDEX($B$156:$I$163,2,8)+INDEX($B$156:$I$163,8,2))+0.2*(INDEX($B$165:$I$172,2,8)+INDEX($B$165:$I$172,8,2))</f>
        <v>0</v>
      </c>
    </row>
    <row r="176" customFormat="false" ht="15" hidden="false" customHeight="false" outlineLevel="0" collapsed="false">
      <c r="B176" s="30" t="n">
        <f aca="false">INDEX($B$129:$I$136,3,1)+0.8*(INDEX($B$138:$I$145,3,1)+INDEX($B$138:$I$145,1,3))+0.6*(INDEX($B$147:$I$154,3,1)+INDEX($B$147:$I$154,1,3))+0.4*(INDEX($B$156:$I$163,3,1)+INDEX($B$156:$I$163,1,3))+0.2*(INDEX($B$165:$I$172,3,1)+INDEX($B$165:$I$172,1,3))</f>
        <v>-0.000129620024345622</v>
      </c>
      <c r="C176" s="30" t="n">
        <f aca="false">INDEX($B$129:$I$136,3,2)+0.8*(INDEX($B$138:$I$145,3,2)+INDEX($B$138:$I$145,2,3))+0.6*(INDEX($B$147:$I$154,3,2)+INDEX($B$147:$I$154,2,3))+0.4*(INDEX($B$156:$I$163,3,2)+INDEX($B$156:$I$163,2,3))+0.2*(INDEX($B$165:$I$172,3,2)+INDEX($B$165:$I$172,2,3))</f>
        <v>-1.81603924053371E-005</v>
      </c>
      <c r="D176" s="30" t="n">
        <f aca="false">INDEX($B$129:$I$136,3,3)+0.8*(INDEX($B$138:$I$145,3,3)+INDEX($B$138:$I$145,3,3))+0.6*(INDEX($B$147:$I$154,3,3)+INDEX($B$147:$I$154,3,3))+0.4*(INDEX($B$156:$I$163,3,3)+INDEX($B$156:$I$163,3,3))+0.2*(INDEX($B$165:$I$172,3,3)+INDEX($B$165:$I$172,3,3))</f>
        <v>1.56490558376352E-005</v>
      </c>
      <c r="E176" s="30" t="n">
        <f aca="false">INDEX($B$129:$I$136,3,4)+0.8*(INDEX($B$138:$I$145,3,4)+INDEX($B$138:$I$145,4,3))+0.6*(INDEX($B$147:$I$154,3,4)+INDEX($B$147:$I$154,4,3))+0.4*(INDEX($B$156:$I$163,3,4)+INDEX($B$156:$I$163,4,3))+0.2*(INDEX($B$165:$I$172,3,4)+INDEX($B$165:$I$172,4,3))</f>
        <v>-0.0295204966252475</v>
      </c>
      <c r="F176" s="30" t="n">
        <f aca="false">INDEX($B$129:$I$136,3,5)+0.8*(INDEX($B$138:$I$145,3,5)+INDEX($B$138:$I$145,5,3))+0.6*(INDEX($B$147:$I$154,3,5)+INDEX($B$147:$I$154,5,3))+0.4*(INDEX($B$156:$I$163,3,5)+INDEX($B$156:$I$163,5,3))+0.2*(INDEX($B$165:$I$172,3,5)+INDEX($B$165:$I$172,5,3))</f>
        <v>-7.78069085544757E-007</v>
      </c>
      <c r="G176" s="30" t="n">
        <f aca="false">INDEX($B$129:$I$136,3,6)+0.8*(INDEX($B$138:$I$145,3,6)+INDEX($B$138:$I$145,6,3))+0.6*(INDEX($B$147:$I$154,3,6)+INDEX($B$147:$I$154,6,3))+0.4*(INDEX($B$156:$I$163,3,6)+INDEX($B$156:$I$163,6,3))+0.2*(INDEX($B$165:$I$172,3,6)+INDEX($B$165:$I$172,6,3))</f>
        <v>-1.42270803193203E-005</v>
      </c>
      <c r="H176" s="30" t="n">
        <f aca="false">INDEX($B$129:$I$136,3,7)+0.8*(INDEX($B$138:$I$145,3,7)+INDEX($B$138:$I$145,7,3))+0.6*(INDEX($B$147:$I$154,3,7)+INDEX($B$147:$I$154,7,3))+0.4*(INDEX($B$156:$I$163,3,7)+INDEX($B$156:$I$163,7,3))+0.2*(INDEX($B$165:$I$172,3,7)+INDEX($B$165:$I$172,7,3))</f>
        <v>0</v>
      </c>
      <c r="I176" s="30" t="n">
        <f aca="false">INDEX($B$129:$I$136,3,8)+0.8*(INDEX($B$138:$I$145,3,8)+INDEX($B$138:$I$145,8,3))+0.6*(INDEX($B$147:$I$154,3,8)+INDEX($B$147:$I$154,8,3))+0.4*(INDEX($B$156:$I$163,3,8)+INDEX($B$156:$I$163,8,3))+0.2*(INDEX($B$165:$I$172,3,8)+INDEX($B$165:$I$172,8,3))</f>
        <v>0</v>
      </c>
    </row>
    <row r="177" customFormat="false" ht="15" hidden="false" customHeight="false" outlineLevel="0" collapsed="false">
      <c r="B177" s="30" t="n">
        <f aca="false">INDEX($B$129:$I$136,4,1)+0.8*(INDEX($B$138:$I$145,4,1)+INDEX($B$138:$I$145,1,4))+0.6*(INDEX($B$147:$I$154,4,1)+INDEX($B$147:$I$154,1,4))+0.4*(INDEX($B$156:$I$163,4,1)+INDEX($B$156:$I$163,1,4))+0.2*(INDEX($B$165:$I$172,4,1)+INDEX($B$165:$I$172,1,4))</f>
        <v>-0.336536601063104</v>
      </c>
      <c r="C177" s="30" t="n">
        <f aca="false">INDEX($B$129:$I$136,4,2)+0.8*(INDEX($B$138:$I$145,4,2)+INDEX($B$138:$I$145,2,4))+0.6*(INDEX($B$147:$I$154,4,2)+INDEX($B$147:$I$154,2,4))+0.4*(INDEX($B$156:$I$163,4,2)+INDEX($B$156:$I$163,2,4))+0.2*(INDEX($B$165:$I$172,4,2)+INDEX($B$165:$I$172,2,4))</f>
        <v>0.060784402182056</v>
      </c>
      <c r="D177" s="30" t="n">
        <f aca="false">INDEX($B$129:$I$136,4,3)+0.8*(INDEX($B$138:$I$145,4,3)+INDEX($B$138:$I$145,3,4))+0.6*(INDEX($B$147:$I$154,4,3)+INDEX($B$147:$I$154,3,4))+0.4*(INDEX($B$156:$I$163,4,3)+INDEX($B$156:$I$163,3,4))+0.2*(INDEX($B$165:$I$172,4,3)+INDEX($B$165:$I$172,3,4))</f>
        <v>-0.0295204966252475</v>
      </c>
      <c r="E177" s="30" t="n">
        <f aca="false">INDEX($B$129:$I$136,4,4)+0.8*(INDEX($B$138:$I$145,4,4)+INDEX($B$138:$I$145,4,4))+0.6*(INDEX($B$147:$I$154,4,4)+INDEX($B$147:$I$154,4,4))+0.4*(INDEX($B$156:$I$163,4,4)+INDEX($B$156:$I$163,4,4))+0.2*(INDEX($B$165:$I$172,4,4)+INDEX($B$165:$I$172,4,4))</f>
        <v>1376.92753848856</v>
      </c>
      <c r="F177" s="30" t="n">
        <f aca="false">INDEX($B$129:$I$136,4,5)+0.8*(INDEX($B$138:$I$145,4,5)+INDEX($B$138:$I$145,5,4))+0.6*(INDEX($B$147:$I$154,4,5)+INDEX($B$147:$I$154,5,4))+0.4*(INDEX($B$156:$I$163,4,5)+INDEX($B$156:$I$163,5,4))+0.2*(INDEX($B$165:$I$172,4,5)+INDEX($B$165:$I$172,5,4))</f>
        <v>0.00648938113006329</v>
      </c>
      <c r="G177" s="30" t="n">
        <f aca="false">INDEX($B$129:$I$136,4,6)+0.8*(INDEX($B$138:$I$145,4,6)+INDEX($B$138:$I$145,6,4))+0.6*(INDEX($B$147:$I$154,4,6)+INDEX($B$147:$I$154,6,4))+0.4*(INDEX($B$156:$I$163,4,6)+INDEX($B$156:$I$163,6,4))+0.2*(INDEX($B$165:$I$172,4,6)+INDEX($B$165:$I$172,6,4))</f>
        <v>0.0513186523725017</v>
      </c>
      <c r="H177" s="30" t="n">
        <f aca="false">INDEX($B$129:$I$136,4,7)+0.8*(INDEX($B$138:$I$145,4,7)+INDEX($B$138:$I$145,7,4))+0.6*(INDEX($B$147:$I$154,4,7)+INDEX($B$147:$I$154,7,4))+0.4*(INDEX($B$156:$I$163,4,7)+INDEX($B$156:$I$163,7,4))+0.2*(INDEX($B$165:$I$172,4,7)+INDEX($B$165:$I$172,7,4))</f>
        <v>0</v>
      </c>
      <c r="I177" s="30" t="n">
        <f aca="false">INDEX($B$129:$I$136,4,8)+0.8*(INDEX($B$138:$I$145,4,8)+INDEX($B$138:$I$145,8,4))+0.6*(INDEX($B$147:$I$154,4,8)+INDEX($B$147:$I$154,8,4))+0.4*(INDEX($B$156:$I$163,4,8)+INDEX($B$156:$I$163,8,4))+0.2*(INDEX($B$165:$I$172,4,8)+INDEX($B$165:$I$172,8,4))</f>
        <v>0</v>
      </c>
    </row>
    <row r="178" customFormat="false" ht="15" hidden="false" customHeight="false" outlineLevel="0" collapsed="false">
      <c r="B178" s="30" t="n">
        <f aca="false">INDEX($B$129:$I$136,5,1)+0.8*(INDEX($B$138:$I$145,5,1)+INDEX($B$138:$I$145,1,5))+0.6*(INDEX($B$147:$I$154,5,1)+INDEX($B$147:$I$154,1,5))+0.4*(INDEX($B$156:$I$163,5,1)+INDEX($B$156:$I$163,1,5))+0.2*(INDEX($B$165:$I$172,5,1)+INDEX($B$165:$I$172,1,5))</f>
        <v>2.09724811143948E-006</v>
      </c>
      <c r="C178" s="30" t="n">
        <f aca="false">INDEX($B$129:$I$136,5,2)+0.8*(INDEX($B$138:$I$145,5,2)+INDEX($B$138:$I$145,2,5))+0.6*(INDEX($B$147:$I$154,5,2)+INDEX($B$147:$I$154,2,5))+0.4*(INDEX($B$156:$I$163,5,2)+INDEX($B$156:$I$163,2,5))+0.2*(INDEX($B$165:$I$172,5,2)+INDEX($B$165:$I$172,2,5))</f>
        <v>3.23558734493877E-006</v>
      </c>
      <c r="D178" s="30" t="n">
        <f aca="false">INDEX($B$129:$I$136,5,3)+0.8*(INDEX($B$138:$I$145,5,3)+INDEX($B$138:$I$145,3,5))+0.6*(INDEX($B$147:$I$154,5,3)+INDEX($B$147:$I$154,3,5))+0.4*(INDEX($B$156:$I$163,5,3)+INDEX($B$156:$I$163,3,5))+0.2*(INDEX($B$165:$I$172,5,3)+INDEX($B$165:$I$172,3,5))</f>
        <v>-7.78069085544757E-007</v>
      </c>
      <c r="E178" s="30" t="n">
        <f aca="false">INDEX($B$129:$I$136,5,4)+0.8*(INDEX($B$138:$I$145,5,4)+INDEX($B$138:$I$145,4,5))+0.6*(INDEX($B$147:$I$154,5,4)+INDEX($B$147:$I$154,4,5))+0.4*(INDEX($B$156:$I$163,5,4)+INDEX($B$156:$I$163,4,5))+0.2*(INDEX($B$165:$I$172,5,4)+INDEX($B$165:$I$172,4,5))</f>
        <v>0.00648938113006329</v>
      </c>
      <c r="F178" s="30" t="n">
        <f aca="false">INDEX($B$129:$I$136,5,5)+0.8*(INDEX($B$138:$I$145,5,5)+INDEX($B$138:$I$145,5,5))+0.6*(INDEX($B$147:$I$154,5,5)+INDEX($B$147:$I$154,5,5))+0.4*(INDEX($B$156:$I$163,5,5)+INDEX($B$156:$I$163,5,5))+0.2*(INDEX($B$165:$I$172,5,5)+INDEX($B$165:$I$172,5,5))</f>
        <v>1.37098760351215E-006</v>
      </c>
      <c r="G178" s="30" t="n">
        <f aca="false">INDEX($B$129:$I$136,5,6)+0.8*(INDEX($B$138:$I$145,5,6)+INDEX($B$138:$I$145,6,5))+0.6*(INDEX($B$147:$I$154,5,6)+INDEX($B$147:$I$154,6,5))+0.4*(INDEX($B$156:$I$163,5,6)+INDEX($B$156:$I$163,6,5))+0.2*(INDEX($B$165:$I$172,5,6)+INDEX($B$165:$I$172,6,5))</f>
        <v>3.52325550793261E-006</v>
      </c>
      <c r="H178" s="30" t="n">
        <f aca="false">INDEX($B$129:$I$136,5,7)+0.8*(INDEX($B$138:$I$145,5,7)+INDEX($B$138:$I$145,7,5))+0.6*(INDEX($B$147:$I$154,5,7)+INDEX($B$147:$I$154,7,5))+0.4*(INDEX($B$156:$I$163,5,7)+INDEX($B$156:$I$163,7,5))+0.2*(INDEX($B$165:$I$172,5,7)+INDEX($B$165:$I$172,7,5))</f>
        <v>0</v>
      </c>
      <c r="I178" s="30" t="n">
        <f aca="false">INDEX($B$129:$I$136,5,8)+0.8*(INDEX($B$138:$I$145,5,8)+INDEX($B$138:$I$145,8,5))+0.6*(INDEX($B$147:$I$154,5,8)+INDEX($B$147:$I$154,8,5))+0.4*(INDEX($B$156:$I$163,5,8)+INDEX($B$156:$I$163,8,5))+0.2*(INDEX($B$165:$I$172,5,8)+INDEX($B$165:$I$172,8,5))</f>
        <v>0</v>
      </c>
    </row>
    <row r="179" customFormat="false" ht="15" hidden="false" customHeight="false" outlineLevel="0" collapsed="false">
      <c r="B179" s="30" t="n">
        <f aca="false">INDEX($B$129:$I$136,6,1)+0.8*(INDEX($B$138:$I$145,6,1)+INDEX($B$138:$I$145,1,6))+0.6*(INDEX($B$147:$I$154,6,1)+INDEX($B$147:$I$154,1,6))+0.4*(INDEX($B$156:$I$163,6,1)+INDEX($B$156:$I$163,1,6))+0.2*(INDEX($B$165:$I$172,6,1)+INDEX($B$165:$I$172,1,6))</f>
        <v>-0.000361412901225238</v>
      </c>
      <c r="C179" s="30" t="n">
        <f aca="false">INDEX($B$129:$I$136,6,2)+0.8*(INDEX($B$138:$I$145,6,2)+INDEX($B$138:$I$145,2,6))+0.6*(INDEX($B$147:$I$154,6,2)+INDEX($B$147:$I$154,2,6))+0.4*(INDEX($B$156:$I$163,6,2)+INDEX($B$156:$I$163,2,6))+0.2*(INDEX($B$165:$I$172,6,2)+INDEX($B$165:$I$172,2,6))</f>
        <v>-1.53102132845354E-005</v>
      </c>
      <c r="D179" s="30" t="n">
        <f aca="false">INDEX($B$129:$I$136,6,3)+0.8*(INDEX($B$138:$I$145,6,3)+INDEX($B$138:$I$145,3,6))+0.6*(INDEX($B$147:$I$154,6,3)+INDEX($B$147:$I$154,3,6))+0.4*(INDEX($B$156:$I$163,6,3)+INDEX($B$156:$I$163,3,6))+0.2*(INDEX($B$165:$I$172,6,3)+INDEX($B$165:$I$172,3,6))</f>
        <v>-1.42270803193203E-005</v>
      </c>
      <c r="E179" s="30" t="n">
        <f aca="false">INDEX($B$129:$I$136,6,4)+0.8*(INDEX($B$138:$I$145,6,4)+INDEX($B$138:$I$145,4,6))+0.6*(INDEX($B$147:$I$154,6,4)+INDEX($B$147:$I$154,4,6))+0.4*(INDEX($B$156:$I$163,6,4)+INDEX($B$156:$I$163,4,6))+0.2*(INDEX($B$165:$I$172,6,4)+INDEX($B$165:$I$172,4,6))</f>
        <v>0.0513186523725017</v>
      </c>
      <c r="F179" s="30" t="n">
        <f aca="false">INDEX($B$129:$I$136,6,5)+0.8*(INDEX($B$138:$I$145,6,5)+INDEX($B$138:$I$145,5,6))+0.6*(INDEX($B$147:$I$154,6,5)+INDEX($B$147:$I$154,5,6))+0.4*(INDEX($B$156:$I$163,6,5)+INDEX($B$156:$I$163,5,6))+0.2*(INDEX($B$165:$I$172,6,5)+INDEX($B$165:$I$172,5,6))</f>
        <v>3.52325550793261E-006</v>
      </c>
      <c r="G179" s="30" t="n">
        <f aca="false">INDEX($B$129:$I$136,6,6)+0.8*(INDEX($B$138:$I$145,6,6)+INDEX($B$138:$I$145,6,6))+0.6*(INDEX($B$147:$I$154,6,6)+INDEX($B$147:$I$154,6,6))+0.4*(INDEX($B$156:$I$163,6,6)+INDEX($B$156:$I$163,6,6))+0.2*(INDEX($B$165:$I$172,6,6)+INDEX($B$165:$I$172,6,6))</f>
        <v>0.000162765050050432</v>
      </c>
      <c r="H179" s="30" t="n">
        <f aca="false">INDEX($B$129:$I$136,6,7)+0.8*(INDEX($B$138:$I$145,6,7)+INDEX($B$138:$I$145,7,6))+0.6*(INDEX($B$147:$I$154,6,7)+INDEX($B$147:$I$154,7,6))+0.4*(INDEX($B$156:$I$163,6,7)+INDEX($B$156:$I$163,7,6))+0.2*(INDEX($B$165:$I$172,6,7)+INDEX($B$165:$I$172,7,6))</f>
        <v>0</v>
      </c>
      <c r="I179" s="30" t="n">
        <f aca="false">INDEX($B$129:$I$136,6,8)+0.8*(INDEX($B$138:$I$145,6,8)+INDEX($B$138:$I$145,8,6))+0.6*(INDEX($B$147:$I$154,6,8)+INDEX($B$147:$I$154,8,6))+0.4*(INDEX($B$156:$I$163,6,8)+INDEX($B$156:$I$163,8,6))+0.2*(INDEX($B$165:$I$172,6,8)+INDEX($B$165:$I$172,8,6))</f>
        <v>0</v>
      </c>
    </row>
    <row r="180" customFormat="false" ht="15" hidden="false" customHeight="false" outlineLevel="0" collapsed="false">
      <c r="B180" s="30" t="n">
        <f aca="false">INDEX($B$129:$I$136,7,1)+0.8*(INDEX($B$138:$I$145,7,1)+INDEX($B$138:$I$145,1,7))+0.6*(INDEX($B$147:$I$154,7,1)+INDEX($B$147:$I$154,1,7))+0.4*(INDEX($B$156:$I$163,7,1)+INDEX($B$156:$I$163,1,7))+0.2*(INDEX($B$165:$I$172,7,1)+INDEX($B$165:$I$172,1,7))</f>
        <v>0</v>
      </c>
      <c r="C180" s="30" t="n">
        <f aca="false">INDEX($B$129:$I$136,7,2)+0.8*(INDEX($B$138:$I$145,7,2)+INDEX($B$138:$I$145,2,7))+0.6*(INDEX($B$147:$I$154,7,2)+INDEX($B$147:$I$154,2,7))+0.4*(INDEX($B$156:$I$163,7,2)+INDEX($B$156:$I$163,2,7))+0.2*(INDEX($B$165:$I$172,7,2)+INDEX($B$165:$I$172,2,7))</f>
        <v>0</v>
      </c>
      <c r="D180" s="30" t="n">
        <f aca="false">INDEX($B$129:$I$136,7,3)+0.8*(INDEX($B$138:$I$145,7,3)+INDEX($B$138:$I$145,3,7))+0.6*(INDEX($B$147:$I$154,7,3)+INDEX($B$147:$I$154,3,7))+0.4*(INDEX($B$156:$I$163,7,3)+INDEX($B$156:$I$163,3,7))+0.2*(INDEX($B$165:$I$172,7,3)+INDEX($B$165:$I$172,3,7))</f>
        <v>0</v>
      </c>
      <c r="E180" s="30" t="n">
        <f aca="false">INDEX($B$129:$I$136,7,4)+0.8*(INDEX($B$138:$I$145,7,4)+INDEX($B$138:$I$145,4,7))+0.6*(INDEX($B$147:$I$154,7,4)+INDEX($B$147:$I$154,4,7))+0.4*(INDEX($B$156:$I$163,7,4)+INDEX($B$156:$I$163,4,7))+0.2*(INDEX($B$165:$I$172,7,4)+INDEX($B$165:$I$172,4,7))</f>
        <v>0</v>
      </c>
      <c r="F180" s="30" t="n">
        <f aca="false">INDEX($B$129:$I$136,7,5)+0.8*(INDEX($B$138:$I$145,7,5)+INDEX($B$138:$I$145,5,7))+0.6*(INDEX($B$147:$I$154,7,5)+INDEX($B$147:$I$154,5,7))+0.4*(INDEX($B$156:$I$163,7,5)+INDEX($B$156:$I$163,5,7))+0.2*(INDEX($B$165:$I$172,7,5)+INDEX($B$165:$I$172,5,7))</f>
        <v>0</v>
      </c>
      <c r="G180" s="30" t="n">
        <f aca="false">INDEX($B$129:$I$136,7,6)+0.8*(INDEX($B$138:$I$145,7,6)+INDEX($B$138:$I$145,6,7))+0.6*(INDEX($B$147:$I$154,7,6)+INDEX($B$147:$I$154,6,7))+0.4*(INDEX($B$156:$I$163,7,6)+INDEX($B$156:$I$163,6,7))+0.2*(INDEX($B$165:$I$172,7,6)+INDEX($B$165:$I$172,6,7))</f>
        <v>0</v>
      </c>
      <c r="H180" s="30" t="n">
        <f aca="false">INDEX($B$129:$I$136,7,7)+0.8*(INDEX($B$138:$I$145,7,7)+INDEX($B$138:$I$145,7,7))+0.6*(INDEX($B$147:$I$154,7,7)+INDEX($B$147:$I$154,7,7))+0.4*(INDEX($B$156:$I$163,7,7)+INDEX($B$156:$I$163,7,7))+0.2*(INDEX($B$165:$I$172,7,7)+INDEX($B$165:$I$172,7,7))</f>
        <v>0</v>
      </c>
      <c r="I180" s="30" t="n">
        <f aca="false">INDEX($B$129:$I$136,7,8)+0.8*(INDEX($B$138:$I$145,7,8)+INDEX($B$138:$I$145,8,7))+0.6*(INDEX($B$147:$I$154,7,8)+INDEX($B$147:$I$154,8,7))+0.4*(INDEX($B$156:$I$163,7,8)+INDEX($B$156:$I$163,8,7))+0.2*(INDEX($B$165:$I$172,7,8)+INDEX($B$165:$I$172,8,7))</f>
        <v>0</v>
      </c>
    </row>
    <row r="181" customFormat="false" ht="15" hidden="false" customHeight="false" outlineLevel="0" collapsed="false">
      <c r="B181" s="30" t="n">
        <f aca="false">INDEX($B$129:$I$136,8,1)+0.8*(INDEX($B$138:$I$145,8,1)+INDEX($B$138:$I$145,1,8))+0.6*(INDEX($B$147:$I$154,8,1)+INDEX($B$147:$I$154,1,8))+0.4*(INDEX($B$156:$I$163,8,1)+INDEX($B$156:$I$163,1,8))+0.2*(INDEX($B$165:$I$172,8,1)+INDEX($B$165:$I$172,1,8))</f>
        <v>0</v>
      </c>
      <c r="C181" s="30" t="n">
        <f aca="false">INDEX($B$129:$I$136,8,2)+0.8*(INDEX($B$138:$I$145,8,2)+INDEX($B$138:$I$145,2,8))+0.6*(INDEX($B$147:$I$154,8,2)+INDEX($B$147:$I$154,2,8))+0.4*(INDEX($B$156:$I$163,8,2)+INDEX($B$156:$I$163,2,8))+0.2*(INDEX($B$165:$I$172,8,2)+INDEX($B$165:$I$172,2,8))</f>
        <v>0</v>
      </c>
      <c r="D181" s="30" t="n">
        <f aca="false">INDEX($B$129:$I$136,8,3)+0.8*(INDEX($B$138:$I$145,8,3)+INDEX($B$138:$I$145,3,8))+0.6*(INDEX($B$147:$I$154,8,3)+INDEX($B$147:$I$154,3,8))+0.4*(INDEX($B$156:$I$163,8,3)+INDEX($B$156:$I$163,3,8))+0.2*(INDEX($B$165:$I$172,8,3)+INDEX($B$165:$I$172,3,8))</f>
        <v>0</v>
      </c>
      <c r="E181" s="30" t="n">
        <f aca="false">INDEX($B$129:$I$136,8,4)+0.8*(INDEX($B$138:$I$145,8,4)+INDEX($B$138:$I$145,4,8))+0.6*(INDEX($B$147:$I$154,8,4)+INDEX($B$147:$I$154,4,8))+0.4*(INDEX($B$156:$I$163,8,4)+INDEX($B$156:$I$163,4,8))+0.2*(INDEX($B$165:$I$172,8,4)+INDEX($B$165:$I$172,4,8))</f>
        <v>0</v>
      </c>
      <c r="F181" s="30" t="n">
        <f aca="false">INDEX($B$129:$I$136,8,5)+0.8*(INDEX($B$138:$I$145,8,5)+INDEX($B$138:$I$145,5,8))+0.6*(INDEX($B$147:$I$154,8,5)+INDEX($B$147:$I$154,5,8))+0.4*(INDEX($B$156:$I$163,8,5)+INDEX($B$156:$I$163,5,8))+0.2*(INDEX($B$165:$I$172,8,5)+INDEX($B$165:$I$172,5,8))</f>
        <v>0</v>
      </c>
      <c r="G181" s="30" t="n">
        <f aca="false">INDEX($B$129:$I$136,8,6)+0.8*(INDEX($B$138:$I$145,8,6)+INDEX($B$138:$I$145,6,8))+0.6*(INDEX($B$147:$I$154,8,6)+INDEX($B$147:$I$154,6,8))+0.4*(INDEX($B$156:$I$163,8,6)+INDEX($B$156:$I$163,6,8))+0.2*(INDEX($B$165:$I$172,8,6)+INDEX($B$165:$I$172,6,8))</f>
        <v>0</v>
      </c>
      <c r="H181" s="30" t="n">
        <f aca="false">INDEX($B$129:$I$136,8,7)+0.8*(INDEX($B$138:$I$145,8,7)+INDEX($B$138:$I$145,7,8))+0.6*(INDEX($B$147:$I$154,8,7)+INDEX($B$147:$I$154,7,8))+0.4*(INDEX($B$156:$I$163,8,7)+INDEX($B$156:$I$163,7,8))+0.2*(INDEX($B$165:$I$172,8,7)+INDEX($B$165:$I$172,7,8))</f>
        <v>0</v>
      </c>
      <c r="I181" s="30" t="n">
        <f aca="false">INDEX($B$129:$I$136,8,8)+0.8*(INDEX($B$138:$I$145,8,8)+INDEX($B$138:$I$145,8,8))+0.6*(INDEX($B$147:$I$154,8,8)+INDEX($B$147:$I$154,8,8))+0.4*(INDEX($B$156:$I$163,8,8)+INDEX($B$156:$I$163,8,8))+0.2*(INDEX($B$165:$I$172,8,8)+INDEX($B$165:$I$172,8,8))</f>
        <v>0</v>
      </c>
    </row>
    <row r="182" customFormat="false" ht="15" hidden="false" customHeight="false" outlineLevel="0" collapsed="false">
      <c r="A182" s="10" t="s">
        <v>194</v>
      </c>
    </row>
    <row r="183" customFormat="false" ht="15" hidden="false" customHeight="false" outlineLevel="0" collapsed="false">
      <c r="B183" s="30" t="n">
        <f aca="false">INDEX(MMULT(MMULT($B$120:$I$127,$B$174:$I$181),$B$120:$I$127),1,1)</f>
        <v>5.55306327693797E-006</v>
      </c>
      <c r="C183" s="30" t="n">
        <f aca="false">INDEX(MMULT(MMULT($B$120:$I$127,$B$174:$I$181),$B$120:$I$127),1,2)</f>
        <v>-4.14029547349434E-005</v>
      </c>
      <c r="D183" s="30" t="n">
        <f aca="false">INDEX(MMULT(MMULT($B$120:$I$127,$B$174:$I$181),$B$120:$I$127),1,3)</f>
        <v>-0.000115617330577777</v>
      </c>
      <c r="E183" s="30" t="n">
        <f aca="false">INDEX(MMULT(MMULT($B$120:$I$127,$B$174:$I$181),$B$120:$I$127),1,4)</f>
        <v>-2.66817804068314E-009</v>
      </c>
      <c r="F183" s="30" t="n">
        <f aca="false">INDEX(MMULT(MMULT($B$120:$I$127,$B$174:$I$181),$B$120:$I$127),1,5)</f>
        <v>6.52993143813989E-005</v>
      </c>
      <c r="G183" s="30" t="n">
        <f aca="false">INDEX(MMULT(MMULT($B$120:$I$127,$B$174:$I$181),$B$120:$I$127),1,6)</f>
        <v>-1.26417352501901E-005</v>
      </c>
      <c r="H183" s="30" t="n">
        <f aca="false">INDEX(MMULT(MMULT($B$120:$I$127,$B$174:$I$181),$B$120:$I$127),1,7)</f>
        <v>-1.48120685844931E-005</v>
      </c>
      <c r="I183" s="30" t="n">
        <f aca="false">INDEX(MMULT(MMULT($B$120:$I$127,$B$174:$I$181),$B$120:$I$127),1,8)</f>
        <v>3.68201564135599E-006</v>
      </c>
    </row>
    <row r="184" customFormat="false" ht="15" hidden="false" customHeight="false" outlineLevel="0" collapsed="false">
      <c r="B184" s="30" t="n">
        <f aca="false">INDEX(MMULT(MMULT($B$120:$I$127,$B$174:$I$181),$B$120:$I$127),2,1)</f>
        <v>-4.14029547349435E-005</v>
      </c>
      <c r="C184" s="30" t="n">
        <f aca="false">INDEX(MMULT(MMULT($B$120:$I$127,$B$174:$I$181),$B$120:$I$127),2,2)</f>
        <v>0.00206735648861366</v>
      </c>
      <c r="D184" s="30" t="n">
        <f aca="false">INDEX(MMULT(MMULT($B$120:$I$127,$B$174:$I$181),$B$120:$I$127),2,3)</f>
        <v>0.00444183118726633</v>
      </c>
      <c r="E184" s="30" t="n">
        <f aca="false">INDEX(MMULT(MMULT($B$120:$I$127,$B$174:$I$181),$B$120:$I$127),2,4)</f>
        <v>8.14123434480626E-008</v>
      </c>
      <c r="F184" s="30" t="n">
        <f aca="false">INDEX(MMULT(MMULT($B$120:$I$127,$B$174:$I$181),$B$120:$I$127),2,5)</f>
        <v>0.000135908347377393</v>
      </c>
      <c r="G184" s="30" t="n">
        <f aca="false">INDEX(MMULT(MMULT($B$120:$I$127,$B$174:$I$181),$B$120:$I$127),2,6)</f>
        <v>-1.7863838252508E-005</v>
      </c>
      <c r="H184" s="30" t="n">
        <f aca="false">INDEX(MMULT(MMULT($B$120:$I$127,$B$174:$I$181),$B$120:$I$127),2,7)</f>
        <v>0.000569832548170519</v>
      </c>
      <c r="I184" s="30" t="n">
        <f aca="false">INDEX(MMULT(MMULT($B$120:$I$127,$B$174:$I$181),$B$120:$I$127),2,8)</f>
        <v>-0.000452645412042866</v>
      </c>
    </row>
    <row r="185" customFormat="false" ht="15" hidden="false" customHeight="false" outlineLevel="0" collapsed="false">
      <c r="B185" s="30" t="n">
        <f aca="false">INDEX(MMULT(MMULT($B$120:$I$127,$B$174:$I$181),$B$120:$I$127),3,1)</f>
        <v>-0.000115617330577779</v>
      </c>
      <c r="C185" s="30" t="n">
        <f aca="false">INDEX(MMULT(MMULT($B$120:$I$127,$B$174:$I$181),$B$120:$I$127),3,2)</f>
        <v>0.00444183118726634</v>
      </c>
      <c r="D185" s="30" t="n">
        <f aca="false">INDEX(MMULT(MMULT($B$120:$I$127,$B$174:$I$181),$B$120:$I$127),3,3)</f>
        <v>0.029615271972484</v>
      </c>
      <c r="E185" s="30" t="n">
        <f aca="false">INDEX(MMULT(MMULT($B$120:$I$127,$B$174:$I$181),$B$120:$I$127),3,4)</f>
        <v>2.49929932208561E-007</v>
      </c>
      <c r="F185" s="30" t="n">
        <f aca="false">INDEX(MMULT(MMULT($B$120:$I$127,$B$174:$I$181),$B$120:$I$127),3,5)</f>
        <v>0.0344456360855258</v>
      </c>
      <c r="G185" s="30" t="n">
        <f aca="false">INDEX(MMULT(MMULT($B$120:$I$127,$B$174:$I$181),$B$120:$I$127),3,6)</f>
        <v>-0.00216946790620733</v>
      </c>
      <c r="H185" s="30" t="n">
        <f aca="false">INDEX(MMULT(MMULT($B$120:$I$127,$B$174:$I$181),$B$120:$I$127),3,7)</f>
        <v>0.00382192947778848</v>
      </c>
      <c r="I185" s="30" t="n">
        <f aca="false">INDEX(MMULT(MMULT($B$120:$I$127,$B$174:$I$181),$B$120:$I$127),3,8)</f>
        <v>-0.00330772801371781</v>
      </c>
    </row>
    <row r="186" customFormat="false" ht="15" hidden="false" customHeight="false" outlineLevel="0" collapsed="false">
      <c r="B186" s="30" t="n">
        <f aca="false">INDEX(MMULT(MMULT($B$120:$I$127,$B$174:$I$181),$B$120:$I$127),4,1)</f>
        <v>-2.66817804068303E-009</v>
      </c>
      <c r="C186" s="30" t="n">
        <f aca="false">INDEX(MMULT(MMULT($B$120:$I$127,$B$174:$I$181),$B$120:$I$127),4,2)</f>
        <v>8.14123434480635E-008</v>
      </c>
      <c r="D186" s="30" t="n">
        <f aca="false">INDEX(MMULT(MMULT($B$120:$I$127,$B$174:$I$181),$B$120:$I$127),4,3)</f>
        <v>2.49929932208562E-007</v>
      </c>
      <c r="E186" s="30" t="n">
        <f aca="false">INDEX(MMULT(MMULT($B$120:$I$127,$B$174:$I$181),$B$120:$I$127),4,4)</f>
        <v>4.81375453975172E-011</v>
      </c>
      <c r="F186" s="30" t="n">
        <f aca="false">INDEX(MMULT(MMULT($B$120:$I$127,$B$174:$I$181),$B$120:$I$127),4,5)</f>
        <v>1.02247798229823E-006</v>
      </c>
      <c r="G186" s="30" t="n">
        <f aca="false">INDEX(MMULT(MMULT($B$120:$I$127,$B$174:$I$181),$B$120:$I$127),4,6)</f>
        <v>-6.08693845820064E-008</v>
      </c>
      <c r="H186" s="30" t="n">
        <f aca="false">INDEX(MMULT(MMULT($B$120:$I$127,$B$174:$I$181),$B$120:$I$127),4,7)</f>
        <v>1.83718906506216E-008</v>
      </c>
      <c r="I186" s="30" t="n">
        <f aca="false">INDEX(MMULT(MMULT($B$120:$I$127,$B$174:$I$181),$B$120:$I$127),4,8)</f>
        <v>-4.66181594421626E-009</v>
      </c>
    </row>
    <row r="187" customFormat="false" ht="15" hidden="false" customHeight="false" outlineLevel="0" collapsed="false">
      <c r="B187" s="30" t="n">
        <f aca="false">INDEX(MMULT(MMULT($B$120:$I$127,$B$174:$I$181),$B$120:$I$127),5,1)</f>
        <v>6.52993143813955E-005</v>
      </c>
      <c r="C187" s="30" t="n">
        <f aca="false">INDEX(MMULT(MMULT($B$120:$I$127,$B$174:$I$181),$B$120:$I$127),5,2)</f>
        <v>0.000135908347377424</v>
      </c>
      <c r="D187" s="30" t="n">
        <f aca="false">INDEX(MMULT(MMULT($B$120:$I$127,$B$174:$I$181),$B$120:$I$127),5,3)</f>
        <v>0.034445636085526</v>
      </c>
      <c r="E187" s="30" t="n">
        <f aca="false">INDEX(MMULT(MMULT($B$120:$I$127,$B$174:$I$181),$B$120:$I$127),5,4)</f>
        <v>1.02247798229823E-006</v>
      </c>
      <c r="F187" s="30" t="n">
        <f aca="false">INDEX(MMULT(MMULT($B$120:$I$127,$B$174:$I$181),$B$120:$I$127),5,5)</f>
        <v>0.194434125158633</v>
      </c>
      <c r="G187" s="30" t="n">
        <f aca="false">INDEX(MMULT(MMULT($B$120:$I$127,$B$174:$I$181),$B$120:$I$127),5,6)</f>
        <v>-0.00753239214922633</v>
      </c>
      <c r="H187" s="30" t="n">
        <f aca="false">INDEX(MMULT(MMULT($B$120:$I$127,$B$174:$I$181),$B$120:$I$127),5,7)</f>
        <v>0.00447468198616869</v>
      </c>
      <c r="I187" s="30" t="n">
        <f aca="false">INDEX(MMULT(MMULT($B$120:$I$127,$B$174:$I$181),$B$120:$I$127),5,8)</f>
        <v>-0.0034282569092221</v>
      </c>
    </row>
    <row r="188" customFormat="false" ht="15" hidden="false" customHeight="false" outlineLevel="0" collapsed="false">
      <c r="B188" s="30" t="n">
        <f aca="false">INDEX(MMULT(MMULT($B$120:$I$127,$B$174:$I$181),$B$120:$I$127),6,1)</f>
        <v>-1.26417352501897E-005</v>
      </c>
      <c r="C188" s="30" t="n">
        <f aca="false">INDEX(MMULT(MMULT($B$120:$I$127,$B$174:$I$181),$B$120:$I$127),6,2)</f>
        <v>-1.78638382525115E-005</v>
      </c>
      <c r="D188" s="30" t="n">
        <f aca="false">INDEX(MMULT(MMULT($B$120:$I$127,$B$174:$I$181),$B$120:$I$127),6,3)</f>
        <v>-0.00216946790620733</v>
      </c>
      <c r="E188" s="30" t="n">
        <f aca="false">INDEX(MMULT(MMULT($B$120:$I$127,$B$174:$I$181),$B$120:$I$127),6,4)</f>
        <v>-6.08693845820062E-008</v>
      </c>
      <c r="F188" s="30" t="n">
        <f aca="false">INDEX(MMULT(MMULT($B$120:$I$127,$B$174:$I$181),$B$120:$I$127),6,5)</f>
        <v>-0.00753239214922633</v>
      </c>
      <c r="G188" s="30" t="n">
        <f aca="false">INDEX(MMULT(MMULT($B$120:$I$127,$B$174:$I$181),$B$120:$I$127),6,6)</f>
        <v>0.00155479477625107</v>
      </c>
      <c r="H188" s="30" t="n">
        <f aca="false">INDEX(MMULT(MMULT($B$120:$I$127,$B$174:$I$181),$B$120:$I$127),6,7)</f>
        <v>-0.000603144748544072</v>
      </c>
      <c r="I188" s="30" t="n">
        <f aca="false">INDEX(MMULT(MMULT($B$120:$I$127,$B$174:$I$181),$B$120:$I$127),6,8)</f>
        <v>0.000555708153889844</v>
      </c>
    </row>
    <row r="189" customFormat="false" ht="15" hidden="false" customHeight="false" outlineLevel="0" collapsed="false">
      <c r="B189" s="30" t="n">
        <f aca="false">INDEX(MMULT(MMULT($B$120:$I$127,$B$174:$I$181),$B$120:$I$127),7,1)</f>
        <v>-1.48120685844933E-005</v>
      </c>
      <c r="C189" s="30" t="n">
        <f aca="false">INDEX(MMULT(MMULT($B$120:$I$127,$B$174:$I$181),$B$120:$I$127),7,2)</f>
        <v>0.000569832548170521</v>
      </c>
      <c r="D189" s="30" t="n">
        <f aca="false">INDEX(MMULT(MMULT($B$120:$I$127,$B$174:$I$181),$B$120:$I$127),7,3)</f>
        <v>0.00382192947778847</v>
      </c>
      <c r="E189" s="30" t="n">
        <f aca="false">INDEX(MMULT(MMULT($B$120:$I$127,$B$174:$I$181),$B$120:$I$127),7,4)</f>
        <v>1.83718906506213E-008</v>
      </c>
      <c r="F189" s="30" t="n">
        <f aca="false">INDEX(MMULT(MMULT($B$120:$I$127,$B$174:$I$181),$B$120:$I$127),7,5)</f>
        <v>0.00447468198616862</v>
      </c>
      <c r="G189" s="30" t="n">
        <f aca="false">INDEX(MMULT(MMULT($B$120:$I$127,$B$174:$I$181),$B$120:$I$127),7,6)</f>
        <v>-0.000603144748544069</v>
      </c>
      <c r="H189" s="30" t="n">
        <f aca="false">INDEX(MMULT(MMULT($B$120:$I$127,$B$174:$I$181),$B$120:$I$127),7,7)</f>
        <v>0.000594280636905436</v>
      </c>
      <c r="I189" s="30" t="n">
        <f aca="false">INDEX(MMULT(MMULT($B$120:$I$127,$B$174:$I$181),$B$120:$I$127),7,8)</f>
        <v>-0.000521102122681987</v>
      </c>
    </row>
    <row r="190" customFormat="false" ht="15" hidden="false" customHeight="false" outlineLevel="0" collapsed="false">
      <c r="B190" s="30" t="n">
        <f aca="false">INDEX(MMULT(MMULT($B$120:$I$127,$B$174:$I$181),$B$120:$I$127),8,1)</f>
        <v>3.68201564135627E-006</v>
      </c>
      <c r="C190" s="30" t="n">
        <f aca="false">INDEX(MMULT(MMULT($B$120:$I$127,$B$174:$I$181),$B$120:$I$127),8,2)</f>
        <v>-0.000452645412042868</v>
      </c>
      <c r="D190" s="30" t="n">
        <f aca="false">INDEX(MMULT(MMULT($B$120:$I$127,$B$174:$I$181),$B$120:$I$127),8,3)</f>
        <v>-0.00330772801371781</v>
      </c>
      <c r="E190" s="30" t="n">
        <f aca="false">INDEX(MMULT(MMULT($B$120:$I$127,$B$174:$I$181),$B$120:$I$127),8,4)</f>
        <v>-4.66181594421608E-009</v>
      </c>
      <c r="F190" s="30" t="n">
        <f aca="false">INDEX(MMULT(MMULT($B$120:$I$127,$B$174:$I$181),$B$120:$I$127),8,5)</f>
        <v>-0.00342825690922209</v>
      </c>
      <c r="G190" s="30" t="n">
        <f aca="false">INDEX(MMULT(MMULT($B$120:$I$127,$B$174:$I$181),$B$120:$I$127),8,6)</f>
        <v>0.000555708153889844</v>
      </c>
      <c r="H190" s="30" t="n">
        <f aca="false">INDEX(MMULT(MMULT($B$120:$I$127,$B$174:$I$181),$B$120:$I$127),8,7)</f>
        <v>-0.000521102122681988</v>
      </c>
      <c r="I190" s="30" t="n">
        <f aca="false">INDEX(MMULT(MMULT($B$120:$I$127,$B$174:$I$181),$B$120:$I$127),8,8)</f>
        <v>0.000478493211512059</v>
      </c>
    </row>
    <row r="192" customFormat="false" ht="15" hidden="false" customHeight="false" outlineLevel="0" collapsed="false">
      <c r="A192" s="14" t="s">
        <v>25</v>
      </c>
      <c r="B192" s="14" t="s">
        <v>26</v>
      </c>
      <c r="C192" s="14" t="s">
        <v>27</v>
      </c>
      <c r="D192" s="14" t="s">
        <v>28</v>
      </c>
      <c r="E192" s="14" t="s">
        <v>29</v>
      </c>
    </row>
    <row r="193" customFormat="false" ht="15" hidden="false" customHeight="false" outlineLevel="0" collapsed="false">
      <c r="A193" s="24" t="s">
        <v>161</v>
      </c>
      <c r="B193" s="8" t="n">
        <f aca="false">B87</f>
        <v>0.00209663649074231</v>
      </c>
      <c r="C193" s="25" t="n">
        <f aca="false">SQRT(INDEX($B$183:$I$190,1,1))</f>
        <v>0.00235649385251436</v>
      </c>
      <c r="D193" s="5" t="n">
        <f aca="false">B193/C193</f>
        <v>0.889727120868663</v>
      </c>
      <c r="E193" s="7" t="n">
        <f aca="false">TDIST(ABS(D193),$H$86,2)</f>
        <v>0.376796004695735</v>
      </c>
    </row>
    <row r="194" customFormat="false" ht="15" hidden="false" customHeight="false" outlineLevel="0" collapsed="false">
      <c r="A194" s="24" t="s">
        <v>173</v>
      </c>
      <c r="B194" s="8" t="n">
        <f aca="false">B88</f>
        <v>0.847240372698584</v>
      </c>
      <c r="C194" s="25" t="n">
        <f aca="false">SQRT(INDEX($B$183:$I$190,2,2))</f>
        <v>0.0454681920534967</v>
      </c>
      <c r="D194" s="5" t="n">
        <f aca="false">B194/C194</f>
        <v>18.6336938953223</v>
      </c>
      <c r="E194" s="7" t="n">
        <f aca="false">TDIST(ABS(D194),$H$86,2)</f>
        <v>3.31776956213605E-028</v>
      </c>
    </row>
    <row r="195" customFormat="false" ht="15" hidden="false" customHeight="false" outlineLevel="0" collapsed="false">
      <c r="A195" s="24" t="s">
        <v>141</v>
      </c>
      <c r="B195" s="8" t="n">
        <f aca="false">B89</f>
        <v>0.627025903813829</v>
      </c>
      <c r="C195" s="25" t="n">
        <f aca="false">SQRT(INDEX($B$183:$I$190,3,3))</f>
        <v>0.172090882886003</v>
      </c>
      <c r="D195" s="5" t="n">
        <f aca="false">B195/C195</f>
        <v>3.64357421670726</v>
      </c>
      <c r="E195" s="7" t="n">
        <f aca="false">TDIST(ABS(D195),$H$86,2)</f>
        <v>0.000525441392389887</v>
      </c>
    </row>
    <row r="196" customFormat="false" ht="15" hidden="false" customHeight="false" outlineLevel="0" collapsed="false">
      <c r="A196" s="24" t="s">
        <v>144</v>
      </c>
      <c r="B196" s="8" t="n">
        <f aca="false">B90</f>
        <v>-4.61925000920346E-005</v>
      </c>
      <c r="C196" s="25" t="n">
        <f aca="false">SQRT(INDEX($B$183:$I$190,4,4))</f>
        <v>6.93812261332395E-006</v>
      </c>
      <c r="D196" s="5" t="n">
        <f aca="false">B196/C196</f>
        <v>-6.65778088201075</v>
      </c>
      <c r="E196" s="7" t="n">
        <f aca="false">TDIST(ABS(D196),$H$86,2)</f>
        <v>6.17603134979727E-009</v>
      </c>
    </row>
    <row r="197" customFormat="false" ht="15" hidden="false" customHeight="false" outlineLevel="0" collapsed="false">
      <c r="A197" s="24" t="s">
        <v>176</v>
      </c>
      <c r="B197" s="8" t="n">
        <f aca="false">B91</f>
        <v>-1.60322261640931</v>
      </c>
      <c r="C197" s="25" t="n">
        <f aca="false">SQRT(INDEX($B$183:$I$190,5,5))</f>
        <v>0.440946850718579</v>
      </c>
      <c r="D197" s="5" t="n">
        <f aca="false">B197/C197</f>
        <v>-3.63586362800109</v>
      </c>
      <c r="E197" s="7" t="n">
        <f aca="false">TDIST(ABS(D197),$H$86,2)</f>
        <v>0.000538723860376548</v>
      </c>
    </row>
    <row r="198" customFormat="false" ht="15" hidden="false" customHeight="false" outlineLevel="0" collapsed="false">
      <c r="A198" s="24" t="s">
        <v>177</v>
      </c>
      <c r="B198" s="8" t="n">
        <f aca="false">B92</f>
        <v>0.242865944539068</v>
      </c>
      <c r="C198" s="25" t="n">
        <f aca="false">SQRT(INDEX($B$183:$I$190,6,6))</f>
        <v>0.0394308860698193</v>
      </c>
      <c r="D198" s="5" t="n">
        <f aca="false">B198/C198</f>
        <v>6.15928194230864</v>
      </c>
      <c r="E198" s="7" t="n">
        <f aca="false">TDIST(ABS(D198),$H$86,2)</f>
        <v>4.67893915158608E-008</v>
      </c>
    </row>
    <row r="199" customFormat="false" ht="15" hidden="false" customHeight="false" outlineLevel="0" collapsed="false">
      <c r="A199" s="24" t="s">
        <v>197</v>
      </c>
      <c r="B199" s="8" t="n">
        <f aca="false">B93</f>
        <v>-0.119674148804146</v>
      </c>
      <c r="C199" s="25" t="n">
        <f aca="false">SQRT(INDEX($B$183:$I$190,7,7))</f>
        <v>0.0243778718699036</v>
      </c>
      <c r="D199" s="5" t="n">
        <f aca="false">B199/C199</f>
        <v>-4.90913027366812</v>
      </c>
      <c r="E199" s="7" t="n">
        <f aca="false">TDIST(ABS(D199),$H$86,2)</f>
        <v>6.16164266984767E-006</v>
      </c>
    </row>
    <row r="200" customFormat="false" ht="15" hidden="false" customHeight="false" outlineLevel="0" collapsed="false">
      <c r="A200" s="24" t="s">
        <v>198</v>
      </c>
      <c r="B200" s="8" t="n">
        <f aca="false">B94</f>
        <v>0.113701935112374</v>
      </c>
      <c r="C200" s="25" t="n">
        <f aca="false">SQRT(INDEX($B$183:$I$190,8,8))</f>
        <v>0.021874487685705</v>
      </c>
      <c r="D200" s="5" t="n">
        <f aca="false">B200/C200</f>
        <v>5.19792448381219</v>
      </c>
      <c r="E200" s="7" t="n">
        <f aca="false">TDIST(ABS(D200),$H$86,2)</f>
        <v>2.06297283062104E-006</v>
      </c>
    </row>
    <row r="203" customFormat="false" ht="15" hidden="false" customHeight="false" outlineLevel="0" collapsed="false">
      <c r="A203" s="21" t="s">
        <v>202</v>
      </c>
      <c r="B203" s="22"/>
      <c r="C203" s="22"/>
      <c r="D203" s="22"/>
      <c r="E203" s="22"/>
      <c r="F203" s="22"/>
      <c r="G203" s="22"/>
      <c r="H203" s="22"/>
      <c r="I203" s="22"/>
    </row>
    <row r="204" customFormat="false" ht="15" hidden="false" customHeight="false" outlineLevel="0" collapsed="false">
      <c r="A204" s="2" t="s">
        <v>203</v>
      </c>
    </row>
    <row r="205" customFormat="false" ht="15" hidden="false" customHeight="false" outlineLevel="0" collapsed="false">
      <c r="A205" s="24" t="s">
        <v>167</v>
      </c>
      <c r="B205" s="8" t="n">
        <f aca="false">B101</f>
        <v>0.0402939117675193</v>
      </c>
    </row>
    <row r="206" customFormat="false" ht="15" hidden="false" customHeight="false" outlineLevel="0" collapsed="false">
      <c r="A206" s="24" t="s">
        <v>168</v>
      </c>
      <c r="B206" s="8" t="n">
        <f aca="false">Modelo_Optimo!B99</f>
        <v>0.0508735239508454</v>
      </c>
    </row>
    <row r="207" customFormat="false" ht="15" hidden="false" customHeight="false" outlineLevel="0" collapsed="false">
      <c r="A207" s="24" t="s">
        <v>169</v>
      </c>
      <c r="B207" s="5" t="n">
        <v>2</v>
      </c>
    </row>
    <row r="208" customFormat="false" ht="15" hidden="false" customHeight="false" outlineLevel="0" collapsed="false">
      <c r="A208" s="24" t="s">
        <v>170</v>
      </c>
      <c r="B208" s="5" t="n">
        <f aca="false">$H$86</f>
        <v>67</v>
      </c>
    </row>
    <row r="209" customFormat="false" ht="15" hidden="false" customHeight="false" outlineLevel="0" collapsed="false">
      <c r="A209" s="24" t="s">
        <v>19</v>
      </c>
      <c r="B209" s="29" t="n">
        <f aca="false">((B206-B205)/B207)/(B205/B208)</f>
        <v>8.79579550842014</v>
      </c>
    </row>
    <row r="210" customFormat="false" ht="15" hidden="false" customHeight="false" outlineLevel="0" collapsed="false">
      <c r="A210" s="24" t="s">
        <v>21</v>
      </c>
      <c r="B210" s="26" t="n">
        <f aca="false">FDIST(B209,B207,B208)</f>
        <v>0.000405550474222191</v>
      </c>
    </row>
    <row r="212" customFormat="false" ht="15" hidden="false" customHeight="false" outlineLevel="0" collapsed="false">
      <c r="A212" s="21" t="s">
        <v>204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</row>
    <row r="214" customFormat="false" ht="15" hidden="false" customHeight="false" outlineLevel="0" collapsed="false">
      <c r="A214" s="24" t="s">
        <v>167</v>
      </c>
      <c r="B214" s="8" t="n">
        <f aca="false">B101</f>
        <v>0.0402939117675193</v>
      </c>
    </row>
    <row r="215" customFormat="false" ht="15" hidden="false" customHeight="false" outlineLevel="0" collapsed="false">
      <c r="A215" s="24" t="s">
        <v>205</v>
      </c>
      <c r="B215" s="8" t="n">
        <f aca="false">INDEX(LINEST($W$6:$W$80,$D$6:$I$80,TRUE(),TRUE()),5,2)</f>
        <v>0.0444022266617854</v>
      </c>
    </row>
    <row r="216" customFormat="false" ht="15" hidden="false" customHeight="false" outlineLevel="0" collapsed="false">
      <c r="A216" s="24" t="s">
        <v>169</v>
      </c>
      <c r="B216" s="5" t="n">
        <v>1</v>
      </c>
    </row>
    <row r="217" customFormat="false" ht="15" hidden="false" customHeight="false" outlineLevel="0" collapsed="false">
      <c r="A217" s="24" t="s">
        <v>170</v>
      </c>
      <c r="B217" s="5" t="n">
        <f aca="false">$H$86</f>
        <v>67</v>
      </c>
    </row>
    <row r="218" customFormat="false" ht="15" hidden="false" customHeight="false" outlineLevel="0" collapsed="false">
      <c r="A218" s="24" t="s">
        <v>19</v>
      </c>
      <c r="B218" s="29" t="n">
        <f aca="false">((B215-B214)/B216)/(B214/B217)</f>
        <v>6.83123295409889</v>
      </c>
    </row>
    <row r="219" customFormat="false" ht="15" hidden="false" customHeight="false" outlineLevel="0" collapsed="false">
      <c r="A219" s="24" t="s">
        <v>21</v>
      </c>
      <c r="B219" s="26" t="n">
        <f aca="false">FDIST(B218,B216,B217)</f>
        <v>0.011051550688165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  <col collapsed="false" customWidth="true" hidden="false" outlineLevel="0" max="11" min="7" style="0" width="13"/>
  </cols>
  <sheetData>
    <row r="1" customFormat="false" ht="17.35" hidden="false" customHeight="false" outlineLevel="0" collapsed="false">
      <c r="A1" s="1" t="s">
        <v>206</v>
      </c>
    </row>
    <row r="4" customFormat="false" ht="15" hidden="false" customHeight="false" outlineLevel="0" collapsed="false">
      <c r="A4" s="21" t="s">
        <v>207</v>
      </c>
      <c r="B4" s="22"/>
      <c r="C4" s="22"/>
      <c r="D4" s="22"/>
      <c r="E4" s="22"/>
    </row>
    <row r="5" customFormat="false" ht="15" hidden="false" customHeight="false" outlineLevel="0" collapsed="false">
      <c r="A5" s="31" t="s">
        <v>208</v>
      </c>
      <c r="B5" s="31" t="s">
        <v>209</v>
      </c>
      <c r="C5" s="31" t="s">
        <v>210</v>
      </c>
      <c r="D5" s="31" t="s">
        <v>211</v>
      </c>
      <c r="E5" s="31" t="s">
        <v>212</v>
      </c>
    </row>
    <row r="6" customFormat="false" ht="15" hidden="false" customHeight="true" outlineLevel="0" collapsed="false">
      <c r="A6" s="11" t="n">
        <v>1</v>
      </c>
      <c r="B6" s="12" t="n">
        <f aca="false">SUMPRODUCT(Modelo_Base!$K$7:$K$80,Modelo_Base!$K$6:$K$79)/SUMSQ(Modelo_Base!$K$6:$K$80)</f>
        <v>0.646084990693095</v>
      </c>
      <c r="C6" s="12" t="n">
        <f aca="false">SUMPRODUCT(Modelo_ADL!$L$7:$L$80,Modelo_ADL!$L$6:$L$79)/SUMSQ(Modelo_ADL!$L$6:$L$80)</f>
        <v>-0.0664662559162037</v>
      </c>
      <c r="D6" s="12" t="n">
        <f aca="false">SUMPRODUCT(Modelo_Optimo!$I$7:$I$80,Modelo_Optimo!$I$6:$I$79)/SUMSQ(Modelo_Optimo!$I$6:$I$80)</f>
        <v>-0.107771790473028</v>
      </c>
      <c r="E6" s="12" t="n">
        <f aca="false">SUMPRODUCT(Modelo_COVID!$K$7:$K$80,Modelo_COVID!$K$6:$K$79)/SUMSQ(Modelo_COVID!$K$6:$K$80)</f>
        <v>-0.111132015568302</v>
      </c>
      <c r="G6" s="32" t="s">
        <v>213</v>
      </c>
      <c r="H6" s="32"/>
      <c r="I6" s="32"/>
      <c r="J6" s="32"/>
      <c r="K6" s="32"/>
    </row>
    <row r="7" customFormat="false" ht="15" hidden="false" customHeight="false" outlineLevel="0" collapsed="false">
      <c r="A7" s="11" t="n">
        <v>2</v>
      </c>
      <c r="B7" s="12" t="n">
        <f aca="false">SUMPRODUCT(Modelo_Base!$K$8:$K$80,Modelo_Base!$K$6:$K$78)/SUMSQ(Modelo_Base!$K$6:$K$80)</f>
        <v>0.395159231844879</v>
      </c>
      <c r="C7" s="12" t="n">
        <f aca="false">SUMPRODUCT(Modelo_ADL!$L$8:$L$80,Modelo_ADL!$L$6:$L$78)/SUMSQ(Modelo_ADL!$L$6:$L$80)</f>
        <v>-0.084627899102122</v>
      </c>
      <c r="D7" s="12" t="n">
        <f aca="false">SUMPRODUCT(Modelo_Optimo!$I$8:$I$80,Modelo_Optimo!$I$6:$I$78)/SUMSQ(Modelo_Optimo!$I$6:$I$80)</f>
        <v>-0.09702451517319</v>
      </c>
      <c r="E7" s="12" t="n">
        <f aca="false">SUMPRODUCT(Modelo_COVID!$K$8:$K$80,Modelo_COVID!$K$6:$K$78)/SUMSQ(Modelo_COVID!$K$6:$K$80)</f>
        <v>-0.02616728331947</v>
      </c>
      <c r="G7" s="32"/>
      <c r="H7" s="32"/>
      <c r="I7" s="32"/>
      <c r="J7" s="32"/>
      <c r="K7" s="32"/>
    </row>
    <row r="8" customFormat="false" ht="15" hidden="false" customHeight="false" outlineLevel="0" collapsed="false">
      <c r="A8" s="11" t="n">
        <v>3</v>
      </c>
      <c r="B8" s="12" t="n">
        <f aca="false">SUMPRODUCT(Modelo_Base!$K$9:$K$80,Modelo_Base!$K$6:$K$77)/SUMSQ(Modelo_Base!$K$6:$K$80)</f>
        <v>0.156433951917826</v>
      </c>
      <c r="C8" s="12" t="n">
        <f aca="false">SUMPRODUCT(Modelo_ADL!$L$9:$L$80,Modelo_ADL!$L$6:$L$77)/SUMSQ(Modelo_ADL!$L$6:$L$80)</f>
        <v>0.07530069990634</v>
      </c>
      <c r="D8" s="12" t="n">
        <f aca="false">SUMPRODUCT(Modelo_Optimo!$I$9:$I$80,Modelo_Optimo!$I$6:$I$77)/SUMSQ(Modelo_Optimo!$I$6:$I$80)</f>
        <v>0.0227682929853974</v>
      </c>
      <c r="E8" s="12" t="n">
        <f aca="false">SUMPRODUCT(Modelo_COVID!$K$9:$K$80,Modelo_COVID!$K$6:$K$77)/SUMSQ(Modelo_COVID!$K$6:$K$80)</f>
        <v>-0.0384060249937797</v>
      </c>
      <c r="G8" s="32"/>
      <c r="H8" s="32"/>
      <c r="I8" s="32"/>
      <c r="J8" s="32"/>
      <c r="K8" s="32"/>
    </row>
    <row r="9" customFormat="false" ht="15" hidden="false" customHeight="false" outlineLevel="0" collapsed="false">
      <c r="A9" s="11" t="n">
        <v>4</v>
      </c>
      <c r="B9" s="12" t="n">
        <f aca="false">SUMPRODUCT(Modelo_Base!$K$10:$K$80,Modelo_Base!$K$6:$K$76)/SUMSQ(Modelo_Base!$K$6:$K$80)</f>
        <v>-0.065950028626042</v>
      </c>
      <c r="C9" s="12" t="n">
        <f aca="false">SUMPRODUCT(Modelo_ADL!$L$10:$L$80,Modelo_ADL!$L$6:$L$76)/SUMSQ(Modelo_ADL!$L$6:$L$80)</f>
        <v>-0.350614650455324</v>
      </c>
      <c r="D9" s="12" t="n">
        <f aca="false">SUMPRODUCT(Modelo_Optimo!$I$10:$I$80,Modelo_Optimo!$I$6:$I$76)/SUMSQ(Modelo_Optimo!$I$6:$I$80)</f>
        <v>-0.326076414517486</v>
      </c>
      <c r="E9" s="12" t="n">
        <f aca="false">SUMPRODUCT(Modelo_COVID!$K$10:$K$80,Modelo_COVID!$K$6:$K$76)/SUMSQ(Modelo_COVID!$K$6:$K$80)</f>
        <v>-0.292630560375449</v>
      </c>
      <c r="G9" s="32"/>
      <c r="H9" s="32"/>
      <c r="I9" s="32"/>
      <c r="J9" s="32"/>
      <c r="K9" s="32"/>
    </row>
    <row r="10" customFormat="false" ht="15" hidden="false" customHeight="false" outlineLevel="0" collapsed="false">
      <c r="A10" s="11" t="n">
        <v>5</v>
      </c>
      <c r="B10" s="12" t="n">
        <f aca="false">SUMPRODUCT(Modelo_Base!$K$11:$K$80,Modelo_Base!$K$6:$K$75)/SUMSQ(Modelo_Base!$K$6:$K$80)</f>
        <v>-0.125089453619848</v>
      </c>
      <c r="C10" s="12" t="n">
        <f aca="false">SUMPRODUCT(Modelo_ADL!$L$11:$L$80,Modelo_ADL!$L$6:$L$75)/SUMSQ(Modelo_ADL!$L$6:$L$80)</f>
        <v>-0.0219929983145283</v>
      </c>
      <c r="D10" s="12" t="n">
        <f aca="false">SUMPRODUCT(Modelo_Optimo!$I$11:$I$80,Modelo_Optimo!$I$6:$I$75)/SUMSQ(Modelo_Optimo!$I$6:$I$80)</f>
        <v>0.0996239371109189</v>
      </c>
      <c r="E10" s="12" t="n">
        <f aca="false">SUMPRODUCT(Modelo_COVID!$K$11:$K$80,Modelo_COVID!$K$6:$K$75)/SUMSQ(Modelo_COVID!$K$6:$K$80)</f>
        <v>0.155131677673086</v>
      </c>
      <c r="G10" s="32"/>
      <c r="H10" s="32"/>
      <c r="I10" s="32"/>
      <c r="J10" s="32"/>
      <c r="K10" s="32"/>
    </row>
    <row r="11" customFormat="false" ht="15" hidden="false" customHeight="false" outlineLevel="0" collapsed="false">
      <c r="A11" s="11" t="n">
        <v>6</v>
      </c>
      <c r="B11" s="12" t="n">
        <f aca="false">SUMPRODUCT(Modelo_Base!$K$12:$K$80,Modelo_Base!$K$6:$K$74)/SUMSQ(Modelo_Base!$K$6:$K$80)</f>
        <v>-0.171814056679445</v>
      </c>
      <c r="C11" s="12" t="n">
        <f aca="false">SUMPRODUCT(Modelo_ADL!$L$12:$L$80,Modelo_ADL!$L$6:$L$74)/SUMSQ(Modelo_ADL!$L$6:$L$80)</f>
        <v>0.0990779395947444</v>
      </c>
      <c r="D11" s="12" t="n">
        <f aca="false">SUMPRODUCT(Modelo_Optimo!$I$12:$I$80,Modelo_Optimo!$I$6:$I$74)/SUMSQ(Modelo_Optimo!$I$6:$I$80)</f>
        <v>-0.0903619613217962</v>
      </c>
      <c r="E11" s="12" t="n">
        <f aca="false">SUMPRODUCT(Modelo_COVID!$K$12:$K$80,Modelo_COVID!$K$6:$K$74)/SUMSQ(Modelo_COVID!$K$6:$K$80)</f>
        <v>-0.150442011617586</v>
      </c>
      <c r="G11" s="32"/>
      <c r="H11" s="32"/>
      <c r="I11" s="32"/>
      <c r="J11" s="32"/>
      <c r="K11" s="32"/>
    </row>
    <row r="12" customFormat="false" ht="15" hidden="false" customHeight="false" outlineLevel="0" collapsed="false">
      <c r="A12" s="11" t="n">
        <v>7</v>
      </c>
      <c r="B12" s="12" t="n">
        <f aca="false">SUMPRODUCT(Modelo_Base!$K$13:$K$80,Modelo_Base!$K$6:$K$73)/SUMSQ(Modelo_Base!$K$6:$K$80)</f>
        <v>-0.123457744335094</v>
      </c>
      <c r="C12" s="12" t="n">
        <f aca="false">SUMPRODUCT(Modelo_ADL!$L$13:$L$80,Modelo_ADL!$L$6:$L$73)/SUMSQ(Modelo_ADL!$L$6:$L$80)</f>
        <v>0.0469544737497862</v>
      </c>
      <c r="D12" s="12" t="n">
        <f aca="false">SUMPRODUCT(Modelo_Optimo!$I$13:$I$80,Modelo_Optimo!$I$6:$I$73)/SUMSQ(Modelo_Optimo!$I$6:$I$80)</f>
        <v>0.00792700410920658</v>
      </c>
      <c r="E12" s="12" t="n">
        <f aca="false">SUMPRODUCT(Modelo_COVID!$K$13:$K$80,Modelo_COVID!$K$6:$K$73)/SUMSQ(Modelo_COVID!$K$6:$K$80)</f>
        <v>0.0892441706992706</v>
      </c>
      <c r="G12" s="32"/>
      <c r="H12" s="32"/>
      <c r="I12" s="32"/>
      <c r="J12" s="32"/>
      <c r="K12" s="32"/>
    </row>
    <row r="13" customFormat="false" ht="15" hidden="false" customHeight="false" outlineLevel="0" collapsed="false">
      <c r="A13" s="11" t="n">
        <v>8</v>
      </c>
      <c r="B13" s="12" t="n">
        <f aca="false">SUMPRODUCT(Modelo_Base!$K$14:$K$80,Modelo_Base!$K$6:$K$72)/SUMSQ(Modelo_Base!$K$6:$K$80)</f>
        <v>-0.126226212775301</v>
      </c>
      <c r="C13" s="12" t="n">
        <f aca="false">SUMPRODUCT(Modelo_ADL!$L$14:$L$80,Modelo_ADL!$L$6:$L$72)/SUMSQ(Modelo_ADL!$L$6:$L$80)</f>
        <v>-0.0791548540170581</v>
      </c>
      <c r="D13" s="12" t="n">
        <f aca="false">SUMPRODUCT(Modelo_Optimo!$I$14:$I$80,Modelo_Optimo!$I$6:$I$72)/SUMSQ(Modelo_Optimo!$I$6:$I$80)</f>
        <v>0.010570895800722</v>
      </c>
      <c r="E13" s="12" t="n">
        <f aca="false">SUMPRODUCT(Modelo_COVID!$K$14:$K$80,Modelo_COVID!$K$6:$K$72)/SUMSQ(Modelo_COVID!$K$6:$K$80)</f>
        <v>-0.0712243891784124</v>
      </c>
    </row>
    <row r="15" customFormat="false" ht="15" hidden="false" customHeight="false" outlineLevel="0" collapsed="false">
      <c r="A15" s="10" t="s">
        <v>14</v>
      </c>
      <c r="B15" s="28" t="n">
        <f aca="false">Modelo_Base!B106</f>
        <v>0.682760955803835</v>
      </c>
      <c r="C15" s="28" t="n">
        <f aca="false">Modelo_ADL!B107</f>
        <v>2.12184037194854</v>
      </c>
      <c r="D15" s="28" t="n">
        <f aca="false">Modelo_Optimo!B104</f>
        <v>2.19768342205222</v>
      </c>
      <c r="E15" s="28" t="n">
        <f aca="false">Modelo_COVID!B106</f>
        <v>2.18908315040365</v>
      </c>
    </row>
    <row r="17" customFormat="false" ht="15" hidden="false" customHeight="false" outlineLevel="0" collapsed="false">
      <c r="A17" s="21" t="s">
        <v>214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31" t="s">
        <v>215</v>
      </c>
      <c r="B18" s="31" t="s">
        <v>216</v>
      </c>
      <c r="C18" s="31" t="s">
        <v>217</v>
      </c>
      <c r="D18" s="31" t="s">
        <v>218</v>
      </c>
      <c r="E18" s="31" t="s">
        <v>21</v>
      </c>
    </row>
    <row r="19" customFormat="false" ht="15" hidden="false" customHeight="false" outlineLevel="0" collapsed="false">
      <c r="A19" s="11" t="s">
        <v>209</v>
      </c>
      <c r="B19" s="12" t="n">
        <f aca="false">INDEX(LINEST(Modelo_Base!$L$6:$L$80,Modelo_Base!$C$6:$I$80,TRUE(),TRUE()),3,1)</f>
        <v>0.159916405216978</v>
      </c>
      <c r="C19" s="12" t="n">
        <f aca="false">75*B19</f>
        <v>11.9937303912733</v>
      </c>
      <c r="D19" s="11" t="n">
        <v>7</v>
      </c>
      <c r="E19" s="28" t="n">
        <f aca="false">CHIDIST(C19,D19)</f>
        <v>0.100765236607091</v>
      </c>
    </row>
    <row r="20" customFormat="false" ht="15" hidden="false" customHeight="false" outlineLevel="0" collapsed="false">
      <c r="A20" s="11" t="s">
        <v>210</v>
      </c>
      <c r="B20" s="12" t="n">
        <f aca="false">INDEX(LINEST(Modelo_ADL!$M$6:$M$80,Modelo_ADL!$C$6:$J$80,TRUE(),TRUE()),3,1)</f>
        <v>0.118233826094731</v>
      </c>
      <c r="C20" s="12" t="n">
        <f aca="false">75*B20</f>
        <v>8.86753695710479</v>
      </c>
      <c r="D20" s="11" t="n">
        <v>8</v>
      </c>
      <c r="E20" s="28" t="n">
        <f aca="false">CHIDIST(C20,D20)</f>
        <v>0.353593421309585</v>
      </c>
    </row>
    <row r="21" customFormat="false" ht="15" hidden="false" customHeight="false" outlineLevel="0" collapsed="false">
      <c r="A21" s="11" t="s">
        <v>211</v>
      </c>
      <c r="B21" s="12" t="n">
        <f aca="false">INDEX(LINEST(Modelo_Optimo!$J$6:$J$80,Modelo_Optimo!$C$6:$G$80,TRUE(),TRUE()),3,1)</f>
        <v>0.0488303837039554</v>
      </c>
      <c r="C21" s="12" t="n">
        <f aca="false">75*B21</f>
        <v>3.66227877779665</v>
      </c>
      <c r="D21" s="11" t="n">
        <v>5</v>
      </c>
      <c r="E21" s="28" t="n">
        <f aca="false">CHIDIST(C21,D21)</f>
        <v>0.598987324136548</v>
      </c>
    </row>
    <row r="22" customFormat="false" ht="15" hidden="false" customHeight="false" outlineLevel="0" collapsed="false">
      <c r="A22" s="11" t="s">
        <v>212</v>
      </c>
      <c r="B22" s="12" t="n">
        <f aca="false">INDEX(LINEST(Modelo_COVID!$L$6:$L$80,Modelo_COVID!$C$6:$I$80,TRUE(),TRUE()),3,1)</f>
        <v>0.0431838763417525</v>
      </c>
      <c r="C22" s="12" t="n">
        <f aca="false">75*B22</f>
        <v>3.23879072563144</v>
      </c>
      <c r="D22" s="11" t="n">
        <v>7</v>
      </c>
      <c r="E22" s="28" t="n">
        <f aca="false">CHIDIST(C22,D22)</f>
        <v>0.86206859518605</v>
      </c>
    </row>
    <row r="25" customFormat="false" ht="15" hidden="false" customHeight="false" outlineLevel="0" collapsed="false">
      <c r="A25" s="21" t="s">
        <v>219</v>
      </c>
      <c r="B25" s="22"/>
      <c r="C25" s="22"/>
      <c r="D25" s="22"/>
      <c r="E25" s="22"/>
      <c r="F25" s="22"/>
    </row>
    <row r="26" customFormat="false" ht="15" hidden="false" customHeight="false" outlineLevel="0" collapsed="false">
      <c r="A26" s="31" t="s">
        <v>215</v>
      </c>
      <c r="B26" s="31" t="s">
        <v>220</v>
      </c>
      <c r="C26" s="31" t="s">
        <v>221</v>
      </c>
      <c r="D26" s="31" t="s">
        <v>222</v>
      </c>
      <c r="E26" s="31" t="s">
        <v>21</v>
      </c>
    </row>
    <row r="27" customFormat="false" ht="15" hidden="false" customHeight="false" outlineLevel="0" collapsed="false">
      <c r="A27" s="11" t="s">
        <v>209</v>
      </c>
      <c r="B27" s="12" t="n">
        <f aca="false">SKEW(Modelo_Base!$K$6:$K$80)</f>
        <v>0.181173400553368</v>
      </c>
      <c r="C27" s="12" t="n">
        <f aca="false">KURT(Modelo_Base!$K$6:$K$80)</f>
        <v>-0.161208287315099</v>
      </c>
      <c r="D27" s="12" t="n">
        <f aca="false">75/6*(B27^2+C27^2/4)</f>
        <v>0.491510363035476</v>
      </c>
      <c r="E27" s="33" t="n">
        <f aca="false">CHIDIST(D27,2)</f>
        <v>0.782113677372423</v>
      </c>
    </row>
    <row r="28" customFormat="false" ht="15" hidden="false" customHeight="false" outlineLevel="0" collapsed="false">
      <c r="A28" s="11" t="s">
        <v>210</v>
      </c>
      <c r="B28" s="12" t="n">
        <f aca="false">SKEW(Modelo_ADL!$L$6:$L$80)</f>
        <v>-0.0530483826342636</v>
      </c>
      <c r="C28" s="12" t="n">
        <f aca="false">KURT(Modelo_ADL!$L$6:$L$80)</f>
        <v>0.267271485269816</v>
      </c>
      <c r="D28" s="12" t="n">
        <f aca="false">75/6*(B28^2+C28^2/4)</f>
        <v>0.258408032621183</v>
      </c>
      <c r="E28" s="33" t="n">
        <f aca="false">CHIDIST(D28,2)</f>
        <v>0.878794658811398</v>
      </c>
    </row>
    <row r="29" customFormat="false" ht="15" hidden="false" customHeight="false" outlineLevel="0" collapsed="false">
      <c r="A29" s="11" t="s">
        <v>211</v>
      </c>
      <c r="B29" s="12" t="n">
        <f aca="false">SKEW(Modelo_Optimo!$I$6:$I$80)</f>
        <v>0.124011571325895</v>
      </c>
      <c r="C29" s="12" t="n">
        <f aca="false">KURT(Modelo_Optimo!$I$6:$I$80)</f>
        <v>0.632478802289469</v>
      </c>
      <c r="D29" s="12" t="n">
        <f aca="false">75/6*(B29^2+C29^2/4)</f>
        <v>1.44232785823872</v>
      </c>
      <c r="E29" s="33" t="n">
        <f aca="false">CHIDIST(D29,2)</f>
        <v>0.486186040416647</v>
      </c>
    </row>
    <row r="30" customFormat="false" ht="15" hidden="false" customHeight="false" outlineLevel="0" collapsed="false">
      <c r="A30" s="11" t="s">
        <v>212</v>
      </c>
      <c r="B30" s="12" t="n">
        <f aca="false">SKEW(Modelo_COVID!$K$6:$K$80)</f>
        <v>0.143580736165111</v>
      </c>
      <c r="C30" s="12" t="n">
        <f aca="false">KURT(Modelo_COVID!$K$6:$K$80)</f>
        <v>0.806744521826233</v>
      </c>
      <c r="D30" s="12" t="n">
        <f aca="false">75/6*(B30^2+C30^2/4)</f>
        <v>2.29155760839843</v>
      </c>
      <c r="E30" s="33" t="n">
        <f aca="false">CHIDIST(D30,2)</f>
        <v>0.317976180149033</v>
      </c>
    </row>
  </sheetData>
  <mergeCells count="1">
    <mergeCell ref="G6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2026-08-28T19:19:05Z</dcterms:created>
  <dc:creator>openpyxl</dc:creator>
  <dc:description/>
  <dc:language>en-US</dc:language>
  <cp:lastModifiedBy/>
  <dcterms:modified xsi:type="dcterms:W3CDTF">2026-08-28T19:19:05Z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